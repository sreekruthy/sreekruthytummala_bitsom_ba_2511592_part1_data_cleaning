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/>
  <mc:AlternateContent xmlns:mc="http://schemas.openxmlformats.org/markup-compatibility/2006">
    <mc:Choice Requires="x15">
      <x15ac:absPath xmlns:x15ac="http://schemas.microsoft.com/office/spreadsheetml/2010/11/ac" url="D:\working\waccache\MA1PEPF0000995F\EXCELCNV\150814b9-ca05-4d94-bd1f-fd00d97a2012\"/>
    </mc:Choice>
  </mc:AlternateContent>
  <xr:revisionPtr revIDLastSave="0" documentId="8_{F1EDA93D-B66C-4479-8BE8-A93F5F07CD98}" xr6:coauthVersionLast="47" xr6:coauthVersionMax="47" xr10:uidLastSave="{00000000-0000-0000-0000-000000000000}"/>
  <bookViews>
    <workbookView xWindow="-60" yWindow="-60" windowWidth="15480" windowHeight="11640" firstSheet="7" activeTab="3" xr2:uid="{00000000-000D-0000-FFFF-FFFF00000000}"/>
  </bookViews>
  <sheets>
    <sheet name="Sales Profit by Region" sheetId="13" r:id="rId1"/>
    <sheet name="Sales Profit by Category Subcat" sheetId="15" r:id="rId2"/>
    <sheet name="Order Count by Ship Mode" sheetId="16" r:id="rId3"/>
    <sheet name="Profit Margin by Segment" sheetId="14" r:id="rId4"/>
    <sheet name="Refund cancel fail by Region" sheetId="17" r:id="rId5"/>
    <sheet name="Monthly Sales Trend" sheetId="20" r:id="rId6"/>
    <sheet name="cleaned_orders" sheetId="1" r:id="rId7"/>
    <sheet name="Methodology" sheetId="8" r:id="rId8"/>
    <sheet name="business_rules" sheetId="9" r:id="rId9"/>
  </sheets>
  <definedNames>
    <definedName name="_xlnm._FilterDatabase" localSheetId="6" hidden="1">cleaned_orders!$AX$1:$AX$913</definedName>
  </definedNames>
  <calcPr calcId="191028"/>
  <pivotCaches>
    <pivotCache cacheId="49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D5" i="14"/>
  <c r="D6" i="14"/>
  <c r="D7" i="14"/>
  <c r="D8" i="14"/>
  <c r="D4" i="14"/>
  <c r="AK2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K548" i="1"/>
  <c r="AK549" i="1"/>
  <c r="AK550" i="1"/>
  <c r="AK551" i="1"/>
  <c r="AK552" i="1"/>
  <c r="AK553" i="1"/>
  <c r="AK554" i="1"/>
  <c r="AK555" i="1"/>
  <c r="AK556" i="1"/>
  <c r="AK557" i="1"/>
  <c r="AK558" i="1"/>
  <c r="AK559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73" i="1"/>
  <c r="AK574" i="1"/>
  <c r="AK575" i="1"/>
  <c r="AK576" i="1"/>
  <c r="AK577" i="1"/>
  <c r="AK578" i="1"/>
  <c r="AK579" i="1"/>
  <c r="AK580" i="1"/>
  <c r="AK581" i="1"/>
  <c r="AK582" i="1"/>
  <c r="AK583" i="1"/>
  <c r="AK584" i="1"/>
  <c r="AK585" i="1"/>
  <c r="AK586" i="1"/>
  <c r="AK587" i="1"/>
  <c r="AK588" i="1"/>
  <c r="AK589" i="1"/>
  <c r="AK590" i="1"/>
  <c r="AK591" i="1"/>
  <c r="AK592" i="1"/>
  <c r="AK593" i="1"/>
  <c r="AK594" i="1"/>
  <c r="AK595" i="1"/>
  <c r="AK596" i="1"/>
  <c r="AK597" i="1"/>
  <c r="AK598" i="1"/>
  <c r="AK599" i="1"/>
  <c r="AK600" i="1"/>
  <c r="AK601" i="1"/>
  <c r="AK602" i="1"/>
  <c r="AK603" i="1"/>
  <c r="AK604" i="1"/>
  <c r="AK605" i="1"/>
  <c r="AK606" i="1"/>
  <c r="AK607" i="1"/>
  <c r="AK608" i="1"/>
  <c r="AK609" i="1"/>
  <c r="AK610" i="1"/>
  <c r="AK611" i="1"/>
  <c r="AK612" i="1"/>
  <c r="AK613" i="1"/>
  <c r="AK614" i="1"/>
  <c r="AK615" i="1"/>
  <c r="AK616" i="1"/>
  <c r="AK617" i="1"/>
  <c r="AK618" i="1"/>
  <c r="AK619" i="1"/>
  <c r="AK620" i="1"/>
  <c r="AK621" i="1"/>
  <c r="AK622" i="1"/>
  <c r="AK623" i="1"/>
  <c r="AK624" i="1"/>
  <c r="AK625" i="1"/>
  <c r="AK626" i="1"/>
  <c r="AK627" i="1"/>
  <c r="AK628" i="1"/>
  <c r="AK629" i="1"/>
  <c r="AK630" i="1"/>
  <c r="AK631" i="1"/>
  <c r="AK632" i="1"/>
  <c r="AK633" i="1"/>
  <c r="AK634" i="1"/>
  <c r="AK635" i="1"/>
  <c r="AK636" i="1"/>
  <c r="AK637" i="1"/>
  <c r="AK638" i="1"/>
  <c r="AK639" i="1"/>
  <c r="AK640" i="1"/>
  <c r="AK641" i="1"/>
  <c r="AK642" i="1"/>
  <c r="AK643" i="1"/>
  <c r="AK644" i="1"/>
  <c r="AK645" i="1"/>
  <c r="AK646" i="1"/>
  <c r="AK647" i="1"/>
  <c r="AK648" i="1"/>
  <c r="AK649" i="1"/>
  <c r="AK650" i="1"/>
  <c r="AK651" i="1"/>
  <c r="AK652" i="1"/>
  <c r="AK653" i="1"/>
  <c r="AK654" i="1"/>
  <c r="AK655" i="1"/>
  <c r="AK656" i="1"/>
  <c r="AK657" i="1"/>
  <c r="AK658" i="1"/>
  <c r="AK659" i="1"/>
  <c r="AK660" i="1"/>
  <c r="AK661" i="1"/>
  <c r="AK662" i="1"/>
  <c r="AK663" i="1"/>
  <c r="AK664" i="1"/>
  <c r="AK665" i="1"/>
  <c r="AK666" i="1"/>
  <c r="AK667" i="1"/>
  <c r="AK668" i="1"/>
  <c r="AK669" i="1"/>
  <c r="AK670" i="1"/>
  <c r="AK671" i="1"/>
  <c r="AK672" i="1"/>
  <c r="AK673" i="1"/>
  <c r="AK674" i="1"/>
  <c r="AK675" i="1"/>
  <c r="AK676" i="1"/>
  <c r="AK677" i="1"/>
  <c r="AK678" i="1"/>
  <c r="AK679" i="1"/>
  <c r="AK680" i="1"/>
  <c r="AK681" i="1"/>
  <c r="AK682" i="1"/>
  <c r="AK683" i="1"/>
  <c r="AK684" i="1"/>
  <c r="AK685" i="1"/>
  <c r="AK686" i="1"/>
  <c r="AK687" i="1"/>
  <c r="AK688" i="1"/>
  <c r="AK689" i="1"/>
  <c r="AK690" i="1"/>
  <c r="AK691" i="1"/>
  <c r="AK692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708" i="1"/>
  <c r="AK709" i="1"/>
  <c r="AK710" i="1"/>
  <c r="AK711" i="1"/>
  <c r="AK712" i="1"/>
  <c r="AK713" i="1"/>
  <c r="AK714" i="1"/>
  <c r="AK715" i="1"/>
  <c r="AK716" i="1"/>
  <c r="AK717" i="1"/>
  <c r="AK718" i="1"/>
  <c r="AK719" i="1"/>
  <c r="AK720" i="1"/>
  <c r="AK721" i="1"/>
  <c r="AK722" i="1"/>
  <c r="AK723" i="1"/>
  <c r="AK724" i="1"/>
  <c r="AK725" i="1"/>
  <c r="AK726" i="1"/>
  <c r="AK727" i="1"/>
  <c r="AK728" i="1"/>
  <c r="AK729" i="1"/>
  <c r="AK730" i="1"/>
  <c r="AK731" i="1"/>
  <c r="AK732" i="1"/>
  <c r="AK733" i="1"/>
  <c r="AK734" i="1"/>
  <c r="AK735" i="1"/>
  <c r="AK736" i="1"/>
  <c r="AK737" i="1"/>
  <c r="AK738" i="1"/>
  <c r="AK739" i="1"/>
  <c r="AK740" i="1"/>
  <c r="AK741" i="1"/>
  <c r="AK742" i="1"/>
  <c r="AK743" i="1"/>
  <c r="AK744" i="1"/>
  <c r="AK745" i="1"/>
  <c r="AK746" i="1"/>
  <c r="AK747" i="1"/>
  <c r="AK748" i="1"/>
  <c r="AK749" i="1"/>
  <c r="AK750" i="1"/>
  <c r="AK751" i="1"/>
  <c r="AK752" i="1"/>
  <c r="AK753" i="1"/>
  <c r="AK754" i="1"/>
  <c r="AK755" i="1"/>
  <c r="AK756" i="1"/>
  <c r="AK757" i="1"/>
  <c r="AK758" i="1"/>
  <c r="AK759" i="1"/>
  <c r="AK760" i="1"/>
  <c r="AK761" i="1"/>
  <c r="AK762" i="1"/>
  <c r="AK763" i="1"/>
  <c r="AK764" i="1"/>
  <c r="AK765" i="1"/>
  <c r="AK766" i="1"/>
  <c r="AK767" i="1"/>
  <c r="AK768" i="1"/>
  <c r="AK769" i="1"/>
  <c r="AK770" i="1"/>
  <c r="AK771" i="1"/>
  <c r="AK772" i="1"/>
  <c r="AK773" i="1"/>
  <c r="AK774" i="1"/>
  <c r="AK775" i="1"/>
  <c r="AK776" i="1"/>
  <c r="AK777" i="1"/>
  <c r="AK778" i="1"/>
  <c r="AK779" i="1"/>
  <c r="AK780" i="1"/>
  <c r="AK781" i="1"/>
  <c r="AK782" i="1"/>
  <c r="AK783" i="1"/>
  <c r="AK784" i="1"/>
  <c r="AK785" i="1"/>
  <c r="AK786" i="1"/>
  <c r="AK787" i="1"/>
  <c r="AK788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807" i="1"/>
  <c r="AK808" i="1"/>
  <c r="AK809" i="1"/>
  <c r="AK810" i="1"/>
  <c r="AK811" i="1"/>
  <c r="AK812" i="1"/>
  <c r="AK813" i="1"/>
  <c r="AK814" i="1"/>
  <c r="AK815" i="1"/>
  <c r="AK816" i="1"/>
  <c r="AK817" i="1"/>
  <c r="AK818" i="1"/>
  <c r="AK819" i="1"/>
  <c r="AK820" i="1"/>
  <c r="AK821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834" i="1"/>
  <c r="AK835" i="1"/>
  <c r="AK836" i="1"/>
  <c r="AK837" i="1"/>
  <c r="AK838" i="1"/>
  <c r="AK839" i="1"/>
  <c r="AK840" i="1"/>
  <c r="AK841" i="1"/>
  <c r="AK842" i="1"/>
  <c r="AK843" i="1"/>
  <c r="AK844" i="1"/>
  <c r="AK845" i="1"/>
  <c r="AK846" i="1"/>
  <c r="AK847" i="1"/>
  <c r="AK848" i="1"/>
  <c r="AK849" i="1"/>
  <c r="AK850" i="1"/>
  <c r="AK851" i="1"/>
  <c r="AK852" i="1"/>
  <c r="AK853" i="1"/>
  <c r="AK854" i="1"/>
  <c r="AK855" i="1"/>
  <c r="AK856" i="1"/>
  <c r="AK857" i="1"/>
  <c r="AK858" i="1"/>
  <c r="AK859" i="1"/>
  <c r="AK860" i="1"/>
  <c r="AK861" i="1"/>
  <c r="AK862" i="1"/>
  <c r="AK863" i="1"/>
  <c r="AK864" i="1"/>
  <c r="AK865" i="1"/>
  <c r="AK866" i="1"/>
  <c r="AK867" i="1"/>
  <c r="AK868" i="1"/>
  <c r="AK869" i="1"/>
  <c r="AK870" i="1"/>
  <c r="AK871" i="1"/>
  <c r="AK872" i="1"/>
  <c r="AK873" i="1"/>
  <c r="AK874" i="1"/>
  <c r="AK875" i="1"/>
  <c r="AK876" i="1"/>
  <c r="AK877" i="1"/>
  <c r="AK878" i="1"/>
  <c r="AK879" i="1"/>
  <c r="AK880" i="1"/>
  <c r="AK881" i="1"/>
  <c r="AK882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895" i="1"/>
  <c r="AK896" i="1"/>
  <c r="AK897" i="1"/>
  <c r="AK898" i="1"/>
  <c r="AK899" i="1"/>
  <c r="AK900" i="1"/>
  <c r="AK901" i="1"/>
  <c r="AK902" i="1"/>
  <c r="AK903" i="1"/>
  <c r="AK904" i="1"/>
  <c r="AK905" i="1"/>
  <c r="AK906" i="1"/>
  <c r="AK907" i="1"/>
  <c r="AK908" i="1"/>
  <c r="AK909" i="1"/>
  <c r="AK910" i="1"/>
  <c r="AK911" i="1"/>
  <c r="AK912" i="1"/>
  <c r="AK913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F3" i="1" a="1"/>
  <c r="F3" i="1"/>
  <c r="F4" i="1" a="1"/>
  <c r="F4" i="1"/>
  <c r="F5" i="1" a="1"/>
  <c r="F5" i="1"/>
  <c r="F6" i="1" a="1"/>
  <c r="F6" i="1"/>
  <c r="F7" i="1" a="1"/>
  <c r="F7" i="1"/>
  <c r="F8" i="1" a="1"/>
  <c r="F8" i="1"/>
  <c r="F9" i="1" a="1"/>
  <c r="F9" i="1"/>
  <c r="F10" i="1" a="1"/>
  <c r="F10" i="1"/>
  <c r="F11" i="1" a="1"/>
  <c r="F11" i="1"/>
  <c r="F12" i="1" a="1"/>
  <c r="F12" i="1"/>
  <c r="F13" i="1" a="1"/>
  <c r="F13" i="1"/>
  <c r="F14" i="1" a="1"/>
  <c r="F14" i="1"/>
  <c r="F15" i="1" a="1"/>
  <c r="F15" i="1"/>
  <c r="F16" i="1" a="1"/>
  <c r="F16" i="1"/>
  <c r="F17" i="1" a="1"/>
  <c r="F17" i="1"/>
  <c r="F18" i="1" a="1"/>
  <c r="F18" i="1"/>
  <c r="F19" i="1" a="1"/>
  <c r="F19" i="1"/>
  <c r="F20" i="1" a="1"/>
  <c r="F20" i="1"/>
  <c r="F21" i="1" a="1"/>
  <c r="F21" i="1"/>
  <c r="F22" i="1" a="1"/>
  <c r="F22" i="1"/>
  <c r="F23" i="1" a="1"/>
  <c r="F23" i="1"/>
  <c r="F24" i="1" a="1"/>
  <c r="F24" i="1"/>
  <c r="F25" i="1" a="1"/>
  <c r="F25" i="1"/>
  <c r="F26" i="1" a="1"/>
  <c r="F26" i="1"/>
  <c r="F27" i="1" a="1"/>
  <c r="F27" i="1"/>
  <c r="F28" i="1" a="1"/>
  <c r="F28" i="1"/>
  <c r="F29" i="1" a="1"/>
  <c r="F29" i="1"/>
  <c r="F30" i="1" a="1"/>
  <c r="F30" i="1"/>
  <c r="F31" i="1" a="1"/>
  <c r="F31" i="1"/>
  <c r="F32" i="1" a="1"/>
  <c r="F32" i="1"/>
  <c r="F33" i="1" a="1"/>
  <c r="F33" i="1"/>
  <c r="F34" i="1" a="1"/>
  <c r="F34" i="1"/>
  <c r="F35" i="1" a="1"/>
  <c r="F35" i="1"/>
  <c r="F36" i="1" a="1"/>
  <c r="F36" i="1"/>
  <c r="F37" i="1" a="1"/>
  <c r="F37" i="1"/>
  <c r="F38" i="1" a="1"/>
  <c r="F38" i="1"/>
  <c r="F39" i="1" a="1"/>
  <c r="F39" i="1"/>
  <c r="F40" i="1" a="1"/>
  <c r="F40" i="1"/>
  <c r="F41" i="1" a="1"/>
  <c r="F41" i="1"/>
  <c r="F42" i="1" a="1"/>
  <c r="F42" i="1"/>
  <c r="F43" i="1" a="1"/>
  <c r="F43" i="1"/>
  <c r="F44" i="1" a="1"/>
  <c r="F44" i="1"/>
  <c r="F45" i="1" a="1"/>
  <c r="F45" i="1"/>
  <c r="F46" i="1" a="1"/>
  <c r="F46" i="1"/>
  <c r="F47" i="1" a="1"/>
  <c r="F47" i="1"/>
  <c r="F48" i="1" a="1"/>
  <c r="F48" i="1"/>
  <c r="F49" i="1" a="1"/>
  <c r="F49" i="1"/>
  <c r="F50" i="1" a="1"/>
  <c r="F50" i="1"/>
  <c r="F51" i="1" a="1"/>
  <c r="F51" i="1"/>
  <c r="F52" i="1" a="1"/>
  <c r="F52" i="1"/>
  <c r="F53" i="1" a="1"/>
  <c r="F53" i="1"/>
  <c r="F54" i="1" a="1"/>
  <c r="F54" i="1"/>
  <c r="F55" i="1" a="1"/>
  <c r="F55" i="1"/>
  <c r="F56" i="1" a="1"/>
  <c r="F56" i="1"/>
  <c r="F57" i="1" a="1"/>
  <c r="F57" i="1"/>
  <c r="F58" i="1" a="1"/>
  <c r="F58" i="1"/>
  <c r="F59" i="1" a="1"/>
  <c r="F59" i="1"/>
  <c r="F60" i="1" a="1"/>
  <c r="F60" i="1"/>
  <c r="F61" i="1" a="1"/>
  <c r="F61" i="1"/>
  <c r="F62" i="1" a="1"/>
  <c r="F62" i="1"/>
  <c r="F63" i="1" a="1"/>
  <c r="F63" i="1"/>
  <c r="F64" i="1" a="1"/>
  <c r="F64" i="1"/>
  <c r="F65" i="1" a="1"/>
  <c r="F65" i="1"/>
  <c r="F66" i="1" a="1"/>
  <c r="F66" i="1"/>
  <c r="F67" i="1" a="1"/>
  <c r="F67" i="1"/>
  <c r="F68" i="1" a="1"/>
  <c r="F68" i="1"/>
  <c r="F69" i="1" a="1"/>
  <c r="F69" i="1"/>
  <c r="F70" i="1" a="1"/>
  <c r="F70" i="1"/>
  <c r="F71" i="1" a="1"/>
  <c r="F71" i="1"/>
  <c r="F72" i="1" a="1"/>
  <c r="F72" i="1"/>
  <c r="F73" i="1" a="1"/>
  <c r="F73" i="1"/>
  <c r="F74" i="1" a="1"/>
  <c r="F74" i="1"/>
  <c r="F75" i="1" a="1"/>
  <c r="F75" i="1"/>
  <c r="F76" i="1" a="1"/>
  <c r="F76" i="1"/>
  <c r="F77" i="1" a="1"/>
  <c r="F77" i="1"/>
  <c r="F78" i="1" a="1"/>
  <c r="F78" i="1"/>
  <c r="F79" i="1" a="1"/>
  <c r="F79" i="1"/>
  <c r="F80" i="1" a="1"/>
  <c r="F80" i="1"/>
  <c r="F81" i="1" a="1"/>
  <c r="F81" i="1"/>
  <c r="F82" i="1" a="1"/>
  <c r="F82" i="1"/>
  <c r="F83" i="1" a="1"/>
  <c r="F83" i="1"/>
  <c r="F84" i="1" a="1"/>
  <c r="F84" i="1"/>
  <c r="F85" i="1" a="1"/>
  <c r="F85" i="1"/>
  <c r="F86" i="1" a="1"/>
  <c r="F86" i="1"/>
  <c r="F87" i="1" a="1"/>
  <c r="F87" i="1"/>
  <c r="F88" i="1" a="1"/>
  <c r="F88" i="1"/>
  <c r="F89" i="1" a="1"/>
  <c r="F89" i="1"/>
  <c r="F90" i="1" a="1"/>
  <c r="F90" i="1"/>
  <c r="F91" i="1" a="1"/>
  <c r="F91" i="1"/>
  <c r="F92" i="1" a="1"/>
  <c r="F92" i="1"/>
  <c r="F93" i="1" a="1"/>
  <c r="F93" i="1"/>
  <c r="F94" i="1" a="1"/>
  <c r="F94" i="1"/>
  <c r="F95" i="1" a="1"/>
  <c r="F95" i="1"/>
  <c r="F96" i="1" a="1"/>
  <c r="F96" i="1"/>
  <c r="F97" i="1" a="1"/>
  <c r="F97" i="1"/>
  <c r="F98" i="1" a="1"/>
  <c r="F98" i="1"/>
  <c r="F99" i="1" a="1"/>
  <c r="F99" i="1"/>
  <c r="F100" i="1" a="1"/>
  <c r="F100" i="1"/>
  <c r="F101" i="1" a="1"/>
  <c r="F101" i="1"/>
  <c r="F102" i="1" a="1"/>
  <c r="F102" i="1"/>
  <c r="F103" i="1" a="1"/>
  <c r="F103" i="1"/>
  <c r="F104" i="1" a="1"/>
  <c r="F104" i="1"/>
  <c r="F105" i="1" a="1"/>
  <c r="F105" i="1"/>
  <c r="F106" i="1" a="1"/>
  <c r="F106" i="1"/>
  <c r="F107" i="1" a="1"/>
  <c r="F107" i="1"/>
  <c r="F108" i="1" a="1"/>
  <c r="F108" i="1"/>
  <c r="F109" i="1" a="1"/>
  <c r="F109" i="1"/>
  <c r="F110" i="1" a="1"/>
  <c r="F110" i="1"/>
  <c r="F111" i="1" a="1"/>
  <c r="F111" i="1"/>
  <c r="F112" i="1" a="1"/>
  <c r="F112" i="1"/>
  <c r="F113" i="1" a="1"/>
  <c r="F113" i="1"/>
  <c r="F114" i="1" a="1"/>
  <c r="F114" i="1"/>
  <c r="F115" i="1" a="1"/>
  <c r="F115" i="1"/>
  <c r="F116" i="1" a="1"/>
  <c r="F116" i="1"/>
  <c r="F117" i="1" a="1"/>
  <c r="F117" i="1"/>
  <c r="F118" i="1" a="1"/>
  <c r="F118" i="1"/>
  <c r="F119" i="1" a="1"/>
  <c r="F119" i="1"/>
  <c r="F120" i="1" a="1"/>
  <c r="F120" i="1"/>
  <c r="F121" i="1" a="1"/>
  <c r="F121" i="1"/>
  <c r="F122" i="1" a="1"/>
  <c r="F122" i="1"/>
  <c r="F123" i="1" a="1"/>
  <c r="F123" i="1"/>
  <c r="F124" i="1" a="1"/>
  <c r="F124" i="1"/>
  <c r="F125" i="1" a="1"/>
  <c r="F125" i="1"/>
  <c r="F126" i="1" a="1"/>
  <c r="F126" i="1"/>
  <c r="F127" i="1" a="1"/>
  <c r="F127" i="1"/>
  <c r="F128" i="1" a="1"/>
  <c r="F128" i="1"/>
  <c r="F129" i="1" a="1"/>
  <c r="F129" i="1"/>
  <c r="F130" i="1" a="1"/>
  <c r="F130" i="1"/>
  <c r="F131" i="1" a="1"/>
  <c r="F131" i="1"/>
  <c r="F132" i="1" a="1"/>
  <c r="F132" i="1"/>
  <c r="F133" i="1" a="1"/>
  <c r="F133" i="1"/>
  <c r="F134" i="1" a="1"/>
  <c r="F134" i="1"/>
  <c r="F135" i="1" a="1"/>
  <c r="F135" i="1"/>
  <c r="F136" i="1" a="1"/>
  <c r="F136" i="1"/>
  <c r="F137" i="1" a="1"/>
  <c r="F137" i="1"/>
  <c r="F138" i="1" a="1"/>
  <c r="F138" i="1"/>
  <c r="F139" i="1" a="1"/>
  <c r="F139" i="1"/>
  <c r="F140" i="1" a="1"/>
  <c r="F140" i="1"/>
  <c r="F141" i="1" a="1"/>
  <c r="F141" i="1"/>
  <c r="F142" i="1" a="1"/>
  <c r="F142" i="1"/>
  <c r="F143" i="1" a="1"/>
  <c r="F143" i="1"/>
  <c r="F144" i="1" a="1"/>
  <c r="F144" i="1"/>
  <c r="F145" i="1" a="1"/>
  <c r="F145" i="1"/>
  <c r="F146" i="1" a="1"/>
  <c r="F146" i="1"/>
  <c r="F147" i="1" a="1"/>
  <c r="F147" i="1"/>
  <c r="F148" i="1" a="1"/>
  <c r="F148" i="1"/>
  <c r="F149" i="1" a="1"/>
  <c r="F149" i="1"/>
  <c r="F150" i="1" a="1"/>
  <c r="F150" i="1"/>
  <c r="F151" i="1" a="1"/>
  <c r="F151" i="1"/>
  <c r="F152" i="1" a="1"/>
  <c r="F152" i="1"/>
  <c r="F153" i="1" a="1"/>
  <c r="F153" i="1"/>
  <c r="F154" i="1" a="1"/>
  <c r="F154" i="1"/>
  <c r="F155" i="1" a="1"/>
  <c r="F155" i="1"/>
  <c r="F156" i="1" a="1"/>
  <c r="F156" i="1"/>
  <c r="F157" i="1" a="1"/>
  <c r="F157" i="1"/>
  <c r="F158" i="1" a="1"/>
  <c r="F158" i="1"/>
  <c r="F159" i="1" a="1"/>
  <c r="F159" i="1"/>
  <c r="F160" i="1" a="1"/>
  <c r="F160" i="1"/>
  <c r="F161" i="1" a="1"/>
  <c r="F161" i="1"/>
  <c r="F162" i="1" a="1"/>
  <c r="F162" i="1"/>
  <c r="F163" i="1" a="1"/>
  <c r="F163" i="1"/>
  <c r="F164" i="1" a="1"/>
  <c r="F164" i="1"/>
  <c r="F165" i="1" a="1"/>
  <c r="F165" i="1"/>
  <c r="F166" i="1" a="1"/>
  <c r="F166" i="1"/>
  <c r="F167" i="1" a="1"/>
  <c r="F167" i="1"/>
  <c r="F168" i="1" a="1"/>
  <c r="F168" i="1"/>
  <c r="F169" i="1" a="1"/>
  <c r="F169" i="1"/>
  <c r="F170" i="1" a="1"/>
  <c r="F170" i="1"/>
  <c r="F171" i="1" a="1"/>
  <c r="F171" i="1"/>
  <c r="F172" i="1" a="1"/>
  <c r="F172" i="1"/>
  <c r="F173" i="1" a="1"/>
  <c r="F173" i="1"/>
  <c r="F174" i="1" a="1"/>
  <c r="F174" i="1"/>
  <c r="F175" i="1" a="1"/>
  <c r="F175" i="1"/>
  <c r="F176" i="1" a="1"/>
  <c r="F176" i="1"/>
  <c r="F177" i="1" a="1"/>
  <c r="F177" i="1"/>
  <c r="F178" i="1" a="1"/>
  <c r="F178" i="1"/>
  <c r="F179" i="1" a="1"/>
  <c r="F179" i="1"/>
  <c r="F180" i="1" a="1"/>
  <c r="F180" i="1"/>
  <c r="F181" i="1" a="1"/>
  <c r="F181" i="1"/>
  <c r="F182" i="1" a="1"/>
  <c r="F182" i="1"/>
  <c r="F183" i="1" a="1"/>
  <c r="F183" i="1"/>
  <c r="F184" i="1" a="1"/>
  <c r="F184" i="1"/>
  <c r="F185" i="1" a="1"/>
  <c r="F185" i="1"/>
  <c r="F186" i="1" a="1"/>
  <c r="F186" i="1"/>
  <c r="F187" i="1" a="1"/>
  <c r="F187" i="1"/>
  <c r="F188" i="1" a="1"/>
  <c r="F188" i="1"/>
  <c r="F189" i="1" a="1"/>
  <c r="F189" i="1"/>
  <c r="F190" i="1" a="1"/>
  <c r="F190" i="1"/>
  <c r="F191" i="1" a="1"/>
  <c r="F191" i="1"/>
  <c r="F192" i="1" a="1"/>
  <c r="F192" i="1"/>
  <c r="F193" i="1" a="1"/>
  <c r="F193" i="1"/>
  <c r="F194" i="1" a="1"/>
  <c r="F194" i="1"/>
  <c r="F195" i="1" a="1"/>
  <c r="F195" i="1"/>
  <c r="F196" i="1" a="1"/>
  <c r="F196" i="1"/>
  <c r="F197" i="1" a="1"/>
  <c r="F197" i="1"/>
  <c r="F198" i="1" a="1"/>
  <c r="F198" i="1"/>
  <c r="F199" i="1" a="1"/>
  <c r="F199" i="1"/>
  <c r="F200" i="1" a="1"/>
  <c r="F200" i="1"/>
  <c r="F201" i="1" a="1"/>
  <c r="F201" i="1"/>
  <c r="F202" i="1" a="1"/>
  <c r="F202" i="1"/>
  <c r="F203" i="1" a="1"/>
  <c r="F203" i="1"/>
  <c r="F204" i="1" a="1"/>
  <c r="F204" i="1"/>
  <c r="F205" i="1" a="1"/>
  <c r="F205" i="1"/>
  <c r="F206" i="1" a="1"/>
  <c r="F206" i="1"/>
  <c r="F207" i="1" a="1"/>
  <c r="F207" i="1"/>
  <c r="F208" i="1" a="1"/>
  <c r="F208" i="1"/>
  <c r="F209" i="1" a="1"/>
  <c r="F209" i="1"/>
  <c r="F210" i="1" a="1"/>
  <c r="F210" i="1"/>
  <c r="F211" i="1" a="1"/>
  <c r="F211" i="1"/>
  <c r="F212" i="1" a="1"/>
  <c r="F212" i="1"/>
  <c r="F213" i="1" a="1"/>
  <c r="F213" i="1"/>
  <c r="F214" i="1" a="1"/>
  <c r="F214" i="1"/>
  <c r="F215" i="1" a="1"/>
  <c r="F215" i="1"/>
  <c r="F216" i="1" a="1"/>
  <c r="F216" i="1"/>
  <c r="F217" i="1" a="1"/>
  <c r="F217" i="1"/>
  <c r="F218" i="1" a="1"/>
  <c r="F218" i="1"/>
  <c r="F219" i="1" a="1"/>
  <c r="F219" i="1"/>
  <c r="F220" i="1" a="1"/>
  <c r="F220" i="1"/>
  <c r="F221" i="1" a="1"/>
  <c r="F221" i="1"/>
  <c r="F222" i="1" a="1"/>
  <c r="F222" i="1"/>
  <c r="F223" i="1" a="1"/>
  <c r="F223" i="1"/>
  <c r="F224" i="1" a="1"/>
  <c r="F224" i="1"/>
  <c r="F225" i="1" a="1"/>
  <c r="F225" i="1"/>
  <c r="F226" i="1" a="1"/>
  <c r="F226" i="1"/>
  <c r="F227" i="1" a="1"/>
  <c r="F227" i="1"/>
  <c r="F228" i="1" a="1"/>
  <c r="F228" i="1"/>
  <c r="F229" i="1" a="1"/>
  <c r="F229" i="1"/>
  <c r="F230" i="1" a="1"/>
  <c r="F230" i="1"/>
  <c r="F231" i="1" a="1"/>
  <c r="F231" i="1"/>
  <c r="F232" i="1" a="1"/>
  <c r="F232" i="1"/>
  <c r="F233" i="1" a="1"/>
  <c r="F233" i="1"/>
  <c r="F234" i="1" a="1"/>
  <c r="F234" i="1"/>
  <c r="F235" i="1" a="1"/>
  <c r="F235" i="1"/>
  <c r="F236" i="1" a="1"/>
  <c r="F236" i="1"/>
  <c r="F237" i="1" a="1"/>
  <c r="F237" i="1"/>
  <c r="F238" i="1" a="1"/>
  <c r="F238" i="1"/>
  <c r="F239" i="1" a="1"/>
  <c r="F239" i="1"/>
  <c r="F240" i="1" a="1"/>
  <c r="F240" i="1"/>
  <c r="F241" i="1" a="1"/>
  <c r="F241" i="1"/>
  <c r="F242" i="1" a="1"/>
  <c r="F242" i="1"/>
  <c r="F243" i="1" a="1"/>
  <c r="F243" i="1"/>
  <c r="F244" i="1" a="1"/>
  <c r="F244" i="1"/>
  <c r="F245" i="1" a="1"/>
  <c r="F245" i="1"/>
  <c r="F246" i="1" a="1"/>
  <c r="F246" i="1"/>
  <c r="F247" i="1" a="1"/>
  <c r="F247" i="1"/>
  <c r="F248" i="1" a="1"/>
  <c r="F248" i="1"/>
  <c r="F249" i="1" a="1"/>
  <c r="F249" i="1"/>
  <c r="F250" i="1" a="1"/>
  <c r="F250" i="1"/>
  <c r="F251" i="1" a="1"/>
  <c r="F251" i="1"/>
  <c r="F252" i="1" a="1"/>
  <c r="F252" i="1"/>
  <c r="F253" i="1" a="1"/>
  <c r="F253" i="1"/>
  <c r="F254" i="1" a="1"/>
  <c r="F254" i="1"/>
  <c r="F255" i="1" a="1"/>
  <c r="F255" i="1"/>
  <c r="F256" i="1" a="1"/>
  <c r="F256" i="1"/>
  <c r="F257" i="1" a="1"/>
  <c r="F257" i="1"/>
  <c r="F258" i="1" a="1"/>
  <c r="F258" i="1"/>
  <c r="F259" i="1" a="1"/>
  <c r="F259" i="1"/>
  <c r="F260" i="1" a="1"/>
  <c r="F260" i="1"/>
  <c r="F261" i="1" a="1"/>
  <c r="F261" i="1"/>
  <c r="F262" i="1" a="1"/>
  <c r="F262" i="1"/>
  <c r="F263" i="1" a="1"/>
  <c r="F263" i="1"/>
  <c r="F264" i="1" a="1"/>
  <c r="F264" i="1"/>
  <c r="F265" i="1" a="1"/>
  <c r="F265" i="1"/>
  <c r="F266" i="1" a="1"/>
  <c r="F266" i="1"/>
  <c r="F267" i="1" a="1"/>
  <c r="F267" i="1"/>
  <c r="F268" i="1" a="1"/>
  <c r="F268" i="1"/>
  <c r="F269" i="1" a="1"/>
  <c r="F269" i="1"/>
  <c r="F270" i="1" a="1"/>
  <c r="F270" i="1"/>
  <c r="F271" i="1" a="1"/>
  <c r="F271" i="1"/>
  <c r="F272" i="1" a="1"/>
  <c r="F272" i="1"/>
  <c r="F273" i="1" a="1"/>
  <c r="F273" i="1"/>
  <c r="F274" i="1" a="1"/>
  <c r="F274" i="1"/>
  <c r="F275" i="1" a="1"/>
  <c r="F275" i="1"/>
  <c r="F276" i="1" a="1"/>
  <c r="F276" i="1"/>
  <c r="F277" i="1" a="1"/>
  <c r="F277" i="1"/>
  <c r="F278" i="1" a="1"/>
  <c r="F278" i="1"/>
  <c r="F279" i="1" a="1"/>
  <c r="F279" i="1"/>
  <c r="F280" i="1" a="1"/>
  <c r="F280" i="1"/>
  <c r="F281" i="1" a="1"/>
  <c r="F281" i="1"/>
  <c r="F282" i="1" a="1"/>
  <c r="F282" i="1"/>
  <c r="F283" i="1" a="1"/>
  <c r="F283" i="1"/>
  <c r="F284" i="1" a="1"/>
  <c r="F284" i="1"/>
  <c r="F285" i="1" a="1"/>
  <c r="F285" i="1"/>
  <c r="F286" i="1" a="1"/>
  <c r="F286" i="1"/>
  <c r="F287" i="1" a="1"/>
  <c r="F287" i="1"/>
  <c r="F288" i="1" a="1"/>
  <c r="F288" i="1"/>
  <c r="F289" i="1" a="1"/>
  <c r="F289" i="1"/>
  <c r="F290" i="1" a="1"/>
  <c r="F290" i="1"/>
  <c r="F291" i="1" a="1"/>
  <c r="F291" i="1"/>
  <c r="F292" i="1" a="1"/>
  <c r="F292" i="1"/>
  <c r="F293" i="1" a="1"/>
  <c r="F293" i="1"/>
  <c r="F294" i="1" a="1"/>
  <c r="F294" i="1"/>
  <c r="F295" i="1" a="1"/>
  <c r="F295" i="1"/>
  <c r="F296" i="1" a="1"/>
  <c r="F296" i="1"/>
  <c r="F297" i="1" a="1"/>
  <c r="F297" i="1"/>
  <c r="F298" i="1" a="1"/>
  <c r="F298" i="1"/>
  <c r="F299" i="1" a="1"/>
  <c r="F299" i="1"/>
  <c r="F300" i="1" a="1"/>
  <c r="F300" i="1"/>
  <c r="F301" i="1" a="1"/>
  <c r="F301" i="1"/>
  <c r="F302" i="1" a="1"/>
  <c r="F302" i="1"/>
  <c r="F303" i="1" a="1"/>
  <c r="F303" i="1"/>
  <c r="F304" i="1" a="1"/>
  <c r="F304" i="1"/>
  <c r="F305" i="1" a="1"/>
  <c r="F305" i="1"/>
  <c r="F306" i="1" a="1"/>
  <c r="F306" i="1"/>
  <c r="F307" i="1" a="1"/>
  <c r="F307" i="1"/>
  <c r="F308" i="1" a="1"/>
  <c r="F308" i="1"/>
  <c r="F309" i="1" a="1"/>
  <c r="F309" i="1"/>
  <c r="F310" i="1" a="1"/>
  <c r="F310" i="1"/>
  <c r="F311" i="1" a="1"/>
  <c r="F311" i="1"/>
  <c r="F312" i="1" a="1"/>
  <c r="F312" i="1"/>
  <c r="F313" i="1" a="1"/>
  <c r="F313" i="1"/>
  <c r="F314" i="1" a="1"/>
  <c r="F314" i="1"/>
  <c r="F315" i="1" a="1"/>
  <c r="F315" i="1"/>
  <c r="F316" i="1" a="1"/>
  <c r="F316" i="1"/>
  <c r="F317" i="1" a="1"/>
  <c r="F317" i="1"/>
  <c r="F318" i="1" a="1"/>
  <c r="F318" i="1"/>
  <c r="F319" i="1" a="1"/>
  <c r="F319" i="1"/>
  <c r="F320" i="1" a="1"/>
  <c r="F320" i="1"/>
  <c r="F321" i="1" a="1"/>
  <c r="F321" i="1"/>
  <c r="F322" i="1" a="1"/>
  <c r="F322" i="1"/>
  <c r="F323" i="1" a="1"/>
  <c r="F323" i="1"/>
  <c r="F324" i="1" a="1"/>
  <c r="F324" i="1"/>
  <c r="F325" i="1" a="1"/>
  <c r="F325" i="1"/>
  <c r="F326" i="1" a="1"/>
  <c r="F326" i="1"/>
  <c r="F327" i="1" a="1"/>
  <c r="F327" i="1"/>
  <c r="F328" i="1" a="1"/>
  <c r="F328" i="1"/>
  <c r="F329" i="1" a="1"/>
  <c r="F329" i="1"/>
  <c r="F330" i="1" a="1"/>
  <c r="F330" i="1"/>
  <c r="F331" i="1" a="1"/>
  <c r="F331" i="1"/>
  <c r="F332" i="1" a="1"/>
  <c r="F332" i="1"/>
  <c r="F333" i="1" a="1"/>
  <c r="F333" i="1"/>
  <c r="F334" i="1" a="1"/>
  <c r="F334" i="1"/>
  <c r="F335" i="1" a="1"/>
  <c r="F335" i="1"/>
  <c r="F336" i="1" a="1"/>
  <c r="F336" i="1"/>
  <c r="F337" i="1" a="1"/>
  <c r="F337" i="1"/>
  <c r="F338" i="1" a="1"/>
  <c r="F338" i="1"/>
  <c r="F339" i="1" a="1"/>
  <c r="F339" i="1"/>
  <c r="F340" i="1" a="1"/>
  <c r="F340" i="1"/>
  <c r="F341" i="1" a="1"/>
  <c r="F341" i="1"/>
  <c r="F342" i="1" a="1"/>
  <c r="F342" i="1"/>
  <c r="F343" i="1" a="1"/>
  <c r="F343" i="1"/>
  <c r="F344" i="1" a="1"/>
  <c r="F344" i="1"/>
  <c r="F345" i="1" a="1"/>
  <c r="F345" i="1"/>
  <c r="F346" i="1" a="1"/>
  <c r="F346" i="1"/>
  <c r="F347" i="1" a="1"/>
  <c r="F347" i="1"/>
  <c r="F348" i="1" a="1"/>
  <c r="F348" i="1"/>
  <c r="F349" i="1" a="1"/>
  <c r="F349" i="1"/>
  <c r="F350" i="1" a="1"/>
  <c r="F350" i="1"/>
  <c r="F351" i="1" a="1"/>
  <c r="F351" i="1"/>
  <c r="F352" i="1" a="1"/>
  <c r="F352" i="1"/>
  <c r="F353" i="1" a="1"/>
  <c r="F353" i="1"/>
  <c r="F354" i="1" a="1"/>
  <c r="F354" i="1"/>
  <c r="F355" i="1" a="1"/>
  <c r="F355" i="1"/>
  <c r="F356" i="1" a="1"/>
  <c r="F356" i="1"/>
  <c r="F357" i="1" a="1"/>
  <c r="F357" i="1"/>
  <c r="F358" i="1" a="1"/>
  <c r="F358" i="1"/>
  <c r="F359" i="1" a="1"/>
  <c r="F359" i="1"/>
  <c r="F360" i="1" a="1"/>
  <c r="F360" i="1"/>
  <c r="F361" i="1" a="1"/>
  <c r="F361" i="1"/>
  <c r="F362" i="1" a="1"/>
  <c r="F362" i="1"/>
  <c r="F363" i="1" a="1"/>
  <c r="F363" i="1"/>
  <c r="F364" i="1" a="1"/>
  <c r="F364" i="1"/>
  <c r="F365" i="1" a="1"/>
  <c r="F365" i="1"/>
  <c r="F366" i="1" a="1"/>
  <c r="F366" i="1"/>
  <c r="F367" i="1" a="1"/>
  <c r="F367" i="1"/>
  <c r="F368" i="1" a="1"/>
  <c r="F368" i="1"/>
  <c r="F369" i="1" a="1"/>
  <c r="F369" i="1"/>
  <c r="F370" i="1" a="1"/>
  <c r="F370" i="1"/>
  <c r="F371" i="1" a="1"/>
  <c r="F371" i="1"/>
  <c r="F372" i="1" a="1"/>
  <c r="F372" i="1"/>
  <c r="F373" i="1" a="1"/>
  <c r="F373" i="1"/>
  <c r="F374" i="1" a="1"/>
  <c r="F374" i="1"/>
  <c r="F375" i="1" a="1"/>
  <c r="F375" i="1"/>
  <c r="F376" i="1" a="1"/>
  <c r="F376" i="1"/>
  <c r="F377" i="1" a="1"/>
  <c r="F377" i="1"/>
  <c r="F378" i="1" a="1"/>
  <c r="F378" i="1"/>
  <c r="F379" i="1" a="1"/>
  <c r="F379" i="1"/>
  <c r="F380" i="1" a="1"/>
  <c r="F380" i="1"/>
  <c r="F381" i="1" a="1"/>
  <c r="F381" i="1"/>
  <c r="F382" i="1" a="1"/>
  <c r="F382" i="1"/>
  <c r="F383" i="1" a="1"/>
  <c r="F383" i="1"/>
  <c r="F384" i="1" a="1"/>
  <c r="F384" i="1"/>
  <c r="F385" i="1" a="1"/>
  <c r="F385" i="1"/>
  <c r="F386" i="1" a="1"/>
  <c r="F386" i="1"/>
  <c r="F387" i="1" a="1"/>
  <c r="F387" i="1"/>
  <c r="F388" i="1" a="1"/>
  <c r="F388" i="1"/>
  <c r="F389" i="1" a="1"/>
  <c r="F389" i="1"/>
  <c r="F390" i="1" a="1"/>
  <c r="F390" i="1"/>
  <c r="F391" i="1" a="1"/>
  <c r="F391" i="1"/>
  <c r="F392" i="1" a="1"/>
  <c r="F392" i="1"/>
  <c r="F393" i="1" a="1"/>
  <c r="F393" i="1"/>
  <c r="F394" i="1" a="1"/>
  <c r="F394" i="1"/>
  <c r="F395" i="1" a="1"/>
  <c r="F395" i="1"/>
  <c r="F396" i="1" a="1"/>
  <c r="F396" i="1"/>
  <c r="F397" i="1" a="1"/>
  <c r="F397" i="1"/>
  <c r="F398" i="1" a="1"/>
  <c r="F398" i="1"/>
  <c r="F399" i="1" a="1"/>
  <c r="F399" i="1"/>
  <c r="F400" i="1" a="1"/>
  <c r="F400" i="1"/>
  <c r="F401" i="1" a="1"/>
  <c r="F401" i="1"/>
  <c r="F402" i="1" a="1"/>
  <c r="F402" i="1"/>
  <c r="F403" i="1" a="1"/>
  <c r="F403" i="1"/>
  <c r="F404" i="1" a="1"/>
  <c r="F404" i="1"/>
  <c r="F405" i="1" a="1"/>
  <c r="F405" i="1"/>
  <c r="F406" i="1" a="1"/>
  <c r="F406" i="1"/>
  <c r="F407" i="1" a="1"/>
  <c r="F407" i="1"/>
  <c r="F408" i="1" a="1"/>
  <c r="F408" i="1"/>
  <c r="F409" i="1" a="1"/>
  <c r="F409" i="1"/>
  <c r="F410" i="1" a="1"/>
  <c r="F410" i="1"/>
  <c r="F411" i="1" a="1"/>
  <c r="F411" i="1"/>
  <c r="F412" i="1" a="1"/>
  <c r="F412" i="1"/>
  <c r="F413" i="1" a="1"/>
  <c r="F413" i="1"/>
  <c r="F414" i="1" a="1"/>
  <c r="F414" i="1"/>
  <c r="F415" i="1" a="1"/>
  <c r="F415" i="1"/>
  <c r="F416" i="1" a="1"/>
  <c r="F416" i="1"/>
  <c r="F417" i="1" a="1"/>
  <c r="F417" i="1"/>
  <c r="F418" i="1" a="1"/>
  <c r="F418" i="1"/>
  <c r="F419" i="1" a="1"/>
  <c r="F419" i="1"/>
  <c r="F420" i="1" a="1"/>
  <c r="F420" i="1"/>
  <c r="F421" i="1" a="1"/>
  <c r="F421" i="1"/>
  <c r="F422" i="1" a="1"/>
  <c r="F422" i="1"/>
  <c r="F423" i="1" a="1"/>
  <c r="F423" i="1"/>
  <c r="F424" i="1" a="1"/>
  <c r="F424" i="1"/>
  <c r="F425" i="1" a="1"/>
  <c r="F425" i="1"/>
  <c r="F426" i="1" a="1"/>
  <c r="F426" i="1"/>
  <c r="F427" i="1" a="1"/>
  <c r="F427" i="1"/>
  <c r="F428" i="1" a="1"/>
  <c r="F428" i="1"/>
  <c r="F429" i="1" a="1"/>
  <c r="F429" i="1"/>
  <c r="F430" i="1" a="1"/>
  <c r="F430" i="1"/>
  <c r="F431" i="1" a="1"/>
  <c r="F431" i="1"/>
  <c r="F432" i="1" a="1"/>
  <c r="F432" i="1"/>
  <c r="F433" i="1" a="1"/>
  <c r="F433" i="1"/>
  <c r="F434" i="1" a="1"/>
  <c r="F434" i="1"/>
  <c r="F435" i="1" a="1"/>
  <c r="F435" i="1"/>
  <c r="F436" i="1" a="1"/>
  <c r="F436" i="1"/>
  <c r="F437" i="1" a="1"/>
  <c r="F437" i="1"/>
  <c r="F438" i="1" a="1"/>
  <c r="F438" i="1"/>
  <c r="F439" i="1" a="1"/>
  <c r="F439" i="1"/>
  <c r="F440" i="1" a="1"/>
  <c r="F440" i="1"/>
  <c r="F441" i="1" a="1"/>
  <c r="F441" i="1"/>
  <c r="F442" i="1" a="1"/>
  <c r="F442" i="1"/>
  <c r="F443" i="1" a="1"/>
  <c r="F443" i="1"/>
  <c r="F444" i="1" a="1"/>
  <c r="F444" i="1"/>
  <c r="F445" i="1" a="1"/>
  <c r="F445" i="1"/>
  <c r="F446" i="1" a="1"/>
  <c r="F446" i="1"/>
  <c r="F447" i="1" a="1"/>
  <c r="F447" i="1"/>
  <c r="F448" i="1" a="1"/>
  <c r="F448" i="1"/>
  <c r="F449" i="1" a="1"/>
  <c r="F449" i="1"/>
  <c r="F450" i="1" a="1"/>
  <c r="F450" i="1"/>
  <c r="F451" i="1" a="1"/>
  <c r="F451" i="1"/>
  <c r="F452" i="1" a="1"/>
  <c r="F452" i="1"/>
  <c r="F453" i="1" a="1"/>
  <c r="F453" i="1"/>
  <c r="F454" i="1" a="1"/>
  <c r="F454" i="1"/>
  <c r="F455" i="1" a="1"/>
  <c r="F455" i="1"/>
  <c r="F456" i="1" a="1"/>
  <c r="F456" i="1"/>
  <c r="F457" i="1" a="1"/>
  <c r="F457" i="1"/>
  <c r="F458" i="1" a="1"/>
  <c r="F458" i="1"/>
  <c r="F459" i="1" a="1"/>
  <c r="F459" i="1"/>
  <c r="F460" i="1" a="1"/>
  <c r="F460" i="1"/>
  <c r="F461" i="1" a="1"/>
  <c r="F461" i="1"/>
  <c r="F462" i="1" a="1"/>
  <c r="F462" i="1"/>
  <c r="F463" i="1" a="1"/>
  <c r="F463" i="1"/>
  <c r="F464" i="1" a="1"/>
  <c r="F464" i="1"/>
  <c r="F465" i="1" a="1"/>
  <c r="F465" i="1"/>
  <c r="F466" i="1" a="1"/>
  <c r="F466" i="1"/>
  <c r="F467" i="1" a="1"/>
  <c r="F467" i="1"/>
  <c r="F468" i="1" a="1"/>
  <c r="F468" i="1"/>
  <c r="F469" i="1" a="1"/>
  <c r="F469" i="1"/>
  <c r="F470" i="1" a="1"/>
  <c r="F470" i="1"/>
  <c r="F471" i="1" a="1"/>
  <c r="F471" i="1"/>
  <c r="F472" i="1" a="1"/>
  <c r="F472" i="1"/>
  <c r="F473" i="1" a="1"/>
  <c r="F473" i="1"/>
  <c r="F474" i="1" a="1"/>
  <c r="F474" i="1"/>
  <c r="F475" i="1" a="1"/>
  <c r="F475" i="1"/>
  <c r="F476" i="1" a="1"/>
  <c r="F476" i="1"/>
  <c r="F477" i="1" a="1"/>
  <c r="F477" i="1"/>
  <c r="F478" i="1" a="1"/>
  <c r="F478" i="1"/>
  <c r="F479" i="1" a="1"/>
  <c r="F479" i="1"/>
  <c r="F480" i="1" a="1"/>
  <c r="F480" i="1"/>
  <c r="F481" i="1" a="1"/>
  <c r="F481" i="1"/>
  <c r="F482" i="1" a="1"/>
  <c r="F482" i="1"/>
  <c r="F483" i="1" a="1"/>
  <c r="F483" i="1"/>
  <c r="F484" i="1" a="1"/>
  <c r="F484" i="1"/>
  <c r="F485" i="1" a="1"/>
  <c r="F485" i="1"/>
  <c r="F486" i="1" a="1"/>
  <c r="F486" i="1"/>
  <c r="F487" i="1" a="1"/>
  <c r="F487" i="1"/>
  <c r="F488" i="1" a="1"/>
  <c r="F488" i="1"/>
  <c r="F489" i="1" a="1"/>
  <c r="F489" i="1"/>
  <c r="F490" i="1" a="1"/>
  <c r="F490" i="1"/>
  <c r="F491" i="1" a="1"/>
  <c r="F491" i="1"/>
  <c r="F492" i="1" a="1"/>
  <c r="F492" i="1"/>
  <c r="F493" i="1" a="1"/>
  <c r="F493" i="1"/>
  <c r="F494" i="1" a="1"/>
  <c r="F494" i="1"/>
  <c r="F495" i="1" a="1"/>
  <c r="F495" i="1"/>
  <c r="F496" i="1" a="1"/>
  <c r="F496" i="1"/>
  <c r="F497" i="1" a="1"/>
  <c r="F497" i="1"/>
  <c r="F498" i="1" a="1"/>
  <c r="F498" i="1"/>
  <c r="F499" i="1" a="1"/>
  <c r="F499" i="1"/>
  <c r="F500" i="1" a="1"/>
  <c r="F500" i="1"/>
  <c r="F501" i="1" a="1"/>
  <c r="F501" i="1"/>
  <c r="F502" i="1" a="1"/>
  <c r="F502" i="1"/>
  <c r="F503" i="1" a="1"/>
  <c r="F503" i="1"/>
  <c r="F504" i="1" a="1"/>
  <c r="F504" i="1"/>
  <c r="F505" i="1" a="1"/>
  <c r="F505" i="1"/>
  <c r="F506" i="1" a="1"/>
  <c r="F506" i="1"/>
  <c r="F507" i="1" a="1"/>
  <c r="F507" i="1"/>
  <c r="F508" i="1" a="1"/>
  <c r="F508" i="1"/>
  <c r="F509" i="1" a="1"/>
  <c r="F509" i="1"/>
  <c r="F510" i="1" a="1"/>
  <c r="F510" i="1"/>
  <c r="F511" i="1" a="1"/>
  <c r="F511" i="1"/>
  <c r="F512" i="1" a="1"/>
  <c r="F512" i="1"/>
  <c r="F513" i="1" a="1"/>
  <c r="F513" i="1"/>
  <c r="F514" i="1" a="1"/>
  <c r="F514" i="1"/>
  <c r="F515" i="1" a="1"/>
  <c r="F515" i="1"/>
  <c r="F516" i="1" a="1"/>
  <c r="F516" i="1"/>
  <c r="F517" i="1" a="1"/>
  <c r="F517" i="1"/>
  <c r="F518" i="1" a="1"/>
  <c r="F518" i="1"/>
  <c r="F519" i="1" a="1"/>
  <c r="F519" i="1"/>
  <c r="F520" i="1" a="1"/>
  <c r="F520" i="1"/>
  <c r="F521" i="1" a="1"/>
  <c r="F521" i="1"/>
  <c r="F522" i="1" a="1"/>
  <c r="F522" i="1"/>
  <c r="F523" i="1" a="1"/>
  <c r="F523" i="1"/>
  <c r="F524" i="1" a="1"/>
  <c r="F524" i="1"/>
  <c r="F525" i="1" a="1"/>
  <c r="F525" i="1"/>
  <c r="F526" i="1" a="1"/>
  <c r="F526" i="1"/>
  <c r="F527" i="1" a="1"/>
  <c r="F527" i="1"/>
  <c r="F528" i="1" a="1"/>
  <c r="F528" i="1"/>
  <c r="F529" i="1" a="1"/>
  <c r="F529" i="1"/>
  <c r="F530" i="1" a="1"/>
  <c r="F530" i="1"/>
  <c r="F531" i="1" a="1"/>
  <c r="F531" i="1"/>
  <c r="F532" i="1" a="1"/>
  <c r="F532" i="1"/>
  <c r="F533" i="1" a="1"/>
  <c r="F533" i="1"/>
  <c r="F534" i="1" a="1"/>
  <c r="F534" i="1"/>
  <c r="F535" i="1" a="1"/>
  <c r="F535" i="1"/>
  <c r="F536" i="1" a="1"/>
  <c r="F536" i="1"/>
  <c r="F537" i="1" a="1"/>
  <c r="F537" i="1"/>
  <c r="F538" i="1" a="1"/>
  <c r="F538" i="1"/>
  <c r="F539" i="1" a="1"/>
  <c r="F539" i="1"/>
  <c r="F540" i="1" a="1"/>
  <c r="F540" i="1"/>
  <c r="F541" i="1" a="1"/>
  <c r="F541" i="1"/>
  <c r="F542" i="1" a="1"/>
  <c r="F542" i="1"/>
  <c r="F543" i="1" a="1"/>
  <c r="F543" i="1"/>
  <c r="F544" i="1" a="1"/>
  <c r="F544" i="1"/>
  <c r="F545" i="1" a="1"/>
  <c r="F545" i="1"/>
  <c r="F546" i="1" a="1"/>
  <c r="F546" i="1"/>
  <c r="F547" i="1" a="1"/>
  <c r="F547" i="1"/>
  <c r="F548" i="1" a="1"/>
  <c r="F548" i="1"/>
  <c r="F549" i="1" a="1"/>
  <c r="F549" i="1"/>
  <c r="F550" i="1" a="1"/>
  <c r="F550" i="1"/>
  <c r="F551" i="1" a="1"/>
  <c r="F551" i="1"/>
  <c r="F552" i="1" a="1"/>
  <c r="F552" i="1"/>
  <c r="F553" i="1" a="1"/>
  <c r="F553" i="1"/>
  <c r="F554" i="1" a="1"/>
  <c r="F554" i="1"/>
  <c r="F555" i="1" a="1"/>
  <c r="F555" i="1"/>
  <c r="F556" i="1" a="1"/>
  <c r="F556" i="1"/>
  <c r="F557" i="1" a="1"/>
  <c r="F557" i="1"/>
  <c r="F558" i="1" a="1"/>
  <c r="F558" i="1"/>
  <c r="F559" i="1" a="1"/>
  <c r="F559" i="1"/>
  <c r="F560" i="1" a="1"/>
  <c r="F560" i="1"/>
  <c r="F561" i="1" a="1"/>
  <c r="F561" i="1"/>
  <c r="F562" i="1" a="1"/>
  <c r="F562" i="1"/>
  <c r="F563" i="1" a="1"/>
  <c r="F563" i="1"/>
  <c r="F564" i="1" a="1"/>
  <c r="F564" i="1"/>
  <c r="F565" i="1" a="1"/>
  <c r="F565" i="1"/>
  <c r="F566" i="1" a="1"/>
  <c r="F566" i="1"/>
  <c r="F567" i="1" a="1"/>
  <c r="F567" i="1"/>
  <c r="F568" i="1" a="1"/>
  <c r="F568" i="1"/>
  <c r="F569" i="1" a="1"/>
  <c r="F569" i="1"/>
  <c r="F570" i="1" a="1"/>
  <c r="F570" i="1"/>
  <c r="F571" i="1" a="1"/>
  <c r="F571" i="1"/>
  <c r="F572" i="1" a="1"/>
  <c r="F572" i="1"/>
  <c r="F573" i="1" a="1"/>
  <c r="F573" i="1"/>
  <c r="F574" i="1" a="1"/>
  <c r="F574" i="1"/>
  <c r="F575" i="1" a="1"/>
  <c r="F575" i="1"/>
  <c r="F576" i="1" a="1"/>
  <c r="F576" i="1"/>
  <c r="F577" i="1" a="1"/>
  <c r="F577" i="1"/>
  <c r="F578" i="1" a="1"/>
  <c r="F578" i="1"/>
  <c r="F579" i="1" a="1"/>
  <c r="F579" i="1"/>
  <c r="F580" i="1" a="1"/>
  <c r="F580" i="1"/>
  <c r="F581" i="1" a="1"/>
  <c r="F581" i="1"/>
  <c r="F582" i="1" a="1"/>
  <c r="F582" i="1"/>
  <c r="F583" i="1" a="1"/>
  <c r="F583" i="1"/>
  <c r="F584" i="1" a="1"/>
  <c r="F584" i="1"/>
  <c r="F585" i="1" a="1"/>
  <c r="F585" i="1"/>
  <c r="F586" i="1" a="1"/>
  <c r="F586" i="1"/>
  <c r="F587" i="1" a="1"/>
  <c r="F587" i="1"/>
  <c r="F588" i="1" a="1"/>
  <c r="F588" i="1"/>
  <c r="F589" i="1" a="1"/>
  <c r="F589" i="1"/>
  <c r="F590" i="1" a="1"/>
  <c r="F590" i="1"/>
  <c r="F591" i="1" a="1"/>
  <c r="F591" i="1"/>
  <c r="F592" i="1" a="1"/>
  <c r="F592" i="1"/>
  <c r="F593" i="1" a="1"/>
  <c r="F593" i="1"/>
  <c r="F594" i="1" a="1"/>
  <c r="F594" i="1"/>
  <c r="F595" i="1" a="1"/>
  <c r="F595" i="1"/>
  <c r="F596" i="1" a="1"/>
  <c r="F596" i="1"/>
  <c r="F597" i="1" a="1"/>
  <c r="F597" i="1"/>
  <c r="F598" i="1" a="1"/>
  <c r="F598" i="1"/>
  <c r="F599" i="1" a="1"/>
  <c r="F599" i="1"/>
  <c r="F600" i="1" a="1"/>
  <c r="F600" i="1"/>
  <c r="F601" i="1" a="1"/>
  <c r="F601" i="1"/>
  <c r="F602" i="1" a="1"/>
  <c r="F602" i="1"/>
  <c r="F603" i="1" a="1"/>
  <c r="F603" i="1"/>
  <c r="F604" i="1" a="1"/>
  <c r="F604" i="1"/>
  <c r="F605" i="1" a="1"/>
  <c r="F605" i="1"/>
  <c r="F606" i="1" a="1"/>
  <c r="F606" i="1"/>
  <c r="F607" i="1" a="1"/>
  <c r="F607" i="1"/>
  <c r="F608" i="1" a="1"/>
  <c r="F608" i="1"/>
  <c r="F609" i="1" a="1"/>
  <c r="F609" i="1"/>
  <c r="F610" i="1" a="1"/>
  <c r="F610" i="1"/>
  <c r="F611" i="1" a="1"/>
  <c r="F611" i="1"/>
  <c r="F612" i="1" a="1"/>
  <c r="F612" i="1"/>
  <c r="F613" i="1" a="1"/>
  <c r="F613" i="1"/>
  <c r="F614" i="1" a="1"/>
  <c r="F614" i="1"/>
  <c r="F615" i="1" a="1"/>
  <c r="F615" i="1"/>
  <c r="F616" i="1" a="1"/>
  <c r="F616" i="1"/>
  <c r="F617" i="1" a="1"/>
  <c r="F617" i="1"/>
  <c r="F618" i="1" a="1"/>
  <c r="F618" i="1"/>
  <c r="F619" i="1" a="1"/>
  <c r="F619" i="1"/>
  <c r="F620" i="1" a="1"/>
  <c r="F620" i="1"/>
  <c r="F621" i="1" a="1"/>
  <c r="F621" i="1"/>
  <c r="F622" i="1" a="1"/>
  <c r="F622" i="1"/>
  <c r="F623" i="1" a="1"/>
  <c r="F623" i="1"/>
  <c r="F624" i="1" a="1"/>
  <c r="F624" i="1"/>
  <c r="F625" i="1" a="1"/>
  <c r="F625" i="1"/>
  <c r="F626" i="1" a="1"/>
  <c r="F626" i="1"/>
  <c r="F627" i="1" a="1"/>
  <c r="F627" i="1"/>
  <c r="F628" i="1" a="1"/>
  <c r="F628" i="1"/>
  <c r="F629" i="1" a="1"/>
  <c r="F629" i="1"/>
  <c r="F630" i="1" a="1"/>
  <c r="F630" i="1"/>
  <c r="F631" i="1" a="1"/>
  <c r="F631" i="1"/>
  <c r="F632" i="1" a="1"/>
  <c r="F632" i="1"/>
  <c r="F633" i="1" a="1"/>
  <c r="F633" i="1"/>
  <c r="F634" i="1" a="1"/>
  <c r="F634" i="1"/>
  <c r="F635" i="1" a="1"/>
  <c r="F635" i="1"/>
  <c r="F636" i="1" a="1"/>
  <c r="F636" i="1"/>
  <c r="F637" i="1" a="1"/>
  <c r="F637" i="1"/>
  <c r="F638" i="1" a="1"/>
  <c r="F638" i="1"/>
  <c r="F639" i="1" a="1"/>
  <c r="F639" i="1"/>
  <c r="F640" i="1" a="1"/>
  <c r="F640" i="1"/>
  <c r="F641" i="1" a="1"/>
  <c r="F641" i="1"/>
  <c r="F642" i="1" a="1"/>
  <c r="F642" i="1"/>
  <c r="F643" i="1" a="1"/>
  <c r="F643" i="1"/>
  <c r="F644" i="1" a="1"/>
  <c r="F644" i="1"/>
  <c r="F645" i="1" a="1"/>
  <c r="F645" i="1"/>
  <c r="F646" i="1" a="1"/>
  <c r="F646" i="1"/>
  <c r="F647" i="1" a="1"/>
  <c r="F647" i="1"/>
  <c r="F648" i="1" a="1"/>
  <c r="F648" i="1"/>
  <c r="F649" i="1" a="1"/>
  <c r="F649" i="1"/>
  <c r="F650" i="1" a="1"/>
  <c r="F650" i="1"/>
  <c r="F651" i="1" a="1"/>
  <c r="F651" i="1"/>
  <c r="F652" i="1" a="1"/>
  <c r="F652" i="1"/>
  <c r="F653" i="1" a="1"/>
  <c r="F653" i="1"/>
  <c r="F654" i="1" a="1"/>
  <c r="F654" i="1"/>
  <c r="F655" i="1" a="1"/>
  <c r="F655" i="1"/>
  <c r="F656" i="1" a="1"/>
  <c r="F656" i="1"/>
  <c r="F657" i="1" a="1"/>
  <c r="F657" i="1"/>
  <c r="F658" i="1" a="1"/>
  <c r="F658" i="1"/>
  <c r="F659" i="1" a="1"/>
  <c r="F659" i="1"/>
  <c r="F660" i="1" a="1"/>
  <c r="F660" i="1"/>
  <c r="F661" i="1" a="1"/>
  <c r="F661" i="1"/>
  <c r="F662" i="1" a="1"/>
  <c r="F662" i="1"/>
  <c r="F663" i="1" a="1"/>
  <c r="F663" i="1"/>
  <c r="F664" i="1" a="1"/>
  <c r="F664" i="1"/>
  <c r="F665" i="1" a="1"/>
  <c r="F665" i="1"/>
  <c r="F666" i="1" a="1"/>
  <c r="F666" i="1"/>
  <c r="F667" i="1" a="1"/>
  <c r="F667" i="1"/>
  <c r="F668" i="1" a="1"/>
  <c r="F668" i="1"/>
  <c r="F669" i="1" a="1"/>
  <c r="F669" i="1"/>
  <c r="F670" i="1" a="1"/>
  <c r="F670" i="1"/>
  <c r="F671" i="1" a="1"/>
  <c r="F671" i="1"/>
  <c r="F672" i="1" a="1"/>
  <c r="F672" i="1"/>
  <c r="F673" i="1" a="1"/>
  <c r="F673" i="1"/>
  <c r="F674" i="1" a="1"/>
  <c r="F674" i="1"/>
  <c r="F675" i="1" a="1"/>
  <c r="F675" i="1"/>
  <c r="F676" i="1" a="1"/>
  <c r="F676" i="1"/>
  <c r="F677" i="1" a="1"/>
  <c r="F677" i="1"/>
  <c r="F678" i="1" a="1"/>
  <c r="F678" i="1"/>
  <c r="F679" i="1" a="1"/>
  <c r="F679" i="1"/>
  <c r="F680" i="1" a="1"/>
  <c r="F680" i="1"/>
  <c r="F681" i="1" a="1"/>
  <c r="F681" i="1"/>
  <c r="F682" i="1" a="1"/>
  <c r="F682" i="1"/>
  <c r="F683" i="1" a="1"/>
  <c r="F683" i="1"/>
  <c r="F684" i="1" a="1"/>
  <c r="F684" i="1"/>
  <c r="F685" i="1" a="1"/>
  <c r="F685" i="1"/>
  <c r="F686" i="1" a="1"/>
  <c r="F686" i="1"/>
  <c r="F687" i="1" a="1"/>
  <c r="F687" i="1"/>
  <c r="F688" i="1" a="1"/>
  <c r="F688" i="1"/>
  <c r="F689" i="1" a="1"/>
  <c r="F689" i="1"/>
  <c r="F690" i="1" a="1"/>
  <c r="F690" i="1"/>
  <c r="F691" i="1" a="1"/>
  <c r="F691" i="1"/>
  <c r="F692" i="1" a="1"/>
  <c r="F692" i="1"/>
  <c r="F693" i="1" a="1"/>
  <c r="F693" i="1"/>
  <c r="F694" i="1" a="1"/>
  <c r="F694" i="1"/>
  <c r="F695" i="1" a="1"/>
  <c r="F695" i="1"/>
  <c r="F696" i="1" a="1"/>
  <c r="F696" i="1"/>
  <c r="F697" i="1" a="1"/>
  <c r="F697" i="1"/>
  <c r="F698" i="1" a="1"/>
  <c r="F698" i="1"/>
  <c r="F699" i="1" a="1"/>
  <c r="F699" i="1"/>
  <c r="F700" i="1" a="1"/>
  <c r="F700" i="1"/>
  <c r="F701" i="1" a="1"/>
  <c r="F701" i="1"/>
  <c r="F702" i="1" a="1"/>
  <c r="F702" i="1"/>
  <c r="F703" i="1" a="1"/>
  <c r="F703" i="1"/>
  <c r="F704" i="1" a="1"/>
  <c r="F704" i="1"/>
  <c r="F705" i="1" a="1"/>
  <c r="F705" i="1"/>
  <c r="F706" i="1" a="1"/>
  <c r="F706" i="1"/>
  <c r="F707" i="1" a="1"/>
  <c r="F707" i="1"/>
  <c r="F708" i="1" a="1"/>
  <c r="F708" i="1"/>
  <c r="F709" i="1" a="1"/>
  <c r="F709" i="1"/>
  <c r="F710" i="1" a="1"/>
  <c r="F710" i="1"/>
  <c r="F711" i="1" a="1"/>
  <c r="F711" i="1"/>
  <c r="F712" i="1" a="1"/>
  <c r="F712" i="1"/>
  <c r="F713" i="1" a="1"/>
  <c r="F713" i="1"/>
  <c r="F714" i="1" a="1"/>
  <c r="F714" i="1"/>
  <c r="F715" i="1" a="1"/>
  <c r="F715" i="1"/>
  <c r="F716" i="1" a="1"/>
  <c r="F716" i="1"/>
  <c r="F717" i="1" a="1"/>
  <c r="F717" i="1"/>
  <c r="F718" i="1" a="1"/>
  <c r="F718" i="1"/>
  <c r="F719" i="1" a="1"/>
  <c r="F719" i="1"/>
  <c r="F720" i="1" a="1"/>
  <c r="F720" i="1"/>
  <c r="F721" i="1" a="1"/>
  <c r="F721" i="1"/>
  <c r="F722" i="1" a="1"/>
  <c r="F722" i="1"/>
  <c r="F723" i="1" a="1"/>
  <c r="F723" i="1"/>
  <c r="F724" i="1" a="1"/>
  <c r="F724" i="1"/>
  <c r="F725" i="1" a="1"/>
  <c r="F725" i="1"/>
  <c r="F726" i="1" a="1"/>
  <c r="F726" i="1"/>
  <c r="F727" i="1" a="1"/>
  <c r="F727" i="1"/>
  <c r="F728" i="1" a="1"/>
  <c r="F728" i="1"/>
  <c r="F729" i="1" a="1"/>
  <c r="F729" i="1"/>
  <c r="F730" i="1" a="1"/>
  <c r="F730" i="1"/>
  <c r="F731" i="1" a="1"/>
  <c r="F731" i="1"/>
  <c r="F732" i="1" a="1"/>
  <c r="F732" i="1"/>
  <c r="F733" i="1" a="1"/>
  <c r="F733" i="1"/>
  <c r="F734" i="1" a="1"/>
  <c r="F734" i="1"/>
  <c r="F735" i="1" a="1"/>
  <c r="F735" i="1"/>
  <c r="F736" i="1" a="1"/>
  <c r="F736" i="1"/>
  <c r="F737" i="1" a="1"/>
  <c r="F737" i="1"/>
  <c r="F738" i="1" a="1"/>
  <c r="F738" i="1"/>
  <c r="F739" i="1" a="1"/>
  <c r="F739" i="1"/>
  <c r="F740" i="1" a="1"/>
  <c r="F740" i="1"/>
  <c r="F741" i="1" a="1"/>
  <c r="F741" i="1"/>
  <c r="F742" i="1" a="1"/>
  <c r="F742" i="1"/>
  <c r="F743" i="1" a="1"/>
  <c r="F743" i="1"/>
  <c r="F744" i="1" a="1"/>
  <c r="F744" i="1"/>
  <c r="F745" i="1" a="1"/>
  <c r="F745" i="1"/>
  <c r="F746" i="1" a="1"/>
  <c r="F746" i="1"/>
  <c r="F747" i="1" a="1"/>
  <c r="F747" i="1"/>
  <c r="F748" i="1" a="1"/>
  <c r="F748" i="1"/>
  <c r="F749" i="1" a="1"/>
  <c r="F749" i="1"/>
  <c r="F750" i="1" a="1"/>
  <c r="F750" i="1"/>
  <c r="F751" i="1" a="1"/>
  <c r="F751" i="1"/>
  <c r="F752" i="1" a="1"/>
  <c r="F752" i="1"/>
  <c r="F753" i="1" a="1"/>
  <c r="F753" i="1"/>
  <c r="F754" i="1" a="1"/>
  <c r="F754" i="1"/>
  <c r="F755" i="1" a="1"/>
  <c r="F755" i="1"/>
  <c r="F756" i="1" a="1"/>
  <c r="F756" i="1"/>
  <c r="F757" i="1" a="1"/>
  <c r="F757" i="1"/>
  <c r="F758" i="1" a="1"/>
  <c r="F758" i="1"/>
  <c r="F759" i="1" a="1"/>
  <c r="F759" i="1"/>
  <c r="F760" i="1" a="1"/>
  <c r="F760" i="1"/>
  <c r="F761" i="1" a="1"/>
  <c r="F761" i="1"/>
  <c r="F762" i="1" a="1"/>
  <c r="F762" i="1"/>
  <c r="F763" i="1" a="1"/>
  <c r="F763" i="1"/>
  <c r="F764" i="1" a="1"/>
  <c r="F764" i="1"/>
  <c r="F765" i="1" a="1"/>
  <c r="F765" i="1"/>
  <c r="F766" i="1" a="1"/>
  <c r="F766" i="1"/>
  <c r="F767" i="1" a="1"/>
  <c r="F767" i="1"/>
  <c r="F768" i="1" a="1"/>
  <c r="F768" i="1"/>
  <c r="F769" i="1" a="1"/>
  <c r="F769" i="1"/>
  <c r="F770" i="1" a="1"/>
  <c r="F770" i="1"/>
  <c r="F771" i="1" a="1"/>
  <c r="F771" i="1"/>
  <c r="F772" i="1" a="1"/>
  <c r="F772" i="1"/>
  <c r="F773" i="1" a="1"/>
  <c r="F773" i="1"/>
  <c r="F774" i="1" a="1"/>
  <c r="F774" i="1"/>
  <c r="F775" i="1" a="1"/>
  <c r="F775" i="1"/>
  <c r="F776" i="1" a="1"/>
  <c r="F776" i="1"/>
  <c r="F777" i="1" a="1"/>
  <c r="F777" i="1"/>
  <c r="F778" i="1" a="1"/>
  <c r="F778" i="1"/>
  <c r="F779" i="1" a="1"/>
  <c r="F779" i="1"/>
  <c r="F780" i="1" a="1"/>
  <c r="F780" i="1"/>
  <c r="F781" i="1" a="1"/>
  <c r="F781" i="1"/>
  <c r="F782" i="1" a="1"/>
  <c r="F782" i="1"/>
  <c r="F783" i="1" a="1"/>
  <c r="F783" i="1"/>
  <c r="F784" i="1" a="1"/>
  <c r="F784" i="1"/>
  <c r="F785" i="1" a="1"/>
  <c r="F785" i="1"/>
  <c r="F786" i="1" a="1"/>
  <c r="F786" i="1"/>
  <c r="F787" i="1" a="1"/>
  <c r="F787" i="1"/>
  <c r="F788" i="1" a="1"/>
  <c r="F788" i="1"/>
  <c r="F789" i="1" a="1"/>
  <c r="F789" i="1"/>
  <c r="F790" i="1" a="1"/>
  <c r="F790" i="1"/>
  <c r="F791" i="1" a="1"/>
  <c r="F791" i="1"/>
  <c r="F792" i="1" a="1"/>
  <c r="F792" i="1"/>
  <c r="F793" i="1" a="1"/>
  <c r="F793" i="1"/>
  <c r="F794" i="1" a="1"/>
  <c r="F794" i="1"/>
  <c r="F795" i="1" a="1"/>
  <c r="F795" i="1"/>
  <c r="F796" i="1" a="1"/>
  <c r="F796" i="1"/>
  <c r="F797" i="1" a="1"/>
  <c r="F797" i="1"/>
  <c r="F798" i="1" a="1"/>
  <c r="F798" i="1"/>
  <c r="F799" i="1" a="1"/>
  <c r="F799" i="1"/>
  <c r="F800" i="1" a="1"/>
  <c r="F800" i="1"/>
  <c r="F801" i="1" a="1"/>
  <c r="F801" i="1"/>
  <c r="F802" i="1" a="1"/>
  <c r="F802" i="1"/>
  <c r="F803" i="1" a="1"/>
  <c r="F803" i="1"/>
  <c r="F804" i="1" a="1"/>
  <c r="F804" i="1"/>
  <c r="F805" i="1" a="1"/>
  <c r="F805" i="1"/>
  <c r="F806" i="1" a="1"/>
  <c r="F806" i="1"/>
  <c r="F807" i="1" a="1"/>
  <c r="F807" i="1"/>
  <c r="F808" i="1" a="1"/>
  <c r="F808" i="1"/>
  <c r="F809" i="1" a="1"/>
  <c r="F809" i="1"/>
  <c r="F810" i="1" a="1"/>
  <c r="F810" i="1"/>
  <c r="F811" i="1" a="1"/>
  <c r="F811" i="1"/>
  <c r="F812" i="1" a="1"/>
  <c r="F812" i="1"/>
  <c r="F813" i="1" a="1"/>
  <c r="F813" i="1"/>
  <c r="F814" i="1" a="1"/>
  <c r="F814" i="1"/>
  <c r="F815" i="1" a="1"/>
  <c r="F815" i="1"/>
  <c r="F816" i="1" a="1"/>
  <c r="F816" i="1"/>
  <c r="F817" i="1" a="1"/>
  <c r="F817" i="1"/>
  <c r="F818" i="1" a="1"/>
  <c r="F818" i="1"/>
  <c r="F819" i="1" a="1"/>
  <c r="F819" i="1"/>
  <c r="F820" i="1" a="1"/>
  <c r="F820" i="1"/>
  <c r="F821" i="1" a="1"/>
  <c r="F821" i="1"/>
  <c r="F822" i="1" a="1"/>
  <c r="F822" i="1"/>
  <c r="F823" i="1" a="1"/>
  <c r="F823" i="1"/>
  <c r="F824" i="1" a="1"/>
  <c r="F824" i="1"/>
  <c r="F825" i="1" a="1"/>
  <c r="F825" i="1"/>
  <c r="F826" i="1" a="1"/>
  <c r="F826" i="1"/>
  <c r="F827" i="1" a="1"/>
  <c r="F827" i="1"/>
  <c r="F828" i="1" a="1"/>
  <c r="F828" i="1"/>
  <c r="F829" i="1" a="1"/>
  <c r="F829" i="1"/>
  <c r="F830" i="1" a="1"/>
  <c r="F830" i="1"/>
  <c r="F831" i="1" a="1"/>
  <c r="F831" i="1"/>
  <c r="F832" i="1" a="1"/>
  <c r="F832" i="1"/>
  <c r="F833" i="1" a="1"/>
  <c r="F833" i="1"/>
  <c r="F834" i="1" a="1"/>
  <c r="F834" i="1"/>
  <c r="F835" i="1" a="1"/>
  <c r="F835" i="1"/>
  <c r="F836" i="1" a="1"/>
  <c r="F836" i="1"/>
  <c r="F837" i="1" a="1"/>
  <c r="F837" i="1"/>
  <c r="F838" i="1" a="1"/>
  <c r="F838" i="1"/>
  <c r="F839" i="1" a="1"/>
  <c r="F839" i="1"/>
  <c r="F840" i="1" a="1"/>
  <c r="F840" i="1"/>
  <c r="F841" i="1" a="1"/>
  <c r="F841" i="1"/>
  <c r="F842" i="1" a="1"/>
  <c r="F842" i="1"/>
  <c r="F843" i="1" a="1"/>
  <c r="F843" i="1"/>
  <c r="F844" i="1" a="1"/>
  <c r="F844" i="1"/>
  <c r="F845" i="1" a="1"/>
  <c r="F845" i="1"/>
  <c r="F846" i="1" a="1"/>
  <c r="F846" i="1"/>
  <c r="F847" i="1" a="1"/>
  <c r="F847" i="1"/>
  <c r="F848" i="1" a="1"/>
  <c r="F848" i="1"/>
  <c r="F849" i="1" a="1"/>
  <c r="F849" i="1"/>
  <c r="F850" i="1" a="1"/>
  <c r="F850" i="1"/>
  <c r="F851" i="1" a="1"/>
  <c r="F851" i="1"/>
  <c r="F852" i="1" a="1"/>
  <c r="F852" i="1"/>
  <c r="F853" i="1" a="1"/>
  <c r="F853" i="1"/>
  <c r="F854" i="1" a="1"/>
  <c r="F854" i="1"/>
  <c r="F855" i="1" a="1"/>
  <c r="F855" i="1"/>
  <c r="F856" i="1" a="1"/>
  <c r="F856" i="1"/>
  <c r="F857" i="1" a="1"/>
  <c r="F857" i="1"/>
  <c r="F858" i="1" a="1"/>
  <c r="F858" i="1"/>
  <c r="F859" i="1" a="1"/>
  <c r="F859" i="1"/>
  <c r="F860" i="1" a="1"/>
  <c r="F860" i="1"/>
  <c r="F861" i="1" a="1"/>
  <c r="F861" i="1"/>
  <c r="F862" i="1" a="1"/>
  <c r="F862" i="1"/>
  <c r="F863" i="1" a="1"/>
  <c r="F863" i="1"/>
  <c r="F864" i="1" a="1"/>
  <c r="F864" i="1"/>
  <c r="F865" i="1" a="1"/>
  <c r="F865" i="1"/>
  <c r="F866" i="1" a="1"/>
  <c r="F866" i="1"/>
  <c r="F867" i="1" a="1"/>
  <c r="F867" i="1"/>
  <c r="F868" i="1" a="1"/>
  <c r="F868" i="1"/>
  <c r="F869" i="1" a="1"/>
  <c r="F869" i="1"/>
  <c r="F870" i="1" a="1"/>
  <c r="F870" i="1"/>
  <c r="F871" i="1" a="1"/>
  <c r="F871" i="1"/>
  <c r="F872" i="1" a="1"/>
  <c r="F872" i="1"/>
  <c r="F873" i="1" a="1"/>
  <c r="F873" i="1"/>
  <c r="F874" i="1" a="1"/>
  <c r="F874" i="1"/>
  <c r="F875" i="1" a="1"/>
  <c r="F875" i="1"/>
  <c r="F876" i="1" a="1"/>
  <c r="F876" i="1"/>
  <c r="F877" i="1" a="1"/>
  <c r="F877" i="1"/>
  <c r="F878" i="1" a="1"/>
  <c r="F878" i="1"/>
  <c r="F879" i="1" a="1"/>
  <c r="F879" i="1"/>
  <c r="F880" i="1" a="1"/>
  <c r="F880" i="1"/>
  <c r="F881" i="1" a="1"/>
  <c r="F881" i="1"/>
  <c r="F882" i="1" a="1"/>
  <c r="F882" i="1"/>
  <c r="F883" i="1" a="1"/>
  <c r="F883" i="1"/>
  <c r="F884" i="1" a="1"/>
  <c r="F884" i="1"/>
  <c r="F885" i="1" a="1"/>
  <c r="F885" i="1"/>
  <c r="F886" i="1" a="1"/>
  <c r="F886" i="1"/>
  <c r="F887" i="1" a="1"/>
  <c r="F887" i="1"/>
  <c r="F888" i="1" a="1"/>
  <c r="F888" i="1"/>
  <c r="F889" i="1" a="1"/>
  <c r="F889" i="1"/>
  <c r="F890" i="1" a="1"/>
  <c r="F890" i="1"/>
  <c r="F891" i="1" a="1"/>
  <c r="F891" i="1"/>
  <c r="F892" i="1" a="1"/>
  <c r="F892" i="1"/>
  <c r="F893" i="1" a="1"/>
  <c r="F893" i="1"/>
  <c r="F894" i="1" a="1"/>
  <c r="F894" i="1"/>
  <c r="F895" i="1" a="1"/>
  <c r="F895" i="1"/>
  <c r="F896" i="1" a="1"/>
  <c r="F896" i="1"/>
  <c r="F897" i="1" a="1"/>
  <c r="F897" i="1"/>
  <c r="F898" i="1" a="1"/>
  <c r="F898" i="1"/>
  <c r="F899" i="1" a="1"/>
  <c r="F899" i="1"/>
  <c r="F900" i="1" a="1"/>
  <c r="F900" i="1"/>
  <c r="F901" i="1" a="1"/>
  <c r="F901" i="1"/>
  <c r="F902" i="1" a="1"/>
  <c r="F902" i="1"/>
  <c r="F903" i="1" a="1"/>
  <c r="F903" i="1"/>
  <c r="F904" i="1" a="1"/>
  <c r="F904" i="1"/>
  <c r="F905" i="1" a="1"/>
  <c r="F905" i="1"/>
  <c r="F906" i="1" a="1"/>
  <c r="F906" i="1"/>
  <c r="F907" i="1" a="1"/>
  <c r="F907" i="1"/>
  <c r="F908" i="1" a="1"/>
  <c r="F908" i="1"/>
  <c r="F909" i="1" a="1"/>
  <c r="F909" i="1"/>
  <c r="F910" i="1" a="1"/>
  <c r="F910" i="1"/>
  <c r="F911" i="1" a="1"/>
  <c r="F911" i="1"/>
  <c r="F912" i="1" a="1"/>
  <c r="F912" i="1"/>
  <c r="F913" i="1" a="1"/>
  <c r="F913" i="1"/>
  <c r="D3" i="1" a="1"/>
  <c r="D3" i="1"/>
  <c r="D4" i="1" a="1"/>
  <c r="D4" i="1"/>
  <c r="D5" i="1" a="1"/>
  <c r="D5" i="1"/>
  <c r="D6" i="1" a="1"/>
  <c r="D6" i="1"/>
  <c r="D7" i="1" a="1"/>
  <c r="D7" i="1"/>
  <c r="D8" i="1" a="1"/>
  <c r="D8" i="1"/>
  <c r="D9" i="1" a="1"/>
  <c r="D9" i="1"/>
  <c r="D10" i="1" a="1"/>
  <c r="D10" i="1"/>
  <c r="D11" i="1" a="1"/>
  <c r="D11" i="1"/>
  <c r="D12" i="1" a="1"/>
  <c r="D12" i="1"/>
  <c r="D13" i="1" a="1"/>
  <c r="D13" i="1"/>
  <c r="D14" i="1" a="1"/>
  <c r="D14" i="1"/>
  <c r="D15" i="1" a="1"/>
  <c r="D15" i="1"/>
  <c r="D16" i="1" a="1"/>
  <c r="D16" i="1"/>
  <c r="D17" i="1" a="1"/>
  <c r="D17" i="1"/>
  <c r="D18" i="1" a="1"/>
  <c r="D18" i="1"/>
  <c r="D19" i="1" a="1"/>
  <c r="D19" i="1"/>
  <c r="D20" i="1" a="1"/>
  <c r="D20" i="1"/>
  <c r="D21" i="1" a="1"/>
  <c r="D21" i="1"/>
  <c r="D22" i="1" a="1"/>
  <c r="D22" i="1"/>
  <c r="D23" i="1" a="1"/>
  <c r="D23" i="1"/>
  <c r="D24" i="1" a="1"/>
  <c r="D24" i="1"/>
  <c r="D25" i="1" a="1"/>
  <c r="D25" i="1"/>
  <c r="D26" i="1" a="1"/>
  <c r="D26" i="1"/>
  <c r="D27" i="1" a="1"/>
  <c r="D27" i="1"/>
  <c r="D28" i="1" a="1"/>
  <c r="D28" i="1"/>
  <c r="D29" i="1" a="1"/>
  <c r="D29" i="1"/>
  <c r="D30" i="1" a="1"/>
  <c r="D30" i="1"/>
  <c r="D31" i="1" a="1"/>
  <c r="D31" i="1"/>
  <c r="D32" i="1" a="1"/>
  <c r="D32" i="1"/>
  <c r="D33" i="1" a="1"/>
  <c r="D33" i="1"/>
  <c r="D34" i="1" a="1"/>
  <c r="D34" i="1"/>
  <c r="D35" i="1" a="1"/>
  <c r="D35" i="1"/>
  <c r="D36" i="1" a="1"/>
  <c r="D36" i="1"/>
  <c r="D37" i="1" a="1"/>
  <c r="D37" i="1"/>
  <c r="D38" i="1" a="1"/>
  <c r="D38" i="1"/>
  <c r="D39" i="1" a="1"/>
  <c r="D39" i="1"/>
  <c r="D40" i="1" a="1"/>
  <c r="D40" i="1"/>
  <c r="D41" i="1" a="1"/>
  <c r="D41" i="1"/>
  <c r="D42" i="1" a="1"/>
  <c r="D42" i="1"/>
  <c r="D43" i="1" a="1"/>
  <c r="D43" i="1"/>
  <c r="D44" i="1" a="1"/>
  <c r="D44" i="1"/>
  <c r="D45" i="1" a="1"/>
  <c r="D45" i="1"/>
  <c r="D46" i="1" a="1"/>
  <c r="D46" i="1"/>
  <c r="D47" i="1" a="1"/>
  <c r="D47" i="1"/>
  <c r="D48" i="1" a="1"/>
  <c r="D48" i="1"/>
  <c r="D49" i="1" a="1"/>
  <c r="D49" i="1"/>
  <c r="D50" i="1" a="1"/>
  <c r="D50" i="1"/>
  <c r="D51" i="1" a="1"/>
  <c r="D51" i="1"/>
  <c r="D52" i="1" a="1"/>
  <c r="D52" i="1"/>
  <c r="D53" i="1" a="1"/>
  <c r="D53" i="1"/>
  <c r="D54" i="1" a="1"/>
  <c r="D54" i="1"/>
  <c r="D55" i="1" a="1"/>
  <c r="D55" i="1"/>
  <c r="D56" i="1" a="1"/>
  <c r="D56" i="1"/>
  <c r="D57" i="1" a="1"/>
  <c r="D57" i="1"/>
  <c r="D58" i="1" a="1"/>
  <c r="D58" i="1"/>
  <c r="D59" i="1" a="1"/>
  <c r="D59" i="1"/>
  <c r="D60" i="1" a="1"/>
  <c r="D60" i="1"/>
  <c r="D61" i="1" a="1"/>
  <c r="D61" i="1"/>
  <c r="D62" i="1" a="1"/>
  <c r="D62" i="1"/>
  <c r="D63" i="1" a="1"/>
  <c r="D63" i="1"/>
  <c r="D64" i="1" a="1"/>
  <c r="D64" i="1"/>
  <c r="D65" i="1" a="1"/>
  <c r="D65" i="1"/>
  <c r="D66" i="1" a="1"/>
  <c r="D66" i="1"/>
  <c r="D67" i="1" a="1"/>
  <c r="D67" i="1"/>
  <c r="D68" i="1" a="1"/>
  <c r="D68" i="1"/>
  <c r="D69" i="1" a="1"/>
  <c r="D69" i="1"/>
  <c r="D70" i="1" a="1"/>
  <c r="D70" i="1"/>
  <c r="D71" i="1" a="1"/>
  <c r="D71" i="1"/>
  <c r="D72" i="1" a="1"/>
  <c r="D72" i="1"/>
  <c r="D73" i="1" a="1"/>
  <c r="D73" i="1"/>
  <c r="D74" i="1" a="1"/>
  <c r="D74" i="1"/>
  <c r="D75" i="1" a="1"/>
  <c r="D75" i="1"/>
  <c r="D76" i="1" a="1"/>
  <c r="D76" i="1"/>
  <c r="D77" i="1" a="1"/>
  <c r="D77" i="1"/>
  <c r="D78" i="1" a="1"/>
  <c r="D78" i="1"/>
  <c r="D79" i="1" a="1"/>
  <c r="D79" i="1"/>
  <c r="D80" i="1" a="1"/>
  <c r="D80" i="1"/>
  <c r="D81" i="1" a="1"/>
  <c r="D81" i="1"/>
  <c r="D82" i="1" a="1"/>
  <c r="D82" i="1"/>
  <c r="D83" i="1" a="1"/>
  <c r="D83" i="1"/>
  <c r="D84" i="1" a="1"/>
  <c r="D84" i="1"/>
  <c r="D85" i="1" a="1"/>
  <c r="D85" i="1"/>
  <c r="D86" i="1" a="1"/>
  <c r="D86" i="1"/>
  <c r="D87" i="1" a="1"/>
  <c r="D87" i="1"/>
  <c r="D88" i="1" a="1"/>
  <c r="D88" i="1"/>
  <c r="D89" i="1" a="1"/>
  <c r="D89" i="1"/>
  <c r="D90" i="1" a="1"/>
  <c r="D90" i="1"/>
  <c r="D91" i="1" a="1"/>
  <c r="D91" i="1"/>
  <c r="D92" i="1" a="1"/>
  <c r="D92" i="1"/>
  <c r="D93" i="1" a="1"/>
  <c r="D93" i="1"/>
  <c r="D94" i="1" a="1"/>
  <c r="D94" i="1"/>
  <c r="D95" i="1" a="1"/>
  <c r="D95" i="1"/>
  <c r="D96" i="1" a="1"/>
  <c r="D96" i="1"/>
  <c r="D97" i="1" a="1"/>
  <c r="D97" i="1"/>
  <c r="D98" i="1" a="1"/>
  <c r="D98" i="1"/>
  <c r="D99" i="1" a="1"/>
  <c r="D99" i="1"/>
  <c r="D100" i="1" a="1"/>
  <c r="D100" i="1"/>
  <c r="D101" i="1" a="1"/>
  <c r="D101" i="1"/>
  <c r="D102" i="1" a="1"/>
  <c r="D102" i="1"/>
  <c r="D103" i="1" a="1"/>
  <c r="D103" i="1"/>
  <c r="D104" i="1" a="1"/>
  <c r="D104" i="1"/>
  <c r="D105" i="1" a="1"/>
  <c r="D105" i="1"/>
  <c r="D106" i="1" a="1"/>
  <c r="D106" i="1"/>
  <c r="D107" i="1" a="1"/>
  <c r="D107" i="1"/>
  <c r="D108" i="1" a="1"/>
  <c r="D108" i="1"/>
  <c r="D109" i="1" a="1"/>
  <c r="D109" i="1"/>
  <c r="D110" i="1" a="1"/>
  <c r="D110" i="1"/>
  <c r="D111" i="1" a="1"/>
  <c r="D111" i="1"/>
  <c r="D112" i="1" a="1"/>
  <c r="D112" i="1"/>
  <c r="D113" i="1" a="1"/>
  <c r="D113" i="1"/>
  <c r="D114" i="1" a="1"/>
  <c r="D114" i="1"/>
  <c r="D115" i="1" a="1"/>
  <c r="D115" i="1"/>
  <c r="D116" i="1" a="1"/>
  <c r="D116" i="1"/>
  <c r="D117" i="1" a="1"/>
  <c r="D117" i="1"/>
  <c r="D118" i="1" a="1"/>
  <c r="D118" i="1"/>
  <c r="D119" i="1" a="1"/>
  <c r="D119" i="1"/>
  <c r="D120" i="1" a="1"/>
  <c r="D120" i="1"/>
  <c r="D121" i="1" a="1"/>
  <c r="D121" i="1"/>
  <c r="D122" i="1" a="1"/>
  <c r="D122" i="1"/>
  <c r="D123" i="1" a="1"/>
  <c r="D123" i="1"/>
  <c r="D124" i="1" a="1"/>
  <c r="D124" i="1"/>
  <c r="D125" i="1" a="1"/>
  <c r="D125" i="1"/>
  <c r="D126" i="1" a="1"/>
  <c r="D126" i="1"/>
  <c r="D127" i="1" a="1"/>
  <c r="D127" i="1"/>
  <c r="D128" i="1" a="1"/>
  <c r="D128" i="1"/>
  <c r="D129" i="1" a="1"/>
  <c r="D129" i="1"/>
  <c r="D130" i="1" a="1"/>
  <c r="D130" i="1"/>
  <c r="D131" i="1" a="1"/>
  <c r="D131" i="1"/>
  <c r="D132" i="1" a="1"/>
  <c r="D132" i="1"/>
  <c r="D133" i="1" a="1"/>
  <c r="D133" i="1"/>
  <c r="D134" i="1" a="1"/>
  <c r="D134" i="1"/>
  <c r="D135" i="1" a="1"/>
  <c r="D135" i="1"/>
  <c r="D136" i="1" a="1"/>
  <c r="D136" i="1"/>
  <c r="D137" i="1" a="1"/>
  <c r="D137" i="1"/>
  <c r="D138" i="1" a="1"/>
  <c r="D138" i="1"/>
  <c r="D139" i="1" a="1"/>
  <c r="D139" i="1"/>
  <c r="D140" i="1" a="1"/>
  <c r="D140" i="1"/>
  <c r="D141" i="1" a="1"/>
  <c r="D141" i="1"/>
  <c r="D142" i="1" a="1"/>
  <c r="D142" i="1"/>
  <c r="D143" i="1" a="1"/>
  <c r="D143" i="1"/>
  <c r="D144" i="1" a="1"/>
  <c r="D144" i="1"/>
  <c r="D145" i="1" a="1"/>
  <c r="D145" i="1"/>
  <c r="D146" i="1" a="1"/>
  <c r="D146" i="1"/>
  <c r="D147" i="1" a="1"/>
  <c r="D147" i="1"/>
  <c r="D148" i="1" a="1"/>
  <c r="D148" i="1"/>
  <c r="D149" i="1" a="1"/>
  <c r="D149" i="1"/>
  <c r="D150" i="1" a="1"/>
  <c r="D150" i="1"/>
  <c r="D151" i="1" a="1"/>
  <c r="D151" i="1"/>
  <c r="D152" i="1" a="1"/>
  <c r="D152" i="1"/>
  <c r="D153" i="1" a="1"/>
  <c r="D153" i="1"/>
  <c r="D154" i="1" a="1"/>
  <c r="D154" i="1"/>
  <c r="D155" i="1" a="1"/>
  <c r="D155" i="1"/>
  <c r="D156" i="1" a="1"/>
  <c r="D156" i="1"/>
  <c r="D157" i="1" a="1"/>
  <c r="D157" i="1"/>
  <c r="D158" i="1" a="1"/>
  <c r="D158" i="1"/>
  <c r="D159" i="1" a="1"/>
  <c r="D159" i="1"/>
  <c r="D160" i="1" a="1"/>
  <c r="D160" i="1"/>
  <c r="D161" i="1" a="1"/>
  <c r="D161" i="1"/>
  <c r="D162" i="1" a="1"/>
  <c r="D162" i="1"/>
  <c r="D163" i="1" a="1"/>
  <c r="D163" i="1"/>
  <c r="D164" i="1" a="1"/>
  <c r="D164" i="1"/>
  <c r="D165" i="1" a="1"/>
  <c r="D165" i="1"/>
  <c r="D166" i="1" a="1"/>
  <c r="D166" i="1"/>
  <c r="D167" i="1" a="1"/>
  <c r="D167" i="1"/>
  <c r="D168" i="1" a="1"/>
  <c r="D168" i="1"/>
  <c r="D169" i="1" a="1"/>
  <c r="D169" i="1"/>
  <c r="D170" i="1" a="1"/>
  <c r="D170" i="1"/>
  <c r="D171" i="1" a="1"/>
  <c r="D171" i="1"/>
  <c r="D172" i="1" a="1"/>
  <c r="D172" i="1"/>
  <c r="D173" i="1" a="1"/>
  <c r="D173" i="1"/>
  <c r="D174" i="1" a="1"/>
  <c r="D174" i="1"/>
  <c r="D175" i="1" a="1"/>
  <c r="D175" i="1"/>
  <c r="D176" i="1" a="1"/>
  <c r="D176" i="1"/>
  <c r="D177" i="1" a="1"/>
  <c r="D177" i="1"/>
  <c r="D178" i="1" a="1"/>
  <c r="D178" i="1"/>
  <c r="D179" i="1" a="1"/>
  <c r="D179" i="1"/>
  <c r="D180" i="1" a="1"/>
  <c r="D180" i="1"/>
  <c r="D181" i="1" a="1"/>
  <c r="D181" i="1"/>
  <c r="D182" i="1" a="1"/>
  <c r="D182" i="1"/>
  <c r="D183" i="1" a="1"/>
  <c r="D183" i="1"/>
  <c r="D184" i="1" a="1"/>
  <c r="D184" i="1"/>
  <c r="D185" i="1" a="1"/>
  <c r="D185" i="1"/>
  <c r="D186" i="1" a="1"/>
  <c r="D186" i="1"/>
  <c r="D187" i="1" a="1"/>
  <c r="D187" i="1"/>
  <c r="D188" i="1" a="1"/>
  <c r="D188" i="1"/>
  <c r="D189" i="1" a="1"/>
  <c r="D189" i="1"/>
  <c r="D190" i="1" a="1"/>
  <c r="D190" i="1"/>
  <c r="D191" i="1" a="1"/>
  <c r="D191" i="1"/>
  <c r="D192" i="1" a="1"/>
  <c r="D192" i="1"/>
  <c r="D193" i="1" a="1"/>
  <c r="D193" i="1"/>
  <c r="D194" i="1" a="1"/>
  <c r="D194" i="1"/>
  <c r="D195" i="1" a="1"/>
  <c r="D195" i="1"/>
  <c r="D196" i="1" a="1"/>
  <c r="D196" i="1"/>
  <c r="D197" i="1" a="1"/>
  <c r="D197" i="1"/>
  <c r="D198" i="1" a="1"/>
  <c r="D198" i="1"/>
  <c r="D199" i="1" a="1"/>
  <c r="D199" i="1"/>
  <c r="D200" i="1" a="1"/>
  <c r="D200" i="1"/>
  <c r="D201" i="1" a="1"/>
  <c r="D201" i="1"/>
  <c r="D202" i="1" a="1"/>
  <c r="D202" i="1"/>
  <c r="D203" i="1" a="1"/>
  <c r="D203" i="1"/>
  <c r="D204" i="1" a="1"/>
  <c r="D204" i="1"/>
  <c r="D205" i="1" a="1"/>
  <c r="D205" i="1"/>
  <c r="D206" i="1" a="1"/>
  <c r="D206" i="1"/>
  <c r="D207" i="1" a="1"/>
  <c r="D207" i="1"/>
  <c r="D208" i="1" a="1"/>
  <c r="D208" i="1"/>
  <c r="D209" i="1" a="1"/>
  <c r="D209" i="1"/>
  <c r="D210" i="1" a="1"/>
  <c r="D210" i="1"/>
  <c r="D211" i="1" a="1"/>
  <c r="D211" i="1"/>
  <c r="D212" i="1" a="1"/>
  <c r="D212" i="1"/>
  <c r="D213" i="1" a="1"/>
  <c r="D213" i="1"/>
  <c r="D214" i="1" a="1"/>
  <c r="D214" i="1"/>
  <c r="D215" i="1" a="1"/>
  <c r="D215" i="1"/>
  <c r="D216" i="1" a="1"/>
  <c r="D216" i="1"/>
  <c r="D217" i="1" a="1"/>
  <c r="D217" i="1"/>
  <c r="D218" i="1" a="1"/>
  <c r="D218" i="1"/>
  <c r="D219" i="1" a="1"/>
  <c r="D219" i="1"/>
  <c r="D220" i="1" a="1"/>
  <c r="D220" i="1"/>
  <c r="D221" i="1" a="1"/>
  <c r="D221" i="1"/>
  <c r="D222" i="1" a="1"/>
  <c r="D222" i="1"/>
  <c r="D223" i="1" a="1"/>
  <c r="D223" i="1"/>
  <c r="D224" i="1" a="1"/>
  <c r="D224" i="1"/>
  <c r="D225" i="1" a="1"/>
  <c r="D225" i="1"/>
  <c r="D226" i="1" a="1"/>
  <c r="D226" i="1"/>
  <c r="D227" i="1" a="1"/>
  <c r="D227" i="1"/>
  <c r="D228" i="1" a="1"/>
  <c r="D228" i="1"/>
  <c r="D229" i="1" a="1"/>
  <c r="D229" i="1"/>
  <c r="D230" i="1" a="1"/>
  <c r="D230" i="1"/>
  <c r="D231" i="1" a="1"/>
  <c r="D231" i="1"/>
  <c r="D232" i="1" a="1"/>
  <c r="D232" i="1"/>
  <c r="D233" i="1" a="1"/>
  <c r="D233" i="1"/>
  <c r="D234" i="1" a="1"/>
  <c r="D234" i="1"/>
  <c r="D235" i="1" a="1"/>
  <c r="D235" i="1"/>
  <c r="D236" i="1" a="1"/>
  <c r="D236" i="1"/>
  <c r="D237" i="1" a="1"/>
  <c r="D237" i="1"/>
  <c r="D238" i="1" a="1"/>
  <c r="D238" i="1"/>
  <c r="D239" i="1" a="1"/>
  <c r="D239" i="1"/>
  <c r="D240" i="1" a="1"/>
  <c r="D240" i="1"/>
  <c r="D241" i="1" a="1"/>
  <c r="D241" i="1"/>
  <c r="D242" i="1" a="1"/>
  <c r="D242" i="1"/>
  <c r="D243" i="1" a="1"/>
  <c r="D243" i="1"/>
  <c r="D244" i="1" a="1"/>
  <c r="D244" i="1"/>
  <c r="D245" i="1" a="1"/>
  <c r="D245" i="1"/>
  <c r="D246" i="1" a="1"/>
  <c r="D246" i="1"/>
  <c r="D247" i="1" a="1"/>
  <c r="D247" i="1"/>
  <c r="D248" i="1" a="1"/>
  <c r="D248" i="1"/>
  <c r="D249" i="1" a="1"/>
  <c r="D249" i="1"/>
  <c r="D250" i="1" a="1"/>
  <c r="D250" i="1"/>
  <c r="D251" i="1" a="1"/>
  <c r="D251" i="1"/>
  <c r="D252" i="1" a="1"/>
  <c r="D252" i="1"/>
  <c r="D253" i="1" a="1"/>
  <c r="D253" i="1"/>
  <c r="D254" i="1" a="1"/>
  <c r="D254" i="1"/>
  <c r="D255" i="1" a="1"/>
  <c r="D255" i="1"/>
  <c r="D256" i="1" a="1"/>
  <c r="D256" i="1"/>
  <c r="D257" i="1" a="1"/>
  <c r="D257" i="1"/>
  <c r="D258" i="1" a="1"/>
  <c r="D258" i="1"/>
  <c r="D259" i="1" a="1"/>
  <c r="D259" i="1"/>
  <c r="D260" i="1" a="1"/>
  <c r="D260" i="1"/>
  <c r="D261" i="1" a="1"/>
  <c r="D261" i="1"/>
  <c r="D262" i="1" a="1"/>
  <c r="D262" i="1"/>
  <c r="D263" i="1" a="1"/>
  <c r="D263" i="1"/>
  <c r="D264" i="1" a="1"/>
  <c r="D264" i="1"/>
  <c r="D265" i="1" a="1"/>
  <c r="D265" i="1"/>
  <c r="D266" i="1" a="1"/>
  <c r="D266" i="1"/>
  <c r="D267" i="1" a="1"/>
  <c r="D267" i="1"/>
  <c r="D268" i="1" a="1"/>
  <c r="D268" i="1"/>
  <c r="D269" i="1" a="1"/>
  <c r="D269" i="1"/>
  <c r="D270" i="1" a="1"/>
  <c r="D270" i="1"/>
  <c r="D271" i="1" a="1"/>
  <c r="D271" i="1"/>
  <c r="D272" i="1" a="1"/>
  <c r="D272" i="1"/>
  <c r="D273" i="1" a="1"/>
  <c r="D273" i="1"/>
  <c r="D274" i="1" a="1"/>
  <c r="D274" i="1"/>
  <c r="D275" i="1" a="1"/>
  <c r="D275" i="1"/>
  <c r="D276" i="1" a="1"/>
  <c r="D276" i="1"/>
  <c r="D277" i="1" a="1"/>
  <c r="D277" i="1"/>
  <c r="D278" i="1" a="1"/>
  <c r="D278" i="1"/>
  <c r="D279" i="1" a="1"/>
  <c r="D279" i="1"/>
  <c r="D280" i="1" a="1"/>
  <c r="D280" i="1"/>
  <c r="D281" i="1" a="1"/>
  <c r="D281" i="1"/>
  <c r="D282" i="1" a="1"/>
  <c r="D282" i="1"/>
  <c r="D283" i="1" a="1"/>
  <c r="D283" i="1"/>
  <c r="D284" i="1" a="1"/>
  <c r="D284" i="1"/>
  <c r="D285" i="1" a="1"/>
  <c r="D285" i="1"/>
  <c r="D286" i="1" a="1"/>
  <c r="D286" i="1"/>
  <c r="D287" i="1" a="1"/>
  <c r="D287" i="1"/>
  <c r="D288" i="1" a="1"/>
  <c r="D288" i="1"/>
  <c r="D289" i="1" a="1"/>
  <c r="D289" i="1"/>
  <c r="D290" i="1" a="1"/>
  <c r="D290" i="1"/>
  <c r="D291" i="1" a="1"/>
  <c r="D291" i="1"/>
  <c r="D292" i="1" a="1"/>
  <c r="D292" i="1"/>
  <c r="D293" i="1" a="1"/>
  <c r="D293" i="1"/>
  <c r="D294" i="1" a="1"/>
  <c r="D294" i="1"/>
  <c r="D295" i="1" a="1"/>
  <c r="D295" i="1"/>
  <c r="D296" i="1" a="1"/>
  <c r="D296" i="1"/>
  <c r="D297" i="1" a="1"/>
  <c r="D297" i="1"/>
  <c r="D298" i="1" a="1"/>
  <c r="D298" i="1"/>
  <c r="D299" i="1" a="1"/>
  <c r="D299" i="1"/>
  <c r="D300" i="1" a="1"/>
  <c r="D300" i="1"/>
  <c r="D301" i="1" a="1"/>
  <c r="D301" i="1"/>
  <c r="D302" i="1" a="1"/>
  <c r="D302" i="1"/>
  <c r="D303" i="1" a="1"/>
  <c r="D303" i="1"/>
  <c r="D304" i="1" a="1"/>
  <c r="D304" i="1"/>
  <c r="D305" i="1" a="1"/>
  <c r="D305" i="1"/>
  <c r="D306" i="1" a="1"/>
  <c r="D306" i="1"/>
  <c r="D307" i="1" a="1"/>
  <c r="D307" i="1"/>
  <c r="D308" i="1" a="1"/>
  <c r="D308" i="1"/>
  <c r="D309" i="1" a="1"/>
  <c r="D309" i="1"/>
  <c r="D310" i="1" a="1"/>
  <c r="D310" i="1"/>
  <c r="D311" i="1" a="1"/>
  <c r="D311" i="1"/>
  <c r="D312" i="1" a="1"/>
  <c r="D312" i="1"/>
  <c r="D313" i="1" a="1"/>
  <c r="D313" i="1"/>
  <c r="D314" i="1" a="1"/>
  <c r="D314" i="1"/>
  <c r="D315" i="1" a="1"/>
  <c r="D315" i="1"/>
  <c r="D316" i="1" a="1"/>
  <c r="D316" i="1"/>
  <c r="D317" i="1" a="1"/>
  <c r="D317" i="1"/>
  <c r="D318" i="1" a="1"/>
  <c r="D318" i="1"/>
  <c r="D319" i="1" a="1"/>
  <c r="D319" i="1"/>
  <c r="D320" i="1" a="1"/>
  <c r="D320" i="1"/>
  <c r="D321" i="1" a="1"/>
  <c r="D321" i="1"/>
  <c r="D322" i="1" a="1"/>
  <c r="D322" i="1"/>
  <c r="D323" i="1" a="1"/>
  <c r="D323" i="1"/>
  <c r="D324" i="1" a="1"/>
  <c r="D324" i="1"/>
  <c r="D325" i="1" a="1"/>
  <c r="D325" i="1"/>
  <c r="D326" i="1" a="1"/>
  <c r="D326" i="1"/>
  <c r="D327" i="1" a="1"/>
  <c r="D327" i="1"/>
  <c r="D328" i="1" a="1"/>
  <c r="D328" i="1"/>
  <c r="D329" i="1" a="1"/>
  <c r="D329" i="1"/>
  <c r="D330" i="1" a="1"/>
  <c r="D330" i="1"/>
  <c r="D331" i="1" a="1"/>
  <c r="D331" i="1"/>
  <c r="D332" i="1" a="1"/>
  <c r="D332" i="1"/>
  <c r="D333" i="1" a="1"/>
  <c r="D333" i="1"/>
  <c r="D334" i="1" a="1"/>
  <c r="D334" i="1"/>
  <c r="D335" i="1" a="1"/>
  <c r="D335" i="1"/>
  <c r="D336" i="1" a="1"/>
  <c r="D336" i="1"/>
  <c r="D337" i="1" a="1"/>
  <c r="D337" i="1"/>
  <c r="D338" i="1" a="1"/>
  <c r="D338" i="1"/>
  <c r="D339" i="1" a="1"/>
  <c r="D339" i="1"/>
  <c r="D340" i="1" a="1"/>
  <c r="D340" i="1"/>
  <c r="D341" i="1" a="1"/>
  <c r="D341" i="1"/>
  <c r="D342" i="1" a="1"/>
  <c r="D342" i="1"/>
  <c r="D343" i="1" a="1"/>
  <c r="D343" i="1"/>
  <c r="D344" i="1" a="1"/>
  <c r="D344" i="1"/>
  <c r="D345" i="1" a="1"/>
  <c r="D345" i="1"/>
  <c r="D346" i="1" a="1"/>
  <c r="D346" i="1"/>
  <c r="D347" i="1" a="1"/>
  <c r="D347" i="1"/>
  <c r="D348" i="1" a="1"/>
  <c r="D348" i="1"/>
  <c r="D349" i="1" a="1"/>
  <c r="D349" i="1"/>
  <c r="D350" i="1" a="1"/>
  <c r="D350" i="1"/>
  <c r="D351" i="1" a="1"/>
  <c r="D351" i="1"/>
  <c r="D352" i="1" a="1"/>
  <c r="D352" i="1"/>
  <c r="D353" i="1" a="1"/>
  <c r="D353" i="1"/>
  <c r="D354" i="1" a="1"/>
  <c r="D354" i="1"/>
  <c r="D355" i="1" a="1"/>
  <c r="D355" i="1"/>
  <c r="D356" i="1" a="1"/>
  <c r="D356" i="1"/>
  <c r="D357" i="1" a="1"/>
  <c r="D357" i="1"/>
  <c r="D358" i="1" a="1"/>
  <c r="D358" i="1"/>
  <c r="D359" i="1" a="1"/>
  <c r="D359" i="1"/>
  <c r="D360" i="1" a="1"/>
  <c r="D360" i="1"/>
  <c r="D361" i="1" a="1"/>
  <c r="D361" i="1"/>
  <c r="D362" i="1" a="1"/>
  <c r="D362" i="1"/>
  <c r="D363" i="1" a="1"/>
  <c r="D363" i="1"/>
  <c r="D364" i="1" a="1"/>
  <c r="D364" i="1"/>
  <c r="D365" i="1" a="1"/>
  <c r="D365" i="1"/>
  <c r="D366" i="1" a="1"/>
  <c r="D366" i="1"/>
  <c r="D367" i="1" a="1"/>
  <c r="D367" i="1"/>
  <c r="D368" i="1" a="1"/>
  <c r="D368" i="1"/>
  <c r="D369" i="1" a="1"/>
  <c r="D369" i="1"/>
  <c r="D370" i="1" a="1"/>
  <c r="D370" i="1"/>
  <c r="D371" i="1" a="1"/>
  <c r="D371" i="1"/>
  <c r="D372" i="1" a="1"/>
  <c r="D372" i="1"/>
  <c r="D373" i="1" a="1"/>
  <c r="D373" i="1"/>
  <c r="D374" i="1" a="1"/>
  <c r="D374" i="1"/>
  <c r="D375" i="1" a="1"/>
  <c r="D375" i="1"/>
  <c r="D376" i="1" a="1"/>
  <c r="D376" i="1"/>
  <c r="D377" i="1" a="1"/>
  <c r="D377" i="1"/>
  <c r="D378" i="1" a="1"/>
  <c r="D378" i="1"/>
  <c r="D379" i="1" a="1"/>
  <c r="D379" i="1"/>
  <c r="D380" i="1" a="1"/>
  <c r="D380" i="1"/>
  <c r="D381" i="1" a="1"/>
  <c r="D381" i="1"/>
  <c r="D382" i="1" a="1"/>
  <c r="D382" i="1"/>
  <c r="D383" i="1" a="1"/>
  <c r="D383" i="1"/>
  <c r="D384" i="1" a="1"/>
  <c r="D384" i="1"/>
  <c r="D385" i="1" a="1"/>
  <c r="D385" i="1"/>
  <c r="D386" i="1" a="1"/>
  <c r="D386" i="1"/>
  <c r="D387" i="1" a="1"/>
  <c r="D387" i="1"/>
  <c r="D388" i="1" a="1"/>
  <c r="D388" i="1"/>
  <c r="D389" i="1" a="1"/>
  <c r="D389" i="1"/>
  <c r="D390" i="1" a="1"/>
  <c r="D390" i="1"/>
  <c r="D391" i="1" a="1"/>
  <c r="D391" i="1"/>
  <c r="D392" i="1" a="1"/>
  <c r="D392" i="1"/>
  <c r="D393" i="1" a="1"/>
  <c r="D393" i="1"/>
  <c r="D394" i="1" a="1"/>
  <c r="D394" i="1"/>
  <c r="D395" i="1" a="1"/>
  <c r="D395" i="1"/>
  <c r="D396" i="1" a="1"/>
  <c r="D396" i="1"/>
  <c r="D397" i="1" a="1"/>
  <c r="D397" i="1"/>
  <c r="D398" i="1" a="1"/>
  <c r="D398" i="1"/>
  <c r="D399" i="1" a="1"/>
  <c r="D399" i="1"/>
  <c r="D400" i="1" a="1"/>
  <c r="D400" i="1"/>
  <c r="D401" i="1" a="1"/>
  <c r="D401" i="1"/>
  <c r="D402" i="1" a="1"/>
  <c r="D402" i="1"/>
  <c r="D403" i="1" a="1"/>
  <c r="D403" i="1"/>
  <c r="D404" i="1" a="1"/>
  <c r="D404" i="1"/>
  <c r="D405" i="1" a="1"/>
  <c r="D405" i="1"/>
  <c r="D406" i="1" a="1"/>
  <c r="D406" i="1"/>
  <c r="D407" i="1" a="1"/>
  <c r="D407" i="1"/>
  <c r="D408" i="1" a="1"/>
  <c r="D408" i="1"/>
  <c r="D409" i="1" a="1"/>
  <c r="D409" i="1"/>
  <c r="D410" i="1" a="1"/>
  <c r="D410" i="1"/>
  <c r="D411" i="1" a="1"/>
  <c r="D411" i="1"/>
  <c r="D412" i="1" a="1"/>
  <c r="D412" i="1"/>
  <c r="D413" i="1" a="1"/>
  <c r="D413" i="1"/>
  <c r="D414" i="1" a="1"/>
  <c r="D414" i="1"/>
  <c r="D415" i="1" a="1"/>
  <c r="D415" i="1"/>
  <c r="D416" i="1" a="1"/>
  <c r="D416" i="1"/>
  <c r="D417" i="1" a="1"/>
  <c r="D417" i="1"/>
  <c r="D418" i="1" a="1"/>
  <c r="D418" i="1"/>
  <c r="D419" i="1" a="1"/>
  <c r="D419" i="1"/>
  <c r="D420" i="1" a="1"/>
  <c r="D420" i="1"/>
  <c r="D421" i="1" a="1"/>
  <c r="D421" i="1"/>
  <c r="D422" i="1" a="1"/>
  <c r="D422" i="1"/>
  <c r="D423" i="1" a="1"/>
  <c r="D423" i="1"/>
  <c r="D424" i="1" a="1"/>
  <c r="D424" i="1"/>
  <c r="D425" i="1" a="1"/>
  <c r="D425" i="1"/>
  <c r="D426" i="1" a="1"/>
  <c r="D426" i="1"/>
  <c r="D427" i="1" a="1"/>
  <c r="D427" i="1"/>
  <c r="D428" i="1" a="1"/>
  <c r="D428" i="1"/>
  <c r="D429" i="1" a="1"/>
  <c r="D429" i="1"/>
  <c r="D430" i="1" a="1"/>
  <c r="D430" i="1"/>
  <c r="D431" i="1" a="1"/>
  <c r="D431" i="1"/>
  <c r="D432" i="1" a="1"/>
  <c r="D432" i="1"/>
  <c r="D433" i="1" a="1"/>
  <c r="D433" i="1"/>
  <c r="D434" i="1" a="1"/>
  <c r="D434" i="1"/>
  <c r="D435" i="1" a="1"/>
  <c r="D435" i="1"/>
  <c r="D436" i="1" a="1"/>
  <c r="D436" i="1"/>
  <c r="D437" i="1" a="1"/>
  <c r="D437" i="1"/>
  <c r="D438" i="1" a="1"/>
  <c r="D438" i="1"/>
  <c r="D439" i="1" a="1"/>
  <c r="D439" i="1"/>
  <c r="D440" i="1" a="1"/>
  <c r="D440" i="1"/>
  <c r="D441" i="1" a="1"/>
  <c r="D441" i="1"/>
  <c r="D442" i="1" a="1"/>
  <c r="D442" i="1"/>
  <c r="D443" i="1" a="1"/>
  <c r="D443" i="1"/>
  <c r="D444" i="1" a="1"/>
  <c r="D444" i="1"/>
  <c r="D445" i="1" a="1"/>
  <c r="D445" i="1"/>
  <c r="D446" i="1" a="1"/>
  <c r="D446" i="1"/>
  <c r="D447" i="1" a="1"/>
  <c r="D447" i="1"/>
  <c r="D448" i="1" a="1"/>
  <c r="D448" i="1"/>
  <c r="D449" i="1" a="1"/>
  <c r="D449" i="1"/>
  <c r="D450" i="1" a="1"/>
  <c r="D450" i="1"/>
  <c r="D451" i="1" a="1"/>
  <c r="D451" i="1"/>
  <c r="D452" i="1" a="1"/>
  <c r="D452" i="1"/>
  <c r="D453" i="1" a="1"/>
  <c r="D453" i="1"/>
  <c r="D454" i="1" a="1"/>
  <c r="D454" i="1"/>
  <c r="D455" i="1" a="1"/>
  <c r="D455" i="1"/>
  <c r="D456" i="1" a="1"/>
  <c r="D456" i="1"/>
  <c r="D457" i="1" a="1"/>
  <c r="D457" i="1"/>
  <c r="D458" i="1" a="1"/>
  <c r="D458" i="1"/>
  <c r="D459" i="1" a="1"/>
  <c r="D459" i="1"/>
  <c r="D460" i="1" a="1"/>
  <c r="D460" i="1"/>
  <c r="D461" i="1" a="1"/>
  <c r="D461" i="1"/>
  <c r="D462" i="1" a="1"/>
  <c r="D462" i="1"/>
  <c r="D463" i="1" a="1"/>
  <c r="D463" i="1"/>
  <c r="D464" i="1" a="1"/>
  <c r="D464" i="1"/>
  <c r="D465" i="1" a="1"/>
  <c r="D465" i="1"/>
  <c r="D466" i="1" a="1"/>
  <c r="D466" i="1"/>
  <c r="D467" i="1" a="1"/>
  <c r="D467" i="1"/>
  <c r="D468" i="1" a="1"/>
  <c r="D468" i="1"/>
  <c r="D469" i="1" a="1"/>
  <c r="D469" i="1"/>
  <c r="D470" i="1" a="1"/>
  <c r="D470" i="1"/>
  <c r="D471" i="1" a="1"/>
  <c r="D471" i="1"/>
  <c r="D472" i="1" a="1"/>
  <c r="D472" i="1"/>
  <c r="D473" i="1" a="1"/>
  <c r="D473" i="1"/>
  <c r="D474" i="1" a="1"/>
  <c r="D474" i="1"/>
  <c r="D475" i="1" a="1"/>
  <c r="D475" i="1"/>
  <c r="D476" i="1" a="1"/>
  <c r="D476" i="1"/>
  <c r="D477" i="1" a="1"/>
  <c r="D477" i="1"/>
  <c r="D478" i="1" a="1"/>
  <c r="D478" i="1"/>
  <c r="D479" i="1" a="1"/>
  <c r="D479" i="1"/>
  <c r="D480" i="1" a="1"/>
  <c r="D480" i="1"/>
  <c r="D481" i="1" a="1"/>
  <c r="D481" i="1"/>
  <c r="D482" i="1" a="1"/>
  <c r="D482" i="1"/>
  <c r="D483" i="1" a="1"/>
  <c r="D483" i="1"/>
  <c r="D484" i="1" a="1"/>
  <c r="D484" i="1"/>
  <c r="D485" i="1" a="1"/>
  <c r="D485" i="1"/>
  <c r="D486" i="1" a="1"/>
  <c r="D486" i="1"/>
  <c r="D487" i="1" a="1"/>
  <c r="D487" i="1"/>
  <c r="D488" i="1" a="1"/>
  <c r="D488" i="1"/>
  <c r="D489" i="1" a="1"/>
  <c r="D489" i="1"/>
  <c r="D490" i="1" a="1"/>
  <c r="D490" i="1"/>
  <c r="D491" i="1" a="1"/>
  <c r="D491" i="1"/>
  <c r="D492" i="1" a="1"/>
  <c r="D492" i="1"/>
  <c r="D493" i="1" a="1"/>
  <c r="D493" i="1"/>
  <c r="D494" i="1" a="1"/>
  <c r="D494" i="1"/>
  <c r="D495" i="1" a="1"/>
  <c r="D495" i="1"/>
  <c r="D496" i="1" a="1"/>
  <c r="D496" i="1"/>
  <c r="D497" i="1" a="1"/>
  <c r="D497" i="1"/>
  <c r="D498" i="1" a="1"/>
  <c r="D498" i="1"/>
  <c r="D499" i="1" a="1"/>
  <c r="D499" i="1"/>
  <c r="D500" i="1" a="1"/>
  <c r="D500" i="1"/>
  <c r="D501" i="1" a="1"/>
  <c r="D501" i="1"/>
  <c r="D502" i="1" a="1"/>
  <c r="D502" i="1"/>
  <c r="D503" i="1" a="1"/>
  <c r="D503" i="1"/>
  <c r="D504" i="1" a="1"/>
  <c r="D504" i="1"/>
  <c r="D505" i="1" a="1"/>
  <c r="D505" i="1"/>
  <c r="D506" i="1" a="1"/>
  <c r="D506" i="1"/>
  <c r="D507" i="1" a="1"/>
  <c r="D507" i="1"/>
  <c r="D508" i="1" a="1"/>
  <c r="D508" i="1"/>
  <c r="D509" i="1" a="1"/>
  <c r="D509" i="1"/>
  <c r="D510" i="1" a="1"/>
  <c r="D510" i="1"/>
  <c r="D511" i="1" a="1"/>
  <c r="D511" i="1"/>
  <c r="D512" i="1" a="1"/>
  <c r="D512" i="1"/>
  <c r="D513" i="1" a="1"/>
  <c r="D513" i="1"/>
  <c r="D514" i="1" a="1"/>
  <c r="D514" i="1"/>
  <c r="D515" i="1" a="1"/>
  <c r="D515" i="1"/>
  <c r="D516" i="1" a="1"/>
  <c r="D516" i="1"/>
  <c r="D517" i="1" a="1"/>
  <c r="D517" i="1"/>
  <c r="D518" i="1" a="1"/>
  <c r="D518" i="1"/>
  <c r="D519" i="1" a="1"/>
  <c r="D519" i="1"/>
  <c r="D520" i="1" a="1"/>
  <c r="D520" i="1"/>
  <c r="D521" i="1" a="1"/>
  <c r="D521" i="1"/>
  <c r="D522" i="1" a="1"/>
  <c r="D522" i="1"/>
  <c r="D523" i="1" a="1"/>
  <c r="D523" i="1"/>
  <c r="D524" i="1" a="1"/>
  <c r="D524" i="1"/>
  <c r="D525" i="1" a="1"/>
  <c r="D525" i="1"/>
  <c r="D526" i="1" a="1"/>
  <c r="D526" i="1"/>
  <c r="D527" i="1" a="1"/>
  <c r="D527" i="1"/>
  <c r="D528" i="1" a="1"/>
  <c r="D528" i="1"/>
  <c r="D529" i="1" a="1"/>
  <c r="D529" i="1"/>
  <c r="D530" i="1" a="1"/>
  <c r="D530" i="1"/>
  <c r="D531" i="1" a="1"/>
  <c r="D531" i="1"/>
  <c r="D532" i="1" a="1"/>
  <c r="D532" i="1"/>
  <c r="D533" i="1" a="1"/>
  <c r="D533" i="1"/>
  <c r="D534" i="1" a="1"/>
  <c r="D534" i="1"/>
  <c r="D535" i="1" a="1"/>
  <c r="D535" i="1"/>
  <c r="D536" i="1" a="1"/>
  <c r="D536" i="1"/>
  <c r="D537" i="1" a="1"/>
  <c r="D537" i="1"/>
  <c r="D538" i="1" a="1"/>
  <c r="D538" i="1"/>
  <c r="D539" i="1" a="1"/>
  <c r="D539" i="1"/>
  <c r="D540" i="1" a="1"/>
  <c r="D540" i="1"/>
  <c r="D541" i="1" a="1"/>
  <c r="D541" i="1"/>
  <c r="D542" i="1" a="1"/>
  <c r="D542" i="1"/>
  <c r="D543" i="1" a="1"/>
  <c r="D543" i="1"/>
  <c r="D544" i="1" a="1"/>
  <c r="D544" i="1"/>
  <c r="D545" i="1" a="1"/>
  <c r="D545" i="1"/>
  <c r="D546" i="1" a="1"/>
  <c r="D546" i="1"/>
  <c r="D547" i="1" a="1"/>
  <c r="D547" i="1"/>
  <c r="D548" i="1" a="1"/>
  <c r="D548" i="1"/>
  <c r="D549" i="1" a="1"/>
  <c r="D549" i="1"/>
  <c r="D550" i="1" a="1"/>
  <c r="D550" i="1"/>
  <c r="D551" i="1" a="1"/>
  <c r="D551" i="1"/>
  <c r="D552" i="1" a="1"/>
  <c r="D552" i="1"/>
  <c r="D553" i="1" a="1"/>
  <c r="D553" i="1"/>
  <c r="D554" i="1" a="1"/>
  <c r="D554" i="1"/>
  <c r="D555" i="1" a="1"/>
  <c r="D555" i="1"/>
  <c r="D556" i="1" a="1"/>
  <c r="D556" i="1"/>
  <c r="D557" i="1" a="1"/>
  <c r="D557" i="1"/>
  <c r="D558" i="1" a="1"/>
  <c r="D558" i="1"/>
  <c r="D559" i="1" a="1"/>
  <c r="D559" i="1"/>
  <c r="D560" i="1" a="1"/>
  <c r="D560" i="1"/>
  <c r="D561" i="1" a="1"/>
  <c r="D561" i="1"/>
  <c r="D562" i="1" a="1"/>
  <c r="D562" i="1"/>
  <c r="D563" i="1" a="1"/>
  <c r="D563" i="1"/>
  <c r="D564" i="1" a="1"/>
  <c r="D564" i="1"/>
  <c r="D565" i="1" a="1"/>
  <c r="D565" i="1"/>
  <c r="D566" i="1" a="1"/>
  <c r="D566" i="1"/>
  <c r="D567" i="1" a="1"/>
  <c r="D567" i="1"/>
  <c r="D568" i="1" a="1"/>
  <c r="D568" i="1"/>
  <c r="D569" i="1" a="1"/>
  <c r="D569" i="1"/>
  <c r="D570" i="1" a="1"/>
  <c r="D570" i="1"/>
  <c r="D571" i="1" a="1"/>
  <c r="D571" i="1"/>
  <c r="D572" i="1" a="1"/>
  <c r="D572" i="1"/>
  <c r="D573" i="1" a="1"/>
  <c r="D573" i="1"/>
  <c r="D574" i="1" a="1"/>
  <c r="D574" i="1"/>
  <c r="D575" i="1" a="1"/>
  <c r="D575" i="1"/>
  <c r="D576" i="1" a="1"/>
  <c r="D576" i="1"/>
  <c r="D577" i="1" a="1"/>
  <c r="D577" i="1"/>
  <c r="D578" i="1" a="1"/>
  <c r="D578" i="1"/>
  <c r="D579" i="1" a="1"/>
  <c r="D579" i="1"/>
  <c r="D580" i="1" a="1"/>
  <c r="D580" i="1"/>
  <c r="D581" i="1" a="1"/>
  <c r="D581" i="1"/>
  <c r="D582" i="1" a="1"/>
  <c r="D582" i="1"/>
  <c r="D583" i="1" a="1"/>
  <c r="D583" i="1"/>
  <c r="D584" i="1" a="1"/>
  <c r="D584" i="1"/>
  <c r="D585" i="1" a="1"/>
  <c r="D585" i="1"/>
  <c r="D586" i="1" a="1"/>
  <c r="D586" i="1"/>
  <c r="D587" i="1" a="1"/>
  <c r="D587" i="1"/>
  <c r="D588" i="1" a="1"/>
  <c r="D588" i="1"/>
  <c r="D589" i="1" a="1"/>
  <c r="D589" i="1"/>
  <c r="D590" i="1" a="1"/>
  <c r="D590" i="1"/>
  <c r="D591" i="1" a="1"/>
  <c r="D591" i="1"/>
  <c r="D592" i="1" a="1"/>
  <c r="D592" i="1"/>
  <c r="D593" i="1" a="1"/>
  <c r="D593" i="1"/>
  <c r="D594" i="1" a="1"/>
  <c r="D594" i="1"/>
  <c r="D595" i="1" a="1"/>
  <c r="D595" i="1"/>
  <c r="D596" i="1" a="1"/>
  <c r="D596" i="1"/>
  <c r="D597" i="1" a="1"/>
  <c r="D597" i="1"/>
  <c r="D598" i="1" a="1"/>
  <c r="D598" i="1"/>
  <c r="D599" i="1" a="1"/>
  <c r="D599" i="1"/>
  <c r="D600" i="1" a="1"/>
  <c r="D600" i="1"/>
  <c r="D601" i="1" a="1"/>
  <c r="D601" i="1"/>
  <c r="D602" i="1" a="1"/>
  <c r="D602" i="1"/>
  <c r="D603" i="1" a="1"/>
  <c r="D603" i="1"/>
  <c r="D604" i="1" a="1"/>
  <c r="D604" i="1"/>
  <c r="D605" i="1" a="1"/>
  <c r="D605" i="1"/>
  <c r="D606" i="1" a="1"/>
  <c r="D606" i="1"/>
  <c r="D607" i="1" a="1"/>
  <c r="D607" i="1"/>
  <c r="D608" i="1" a="1"/>
  <c r="D608" i="1"/>
  <c r="D609" i="1" a="1"/>
  <c r="D609" i="1"/>
  <c r="D610" i="1" a="1"/>
  <c r="D610" i="1"/>
  <c r="D611" i="1" a="1"/>
  <c r="D611" i="1"/>
  <c r="D612" i="1" a="1"/>
  <c r="D612" i="1"/>
  <c r="D613" i="1" a="1"/>
  <c r="D613" i="1"/>
  <c r="D614" i="1" a="1"/>
  <c r="D614" i="1"/>
  <c r="D615" i="1" a="1"/>
  <c r="D615" i="1"/>
  <c r="D616" i="1" a="1"/>
  <c r="D616" i="1"/>
  <c r="D617" i="1" a="1"/>
  <c r="D617" i="1"/>
  <c r="D618" i="1" a="1"/>
  <c r="D618" i="1"/>
  <c r="D619" i="1" a="1"/>
  <c r="D619" i="1"/>
  <c r="D620" i="1" a="1"/>
  <c r="D620" i="1"/>
  <c r="D621" i="1" a="1"/>
  <c r="D621" i="1"/>
  <c r="D622" i="1" a="1"/>
  <c r="D622" i="1"/>
  <c r="D623" i="1" a="1"/>
  <c r="D623" i="1"/>
  <c r="D624" i="1" a="1"/>
  <c r="D624" i="1"/>
  <c r="D625" i="1" a="1"/>
  <c r="D625" i="1"/>
  <c r="D626" i="1" a="1"/>
  <c r="D626" i="1"/>
  <c r="D627" i="1" a="1"/>
  <c r="D627" i="1"/>
  <c r="D628" i="1" a="1"/>
  <c r="D628" i="1"/>
  <c r="D629" i="1" a="1"/>
  <c r="D629" i="1"/>
  <c r="D630" i="1" a="1"/>
  <c r="D630" i="1"/>
  <c r="D631" i="1" a="1"/>
  <c r="D631" i="1"/>
  <c r="D632" i="1" a="1"/>
  <c r="D632" i="1"/>
  <c r="D633" i="1" a="1"/>
  <c r="D633" i="1"/>
  <c r="D634" i="1" a="1"/>
  <c r="D634" i="1"/>
  <c r="D635" i="1" a="1"/>
  <c r="D635" i="1"/>
  <c r="D636" i="1" a="1"/>
  <c r="D636" i="1"/>
  <c r="D637" i="1" a="1"/>
  <c r="D637" i="1"/>
  <c r="D638" i="1" a="1"/>
  <c r="D638" i="1"/>
  <c r="D639" i="1" a="1"/>
  <c r="D639" i="1"/>
  <c r="D640" i="1" a="1"/>
  <c r="D640" i="1"/>
  <c r="D641" i="1" a="1"/>
  <c r="D641" i="1"/>
  <c r="D642" i="1" a="1"/>
  <c r="D642" i="1"/>
  <c r="D643" i="1" a="1"/>
  <c r="D643" i="1"/>
  <c r="D644" i="1" a="1"/>
  <c r="D644" i="1"/>
  <c r="D645" i="1" a="1"/>
  <c r="D645" i="1"/>
  <c r="D646" i="1" a="1"/>
  <c r="D646" i="1"/>
  <c r="D647" i="1" a="1"/>
  <c r="D647" i="1"/>
  <c r="D648" i="1" a="1"/>
  <c r="D648" i="1"/>
  <c r="D649" i="1" a="1"/>
  <c r="D649" i="1"/>
  <c r="D650" i="1" a="1"/>
  <c r="D650" i="1"/>
  <c r="D651" i="1" a="1"/>
  <c r="D651" i="1"/>
  <c r="D652" i="1" a="1"/>
  <c r="D652" i="1"/>
  <c r="D653" i="1" a="1"/>
  <c r="D653" i="1"/>
  <c r="D654" i="1" a="1"/>
  <c r="D654" i="1"/>
  <c r="D655" i="1" a="1"/>
  <c r="D655" i="1"/>
  <c r="D656" i="1" a="1"/>
  <c r="D656" i="1"/>
  <c r="D657" i="1" a="1"/>
  <c r="D657" i="1"/>
  <c r="D658" i="1" a="1"/>
  <c r="D658" i="1"/>
  <c r="D659" i="1" a="1"/>
  <c r="D659" i="1"/>
  <c r="D660" i="1" a="1"/>
  <c r="D660" i="1"/>
  <c r="D661" i="1" a="1"/>
  <c r="D661" i="1"/>
  <c r="D662" i="1" a="1"/>
  <c r="D662" i="1"/>
  <c r="D663" i="1" a="1"/>
  <c r="D663" i="1"/>
  <c r="D664" i="1" a="1"/>
  <c r="D664" i="1"/>
  <c r="D665" i="1" a="1"/>
  <c r="D665" i="1"/>
  <c r="D666" i="1" a="1"/>
  <c r="D666" i="1"/>
  <c r="D667" i="1" a="1"/>
  <c r="D667" i="1"/>
  <c r="D668" i="1" a="1"/>
  <c r="D668" i="1"/>
  <c r="D669" i="1" a="1"/>
  <c r="D669" i="1"/>
  <c r="D670" i="1" a="1"/>
  <c r="D670" i="1"/>
  <c r="D671" i="1" a="1"/>
  <c r="D671" i="1"/>
  <c r="D672" i="1" a="1"/>
  <c r="D672" i="1"/>
  <c r="D673" i="1" a="1"/>
  <c r="D673" i="1"/>
  <c r="D674" i="1" a="1"/>
  <c r="D674" i="1"/>
  <c r="D675" i="1" a="1"/>
  <c r="D675" i="1"/>
  <c r="D676" i="1" a="1"/>
  <c r="D676" i="1"/>
  <c r="D677" i="1" a="1"/>
  <c r="D677" i="1"/>
  <c r="D678" i="1" a="1"/>
  <c r="D678" i="1"/>
  <c r="D679" i="1" a="1"/>
  <c r="D679" i="1"/>
  <c r="D680" i="1" a="1"/>
  <c r="D680" i="1"/>
  <c r="D681" i="1" a="1"/>
  <c r="D681" i="1"/>
  <c r="D682" i="1" a="1"/>
  <c r="D682" i="1"/>
  <c r="D683" i="1" a="1"/>
  <c r="D683" i="1"/>
  <c r="D684" i="1" a="1"/>
  <c r="D684" i="1"/>
  <c r="D685" i="1" a="1"/>
  <c r="D685" i="1"/>
  <c r="D686" i="1" a="1"/>
  <c r="D686" i="1"/>
  <c r="D687" i="1" a="1"/>
  <c r="D687" i="1"/>
  <c r="D688" i="1" a="1"/>
  <c r="D688" i="1"/>
  <c r="D689" i="1" a="1"/>
  <c r="D689" i="1"/>
  <c r="D690" i="1" a="1"/>
  <c r="D690" i="1"/>
  <c r="D691" i="1" a="1"/>
  <c r="D691" i="1"/>
  <c r="D692" i="1" a="1"/>
  <c r="D692" i="1"/>
  <c r="D693" i="1" a="1"/>
  <c r="D693" i="1"/>
  <c r="D694" i="1" a="1"/>
  <c r="D694" i="1"/>
  <c r="D695" i="1" a="1"/>
  <c r="D695" i="1"/>
  <c r="D696" i="1" a="1"/>
  <c r="D696" i="1"/>
  <c r="D697" i="1" a="1"/>
  <c r="D697" i="1"/>
  <c r="D698" i="1" a="1"/>
  <c r="D698" i="1"/>
  <c r="D699" i="1" a="1"/>
  <c r="D699" i="1"/>
  <c r="D700" i="1" a="1"/>
  <c r="D700" i="1"/>
  <c r="D701" i="1" a="1"/>
  <c r="D701" i="1"/>
  <c r="D702" i="1" a="1"/>
  <c r="D702" i="1"/>
  <c r="D703" i="1" a="1"/>
  <c r="D703" i="1"/>
  <c r="D704" i="1" a="1"/>
  <c r="D704" i="1"/>
  <c r="D705" i="1" a="1"/>
  <c r="D705" i="1"/>
  <c r="D706" i="1" a="1"/>
  <c r="D706" i="1"/>
  <c r="D707" i="1" a="1"/>
  <c r="D707" i="1"/>
  <c r="D708" i="1" a="1"/>
  <c r="D708" i="1"/>
  <c r="D709" i="1" a="1"/>
  <c r="D709" i="1"/>
  <c r="D710" i="1" a="1"/>
  <c r="D710" i="1"/>
  <c r="D711" i="1" a="1"/>
  <c r="D711" i="1"/>
  <c r="D712" i="1" a="1"/>
  <c r="D712" i="1"/>
  <c r="D713" i="1" a="1"/>
  <c r="D713" i="1"/>
  <c r="D714" i="1" a="1"/>
  <c r="D714" i="1"/>
  <c r="D715" i="1" a="1"/>
  <c r="D715" i="1"/>
  <c r="D716" i="1" a="1"/>
  <c r="D716" i="1"/>
  <c r="D717" i="1" a="1"/>
  <c r="D717" i="1"/>
  <c r="D718" i="1" a="1"/>
  <c r="D718" i="1"/>
  <c r="D719" i="1" a="1"/>
  <c r="D719" i="1"/>
  <c r="D720" i="1" a="1"/>
  <c r="D720" i="1"/>
  <c r="D721" i="1" a="1"/>
  <c r="D721" i="1"/>
  <c r="D722" i="1" a="1"/>
  <c r="D722" i="1"/>
  <c r="D723" i="1" a="1"/>
  <c r="D723" i="1"/>
  <c r="D724" i="1" a="1"/>
  <c r="D724" i="1"/>
  <c r="D725" i="1" a="1"/>
  <c r="D725" i="1"/>
  <c r="D726" i="1" a="1"/>
  <c r="D726" i="1"/>
  <c r="D727" i="1" a="1"/>
  <c r="D727" i="1"/>
  <c r="D728" i="1" a="1"/>
  <c r="D728" i="1"/>
  <c r="D729" i="1" a="1"/>
  <c r="D729" i="1"/>
  <c r="D730" i="1" a="1"/>
  <c r="D730" i="1"/>
  <c r="D731" i="1" a="1"/>
  <c r="D731" i="1"/>
  <c r="D732" i="1" a="1"/>
  <c r="D732" i="1"/>
  <c r="D733" i="1" a="1"/>
  <c r="D733" i="1"/>
  <c r="D734" i="1" a="1"/>
  <c r="D734" i="1"/>
  <c r="D735" i="1" a="1"/>
  <c r="D735" i="1"/>
  <c r="D736" i="1" a="1"/>
  <c r="D736" i="1"/>
  <c r="D737" i="1" a="1"/>
  <c r="D737" i="1"/>
  <c r="D738" i="1" a="1"/>
  <c r="D738" i="1"/>
  <c r="D739" i="1" a="1"/>
  <c r="D739" i="1"/>
  <c r="D740" i="1" a="1"/>
  <c r="D740" i="1"/>
  <c r="D741" i="1" a="1"/>
  <c r="D741" i="1"/>
  <c r="D742" i="1" a="1"/>
  <c r="D742" i="1"/>
  <c r="D743" i="1" a="1"/>
  <c r="D743" i="1"/>
  <c r="D744" i="1" a="1"/>
  <c r="D744" i="1"/>
  <c r="D745" i="1" a="1"/>
  <c r="D745" i="1"/>
  <c r="D746" i="1" a="1"/>
  <c r="D746" i="1"/>
  <c r="D747" i="1" a="1"/>
  <c r="D747" i="1"/>
  <c r="D748" i="1" a="1"/>
  <c r="D748" i="1"/>
  <c r="D749" i="1" a="1"/>
  <c r="D749" i="1"/>
  <c r="D750" i="1" a="1"/>
  <c r="D750" i="1"/>
  <c r="D751" i="1" a="1"/>
  <c r="D751" i="1"/>
  <c r="D752" i="1" a="1"/>
  <c r="D752" i="1"/>
  <c r="D753" i="1" a="1"/>
  <c r="D753" i="1"/>
  <c r="D754" i="1" a="1"/>
  <c r="D754" i="1"/>
  <c r="D755" i="1" a="1"/>
  <c r="D755" i="1"/>
  <c r="D756" i="1" a="1"/>
  <c r="D756" i="1"/>
  <c r="D757" i="1" a="1"/>
  <c r="D757" i="1"/>
  <c r="D758" i="1" a="1"/>
  <c r="D758" i="1"/>
  <c r="D759" i="1" a="1"/>
  <c r="D759" i="1"/>
  <c r="D760" i="1" a="1"/>
  <c r="D760" i="1"/>
  <c r="D761" i="1" a="1"/>
  <c r="D761" i="1"/>
  <c r="D762" i="1" a="1"/>
  <c r="D762" i="1"/>
  <c r="D763" i="1" a="1"/>
  <c r="D763" i="1"/>
  <c r="D764" i="1" a="1"/>
  <c r="D764" i="1"/>
  <c r="D765" i="1" a="1"/>
  <c r="D765" i="1"/>
  <c r="D766" i="1" a="1"/>
  <c r="D766" i="1"/>
  <c r="D767" i="1" a="1"/>
  <c r="D767" i="1"/>
  <c r="D768" i="1" a="1"/>
  <c r="D768" i="1"/>
  <c r="D769" i="1" a="1"/>
  <c r="D769" i="1"/>
  <c r="D770" i="1" a="1"/>
  <c r="D770" i="1"/>
  <c r="D771" i="1" a="1"/>
  <c r="D771" i="1"/>
  <c r="D772" i="1" a="1"/>
  <c r="D772" i="1"/>
  <c r="D773" i="1" a="1"/>
  <c r="D773" i="1"/>
  <c r="D774" i="1" a="1"/>
  <c r="D774" i="1"/>
  <c r="D775" i="1" a="1"/>
  <c r="D775" i="1"/>
  <c r="D776" i="1" a="1"/>
  <c r="D776" i="1"/>
  <c r="D777" i="1" a="1"/>
  <c r="D777" i="1"/>
  <c r="D778" i="1" a="1"/>
  <c r="D778" i="1"/>
  <c r="D779" i="1" a="1"/>
  <c r="D779" i="1"/>
  <c r="D780" i="1" a="1"/>
  <c r="D780" i="1"/>
  <c r="D781" i="1" a="1"/>
  <c r="D781" i="1"/>
  <c r="D782" i="1" a="1"/>
  <c r="D782" i="1"/>
  <c r="D783" i="1" a="1"/>
  <c r="D783" i="1"/>
  <c r="D784" i="1" a="1"/>
  <c r="D784" i="1"/>
  <c r="D785" i="1" a="1"/>
  <c r="D785" i="1"/>
  <c r="D786" i="1" a="1"/>
  <c r="D786" i="1"/>
  <c r="D787" i="1" a="1"/>
  <c r="D787" i="1"/>
  <c r="D788" i="1" a="1"/>
  <c r="D788" i="1"/>
  <c r="D789" i="1" a="1"/>
  <c r="D789" i="1"/>
  <c r="D790" i="1" a="1"/>
  <c r="D790" i="1"/>
  <c r="D791" i="1" a="1"/>
  <c r="D791" i="1"/>
  <c r="D792" i="1" a="1"/>
  <c r="D792" i="1"/>
  <c r="D793" i="1" a="1"/>
  <c r="D793" i="1"/>
  <c r="D794" i="1" a="1"/>
  <c r="D794" i="1"/>
  <c r="D795" i="1" a="1"/>
  <c r="D795" i="1"/>
  <c r="D796" i="1" a="1"/>
  <c r="D796" i="1"/>
  <c r="D797" i="1" a="1"/>
  <c r="D797" i="1"/>
  <c r="D798" i="1" a="1"/>
  <c r="D798" i="1"/>
  <c r="D799" i="1" a="1"/>
  <c r="D799" i="1"/>
  <c r="D800" i="1" a="1"/>
  <c r="D800" i="1"/>
  <c r="D801" i="1" a="1"/>
  <c r="D801" i="1"/>
  <c r="D802" i="1" a="1"/>
  <c r="D802" i="1"/>
  <c r="D803" i="1" a="1"/>
  <c r="D803" i="1"/>
  <c r="D804" i="1" a="1"/>
  <c r="D804" i="1"/>
  <c r="D805" i="1" a="1"/>
  <c r="D805" i="1"/>
  <c r="D806" i="1" a="1"/>
  <c r="D806" i="1"/>
  <c r="D807" i="1" a="1"/>
  <c r="D807" i="1"/>
  <c r="D808" i="1" a="1"/>
  <c r="D808" i="1"/>
  <c r="D809" i="1" a="1"/>
  <c r="D809" i="1"/>
  <c r="D810" i="1" a="1"/>
  <c r="D810" i="1"/>
  <c r="D811" i="1" a="1"/>
  <c r="D811" i="1"/>
  <c r="D812" i="1" a="1"/>
  <c r="D812" i="1"/>
  <c r="D813" i="1" a="1"/>
  <c r="D813" i="1"/>
  <c r="D814" i="1" a="1"/>
  <c r="D814" i="1"/>
  <c r="D815" i="1" a="1"/>
  <c r="D815" i="1"/>
  <c r="D816" i="1" a="1"/>
  <c r="D816" i="1"/>
  <c r="D817" i="1" a="1"/>
  <c r="D817" i="1"/>
  <c r="D818" i="1" a="1"/>
  <c r="D818" i="1"/>
  <c r="D819" i="1" a="1"/>
  <c r="D819" i="1"/>
  <c r="D820" i="1" a="1"/>
  <c r="D820" i="1"/>
  <c r="D821" i="1" a="1"/>
  <c r="D821" i="1"/>
  <c r="D822" i="1" a="1"/>
  <c r="D822" i="1"/>
  <c r="D823" i="1" a="1"/>
  <c r="D823" i="1"/>
  <c r="D824" i="1" a="1"/>
  <c r="D824" i="1"/>
  <c r="D825" i="1" a="1"/>
  <c r="D825" i="1"/>
  <c r="D826" i="1" a="1"/>
  <c r="D826" i="1"/>
  <c r="D827" i="1" a="1"/>
  <c r="D827" i="1"/>
  <c r="D828" i="1" a="1"/>
  <c r="D828" i="1"/>
  <c r="D829" i="1" a="1"/>
  <c r="D829" i="1"/>
  <c r="D830" i="1" a="1"/>
  <c r="D830" i="1"/>
  <c r="D831" i="1" a="1"/>
  <c r="D831" i="1"/>
  <c r="D832" i="1" a="1"/>
  <c r="D832" i="1"/>
  <c r="D833" i="1" a="1"/>
  <c r="D833" i="1"/>
  <c r="D834" i="1" a="1"/>
  <c r="D834" i="1"/>
  <c r="D835" i="1" a="1"/>
  <c r="D835" i="1"/>
  <c r="D836" i="1" a="1"/>
  <c r="D836" i="1"/>
  <c r="D837" i="1" a="1"/>
  <c r="D837" i="1"/>
  <c r="D838" i="1" a="1"/>
  <c r="D838" i="1"/>
  <c r="D839" i="1" a="1"/>
  <c r="D839" i="1"/>
  <c r="D840" i="1" a="1"/>
  <c r="D840" i="1"/>
  <c r="D841" i="1" a="1"/>
  <c r="D841" i="1"/>
  <c r="D842" i="1" a="1"/>
  <c r="D842" i="1"/>
  <c r="D843" i="1" a="1"/>
  <c r="D843" i="1"/>
  <c r="D844" i="1" a="1"/>
  <c r="D844" i="1"/>
  <c r="D845" i="1" a="1"/>
  <c r="D845" i="1"/>
  <c r="D846" i="1" a="1"/>
  <c r="D846" i="1"/>
  <c r="D847" i="1" a="1"/>
  <c r="D847" i="1"/>
  <c r="D848" i="1" a="1"/>
  <c r="D848" i="1"/>
  <c r="D849" i="1" a="1"/>
  <c r="D849" i="1"/>
  <c r="D850" i="1" a="1"/>
  <c r="D850" i="1"/>
  <c r="D851" i="1" a="1"/>
  <c r="D851" i="1"/>
  <c r="D852" i="1" a="1"/>
  <c r="D852" i="1"/>
  <c r="D853" i="1" a="1"/>
  <c r="D853" i="1"/>
  <c r="D854" i="1" a="1"/>
  <c r="D854" i="1"/>
  <c r="D855" i="1" a="1"/>
  <c r="D855" i="1"/>
  <c r="D856" i="1" a="1"/>
  <c r="D856" i="1"/>
  <c r="D857" i="1" a="1"/>
  <c r="D857" i="1"/>
  <c r="D858" i="1" a="1"/>
  <c r="D858" i="1"/>
  <c r="D859" i="1" a="1"/>
  <c r="D859" i="1"/>
  <c r="D860" i="1" a="1"/>
  <c r="D860" i="1"/>
  <c r="D861" i="1" a="1"/>
  <c r="D861" i="1"/>
  <c r="D862" i="1" a="1"/>
  <c r="D862" i="1"/>
  <c r="D863" i="1" a="1"/>
  <c r="D863" i="1"/>
  <c r="D864" i="1" a="1"/>
  <c r="D864" i="1"/>
  <c r="D865" i="1" a="1"/>
  <c r="D865" i="1"/>
  <c r="D866" i="1" a="1"/>
  <c r="D866" i="1"/>
  <c r="D867" i="1" a="1"/>
  <c r="D867" i="1"/>
  <c r="D868" i="1" a="1"/>
  <c r="D868" i="1"/>
  <c r="D869" i="1" a="1"/>
  <c r="D869" i="1"/>
  <c r="D870" i="1" a="1"/>
  <c r="D870" i="1"/>
  <c r="D871" i="1" a="1"/>
  <c r="D871" i="1"/>
  <c r="D872" i="1" a="1"/>
  <c r="D872" i="1"/>
  <c r="D873" i="1" a="1"/>
  <c r="D873" i="1"/>
  <c r="D874" i="1" a="1"/>
  <c r="D874" i="1"/>
  <c r="D875" i="1" a="1"/>
  <c r="D875" i="1"/>
  <c r="D876" i="1" a="1"/>
  <c r="D876" i="1"/>
  <c r="D877" i="1" a="1"/>
  <c r="D877" i="1"/>
  <c r="D878" i="1" a="1"/>
  <c r="D878" i="1"/>
  <c r="D879" i="1" a="1"/>
  <c r="D879" i="1"/>
  <c r="D880" i="1" a="1"/>
  <c r="D880" i="1"/>
  <c r="D881" i="1" a="1"/>
  <c r="D881" i="1"/>
  <c r="D882" i="1" a="1"/>
  <c r="D882" i="1"/>
  <c r="D883" i="1" a="1"/>
  <c r="D883" i="1"/>
  <c r="D884" i="1" a="1"/>
  <c r="D884" i="1"/>
  <c r="D885" i="1" a="1"/>
  <c r="D885" i="1"/>
  <c r="D886" i="1" a="1"/>
  <c r="D886" i="1"/>
  <c r="D887" i="1" a="1"/>
  <c r="D887" i="1"/>
  <c r="D888" i="1" a="1"/>
  <c r="D888" i="1"/>
  <c r="D889" i="1" a="1"/>
  <c r="D889" i="1"/>
  <c r="D890" i="1" a="1"/>
  <c r="D890" i="1"/>
  <c r="D891" i="1" a="1"/>
  <c r="D891" i="1"/>
  <c r="D892" i="1" a="1"/>
  <c r="D892" i="1"/>
  <c r="D893" i="1" a="1"/>
  <c r="D893" i="1"/>
  <c r="D894" i="1" a="1"/>
  <c r="D894" i="1"/>
  <c r="D895" i="1" a="1"/>
  <c r="D895" i="1"/>
  <c r="D896" i="1" a="1"/>
  <c r="D896" i="1"/>
  <c r="D897" i="1" a="1"/>
  <c r="D897" i="1"/>
  <c r="D898" i="1" a="1"/>
  <c r="D898" i="1"/>
  <c r="D899" i="1" a="1"/>
  <c r="D899" i="1"/>
  <c r="D900" i="1" a="1"/>
  <c r="D900" i="1"/>
  <c r="D901" i="1" a="1"/>
  <c r="D901" i="1"/>
  <c r="D902" i="1" a="1"/>
  <c r="D902" i="1"/>
  <c r="D903" i="1" a="1"/>
  <c r="D903" i="1"/>
  <c r="D904" i="1" a="1"/>
  <c r="D904" i="1"/>
  <c r="D905" i="1" a="1"/>
  <c r="D905" i="1"/>
  <c r="D906" i="1" a="1"/>
  <c r="D906" i="1"/>
  <c r="D907" i="1" a="1"/>
  <c r="D907" i="1"/>
  <c r="D908" i="1" a="1"/>
  <c r="D908" i="1"/>
  <c r="D909" i="1" a="1"/>
  <c r="D909" i="1"/>
  <c r="D910" i="1" a="1"/>
  <c r="D910" i="1"/>
  <c r="D911" i="1" a="1"/>
  <c r="D911" i="1"/>
  <c r="D912" i="1" a="1"/>
  <c r="D912" i="1"/>
  <c r="D913" i="1" a="1"/>
  <c r="D913" i="1"/>
  <c r="F2" i="1" a="1"/>
  <c r="F2" i="1"/>
  <c r="D2" i="1" a="1"/>
  <c r="D2" i="1"/>
  <c r="AP913" i="1"/>
  <c r="AQ913" i="1" s="1"/>
  <c r="AM913" i="1"/>
  <c r="AJ913" i="1"/>
  <c r="AH913" i="1"/>
  <c r="Z913" i="1"/>
  <c r="W913" i="1"/>
  <c r="U913" i="1"/>
  <c r="S913" i="1"/>
  <c r="Q913" i="1"/>
  <c r="O913" i="1"/>
  <c r="M913" i="1"/>
  <c r="K913" i="1"/>
  <c r="AP912" i="1"/>
  <c r="AQ912" i="1" s="1"/>
  <c r="AM912" i="1"/>
  <c r="AJ912" i="1"/>
  <c r="AH912" i="1"/>
  <c r="Z912" i="1"/>
  <c r="W912" i="1"/>
  <c r="U912" i="1"/>
  <c r="S912" i="1"/>
  <c r="Q912" i="1"/>
  <c r="O912" i="1"/>
  <c r="M912" i="1"/>
  <c r="K912" i="1"/>
  <c r="AP911" i="1"/>
  <c r="AQ911" i="1" s="1"/>
  <c r="AM911" i="1"/>
  <c r="AJ911" i="1"/>
  <c r="AH911" i="1"/>
  <c r="Z911" i="1"/>
  <c r="W911" i="1"/>
  <c r="U911" i="1"/>
  <c r="S911" i="1"/>
  <c r="Q911" i="1"/>
  <c r="O911" i="1"/>
  <c r="M911" i="1"/>
  <c r="K911" i="1"/>
  <c r="AP910" i="1"/>
  <c r="AQ910" i="1" s="1"/>
  <c r="AM910" i="1"/>
  <c r="AJ910" i="1"/>
  <c r="AH910" i="1"/>
  <c r="Z910" i="1"/>
  <c r="W910" i="1"/>
  <c r="U910" i="1"/>
  <c r="S910" i="1"/>
  <c r="Q910" i="1"/>
  <c r="O910" i="1"/>
  <c r="M910" i="1"/>
  <c r="K910" i="1"/>
  <c r="AP909" i="1"/>
  <c r="AQ909" i="1" s="1"/>
  <c r="AM909" i="1"/>
  <c r="AJ909" i="1"/>
  <c r="AH909" i="1"/>
  <c r="Z909" i="1"/>
  <c r="W909" i="1"/>
  <c r="U909" i="1"/>
  <c r="S909" i="1"/>
  <c r="Q909" i="1"/>
  <c r="O909" i="1"/>
  <c r="M909" i="1"/>
  <c r="K909" i="1"/>
  <c r="AP908" i="1"/>
  <c r="AQ908" i="1" s="1"/>
  <c r="AM908" i="1"/>
  <c r="AJ908" i="1"/>
  <c r="AH908" i="1"/>
  <c r="Z908" i="1"/>
  <c r="W908" i="1"/>
  <c r="U908" i="1"/>
  <c r="S908" i="1"/>
  <c r="Q908" i="1"/>
  <c r="O908" i="1"/>
  <c r="M908" i="1"/>
  <c r="K908" i="1"/>
  <c r="AP907" i="1"/>
  <c r="AQ907" i="1" s="1"/>
  <c r="AM907" i="1"/>
  <c r="AJ907" i="1"/>
  <c r="AH907" i="1"/>
  <c r="Z907" i="1"/>
  <c r="W907" i="1"/>
  <c r="U907" i="1"/>
  <c r="S907" i="1"/>
  <c r="Q907" i="1"/>
  <c r="O907" i="1"/>
  <c r="M907" i="1"/>
  <c r="K907" i="1"/>
  <c r="AP906" i="1"/>
  <c r="AQ906" i="1" s="1"/>
  <c r="AM906" i="1"/>
  <c r="AJ906" i="1"/>
  <c r="AH906" i="1"/>
  <c r="Z906" i="1"/>
  <c r="W906" i="1"/>
  <c r="U906" i="1"/>
  <c r="S906" i="1"/>
  <c r="Q906" i="1"/>
  <c r="O906" i="1"/>
  <c r="M906" i="1"/>
  <c r="K906" i="1"/>
  <c r="AP905" i="1"/>
  <c r="AQ905" i="1" s="1"/>
  <c r="AM905" i="1"/>
  <c r="AJ905" i="1"/>
  <c r="AH905" i="1"/>
  <c r="Z905" i="1"/>
  <c r="W905" i="1"/>
  <c r="U905" i="1"/>
  <c r="S905" i="1"/>
  <c r="Q905" i="1"/>
  <c r="O905" i="1"/>
  <c r="M905" i="1"/>
  <c r="K905" i="1"/>
  <c r="AP904" i="1"/>
  <c r="AQ904" i="1" s="1"/>
  <c r="AM904" i="1"/>
  <c r="AJ904" i="1"/>
  <c r="AH904" i="1"/>
  <c r="Z904" i="1"/>
  <c r="W904" i="1"/>
  <c r="U904" i="1"/>
  <c r="S904" i="1"/>
  <c r="Q904" i="1"/>
  <c r="O904" i="1"/>
  <c r="M904" i="1"/>
  <c r="K904" i="1"/>
  <c r="AP903" i="1"/>
  <c r="AQ903" i="1" s="1"/>
  <c r="AM903" i="1"/>
  <c r="AJ903" i="1"/>
  <c r="AH903" i="1"/>
  <c r="Z903" i="1"/>
  <c r="W903" i="1"/>
  <c r="U903" i="1"/>
  <c r="S903" i="1"/>
  <c r="Q903" i="1"/>
  <c r="O903" i="1"/>
  <c r="M903" i="1"/>
  <c r="K903" i="1"/>
  <c r="AP902" i="1"/>
  <c r="AQ902" i="1" s="1"/>
  <c r="AM902" i="1"/>
  <c r="AJ902" i="1"/>
  <c r="AH902" i="1"/>
  <c r="Z902" i="1"/>
  <c r="W902" i="1"/>
  <c r="U902" i="1"/>
  <c r="S902" i="1"/>
  <c r="Q902" i="1"/>
  <c r="O902" i="1"/>
  <c r="M902" i="1"/>
  <c r="K902" i="1"/>
  <c r="AP901" i="1"/>
  <c r="AQ901" i="1" s="1"/>
  <c r="AM901" i="1"/>
  <c r="AJ901" i="1"/>
  <c r="AH901" i="1"/>
  <c r="Z901" i="1"/>
  <c r="W901" i="1"/>
  <c r="U901" i="1"/>
  <c r="S901" i="1"/>
  <c r="Q901" i="1"/>
  <c r="O901" i="1"/>
  <c r="M901" i="1"/>
  <c r="K901" i="1"/>
  <c r="AP900" i="1"/>
  <c r="AQ900" i="1" s="1"/>
  <c r="AM900" i="1"/>
  <c r="AJ900" i="1"/>
  <c r="AH900" i="1"/>
  <c r="Z900" i="1"/>
  <c r="W900" i="1"/>
  <c r="U900" i="1"/>
  <c r="S900" i="1"/>
  <c r="Q900" i="1"/>
  <c r="O900" i="1"/>
  <c r="M900" i="1"/>
  <c r="K900" i="1"/>
  <c r="AP899" i="1"/>
  <c r="AQ899" i="1" s="1"/>
  <c r="AM899" i="1"/>
  <c r="AJ899" i="1"/>
  <c r="AH899" i="1"/>
  <c r="Z899" i="1"/>
  <c r="W899" i="1"/>
  <c r="U899" i="1"/>
  <c r="S899" i="1"/>
  <c r="Q899" i="1"/>
  <c r="O899" i="1"/>
  <c r="M899" i="1"/>
  <c r="K899" i="1"/>
  <c r="AP898" i="1"/>
  <c r="AQ898" i="1" s="1"/>
  <c r="AM898" i="1"/>
  <c r="AJ898" i="1"/>
  <c r="AH898" i="1"/>
  <c r="Z898" i="1"/>
  <c r="W898" i="1"/>
  <c r="U898" i="1"/>
  <c r="S898" i="1"/>
  <c r="Q898" i="1"/>
  <c r="O898" i="1"/>
  <c r="M898" i="1"/>
  <c r="K898" i="1"/>
  <c r="AP897" i="1"/>
  <c r="AQ897" i="1" s="1"/>
  <c r="AM897" i="1"/>
  <c r="AJ897" i="1"/>
  <c r="AH897" i="1"/>
  <c r="Z897" i="1"/>
  <c r="W897" i="1"/>
  <c r="U897" i="1"/>
  <c r="S897" i="1"/>
  <c r="Q897" i="1"/>
  <c r="O897" i="1"/>
  <c r="M897" i="1"/>
  <c r="K897" i="1"/>
  <c r="AP896" i="1"/>
  <c r="AQ896" i="1" s="1"/>
  <c r="AM896" i="1"/>
  <c r="AJ896" i="1"/>
  <c r="AH896" i="1"/>
  <c r="Z896" i="1"/>
  <c r="W896" i="1"/>
  <c r="U896" i="1"/>
  <c r="S896" i="1"/>
  <c r="Q896" i="1"/>
  <c r="O896" i="1"/>
  <c r="M896" i="1"/>
  <c r="K896" i="1"/>
  <c r="AP895" i="1"/>
  <c r="AQ895" i="1" s="1"/>
  <c r="AM895" i="1"/>
  <c r="AJ895" i="1"/>
  <c r="AH895" i="1"/>
  <c r="Z895" i="1"/>
  <c r="W895" i="1"/>
  <c r="U895" i="1"/>
  <c r="S895" i="1"/>
  <c r="Q895" i="1"/>
  <c r="O895" i="1"/>
  <c r="M895" i="1"/>
  <c r="K895" i="1"/>
  <c r="AP894" i="1"/>
  <c r="AQ894" i="1" s="1"/>
  <c r="AM894" i="1"/>
  <c r="AJ894" i="1"/>
  <c r="AH894" i="1"/>
  <c r="Z894" i="1"/>
  <c r="W894" i="1"/>
  <c r="U894" i="1"/>
  <c r="S894" i="1"/>
  <c r="Q894" i="1"/>
  <c r="O894" i="1"/>
  <c r="M894" i="1"/>
  <c r="K894" i="1"/>
  <c r="AP893" i="1"/>
  <c r="AQ893" i="1" s="1"/>
  <c r="AM893" i="1"/>
  <c r="AJ893" i="1"/>
  <c r="AH893" i="1"/>
  <c r="Z893" i="1"/>
  <c r="W893" i="1"/>
  <c r="U893" i="1"/>
  <c r="S893" i="1"/>
  <c r="Q893" i="1"/>
  <c r="O893" i="1"/>
  <c r="M893" i="1"/>
  <c r="K893" i="1"/>
  <c r="AP892" i="1"/>
  <c r="AQ892" i="1" s="1"/>
  <c r="AM892" i="1"/>
  <c r="AJ892" i="1"/>
  <c r="AH892" i="1"/>
  <c r="Z892" i="1"/>
  <c r="W892" i="1"/>
  <c r="U892" i="1"/>
  <c r="S892" i="1"/>
  <c r="Q892" i="1"/>
  <c r="O892" i="1"/>
  <c r="M892" i="1"/>
  <c r="K892" i="1"/>
  <c r="AP891" i="1"/>
  <c r="AQ891" i="1" s="1"/>
  <c r="AM891" i="1"/>
  <c r="AJ891" i="1"/>
  <c r="AH891" i="1"/>
  <c r="Z891" i="1"/>
  <c r="W891" i="1"/>
  <c r="U891" i="1"/>
  <c r="S891" i="1"/>
  <c r="Q891" i="1"/>
  <c r="O891" i="1"/>
  <c r="M891" i="1"/>
  <c r="K891" i="1"/>
  <c r="AP890" i="1"/>
  <c r="AQ890" i="1" s="1"/>
  <c r="AM890" i="1"/>
  <c r="AJ890" i="1"/>
  <c r="AH890" i="1"/>
  <c r="Z890" i="1"/>
  <c r="W890" i="1"/>
  <c r="U890" i="1"/>
  <c r="S890" i="1"/>
  <c r="Q890" i="1"/>
  <c r="O890" i="1"/>
  <c r="M890" i="1"/>
  <c r="K890" i="1"/>
  <c r="AP889" i="1"/>
  <c r="AQ889" i="1" s="1"/>
  <c r="AM889" i="1"/>
  <c r="AJ889" i="1"/>
  <c r="AH889" i="1"/>
  <c r="Z889" i="1"/>
  <c r="W889" i="1"/>
  <c r="U889" i="1"/>
  <c r="S889" i="1"/>
  <c r="Q889" i="1"/>
  <c r="O889" i="1"/>
  <c r="M889" i="1"/>
  <c r="K889" i="1"/>
  <c r="AP888" i="1"/>
  <c r="AQ888" i="1" s="1"/>
  <c r="AM888" i="1"/>
  <c r="AJ888" i="1"/>
  <c r="AH888" i="1"/>
  <c r="Z888" i="1"/>
  <c r="W888" i="1"/>
  <c r="U888" i="1"/>
  <c r="S888" i="1"/>
  <c r="Q888" i="1"/>
  <c r="O888" i="1"/>
  <c r="M888" i="1"/>
  <c r="K888" i="1"/>
  <c r="AP887" i="1"/>
  <c r="AQ887" i="1" s="1"/>
  <c r="AM887" i="1"/>
  <c r="AJ887" i="1"/>
  <c r="AH887" i="1"/>
  <c r="Z887" i="1"/>
  <c r="W887" i="1"/>
  <c r="U887" i="1"/>
  <c r="S887" i="1"/>
  <c r="Q887" i="1"/>
  <c r="O887" i="1"/>
  <c r="M887" i="1"/>
  <c r="K887" i="1"/>
  <c r="AP886" i="1"/>
  <c r="AQ886" i="1" s="1"/>
  <c r="AM886" i="1"/>
  <c r="AJ886" i="1"/>
  <c r="AH886" i="1"/>
  <c r="Z886" i="1"/>
  <c r="W886" i="1"/>
  <c r="U886" i="1"/>
  <c r="S886" i="1"/>
  <c r="Q886" i="1"/>
  <c r="O886" i="1"/>
  <c r="M886" i="1"/>
  <c r="K886" i="1"/>
  <c r="AP885" i="1"/>
  <c r="AQ885" i="1" s="1"/>
  <c r="AM885" i="1"/>
  <c r="AJ885" i="1"/>
  <c r="AH885" i="1"/>
  <c r="Z885" i="1"/>
  <c r="W885" i="1"/>
  <c r="U885" i="1"/>
  <c r="S885" i="1"/>
  <c r="Q885" i="1"/>
  <c r="O885" i="1"/>
  <c r="M885" i="1"/>
  <c r="K885" i="1"/>
  <c r="AP884" i="1"/>
  <c r="AQ884" i="1" s="1"/>
  <c r="AM884" i="1"/>
  <c r="AJ884" i="1"/>
  <c r="AH884" i="1"/>
  <c r="Z884" i="1"/>
  <c r="W884" i="1"/>
  <c r="U884" i="1"/>
  <c r="S884" i="1"/>
  <c r="Q884" i="1"/>
  <c r="O884" i="1"/>
  <c r="M884" i="1"/>
  <c r="K884" i="1"/>
  <c r="AP883" i="1"/>
  <c r="AQ883" i="1" s="1"/>
  <c r="AM883" i="1"/>
  <c r="AJ883" i="1"/>
  <c r="AH883" i="1"/>
  <c r="Z883" i="1"/>
  <c r="W883" i="1"/>
  <c r="U883" i="1"/>
  <c r="S883" i="1"/>
  <c r="Q883" i="1"/>
  <c r="O883" i="1"/>
  <c r="M883" i="1"/>
  <c r="K883" i="1"/>
  <c r="AP882" i="1"/>
  <c r="AQ882" i="1" s="1"/>
  <c r="AM882" i="1"/>
  <c r="AJ882" i="1"/>
  <c r="AH882" i="1"/>
  <c r="Z882" i="1"/>
  <c r="W882" i="1"/>
  <c r="U882" i="1"/>
  <c r="S882" i="1"/>
  <c r="Q882" i="1"/>
  <c r="O882" i="1"/>
  <c r="M882" i="1"/>
  <c r="K882" i="1"/>
  <c r="AP881" i="1"/>
  <c r="AQ881" i="1" s="1"/>
  <c r="AM881" i="1"/>
  <c r="AJ881" i="1"/>
  <c r="AH881" i="1"/>
  <c r="Z881" i="1"/>
  <c r="W881" i="1"/>
  <c r="U881" i="1"/>
  <c r="S881" i="1"/>
  <c r="Q881" i="1"/>
  <c r="O881" i="1"/>
  <c r="M881" i="1"/>
  <c r="K881" i="1"/>
  <c r="AP880" i="1"/>
  <c r="AQ880" i="1" s="1"/>
  <c r="AM880" i="1"/>
  <c r="AJ880" i="1"/>
  <c r="AH880" i="1"/>
  <c r="Z880" i="1"/>
  <c r="W880" i="1"/>
  <c r="U880" i="1"/>
  <c r="S880" i="1"/>
  <c r="Q880" i="1"/>
  <c r="O880" i="1"/>
  <c r="M880" i="1"/>
  <c r="K880" i="1"/>
  <c r="AP879" i="1"/>
  <c r="AQ879" i="1" s="1"/>
  <c r="AM879" i="1"/>
  <c r="AJ879" i="1"/>
  <c r="AH879" i="1"/>
  <c r="Z879" i="1"/>
  <c r="W879" i="1"/>
  <c r="U879" i="1"/>
  <c r="S879" i="1"/>
  <c r="Q879" i="1"/>
  <c r="O879" i="1"/>
  <c r="M879" i="1"/>
  <c r="K879" i="1"/>
  <c r="AP878" i="1"/>
  <c r="AQ878" i="1" s="1"/>
  <c r="AM878" i="1"/>
  <c r="AJ878" i="1"/>
  <c r="AH878" i="1"/>
  <c r="Z878" i="1"/>
  <c r="W878" i="1"/>
  <c r="U878" i="1"/>
  <c r="S878" i="1"/>
  <c r="Q878" i="1"/>
  <c r="O878" i="1"/>
  <c r="M878" i="1"/>
  <c r="K878" i="1"/>
  <c r="AP877" i="1"/>
  <c r="AQ877" i="1" s="1"/>
  <c r="AM877" i="1"/>
  <c r="AJ877" i="1"/>
  <c r="AH877" i="1"/>
  <c r="Z877" i="1"/>
  <c r="W877" i="1"/>
  <c r="U877" i="1"/>
  <c r="S877" i="1"/>
  <c r="Q877" i="1"/>
  <c r="O877" i="1"/>
  <c r="M877" i="1"/>
  <c r="K877" i="1"/>
  <c r="AP876" i="1"/>
  <c r="AQ876" i="1" s="1"/>
  <c r="AM876" i="1"/>
  <c r="AJ876" i="1"/>
  <c r="AH876" i="1"/>
  <c r="Z876" i="1"/>
  <c r="W876" i="1"/>
  <c r="U876" i="1"/>
  <c r="S876" i="1"/>
  <c r="Q876" i="1"/>
  <c r="O876" i="1"/>
  <c r="M876" i="1"/>
  <c r="K876" i="1"/>
  <c r="AP875" i="1"/>
  <c r="AQ875" i="1" s="1"/>
  <c r="AM875" i="1"/>
  <c r="AJ875" i="1"/>
  <c r="AH875" i="1"/>
  <c r="Z875" i="1"/>
  <c r="W875" i="1"/>
  <c r="U875" i="1"/>
  <c r="S875" i="1"/>
  <c r="Q875" i="1"/>
  <c r="O875" i="1"/>
  <c r="M875" i="1"/>
  <c r="K875" i="1"/>
  <c r="AP874" i="1"/>
  <c r="AQ874" i="1" s="1"/>
  <c r="AM874" i="1"/>
  <c r="AJ874" i="1"/>
  <c r="AH874" i="1"/>
  <c r="Z874" i="1"/>
  <c r="W874" i="1"/>
  <c r="U874" i="1"/>
  <c r="S874" i="1"/>
  <c r="Q874" i="1"/>
  <c r="O874" i="1"/>
  <c r="M874" i="1"/>
  <c r="K874" i="1"/>
  <c r="AP873" i="1"/>
  <c r="AQ873" i="1" s="1"/>
  <c r="AM873" i="1"/>
  <c r="AJ873" i="1"/>
  <c r="AH873" i="1"/>
  <c r="Z873" i="1"/>
  <c r="W873" i="1"/>
  <c r="U873" i="1"/>
  <c r="S873" i="1"/>
  <c r="Q873" i="1"/>
  <c r="O873" i="1"/>
  <c r="M873" i="1"/>
  <c r="K873" i="1"/>
  <c r="AP872" i="1"/>
  <c r="AQ872" i="1" s="1"/>
  <c r="AM872" i="1"/>
  <c r="AJ872" i="1"/>
  <c r="AH872" i="1"/>
  <c r="Z872" i="1"/>
  <c r="W872" i="1"/>
  <c r="U872" i="1"/>
  <c r="S872" i="1"/>
  <c r="Q872" i="1"/>
  <c r="O872" i="1"/>
  <c r="M872" i="1"/>
  <c r="K872" i="1"/>
  <c r="AP871" i="1"/>
  <c r="AQ871" i="1" s="1"/>
  <c r="AM871" i="1"/>
  <c r="AJ871" i="1"/>
  <c r="AH871" i="1"/>
  <c r="Z871" i="1"/>
  <c r="W871" i="1"/>
  <c r="U871" i="1"/>
  <c r="S871" i="1"/>
  <c r="Q871" i="1"/>
  <c r="O871" i="1"/>
  <c r="M871" i="1"/>
  <c r="K871" i="1"/>
  <c r="AP870" i="1"/>
  <c r="AQ870" i="1" s="1"/>
  <c r="AM870" i="1"/>
  <c r="AJ870" i="1"/>
  <c r="AH870" i="1"/>
  <c r="Z870" i="1"/>
  <c r="W870" i="1"/>
  <c r="U870" i="1"/>
  <c r="S870" i="1"/>
  <c r="Q870" i="1"/>
  <c r="O870" i="1"/>
  <c r="M870" i="1"/>
  <c r="K870" i="1"/>
  <c r="AP869" i="1"/>
  <c r="AQ869" i="1" s="1"/>
  <c r="AM869" i="1"/>
  <c r="AJ869" i="1"/>
  <c r="AH869" i="1"/>
  <c r="Z869" i="1"/>
  <c r="W869" i="1"/>
  <c r="U869" i="1"/>
  <c r="S869" i="1"/>
  <c r="Q869" i="1"/>
  <c r="O869" i="1"/>
  <c r="M869" i="1"/>
  <c r="K869" i="1"/>
  <c r="AP868" i="1"/>
  <c r="AQ868" i="1" s="1"/>
  <c r="AM868" i="1"/>
  <c r="AJ868" i="1"/>
  <c r="AH868" i="1"/>
  <c r="Z868" i="1"/>
  <c r="W868" i="1"/>
  <c r="U868" i="1"/>
  <c r="S868" i="1"/>
  <c r="Q868" i="1"/>
  <c r="O868" i="1"/>
  <c r="M868" i="1"/>
  <c r="K868" i="1"/>
  <c r="AP867" i="1"/>
  <c r="AQ867" i="1" s="1"/>
  <c r="AM867" i="1"/>
  <c r="AJ867" i="1"/>
  <c r="AH867" i="1"/>
  <c r="Z867" i="1"/>
  <c r="W867" i="1"/>
  <c r="U867" i="1"/>
  <c r="S867" i="1"/>
  <c r="Q867" i="1"/>
  <c r="O867" i="1"/>
  <c r="M867" i="1"/>
  <c r="K867" i="1"/>
  <c r="AP866" i="1"/>
  <c r="AQ866" i="1" s="1"/>
  <c r="AM866" i="1"/>
  <c r="AJ866" i="1"/>
  <c r="AH866" i="1"/>
  <c r="Z866" i="1"/>
  <c r="W866" i="1"/>
  <c r="U866" i="1"/>
  <c r="S866" i="1"/>
  <c r="Q866" i="1"/>
  <c r="O866" i="1"/>
  <c r="M866" i="1"/>
  <c r="K866" i="1"/>
  <c r="AP865" i="1"/>
  <c r="AQ865" i="1" s="1"/>
  <c r="AM865" i="1"/>
  <c r="AJ865" i="1"/>
  <c r="AH865" i="1"/>
  <c r="Z865" i="1"/>
  <c r="W865" i="1"/>
  <c r="U865" i="1"/>
  <c r="S865" i="1"/>
  <c r="Q865" i="1"/>
  <c r="O865" i="1"/>
  <c r="M865" i="1"/>
  <c r="K865" i="1"/>
  <c r="AP864" i="1"/>
  <c r="AQ864" i="1" s="1"/>
  <c r="AM864" i="1"/>
  <c r="AJ864" i="1"/>
  <c r="AH864" i="1"/>
  <c r="Z864" i="1"/>
  <c r="W864" i="1"/>
  <c r="U864" i="1"/>
  <c r="S864" i="1"/>
  <c r="Q864" i="1"/>
  <c r="O864" i="1"/>
  <c r="M864" i="1"/>
  <c r="K864" i="1"/>
  <c r="AP863" i="1"/>
  <c r="AQ863" i="1" s="1"/>
  <c r="AM863" i="1"/>
  <c r="AJ863" i="1"/>
  <c r="AH863" i="1"/>
  <c r="Z863" i="1"/>
  <c r="W863" i="1"/>
  <c r="U863" i="1"/>
  <c r="S863" i="1"/>
  <c r="Q863" i="1"/>
  <c r="O863" i="1"/>
  <c r="M863" i="1"/>
  <c r="K863" i="1"/>
  <c r="AP862" i="1"/>
  <c r="AQ862" i="1" s="1"/>
  <c r="AM862" i="1"/>
  <c r="AJ862" i="1"/>
  <c r="AH862" i="1"/>
  <c r="Z862" i="1"/>
  <c r="W862" i="1"/>
  <c r="U862" i="1"/>
  <c r="S862" i="1"/>
  <c r="Q862" i="1"/>
  <c r="O862" i="1"/>
  <c r="M862" i="1"/>
  <c r="K862" i="1"/>
  <c r="AP861" i="1"/>
  <c r="AQ861" i="1" s="1"/>
  <c r="AM861" i="1"/>
  <c r="AJ861" i="1"/>
  <c r="AH861" i="1"/>
  <c r="Z861" i="1"/>
  <c r="W861" i="1"/>
  <c r="U861" i="1"/>
  <c r="S861" i="1"/>
  <c r="Q861" i="1"/>
  <c r="O861" i="1"/>
  <c r="M861" i="1"/>
  <c r="K861" i="1"/>
  <c r="AP860" i="1"/>
  <c r="AQ860" i="1" s="1"/>
  <c r="AM860" i="1"/>
  <c r="AJ860" i="1"/>
  <c r="AH860" i="1"/>
  <c r="Z860" i="1"/>
  <c r="W860" i="1"/>
  <c r="U860" i="1"/>
  <c r="S860" i="1"/>
  <c r="Q860" i="1"/>
  <c r="O860" i="1"/>
  <c r="M860" i="1"/>
  <c r="K860" i="1"/>
  <c r="AP859" i="1"/>
  <c r="AQ859" i="1" s="1"/>
  <c r="AM859" i="1"/>
  <c r="AJ859" i="1"/>
  <c r="AH859" i="1"/>
  <c r="Z859" i="1"/>
  <c r="W859" i="1"/>
  <c r="U859" i="1"/>
  <c r="S859" i="1"/>
  <c r="Q859" i="1"/>
  <c r="O859" i="1"/>
  <c r="M859" i="1"/>
  <c r="K859" i="1"/>
  <c r="AP858" i="1"/>
  <c r="AQ858" i="1" s="1"/>
  <c r="AM858" i="1"/>
  <c r="AJ858" i="1"/>
  <c r="AH858" i="1"/>
  <c r="Z858" i="1"/>
  <c r="W858" i="1"/>
  <c r="U858" i="1"/>
  <c r="S858" i="1"/>
  <c r="Q858" i="1"/>
  <c r="O858" i="1"/>
  <c r="M858" i="1"/>
  <c r="K858" i="1"/>
  <c r="AP857" i="1"/>
  <c r="AQ857" i="1" s="1"/>
  <c r="AM857" i="1"/>
  <c r="AJ857" i="1"/>
  <c r="AH857" i="1"/>
  <c r="Z857" i="1"/>
  <c r="W857" i="1"/>
  <c r="U857" i="1"/>
  <c r="S857" i="1"/>
  <c r="Q857" i="1"/>
  <c r="O857" i="1"/>
  <c r="M857" i="1"/>
  <c r="K857" i="1"/>
  <c r="AP856" i="1"/>
  <c r="AQ856" i="1" s="1"/>
  <c r="AM856" i="1"/>
  <c r="AJ856" i="1"/>
  <c r="AH856" i="1"/>
  <c r="Z856" i="1"/>
  <c r="W856" i="1"/>
  <c r="U856" i="1"/>
  <c r="S856" i="1"/>
  <c r="Q856" i="1"/>
  <c r="O856" i="1"/>
  <c r="M856" i="1"/>
  <c r="K856" i="1"/>
  <c r="AP855" i="1"/>
  <c r="AQ855" i="1" s="1"/>
  <c r="AM855" i="1"/>
  <c r="AJ855" i="1"/>
  <c r="AH855" i="1"/>
  <c r="Z855" i="1"/>
  <c r="W855" i="1"/>
  <c r="U855" i="1"/>
  <c r="S855" i="1"/>
  <c r="Q855" i="1"/>
  <c r="O855" i="1"/>
  <c r="M855" i="1"/>
  <c r="K855" i="1"/>
  <c r="AP854" i="1"/>
  <c r="AQ854" i="1" s="1"/>
  <c r="AM854" i="1"/>
  <c r="AJ854" i="1"/>
  <c r="AH854" i="1"/>
  <c r="Z854" i="1"/>
  <c r="W854" i="1"/>
  <c r="U854" i="1"/>
  <c r="S854" i="1"/>
  <c r="Q854" i="1"/>
  <c r="O854" i="1"/>
  <c r="M854" i="1"/>
  <c r="K854" i="1"/>
  <c r="AP853" i="1"/>
  <c r="AQ853" i="1" s="1"/>
  <c r="AM853" i="1"/>
  <c r="AJ853" i="1"/>
  <c r="AH853" i="1"/>
  <c r="Z853" i="1"/>
  <c r="W853" i="1"/>
  <c r="U853" i="1"/>
  <c r="S853" i="1"/>
  <c r="Q853" i="1"/>
  <c r="O853" i="1"/>
  <c r="M853" i="1"/>
  <c r="K853" i="1"/>
  <c r="AP852" i="1"/>
  <c r="AQ852" i="1" s="1"/>
  <c r="AM852" i="1"/>
  <c r="AJ852" i="1"/>
  <c r="AH852" i="1"/>
  <c r="Z852" i="1"/>
  <c r="W852" i="1"/>
  <c r="U852" i="1"/>
  <c r="S852" i="1"/>
  <c r="Q852" i="1"/>
  <c r="O852" i="1"/>
  <c r="M852" i="1"/>
  <c r="K852" i="1"/>
  <c r="AP851" i="1"/>
  <c r="AQ851" i="1" s="1"/>
  <c r="AM851" i="1"/>
  <c r="AJ851" i="1"/>
  <c r="AH851" i="1"/>
  <c r="Z851" i="1"/>
  <c r="W851" i="1"/>
  <c r="U851" i="1"/>
  <c r="S851" i="1"/>
  <c r="Q851" i="1"/>
  <c r="O851" i="1"/>
  <c r="M851" i="1"/>
  <c r="K851" i="1"/>
  <c r="AP850" i="1"/>
  <c r="AQ850" i="1" s="1"/>
  <c r="AM850" i="1"/>
  <c r="AJ850" i="1"/>
  <c r="AH850" i="1"/>
  <c r="Z850" i="1"/>
  <c r="W850" i="1"/>
  <c r="U850" i="1"/>
  <c r="S850" i="1"/>
  <c r="Q850" i="1"/>
  <c r="O850" i="1"/>
  <c r="M850" i="1"/>
  <c r="K850" i="1"/>
  <c r="AP849" i="1"/>
  <c r="AQ849" i="1" s="1"/>
  <c r="AM849" i="1"/>
  <c r="AJ849" i="1"/>
  <c r="AH849" i="1"/>
  <c r="Z849" i="1"/>
  <c r="W849" i="1"/>
  <c r="U849" i="1"/>
  <c r="S849" i="1"/>
  <c r="Q849" i="1"/>
  <c r="O849" i="1"/>
  <c r="M849" i="1"/>
  <c r="K849" i="1"/>
  <c r="AP848" i="1"/>
  <c r="AQ848" i="1" s="1"/>
  <c r="AM848" i="1"/>
  <c r="AJ848" i="1"/>
  <c r="AH848" i="1"/>
  <c r="Z848" i="1"/>
  <c r="W848" i="1"/>
  <c r="U848" i="1"/>
  <c r="S848" i="1"/>
  <c r="Q848" i="1"/>
  <c r="O848" i="1"/>
  <c r="M848" i="1"/>
  <c r="K848" i="1"/>
  <c r="AP847" i="1"/>
  <c r="AQ847" i="1" s="1"/>
  <c r="AM847" i="1"/>
  <c r="AJ847" i="1"/>
  <c r="AH847" i="1"/>
  <c r="Z847" i="1"/>
  <c r="W847" i="1"/>
  <c r="U847" i="1"/>
  <c r="S847" i="1"/>
  <c r="Q847" i="1"/>
  <c r="O847" i="1"/>
  <c r="M847" i="1"/>
  <c r="K847" i="1"/>
  <c r="AP846" i="1"/>
  <c r="AQ846" i="1" s="1"/>
  <c r="AM846" i="1"/>
  <c r="AJ846" i="1"/>
  <c r="AH846" i="1"/>
  <c r="Z846" i="1"/>
  <c r="W846" i="1"/>
  <c r="U846" i="1"/>
  <c r="S846" i="1"/>
  <c r="Q846" i="1"/>
  <c r="O846" i="1"/>
  <c r="M846" i="1"/>
  <c r="K846" i="1"/>
  <c r="AP845" i="1"/>
  <c r="AQ845" i="1" s="1"/>
  <c r="AM845" i="1"/>
  <c r="AJ845" i="1"/>
  <c r="AH845" i="1"/>
  <c r="Z845" i="1"/>
  <c r="W845" i="1"/>
  <c r="U845" i="1"/>
  <c r="S845" i="1"/>
  <c r="Q845" i="1"/>
  <c r="O845" i="1"/>
  <c r="M845" i="1"/>
  <c r="K845" i="1"/>
  <c r="AP844" i="1"/>
  <c r="AQ844" i="1" s="1"/>
  <c r="AM844" i="1"/>
  <c r="AJ844" i="1"/>
  <c r="AH844" i="1"/>
  <c r="Z844" i="1"/>
  <c r="W844" i="1"/>
  <c r="U844" i="1"/>
  <c r="S844" i="1"/>
  <c r="Q844" i="1"/>
  <c r="O844" i="1"/>
  <c r="M844" i="1"/>
  <c r="K844" i="1"/>
  <c r="AP843" i="1"/>
  <c r="AQ843" i="1" s="1"/>
  <c r="AM843" i="1"/>
  <c r="AJ843" i="1"/>
  <c r="AH843" i="1"/>
  <c r="Z843" i="1"/>
  <c r="W843" i="1"/>
  <c r="U843" i="1"/>
  <c r="S843" i="1"/>
  <c r="Q843" i="1"/>
  <c r="O843" i="1"/>
  <c r="M843" i="1"/>
  <c r="K843" i="1"/>
  <c r="AP842" i="1"/>
  <c r="AQ842" i="1" s="1"/>
  <c r="AM842" i="1"/>
  <c r="AJ842" i="1"/>
  <c r="AH842" i="1"/>
  <c r="Z842" i="1"/>
  <c r="W842" i="1"/>
  <c r="U842" i="1"/>
  <c r="S842" i="1"/>
  <c r="Q842" i="1"/>
  <c r="O842" i="1"/>
  <c r="M842" i="1"/>
  <c r="K842" i="1"/>
  <c r="AP841" i="1"/>
  <c r="AQ841" i="1" s="1"/>
  <c r="AM841" i="1"/>
  <c r="AJ841" i="1"/>
  <c r="AH841" i="1"/>
  <c r="Z841" i="1"/>
  <c r="W841" i="1"/>
  <c r="U841" i="1"/>
  <c r="S841" i="1"/>
  <c r="Q841" i="1"/>
  <c r="O841" i="1"/>
  <c r="M841" i="1"/>
  <c r="K841" i="1"/>
  <c r="AP840" i="1"/>
  <c r="AQ840" i="1" s="1"/>
  <c r="AM840" i="1"/>
  <c r="AJ840" i="1"/>
  <c r="AH840" i="1"/>
  <c r="Z840" i="1"/>
  <c r="W840" i="1"/>
  <c r="U840" i="1"/>
  <c r="S840" i="1"/>
  <c r="Q840" i="1"/>
  <c r="O840" i="1"/>
  <c r="M840" i="1"/>
  <c r="K840" i="1"/>
  <c r="AP839" i="1"/>
  <c r="AQ839" i="1" s="1"/>
  <c r="AM839" i="1"/>
  <c r="AJ839" i="1"/>
  <c r="AH839" i="1"/>
  <c r="Z839" i="1"/>
  <c r="W839" i="1"/>
  <c r="U839" i="1"/>
  <c r="S839" i="1"/>
  <c r="Q839" i="1"/>
  <c r="O839" i="1"/>
  <c r="M839" i="1"/>
  <c r="K839" i="1"/>
  <c r="AP838" i="1"/>
  <c r="AQ838" i="1" s="1"/>
  <c r="AM838" i="1"/>
  <c r="AJ838" i="1"/>
  <c r="AH838" i="1"/>
  <c r="Z838" i="1"/>
  <c r="W838" i="1"/>
  <c r="U838" i="1"/>
  <c r="S838" i="1"/>
  <c r="Q838" i="1"/>
  <c r="O838" i="1"/>
  <c r="M838" i="1"/>
  <c r="K838" i="1"/>
  <c r="AP837" i="1"/>
  <c r="AQ837" i="1" s="1"/>
  <c r="AM837" i="1"/>
  <c r="AJ837" i="1"/>
  <c r="AH837" i="1"/>
  <c r="Z837" i="1"/>
  <c r="W837" i="1"/>
  <c r="U837" i="1"/>
  <c r="S837" i="1"/>
  <c r="Q837" i="1"/>
  <c r="O837" i="1"/>
  <c r="M837" i="1"/>
  <c r="K837" i="1"/>
  <c r="AP836" i="1"/>
  <c r="AQ836" i="1" s="1"/>
  <c r="AM836" i="1"/>
  <c r="AJ836" i="1"/>
  <c r="AH836" i="1"/>
  <c r="Z836" i="1"/>
  <c r="W836" i="1"/>
  <c r="U836" i="1"/>
  <c r="S836" i="1"/>
  <c r="Q836" i="1"/>
  <c r="O836" i="1"/>
  <c r="M836" i="1"/>
  <c r="K836" i="1"/>
  <c r="AP835" i="1"/>
  <c r="AQ835" i="1" s="1"/>
  <c r="AM835" i="1"/>
  <c r="AJ835" i="1"/>
  <c r="AH835" i="1"/>
  <c r="Z835" i="1"/>
  <c r="W835" i="1"/>
  <c r="U835" i="1"/>
  <c r="S835" i="1"/>
  <c r="Q835" i="1"/>
  <c r="O835" i="1"/>
  <c r="M835" i="1"/>
  <c r="K835" i="1"/>
  <c r="AP834" i="1"/>
  <c r="AQ834" i="1" s="1"/>
  <c r="AM834" i="1"/>
  <c r="AJ834" i="1"/>
  <c r="AH834" i="1"/>
  <c r="Z834" i="1"/>
  <c r="W834" i="1"/>
  <c r="U834" i="1"/>
  <c r="S834" i="1"/>
  <c r="Q834" i="1"/>
  <c r="O834" i="1"/>
  <c r="M834" i="1"/>
  <c r="K834" i="1"/>
  <c r="AP833" i="1"/>
  <c r="AQ833" i="1" s="1"/>
  <c r="AM833" i="1"/>
  <c r="AJ833" i="1"/>
  <c r="AH833" i="1"/>
  <c r="Z833" i="1"/>
  <c r="W833" i="1"/>
  <c r="U833" i="1"/>
  <c r="S833" i="1"/>
  <c r="Q833" i="1"/>
  <c r="O833" i="1"/>
  <c r="M833" i="1"/>
  <c r="K833" i="1"/>
  <c r="AP832" i="1"/>
  <c r="AQ832" i="1" s="1"/>
  <c r="AM832" i="1"/>
  <c r="AJ832" i="1"/>
  <c r="AH832" i="1"/>
  <c r="Z832" i="1"/>
  <c r="W832" i="1"/>
  <c r="U832" i="1"/>
  <c r="S832" i="1"/>
  <c r="Q832" i="1"/>
  <c r="O832" i="1"/>
  <c r="M832" i="1"/>
  <c r="K832" i="1"/>
  <c r="AP831" i="1"/>
  <c r="AQ831" i="1" s="1"/>
  <c r="AM831" i="1"/>
  <c r="AJ831" i="1"/>
  <c r="AH831" i="1"/>
  <c r="Z831" i="1"/>
  <c r="W831" i="1"/>
  <c r="U831" i="1"/>
  <c r="S831" i="1"/>
  <c r="Q831" i="1"/>
  <c r="O831" i="1"/>
  <c r="M831" i="1"/>
  <c r="K831" i="1"/>
  <c r="AP830" i="1"/>
  <c r="AQ830" i="1" s="1"/>
  <c r="AM830" i="1"/>
  <c r="AJ830" i="1"/>
  <c r="AH830" i="1"/>
  <c r="Z830" i="1"/>
  <c r="W830" i="1"/>
  <c r="U830" i="1"/>
  <c r="S830" i="1"/>
  <c r="Q830" i="1"/>
  <c r="O830" i="1"/>
  <c r="M830" i="1"/>
  <c r="K830" i="1"/>
  <c r="AP829" i="1"/>
  <c r="AQ829" i="1" s="1"/>
  <c r="AM829" i="1"/>
  <c r="AJ829" i="1"/>
  <c r="AH829" i="1"/>
  <c r="Z829" i="1"/>
  <c r="W829" i="1"/>
  <c r="U829" i="1"/>
  <c r="S829" i="1"/>
  <c r="Q829" i="1"/>
  <c r="O829" i="1"/>
  <c r="M829" i="1"/>
  <c r="K829" i="1"/>
  <c r="AP828" i="1"/>
  <c r="AQ828" i="1" s="1"/>
  <c r="AM828" i="1"/>
  <c r="AJ828" i="1"/>
  <c r="AH828" i="1"/>
  <c r="Z828" i="1"/>
  <c r="W828" i="1"/>
  <c r="U828" i="1"/>
  <c r="S828" i="1"/>
  <c r="Q828" i="1"/>
  <c r="O828" i="1"/>
  <c r="M828" i="1"/>
  <c r="K828" i="1"/>
  <c r="AP827" i="1"/>
  <c r="AQ827" i="1" s="1"/>
  <c r="AM827" i="1"/>
  <c r="AJ827" i="1"/>
  <c r="AH827" i="1"/>
  <c r="Z827" i="1"/>
  <c r="W827" i="1"/>
  <c r="U827" i="1"/>
  <c r="S827" i="1"/>
  <c r="Q827" i="1"/>
  <c r="O827" i="1"/>
  <c r="M827" i="1"/>
  <c r="K827" i="1"/>
  <c r="AP826" i="1"/>
  <c r="AQ826" i="1" s="1"/>
  <c r="AM826" i="1"/>
  <c r="AJ826" i="1"/>
  <c r="AH826" i="1"/>
  <c r="Z826" i="1"/>
  <c r="W826" i="1"/>
  <c r="U826" i="1"/>
  <c r="S826" i="1"/>
  <c r="Q826" i="1"/>
  <c r="O826" i="1"/>
  <c r="M826" i="1"/>
  <c r="K826" i="1"/>
  <c r="AP825" i="1"/>
  <c r="AQ825" i="1" s="1"/>
  <c r="AM825" i="1"/>
  <c r="AJ825" i="1"/>
  <c r="AH825" i="1"/>
  <c r="Z825" i="1"/>
  <c r="W825" i="1"/>
  <c r="U825" i="1"/>
  <c r="S825" i="1"/>
  <c r="Q825" i="1"/>
  <c r="O825" i="1"/>
  <c r="M825" i="1"/>
  <c r="K825" i="1"/>
  <c r="AP824" i="1"/>
  <c r="AQ824" i="1" s="1"/>
  <c r="AM824" i="1"/>
  <c r="AJ824" i="1"/>
  <c r="AH824" i="1"/>
  <c r="Z824" i="1"/>
  <c r="W824" i="1"/>
  <c r="U824" i="1"/>
  <c r="S824" i="1"/>
  <c r="Q824" i="1"/>
  <c r="O824" i="1"/>
  <c r="M824" i="1"/>
  <c r="K824" i="1"/>
  <c r="AP823" i="1"/>
  <c r="AQ823" i="1" s="1"/>
  <c r="AM823" i="1"/>
  <c r="AJ823" i="1"/>
  <c r="AH823" i="1"/>
  <c r="Z823" i="1"/>
  <c r="W823" i="1"/>
  <c r="U823" i="1"/>
  <c r="S823" i="1"/>
  <c r="Q823" i="1"/>
  <c r="O823" i="1"/>
  <c r="M823" i="1"/>
  <c r="K823" i="1"/>
  <c r="AP822" i="1"/>
  <c r="AQ822" i="1" s="1"/>
  <c r="AM822" i="1"/>
  <c r="AJ822" i="1"/>
  <c r="AH822" i="1"/>
  <c r="Z822" i="1"/>
  <c r="W822" i="1"/>
  <c r="U822" i="1"/>
  <c r="S822" i="1"/>
  <c r="Q822" i="1"/>
  <c r="O822" i="1"/>
  <c r="M822" i="1"/>
  <c r="K822" i="1"/>
  <c r="AP821" i="1"/>
  <c r="AQ821" i="1" s="1"/>
  <c r="AM821" i="1"/>
  <c r="AJ821" i="1"/>
  <c r="AH821" i="1"/>
  <c r="Z821" i="1"/>
  <c r="W821" i="1"/>
  <c r="U821" i="1"/>
  <c r="S821" i="1"/>
  <c r="Q821" i="1"/>
  <c r="O821" i="1"/>
  <c r="M821" i="1"/>
  <c r="K821" i="1"/>
  <c r="AP820" i="1"/>
  <c r="AQ820" i="1" s="1"/>
  <c r="AM820" i="1"/>
  <c r="AJ820" i="1"/>
  <c r="AH820" i="1"/>
  <c r="Z820" i="1"/>
  <c r="W820" i="1"/>
  <c r="U820" i="1"/>
  <c r="S820" i="1"/>
  <c r="Q820" i="1"/>
  <c r="O820" i="1"/>
  <c r="M820" i="1"/>
  <c r="K820" i="1"/>
  <c r="AP819" i="1"/>
  <c r="AQ819" i="1" s="1"/>
  <c r="AM819" i="1"/>
  <c r="AJ819" i="1"/>
  <c r="AH819" i="1"/>
  <c r="Z819" i="1"/>
  <c r="W819" i="1"/>
  <c r="U819" i="1"/>
  <c r="S819" i="1"/>
  <c r="Q819" i="1"/>
  <c r="O819" i="1"/>
  <c r="M819" i="1"/>
  <c r="K819" i="1"/>
  <c r="AP818" i="1"/>
  <c r="AQ818" i="1" s="1"/>
  <c r="AM818" i="1"/>
  <c r="AJ818" i="1"/>
  <c r="AH818" i="1"/>
  <c r="Z818" i="1"/>
  <c r="W818" i="1"/>
  <c r="U818" i="1"/>
  <c r="S818" i="1"/>
  <c r="Q818" i="1"/>
  <c r="O818" i="1"/>
  <c r="M818" i="1"/>
  <c r="K818" i="1"/>
  <c r="AP817" i="1"/>
  <c r="AQ817" i="1" s="1"/>
  <c r="AM817" i="1"/>
  <c r="AJ817" i="1"/>
  <c r="AH817" i="1"/>
  <c r="Z817" i="1"/>
  <c r="W817" i="1"/>
  <c r="U817" i="1"/>
  <c r="S817" i="1"/>
  <c r="Q817" i="1"/>
  <c r="O817" i="1"/>
  <c r="M817" i="1"/>
  <c r="K817" i="1"/>
  <c r="AP816" i="1"/>
  <c r="AQ816" i="1" s="1"/>
  <c r="AM816" i="1"/>
  <c r="AJ816" i="1"/>
  <c r="AH816" i="1"/>
  <c r="Z816" i="1"/>
  <c r="W816" i="1"/>
  <c r="U816" i="1"/>
  <c r="S816" i="1"/>
  <c r="Q816" i="1"/>
  <c r="O816" i="1"/>
  <c r="M816" i="1"/>
  <c r="K816" i="1"/>
  <c r="AP815" i="1"/>
  <c r="AQ815" i="1" s="1"/>
  <c r="AM815" i="1"/>
  <c r="AJ815" i="1"/>
  <c r="AH815" i="1"/>
  <c r="Z815" i="1"/>
  <c r="W815" i="1"/>
  <c r="U815" i="1"/>
  <c r="S815" i="1"/>
  <c r="Q815" i="1"/>
  <c r="O815" i="1"/>
  <c r="M815" i="1"/>
  <c r="K815" i="1"/>
  <c r="AP814" i="1"/>
  <c r="AQ814" i="1" s="1"/>
  <c r="AM814" i="1"/>
  <c r="AJ814" i="1"/>
  <c r="AH814" i="1"/>
  <c r="Z814" i="1"/>
  <c r="W814" i="1"/>
  <c r="U814" i="1"/>
  <c r="S814" i="1"/>
  <c r="Q814" i="1"/>
  <c r="O814" i="1"/>
  <c r="M814" i="1"/>
  <c r="K814" i="1"/>
  <c r="AP813" i="1"/>
  <c r="AQ813" i="1" s="1"/>
  <c r="AM813" i="1"/>
  <c r="AJ813" i="1"/>
  <c r="AH813" i="1"/>
  <c r="Z813" i="1"/>
  <c r="W813" i="1"/>
  <c r="U813" i="1"/>
  <c r="S813" i="1"/>
  <c r="Q813" i="1"/>
  <c r="O813" i="1"/>
  <c r="M813" i="1"/>
  <c r="K813" i="1"/>
  <c r="AP812" i="1"/>
  <c r="AQ812" i="1" s="1"/>
  <c r="AM812" i="1"/>
  <c r="AJ812" i="1"/>
  <c r="AH812" i="1"/>
  <c r="Z812" i="1"/>
  <c r="W812" i="1"/>
  <c r="U812" i="1"/>
  <c r="S812" i="1"/>
  <c r="Q812" i="1"/>
  <c r="O812" i="1"/>
  <c r="M812" i="1"/>
  <c r="K812" i="1"/>
  <c r="AP811" i="1"/>
  <c r="AQ811" i="1" s="1"/>
  <c r="AM811" i="1"/>
  <c r="AJ811" i="1"/>
  <c r="AH811" i="1"/>
  <c r="Z811" i="1"/>
  <c r="W811" i="1"/>
  <c r="U811" i="1"/>
  <c r="S811" i="1"/>
  <c r="Q811" i="1"/>
  <c r="O811" i="1"/>
  <c r="M811" i="1"/>
  <c r="K811" i="1"/>
  <c r="AP810" i="1"/>
  <c r="AQ810" i="1" s="1"/>
  <c r="AM810" i="1"/>
  <c r="AJ810" i="1"/>
  <c r="AH810" i="1"/>
  <c r="Z810" i="1"/>
  <c r="W810" i="1"/>
  <c r="U810" i="1"/>
  <c r="S810" i="1"/>
  <c r="Q810" i="1"/>
  <c r="O810" i="1"/>
  <c r="M810" i="1"/>
  <c r="K810" i="1"/>
  <c r="AP809" i="1"/>
  <c r="AQ809" i="1" s="1"/>
  <c r="AM809" i="1"/>
  <c r="AJ809" i="1"/>
  <c r="AH809" i="1"/>
  <c r="Z809" i="1"/>
  <c r="W809" i="1"/>
  <c r="U809" i="1"/>
  <c r="S809" i="1"/>
  <c r="Q809" i="1"/>
  <c r="O809" i="1"/>
  <c r="M809" i="1"/>
  <c r="K809" i="1"/>
  <c r="AP808" i="1"/>
  <c r="AQ808" i="1" s="1"/>
  <c r="AM808" i="1"/>
  <c r="AJ808" i="1"/>
  <c r="AH808" i="1"/>
  <c r="Z808" i="1"/>
  <c r="W808" i="1"/>
  <c r="U808" i="1"/>
  <c r="S808" i="1"/>
  <c r="Q808" i="1"/>
  <c r="O808" i="1"/>
  <c r="M808" i="1"/>
  <c r="K808" i="1"/>
  <c r="AP807" i="1"/>
  <c r="AQ807" i="1" s="1"/>
  <c r="AM807" i="1"/>
  <c r="AJ807" i="1"/>
  <c r="AH807" i="1"/>
  <c r="Z807" i="1"/>
  <c r="W807" i="1"/>
  <c r="U807" i="1"/>
  <c r="S807" i="1"/>
  <c r="Q807" i="1"/>
  <c r="O807" i="1"/>
  <c r="M807" i="1"/>
  <c r="K807" i="1"/>
  <c r="AP806" i="1"/>
  <c r="AQ806" i="1" s="1"/>
  <c r="AM806" i="1"/>
  <c r="AJ806" i="1"/>
  <c r="AH806" i="1"/>
  <c r="Z806" i="1"/>
  <c r="W806" i="1"/>
  <c r="U806" i="1"/>
  <c r="S806" i="1"/>
  <c r="Q806" i="1"/>
  <c r="O806" i="1"/>
  <c r="M806" i="1"/>
  <c r="K806" i="1"/>
  <c r="AP805" i="1"/>
  <c r="AQ805" i="1" s="1"/>
  <c r="AM805" i="1"/>
  <c r="AJ805" i="1"/>
  <c r="AH805" i="1"/>
  <c r="Z805" i="1"/>
  <c r="W805" i="1"/>
  <c r="U805" i="1"/>
  <c r="S805" i="1"/>
  <c r="Q805" i="1"/>
  <c r="O805" i="1"/>
  <c r="M805" i="1"/>
  <c r="K805" i="1"/>
  <c r="AP804" i="1"/>
  <c r="AQ804" i="1" s="1"/>
  <c r="AM804" i="1"/>
  <c r="AJ804" i="1"/>
  <c r="AH804" i="1"/>
  <c r="Z804" i="1"/>
  <c r="W804" i="1"/>
  <c r="U804" i="1"/>
  <c r="S804" i="1"/>
  <c r="Q804" i="1"/>
  <c r="O804" i="1"/>
  <c r="M804" i="1"/>
  <c r="K804" i="1"/>
  <c r="AP803" i="1"/>
  <c r="AQ803" i="1" s="1"/>
  <c r="AM803" i="1"/>
  <c r="AJ803" i="1"/>
  <c r="AH803" i="1"/>
  <c r="Z803" i="1"/>
  <c r="W803" i="1"/>
  <c r="U803" i="1"/>
  <c r="S803" i="1"/>
  <c r="Q803" i="1"/>
  <c r="O803" i="1"/>
  <c r="M803" i="1"/>
  <c r="K803" i="1"/>
  <c r="AP802" i="1"/>
  <c r="AQ802" i="1" s="1"/>
  <c r="AM802" i="1"/>
  <c r="AJ802" i="1"/>
  <c r="AH802" i="1"/>
  <c r="Z802" i="1"/>
  <c r="W802" i="1"/>
  <c r="U802" i="1"/>
  <c r="S802" i="1"/>
  <c r="Q802" i="1"/>
  <c r="O802" i="1"/>
  <c r="M802" i="1"/>
  <c r="K802" i="1"/>
  <c r="AP801" i="1"/>
  <c r="AQ801" i="1" s="1"/>
  <c r="AM801" i="1"/>
  <c r="AJ801" i="1"/>
  <c r="AH801" i="1"/>
  <c r="Z801" i="1"/>
  <c r="W801" i="1"/>
  <c r="U801" i="1"/>
  <c r="S801" i="1"/>
  <c r="Q801" i="1"/>
  <c r="O801" i="1"/>
  <c r="M801" i="1"/>
  <c r="K801" i="1"/>
  <c r="AP800" i="1"/>
  <c r="AQ800" i="1" s="1"/>
  <c r="AM800" i="1"/>
  <c r="AJ800" i="1"/>
  <c r="AH800" i="1"/>
  <c r="Z800" i="1"/>
  <c r="W800" i="1"/>
  <c r="U800" i="1"/>
  <c r="S800" i="1"/>
  <c r="Q800" i="1"/>
  <c r="O800" i="1"/>
  <c r="M800" i="1"/>
  <c r="K800" i="1"/>
  <c r="AP799" i="1"/>
  <c r="AQ799" i="1" s="1"/>
  <c r="AM799" i="1"/>
  <c r="AJ799" i="1"/>
  <c r="AH799" i="1"/>
  <c r="Z799" i="1"/>
  <c r="W799" i="1"/>
  <c r="U799" i="1"/>
  <c r="S799" i="1"/>
  <c r="Q799" i="1"/>
  <c r="O799" i="1"/>
  <c r="M799" i="1"/>
  <c r="K799" i="1"/>
  <c r="AP798" i="1"/>
  <c r="AQ798" i="1" s="1"/>
  <c r="AM798" i="1"/>
  <c r="AJ798" i="1"/>
  <c r="AH798" i="1"/>
  <c r="Z798" i="1"/>
  <c r="W798" i="1"/>
  <c r="U798" i="1"/>
  <c r="S798" i="1"/>
  <c r="Q798" i="1"/>
  <c r="O798" i="1"/>
  <c r="M798" i="1"/>
  <c r="K798" i="1"/>
  <c r="AP797" i="1"/>
  <c r="AQ797" i="1" s="1"/>
  <c r="AM797" i="1"/>
  <c r="AJ797" i="1"/>
  <c r="AH797" i="1"/>
  <c r="Z797" i="1"/>
  <c r="W797" i="1"/>
  <c r="U797" i="1"/>
  <c r="S797" i="1"/>
  <c r="Q797" i="1"/>
  <c r="O797" i="1"/>
  <c r="M797" i="1"/>
  <c r="K797" i="1"/>
  <c r="AP796" i="1"/>
  <c r="AQ796" i="1" s="1"/>
  <c r="AM796" i="1"/>
  <c r="AJ796" i="1"/>
  <c r="AH796" i="1"/>
  <c r="Z796" i="1"/>
  <c r="W796" i="1"/>
  <c r="U796" i="1"/>
  <c r="S796" i="1"/>
  <c r="Q796" i="1"/>
  <c r="O796" i="1"/>
  <c r="M796" i="1"/>
  <c r="K796" i="1"/>
  <c r="AP795" i="1"/>
  <c r="AQ795" i="1" s="1"/>
  <c r="AM795" i="1"/>
  <c r="AJ795" i="1"/>
  <c r="AH795" i="1"/>
  <c r="Z795" i="1"/>
  <c r="W795" i="1"/>
  <c r="U795" i="1"/>
  <c r="S795" i="1"/>
  <c r="Q795" i="1"/>
  <c r="O795" i="1"/>
  <c r="M795" i="1"/>
  <c r="K795" i="1"/>
  <c r="AP794" i="1"/>
  <c r="AQ794" i="1" s="1"/>
  <c r="AM794" i="1"/>
  <c r="AJ794" i="1"/>
  <c r="AH794" i="1"/>
  <c r="Z794" i="1"/>
  <c r="W794" i="1"/>
  <c r="U794" i="1"/>
  <c r="S794" i="1"/>
  <c r="Q794" i="1"/>
  <c r="O794" i="1"/>
  <c r="M794" i="1"/>
  <c r="K794" i="1"/>
  <c r="AP793" i="1"/>
  <c r="AQ793" i="1" s="1"/>
  <c r="AM793" i="1"/>
  <c r="AJ793" i="1"/>
  <c r="AH793" i="1"/>
  <c r="Z793" i="1"/>
  <c r="W793" i="1"/>
  <c r="U793" i="1"/>
  <c r="S793" i="1"/>
  <c r="Q793" i="1"/>
  <c r="O793" i="1"/>
  <c r="M793" i="1"/>
  <c r="K793" i="1"/>
  <c r="AP792" i="1"/>
  <c r="AQ792" i="1" s="1"/>
  <c r="AM792" i="1"/>
  <c r="AJ792" i="1"/>
  <c r="AH792" i="1"/>
  <c r="Z792" i="1"/>
  <c r="W792" i="1"/>
  <c r="U792" i="1"/>
  <c r="S792" i="1"/>
  <c r="Q792" i="1"/>
  <c r="O792" i="1"/>
  <c r="M792" i="1"/>
  <c r="K792" i="1"/>
  <c r="AP791" i="1"/>
  <c r="AQ791" i="1" s="1"/>
  <c r="AM791" i="1"/>
  <c r="AJ791" i="1"/>
  <c r="AH791" i="1"/>
  <c r="Z791" i="1"/>
  <c r="W791" i="1"/>
  <c r="U791" i="1"/>
  <c r="S791" i="1"/>
  <c r="Q791" i="1"/>
  <c r="O791" i="1"/>
  <c r="M791" i="1"/>
  <c r="K791" i="1"/>
  <c r="AP790" i="1"/>
  <c r="AQ790" i="1" s="1"/>
  <c r="AM790" i="1"/>
  <c r="AJ790" i="1"/>
  <c r="AH790" i="1"/>
  <c r="Z790" i="1"/>
  <c r="W790" i="1"/>
  <c r="U790" i="1"/>
  <c r="S790" i="1"/>
  <c r="Q790" i="1"/>
  <c r="O790" i="1"/>
  <c r="M790" i="1"/>
  <c r="K790" i="1"/>
  <c r="AP789" i="1"/>
  <c r="AQ789" i="1" s="1"/>
  <c r="AM789" i="1"/>
  <c r="AJ789" i="1"/>
  <c r="AH789" i="1"/>
  <c r="Z789" i="1"/>
  <c r="W789" i="1"/>
  <c r="U789" i="1"/>
  <c r="S789" i="1"/>
  <c r="Q789" i="1"/>
  <c r="O789" i="1"/>
  <c r="M789" i="1"/>
  <c r="K789" i="1"/>
  <c r="AP788" i="1"/>
  <c r="AQ788" i="1" s="1"/>
  <c r="AM788" i="1"/>
  <c r="AJ788" i="1"/>
  <c r="AH788" i="1"/>
  <c r="Z788" i="1"/>
  <c r="W788" i="1"/>
  <c r="U788" i="1"/>
  <c r="S788" i="1"/>
  <c r="Q788" i="1"/>
  <c r="O788" i="1"/>
  <c r="M788" i="1"/>
  <c r="K788" i="1"/>
  <c r="AP787" i="1"/>
  <c r="AQ787" i="1" s="1"/>
  <c r="AM787" i="1"/>
  <c r="AJ787" i="1"/>
  <c r="AH787" i="1"/>
  <c r="Z787" i="1"/>
  <c r="W787" i="1"/>
  <c r="U787" i="1"/>
  <c r="S787" i="1"/>
  <c r="Q787" i="1"/>
  <c r="O787" i="1"/>
  <c r="M787" i="1"/>
  <c r="K787" i="1"/>
  <c r="AP786" i="1"/>
  <c r="AQ786" i="1" s="1"/>
  <c r="AM786" i="1"/>
  <c r="AJ786" i="1"/>
  <c r="AH786" i="1"/>
  <c r="Z786" i="1"/>
  <c r="W786" i="1"/>
  <c r="U786" i="1"/>
  <c r="S786" i="1"/>
  <c r="Q786" i="1"/>
  <c r="O786" i="1"/>
  <c r="M786" i="1"/>
  <c r="K786" i="1"/>
  <c r="AP785" i="1"/>
  <c r="AQ785" i="1" s="1"/>
  <c r="AM785" i="1"/>
  <c r="AJ785" i="1"/>
  <c r="AH785" i="1"/>
  <c r="Z785" i="1"/>
  <c r="W785" i="1"/>
  <c r="U785" i="1"/>
  <c r="S785" i="1"/>
  <c r="Q785" i="1"/>
  <c r="O785" i="1"/>
  <c r="M785" i="1"/>
  <c r="K785" i="1"/>
  <c r="AP784" i="1"/>
  <c r="AQ784" i="1" s="1"/>
  <c r="AM784" i="1"/>
  <c r="AJ784" i="1"/>
  <c r="AH784" i="1"/>
  <c r="Z784" i="1"/>
  <c r="W784" i="1"/>
  <c r="U784" i="1"/>
  <c r="S784" i="1"/>
  <c r="Q784" i="1"/>
  <c r="O784" i="1"/>
  <c r="M784" i="1"/>
  <c r="K784" i="1"/>
  <c r="AP783" i="1"/>
  <c r="AQ783" i="1" s="1"/>
  <c r="AM783" i="1"/>
  <c r="AJ783" i="1"/>
  <c r="AH783" i="1"/>
  <c r="Z783" i="1"/>
  <c r="W783" i="1"/>
  <c r="U783" i="1"/>
  <c r="S783" i="1"/>
  <c r="Q783" i="1"/>
  <c r="O783" i="1"/>
  <c r="M783" i="1"/>
  <c r="K783" i="1"/>
  <c r="AP782" i="1"/>
  <c r="AQ782" i="1" s="1"/>
  <c r="AM782" i="1"/>
  <c r="AJ782" i="1"/>
  <c r="AH782" i="1"/>
  <c r="Z782" i="1"/>
  <c r="W782" i="1"/>
  <c r="U782" i="1"/>
  <c r="S782" i="1"/>
  <c r="Q782" i="1"/>
  <c r="O782" i="1"/>
  <c r="M782" i="1"/>
  <c r="K782" i="1"/>
  <c r="AP781" i="1"/>
  <c r="AQ781" i="1" s="1"/>
  <c r="AM781" i="1"/>
  <c r="AJ781" i="1"/>
  <c r="AH781" i="1"/>
  <c r="Z781" i="1"/>
  <c r="W781" i="1"/>
  <c r="U781" i="1"/>
  <c r="S781" i="1"/>
  <c r="Q781" i="1"/>
  <c r="O781" i="1"/>
  <c r="M781" i="1"/>
  <c r="K781" i="1"/>
  <c r="AP780" i="1"/>
  <c r="AQ780" i="1" s="1"/>
  <c r="AM780" i="1"/>
  <c r="AJ780" i="1"/>
  <c r="AH780" i="1"/>
  <c r="Z780" i="1"/>
  <c r="W780" i="1"/>
  <c r="U780" i="1"/>
  <c r="S780" i="1"/>
  <c r="Q780" i="1"/>
  <c r="O780" i="1"/>
  <c r="M780" i="1"/>
  <c r="K780" i="1"/>
  <c r="AP779" i="1"/>
  <c r="AQ779" i="1" s="1"/>
  <c r="AM779" i="1"/>
  <c r="AJ779" i="1"/>
  <c r="AH779" i="1"/>
  <c r="Z779" i="1"/>
  <c r="W779" i="1"/>
  <c r="U779" i="1"/>
  <c r="S779" i="1"/>
  <c r="Q779" i="1"/>
  <c r="O779" i="1"/>
  <c r="M779" i="1"/>
  <c r="K779" i="1"/>
  <c r="AP778" i="1"/>
  <c r="AQ778" i="1" s="1"/>
  <c r="AM778" i="1"/>
  <c r="AJ778" i="1"/>
  <c r="AH778" i="1"/>
  <c r="Z778" i="1"/>
  <c r="W778" i="1"/>
  <c r="U778" i="1"/>
  <c r="S778" i="1"/>
  <c r="Q778" i="1"/>
  <c r="O778" i="1"/>
  <c r="M778" i="1"/>
  <c r="K778" i="1"/>
  <c r="AP777" i="1"/>
  <c r="AQ777" i="1" s="1"/>
  <c r="AM777" i="1"/>
  <c r="AJ777" i="1"/>
  <c r="AH777" i="1"/>
  <c r="Z777" i="1"/>
  <c r="W777" i="1"/>
  <c r="U777" i="1"/>
  <c r="S777" i="1"/>
  <c r="Q777" i="1"/>
  <c r="O777" i="1"/>
  <c r="M777" i="1"/>
  <c r="K777" i="1"/>
  <c r="AP776" i="1"/>
  <c r="AQ776" i="1" s="1"/>
  <c r="AM776" i="1"/>
  <c r="AJ776" i="1"/>
  <c r="AH776" i="1"/>
  <c r="Z776" i="1"/>
  <c r="W776" i="1"/>
  <c r="U776" i="1"/>
  <c r="S776" i="1"/>
  <c r="Q776" i="1"/>
  <c r="O776" i="1"/>
  <c r="M776" i="1"/>
  <c r="K776" i="1"/>
  <c r="AP775" i="1"/>
  <c r="AQ775" i="1" s="1"/>
  <c r="AM775" i="1"/>
  <c r="AJ775" i="1"/>
  <c r="AH775" i="1"/>
  <c r="Z775" i="1"/>
  <c r="W775" i="1"/>
  <c r="U775" i="1"/>
  <c r="S775" i="1"/>
  <c r="Q775" i="1"/>
  <c r="O775" i="1"/>
  <c r="M775" i="1"/>
  <c r="K775" i="1"/>
  <c r="AP774" i="1"/>
  <c r="AQ774" i="1" s="1"/>
  <c r="AM774" i="1"/>
  <c r="AJ774" i="1"/>
  <c r="AH774" i="1"/>
  <c r="Z774" i="1"/>
  <c r="W774" i="1"/>
  <c r="U774" i="1"/>
  <c r="S774" i="1"/>
  <c r="Q774" i="1"/>
  <c r="O774" i="1"/>
  <c r="M774" i="1"/>
  <c r="K774" i="1"/>
  <c r="AP773" i="1"/>
  <c r="AQ773" i="1" s="1"/>
  <c r="AM773" i="1"/>
  <c r="AJ773" i="1"/>
  <c r="AH773" i="1"/>
  <c r="Z773" i="1"/>
  <c r="W773" i="1"/>
  <c r="U773" i="1"/>
  <c r="S773" i="1"/>
  <c r="Q773" i="1"/>
  <c r="O773" i="1"/>
  <c r="M773" i="1"/>
  <c r="K773" i="1"/>
  <c r="AP772" i="1"/>
  <c r="AQ772" i="1" s="1"/>
  <c r="AM772" i="1"/>
  <c r="AJ772" i="1"/>
  <c r="AH772" i="1"/>
  <c r="Z772" i="1"/>
  <c r="W772" i="1"/>
  <c r="U772" i="1"/>
  <c r="S772" i="1"/>
  <c r="Q772" i="1"/>
  <c r="O772" i="1"/>
  <c r="M772" i="1"/>
  <c r="K772" i="1"/>
  <c r="AP771" i="1"/>
  <c r="AQ771" i="1" s="1"/>
  <c r="AM771" i="1"/>
  <c r="AJ771" i="1"/>
  <c r="AH771" i="1"/>
  <c r="Z771" i="1"/>
  <c r="W771" i="1"/>
  <c r="U771" i="1"/>
  <c r="S771" i="1"/>
  <c r="Q771" i="1"/>
  <c r="O771" i="1"/>
  <c r="M771" i="1"/>
  <c r="K771" i="1"/>
  <c r="AP770" i="1"/>
  <c r="AQ770" i="1" s="1"/>
  <c r="AM770" i="1"/>
  <c r="AJ770" i="1"/>
  <c r="AH770" i="1"/>
  <c r="Z770" i="1"/>
  <c r="W770" i="1"/>
  <c r="U770" i="1"/>
  <c r="S770" i="1"/>
  <c r="Q770" i="1"/>
  <c r="O770" i="1"/>
  <c r="M770" i="1"/>
  <c r="K770" i="1"/>
  <c r="AP769" i="1"/>
  <c r="AQ769" i="1" s="1"/>
  <c r="AM769" i="1"/>
  <c r="AJ769" i="1"/>
  <c r="AH769" i="1"/>
  <c r="Z769" i="1"/>
  <c r="W769" i="1"/>
  <c r="U769" i="1"/>
  <c r="S769" i="1"/>
  <c r="Q769" i="1"/>
  <c r="O769" i="1"/>
  <c r="M769" i="1"/>
  <c r="K769" i="1"/>
  <c r="AP768" i="1"/>
  <c r="AQ768" i="1" s="1"/>
  <c r="AM768" i="1"/>
  <c r="AJ768" i="1"/>
  <c r="AH768" i="1"/>
  <c r="Z768" i="1"/>
  <c r="W768" i="1"/>
  <c r="U768" i="1"/>
  <c r="S768" i="1"/>
  <c r="Q768" i="1"/>
  <c r="O768" i="1"/>
  <c r="M768" i="1"/>
  <c r="K768" i="1"/>
  <c r="AP767" i="1"/>
  <c r="AQ767" i="1" s="1"/>
  <c r="AM767" i="1"/>
  <c r="AJ767" i="1"/>
  <c r="AH767" i="1"/>
  <c r="Z767" i="1"/>
  <c r="W767" i="1"/>
  <c r="U767" i="1"/>
  <c r="S767" i="1"/>
  <c r="Q767" i="1"/>
  <c r="O767" i="1"/>
  <c r="M767" i="1"/>
  <c r="K767" i="1"/>
  <c r="AP766" i="1"/>
  <c r="AQ766" i="1" s="1"/>
  <c r="AM766" i="1"/>
  <c r="AJ766" i="1"/>
  <c r="AH766" i="1"/>
  <c r="Z766" i="1"/>
  <c r="W766" i="1"/>
  <c r="U766" i="1"/>
  <c r="S766" i="1"/>
  <c r="Q766" i="1"/>
  <c r="O766" i="1"/>
  <c r="M766" i="1"/>
  <c r="K766" i="1"/>
  <c r="AP765" i="1"/>
  <c r="AQ765" i="1" s="1"/>
  <c r="AM765" i="1"/>
  <c r="AJ765" i="1"/>
  <c r="AH765" i="1"/>
  <c r="Z765" i="1"/>
  <c r="W765" i="1"/>
  <c r="U765" i="1"/>
  <c r="S765" i="1"/>
  <c r="Q765" i="1"/>
  <c r="O765" i="1"/>
  <c r="M765" i="1"/>
  <c r="K765" i="1"/>
  <c r="AP764" i="1"/>
  <c r="AQ764" i="1" s="1"/>
  <c r="AM764" i="1"/>
  <c r="AJ764" i="1"/>
  <c r="AH764" i="1"/>
  <c r="Z764" i="1"/>
  <c r="W764" i="1"/>
  <c r="U764" i="1"/>
  <c r="S764" i="1"/>
  <c r="Q764" i="1"/>
  <c r="O764" i="1"/>
  <c r="M764" i="1"/>
  <c r="K764" i="1"/>
  <c r="AP763" i="1"/>
  <c r="AQ763" i="1" s="1"/>
  <c r="AM763" i="1"/>
  <c r="AJ763" i="1"/>
  <c r="AH763" i="1"/>
  <c r="Z763" i="1"/>
  <c r="W763" i="1"/>
  <c r="U763" i="1"/>
  <c r="S763" i="1"/>
  <c r="Q763" i="1"/>
  <c r="O763" i="1"/>
  <c r="M763" i="1"/>
  <c r="K763" i="1"/>
  <c r="AP762" i="1"/>
  <c r="AQ762" i="1" s="1"/>
  <c r="AM762" i="1"/>
  <c r="AJ762" i="1"/>
  <c r="AH762" i="1"/>
  <c r="Z762" i="1"/>
  <c r="W762" i="1"/>
  <c r="U762" i="1"/>
  <c r="S762" i="1"/>
  <c r="Q762" i="1"/>
  <c r="O762" i="1"/>
  <c r="M762" i="1"/>
  <c r="K762" i="1"/>
  <c r="AP761" i="1"/>
  <c r="AQ761" i="1" s="1"/>
  <c r="AM761" i="1"/>
  <c r="AJ761" i="1"/>
  <c r="AH761" i="1"/>
  <c r="Z761" i="1"/>
  <c r="W761" i="1"/>
  <c r="U761" i="1"/>
  <c r="S761" i="1"/>
  <c r="Q761" i="1"/>
  <c r="O761" i="1"/>
  <c r="M761" i="1"/>
  <c r="K761" i="1"/>
  <c r="AP760" i="1"/>
  <c r="AQ760" i="1" s="1"/>
  <c r="AM760" i="1"/>
  <c r="AJ760" i="1"/>
  <c r="AH760" i="1"/>
  <c r="Z760" i="1"/>
  <c r="W760" i="1"/>
  <c r="U760" i="1"/>
  <c r="S760" i="1"/>
  <c r="Q760" i="1"/>
  <c r="O760" i="1"/>
  <c r="M760" i="1"/>
  <c r="K760" i="1"/>
  <c r="AP759" i="1"/>
  <c r="AQ759" i="1" s="1"/>
  <c r="AM759" i="1"/>
  <c r="AJ759" i="1"/>
  <c r="AH759" i="1"/>
  <c r="Z759" i="1"/>
  <c r="W759" i="1"/>
  <c r="U759" i="1"/>
  <c r="S759" i="1"/>
  <c r="Q759" i="1"/>
  <c r="O759" i="1"/>
  <c r="M759" i="1"/>
  <c r="K759" i="1"/>
  <c r="AP758" i="1"/>
  <c r="AQ758" i="1" s="1"/>
  <c r="AM758" i="1"/>
  <c r="AJ758" i="1"/>
  <c r="AH758" i="1"/>
  <c r="Z758" i="1"/>
  <c r="W758" i="1"/>
  <c r="U758" i="1"/>
  <c r="S758" i="1"/>
  <c r="Q758" i="1"/>
  <c r="O758" i="1"/>
  <c r="M758" i="1"/>
  <c r="K758" i="1"/>
  <c r="AP757" i="1"/>
  <c r="AQ757" i="1" s="1"/>
  <c r="AM757" i="1"/>
  <c r="AJ757" i="1"/>
  <c r="AH757" i="1"/>
  <c r="Z757" i="1"/>
  <c r="W757" i="1"/>
  <c r="U757" i="1"/>
  <c r="S757" i="1"/>
  <c r="Q757" i="1"/>
  <c r="O757" i="1"/>
  <c r="M757" i="1"/>
  <c r="K757" i="1"/>
  <c r="AP756" i="1"/>
  <c r="AQ756" i="1" s="1"/>
  <c r="AM756" i="1"/>
  <c r="AJ756" i="1"/>
  <c r="AH756" i="1"/>
  <c r="Z756" i="1"/>
  <c r="W756" i="1"/>
  <c r="U756" i="1"/>
  <c r="S756" i="1"/>
  <c r="Q756" i="1"/>
  <c r="O756" i="1"/>
  <c r="M756" i="1"/>
  <c r="K756" i="1"/>
  <c r="AP755" i="1"/>
  <c r="AQ755" i="1" s="1"/>
  <c r="AM755" i="1"/>
  <c r="AJ755" i="1"/>
  <c r="AH755" i="1"/>
  <c r="Z755" i="1"/>
  <c r="W755" i="1"/>
  <c r="U755" i="1"/>
  <c r="S755" i="1"/>
  <c r="Q755" i="1"/>
  <c r="O755" i="1"/>
  <c r="M755" i="1"/>
  <c r="K755" i="1"/>
  <c r="AP754" i="1"/>
  <c r="AQ754" i="1" s="1"/>
  <c r="AM754" i="1"/>
  <c r="AJ754" i="1"/>
  <c r="AH754" i="1"/>
  <c r="Z754" i="1"/>
  <c r="W754" i="1"/>
  <c r="U754" i="1"/>
  <c r="S754" i="1"/>
  <c r="Q754" i="1"/>
  <c r="O754" i="1"/>
  <c r="M754" i="1"/>
  <c r="K754" i="1"/>
  <c r="AP753" i="1"/>
  <c r="AQ753" i="1" s="1"/>
  <c r="AM753" i="1"/>
  <c r="AJ753" i="1"/>
  <c r="AH753" i="1"/>
  <c r="Z753" i="1"/>
  <c r="W753" i="1"/>
  <c r="U753" i="1"/>
  <c r="S753" i="1"/>
  <c r="Q753" i="1"/>
  <c r="O753" i="1"/>
  <c r="M753" i="1"/>
  <c r="K753" i="1"/>
  <c r="AP752" i="1"/>
  <c r="AQ752" i="1" s="1"/>
  <c r="AM752" i="1"/>
  <c r="AJ752" i="1"/>
  <c r="AH752" i="1"/>
  <c r="Z752" i="1"/>
  <c r="W752" i="1"/>
  <c r="U752" i="1"/>
  <c r="S752" i="1"/>
  <c r="Q752" i="1"/>
  <c r="O752" i="1"/>
  <c r="M752" i="1"/>
  <c r="K752" i="1"/>
  <c r="AP751" i="1"/>
  <c r="AQ751" i="1" s="1"/>
  <c r="AM751" i="1"/>
  <c r="AJ751" i="1"/>
  <c r="AH751" i="1"/>
  <c r="Z751" i="1"/>
  <c r="W751" i="1"/>
  <c r="U751" i="1"/>
  <c r="S751" i="1"/>
  <c r="Q751" i="1"/>
  <c r="O751" i="1"/>
  <c r="M751" i="1"/>
  <c r="K751" i="1"/>
  <c r="AP750" i="1"/>
  <c r="AQ750" i="1" s="1"/>
  <c r="AM750" i="1"/>
  <c r="AJ750" i="1"/>
  <c r="AH750" i="1"/>
  <c r="Z750" i="1"/>
  <c r="W750" i="1"/>
  <c r="U750" i="1"/>
  <c r="S750" i="1"/>
  <c r="Q750" i="1"/>
  <c r="O750" i="1"/>
  <c r="M750" i="1"/>
  <c r="K750" i="1"/>
  <c r="AP749" i="1"/>
  <c r="AQ749" i="1" s="1"/>
  <c r="AM749" i="1"/>
  <c r="AJ749" i="1"/>
  <c r="AH749" i="1"/>
  <c r="Z749" i="1"/>
  <c r="W749" i="1"/>
  <c r="U749" i="1"/>
  <c r="S749" i="1"/>
  <c r="Q749" i="1"/>
  <c r="O749" i="1"/>
  <c r="M749" i="1"/>
  <c r="K749" i="1"/>
  <c r="AP748" i="1"/>
  <c r="AQ748" i="1" s="1"/>
  <c r="AM748" i="1"/>
  <c r="AJ748" i="1"/>
  <c r="AH748" i="1"/>
  <c r="Z748" i="1"/>
  <c r="W748" i="1"/>
  <c r="U748" i="1"/>
  <c r="S748" i="1"/>
  <c r="Q748" i="1"/>
  <c r="O748" i="1"/>
  <c r="M748" i="1"/>
  <c r="K748" i="1"/>
  <c r="AP747" i="1"/>
  <c r="AQ747" i="1" s="1"/>
  <c r="AM747" i="1"/>
  <c r="AJ747" i="1"/>
  <c r="AH747" i="1"/>
  <c r="Z747" i="1"/>
  <c r="W747" i="1"/>
  <c r="U747" i="1"/>
  <c r="S747" i="1"/>
  <c r="Q747" i="1"/>
  <c r="O747" i="1"/>
  <c r="M747" i="1"/>
  <c r="K747" i="1"/>
  <c r="AP746" i="1"/>
  <c r="AQ746" i="1" s="1"/>
  <c r="AM746" i="1"/>
  <c r="AJ746" i="1"/>
  <c r="AH746" i="1"/>
  <c r="Z746" i="1"/>
  <c r="W746" i="1"/>
  <c r="U746" i="1"/>
  <c r="S746" i="1"/>
  <c r="Q746" i="1"/>
  <c r="O746" i="1"/>
  <c r="M746" i="1"/>
  <c r="K746" i="1"/>
  <c r="AP745" i="1"/>
  <c r="AQ745" i="1" s="1"/>
  <c r="AM745" i="1"/>
  <c r="AJ745" i="1"/>
  <c r="AH745" i="1"/>
  <c r="Z745" i="1"/>
  <c r="W745" i="1"/>
  <c r="U745" i="1"/>
  <c r="S745" i="1"/>
  <c r="Q745" i="1"/>
  <c r="O745" i="1"/>
  <c r="M745" i="1"/>
  <c r="K745" i="1"/>
  <c r="AP744" i="1"/>
  <c r="AQ744" i="1" s="1"/>
  <c r="AM744" i="1"/>
  <c r="AJ744" i="1"/>
  <c r="AH744" i="1"/>
  <c r="Z744" i="1"/>
  <c r="W744" i="1"/>
  <c r="U744" i="1"/>
  <c r="S744" i="1"/>
  <c r="Q744" i="1"/>
  <c r="O744" i="1"/>
  <c r="M744" i="1"/>
  <c r="K744" i="1"/>
  <c r="AP743" i="1"/>
  <c r="AQ743" i="1" s="1"/>
  <c r="AM743" i="1"/>
  <c r="AJ743" i="1"/>
  <c r="AH743" i="1"/>
  <c r="Z743" i="1"/>
  <c r="W743" i="1"/>
  <c r="U743" i="1"/>
  <c r="S743" i="1"/>
  <c r="Q743" i="1"/>
  <c r="O743" i="1"/>
  <c r="M743" i="1"/>
  <c r="K743" i="1"/>
  <c r="AP742" i="1"/>
  <c r="AQ742" i="1" s="1"/>
  <c r="AM742" i="1"/>
  <c r="AJ742" i="1"/>
  <c r="AH742" i="1"/>
  <c r="Z742" i="1"/>
  <c r="W742" i="1"/>
  <c r="U742" i="1"/>
  <c r="S742" i="1"/>
  <c r="Q742" i="1"/>
  <c r="O742" i="1"/>
  <c r="M742" i="1"/>
  <c r="K742" i="1"/>
  <c r="AP741" i="1"/>
  <c r="AQ741" i="1" s="1"/>
  <c r="AM741" i="1"/>
  <c r="AJ741" i="1"/>
  <c r="AH741" i="1"/>
  <c r="Z741" i="1"/>
  <c r="W741" i="1"/>
  <c r="U741" i="1"/>
  <c r="S741" i="1"/>
  <c r="Q741" i="1"/>
  <c r="O741" i="1"/>
  <c r="M741" i="1"/>
  <c r="K741" i="1"/>
  <c r="AP740" i="1"/>
  <c r="AQ740" i="1" s="1"/>
  <c r="AM740" i="1"/>
  <c r="AJ740" i="1"/>
  <c r="AH740" i="1"/>
  <c r="Z740" i="1"/>
  <c r="W740" i="1"/>
  <c r="U740" i="1"/>
  <c r="S740" i="1"/>
  <c r="Q740" i="1"/>
  <c r="O740" i="1"/>
  <c r="M740" i="1"/>
  <c r="K740" i="1"/>
  <c r="AP739" i="1"/>
  <c r="AQ739" i="1" s="1"/>
  <c r="AM739" i="1"/>
  <c r="AJ739" i="1"/>
  <c r="AH739" i="1"/>
  <c r="Z739" i="1"/>
  <c r="W739" i="1"/>
  <c r="U739" i="1"/>
  <c r="S739" i="1"/>
  <c r="Q739" i="1"/>
  <c r="O739" i="1"/>
  <c r="M739" i="1"/>
  <c r="K739" i="1"/>
  <c r="AP738" i="1"/>
  <c r="AQ738" i="1" s="1"/>
  <c r="AM738" i="1"/>
  <c r="AJ738" i="1"/>
  <c r="AH738" i="1"/>
  <c r="Z738" i="1"/>
  <c r="W738" i="1"/>
  <c r="U738" i="1"/>
  <c r="S738" i="1"/>
  <c r="Q738" i="1"/>
  <c r="O738" i="1"/>
  <c r="M738" i="1"/>
  <c r="K738" i="1"/>
  <c r="AP737" i="1"/>
  <c r="AQ737" i="1" s="1"/>
  <c r="AM737" i="1"/>
  <c r="AJ737" i="1"/>
  <c r="AH737" i="1"/>
  <c r="Z737" i="1"/>
  <c r="W737" i="1"/>
  <c r="U737" i="1"/>
  <c r="S737" i="1"/>
  <c r="Q737" i="1"/>
  <c r="O737" i="1"/>
  <c r="M737" i="1"/>
  <c r="K737" i="1"/>
  <c r="AP736" i="1"/>
  <c r="AQ736" i="1" s="1"/>
  <c r="AM736" i="1"/>
  <c r="AJ736" i="1"/>
  <c r="AH736" i="1"/>
  <c r="Z736" i="1"/>
  <c r="W736" i="1"/>
  <c r="U736" i="1"/>
  <c r="S736" i="1"/>
  <c r="Q736" i="1"/>
  <c r="O736" i="1"/>
  <c r="M736" i="1"/>
  <c r="K736" i="1"/>
  <c r="AP735" i="1"/>
  <c r="AQ735" i="1" s="1"/>
  <c r="AM735" i="1"/>
  <c r="AJ735" i="1"/>
  <c r="AH735" i="1"/>
  <c r="Z735" i="1"/>
  <c r="W735" i="1"/>
  <c r="U735" i="1"/>
  <c r="S735" i="1"/>
  <c r="Q735" i="1"/>
  <c r="O735" i="1"/>
  <c r="M735" i="1"/>
  <c r="K735" i="1"/>
  <c r="AP734" i="1"/>
  <c r="AQ734" i="1" s="1"/>
  <c r="AM734" i="1"/>
  <c r="AJ734" i="1"/>
  <c r="AH734" i="1"/>
  <c r="Z734" i="1"/>
  <c r="W734" i="1"/>
  <c r="U734" i="1"/>
  <c r="S734" i="1"/>
  <c r="Q734" i="1"/>
  <c r="O734" i="1"/>
  <c r="M734" i="1"/>
  <c r="K734" i="1"/>
  <c r="AP733" i="1"/>
  <c r="AQ733" i="1" s="1"/>
  <c r="AM733" i="1"/>
  <c r="AJ733" i="1"/>
  <c r="AH733" i="1"/>
  <c r="Z733" i="1"/>
  <c r="W733" i="1"/>
  <c r="U733" i="1"/>
  <c r="S733" i="1"/>
  <c r="Q733" i="1"/>
  <c r="O733" i="1"/>
  <c r="M733" i="1"/>
  <c r="K733" i="1"/>
  <c r="AP732" i="1"/>
  <c r="AQ732" i="1" s="1"/>
  <c r="AM732" i="1"/>
  <c r="AJ732" i="1"/>
  <c r="AH732" i="1"/>
  <c r="Z732" i="1"/>
  <c r="W732" i="1"/>
  <c r="U732" i="1"/>
  <c r="S732" i="1"/>
  <c r="Q732" i="1"/>
  <c r="O732" i="1"/>
  <c r="M732" i="1"/>
  <c r="K732" i="1"/>
  <c r="AP731" i="1"/>
  <c r="AQ731" i="1" s="1"/>
  <c r="AM731" i="1"/>
  <c r="AJ731" i="1"/>
  <c r="AH731" i="1"/>
  <c r="Z731" i="1"/>
  <c r="W731" i="1"/>
  <c r="U731" i="1"/>
  <c r="S731" i="1"/>
  <c r="Q731" i="1"/>
  <c r="O731" i="1"/>
  <c r="M731" i="1"/>
  <c r="K731" i="1"/>
  <c r="AP730" i="1"/>
  <c r="AQ730" i="1" s="1"/>
  <c r="AM730" i="1"/>
  <c r="AJ730" i="1"/>
  <c r="AH730" i="1"/>
  <c r="Z730" i="1"/>
  <c r="W730" i="1"/>
  <c r="U730" i="1"/>
  <c r="S730" i="1"/>
  <c r="Q730" i="1"/>
  <c r="O730" i="1"/>
  <c r="M730" i="1"/>
  <c r="K730" i="1"/>
  <c r="AP729" i="1"/>
  <c r="AQ729" i="1" s="1"/>
  <c r="AM729" i="1"/>
  <c r="AJ729" i="1"/>
  <c r="AH729" i="1"/>
  <c r="Z729" i="1"/>
  <c r="W729" i="1"/>
  <c r="U729" i="1"/>
  <c r="S729" i="1"/>
  <c r="Q729" i="1"/>
  <c r="O729" i="1"/>
  <c r="M729" i="1"/>
  <c r="K729" i="1"/>
  <c r="AP728" i="1"/>
  <c r="AQ728" i="1" s="1"/>
  <c r="AM728" i="1"/>
  <c r="AJ728" i="1"/>
  <c r="AH728" i="1"/>
  <c r="Z728" i="1"/>
  <c r="W728" i="1"/>
  <c r="U728" i="1"/>
  <c r="S728" i="1"/>
  <c r="Q728" i="1"/>
  <c r="O728" i="1"/>
  <c r="M728" i="1"/>
  <c r="K728" i="1"/>
  <c r="AP727" i="1"/>
  <c r="AQ727" i="1" s="1"/>
  <c r="AM727" i="1"/>
  <c r="AJ727" i="1"/>
  <c r="AH727" i="1"/>
  <c r="Z727" i="1"/>
  <c r="W727" i="1"/>
  <c r="U727" i="1"/>
  <c r="S727" i="1"/>
  <c r="Q727" i="1"/>
  <c r="O727" i="1"/>
  <c r="M727" i="1"/>
  <c r="K727" i="1"/>
  <c r="AP726" i="1"/>
  <c r="AQ726" i="1" s="1"/>
  <c r="AM726" i="1"/>
  <c r="AJ726" i="1"/>
  <c r="AH726" i="1"/>
  <c r="Z726" i="1"/>
  <c r="W726" i="1"/>
  <c r="U726" i="1"/>
  <c r="S726" i="1"/>
  <c r="Q726" i="1"/>
  <c r="O726" i="1"/>
  <c r="M726" i="1"/>
  <c r="K726" i="1"/>
  <c r="AP725" i="1"/>
  <c r="AQ725" i="1" s="1"/>
  <c r="AM725" i="1"/>
  <c r="AJ725" i="1"/>
  <c r="AH725" i="1"/>
  <c r="Z725" i="1"/>
  <c r="W725" i="1"/>
  <c r="U725" i="1"/>
  <c r="S725" i="1"/>
  <c r="Q725" i="1"/>
  <c r="O725" i="1"/>
  <c r="M725" i="1"/>
  <c r="K725" i="1"/>
  <c r="AP724" i="1"/>
  <c r="AQ724" i="1" s="1"/>
  <c r="AM724" i="1"/>
  <c r="AJ724" i="1"/>
  <c r="AH724" i="1"/>
  <c r="Z724" i="1"/>
  <c r="W724" i="1"/>
  <c r="U724" i="1"/>
  <c r="S724" i="1"/>
  <c r="Q724" i="1"/>
  <c r="O724" i="1"/>
  <c r="M724" i="1"/>
  <c r="K724" i="1"/>
  <c r="AP723" i="1"/>
  <c r="AQ723" i="1" s="1"/>
  <c r="AM723" i="1"/>
  <c r="AJ723" i="1"/>
  <c r="AH723" i="1"/>
  <c r="Z723" i="1"/>
  <c r="W723" i="1"/>
  <c r="U723" i="1"/>
  <c r="S723" i="1"/>
  <c r="Q723" i="1"/>
  <c r="O723" i="1"/>
  <c r="M723" i="1"/>
  <c r="K723" i="1"/>
  <c r="AP722" i="1"/>
  <c r="AQ722" i="1" s="1"/>
  <c r="AM722" i="1"/>
  <c r="AJ722" i="1"/>
  <c r="AH722" i="1"/>
  <c r="Z722" i="1"/>
  <c r="W722" i="1"/>
  <c r="U722" i="1"/>
  <c r="S722" i="1"/>
  <c r="Q722" i="1"/>
  <c r="O722" i="1"/>
  <c r="M722" i="1"/>
  <c r="K722" i="1"/>
  <c r="AP721" i="1"/>
  <c r="AQ721" i="1" s="1"/>
  <c r="AM721" i="1"/>
  <c r="AJ721" i="1"/>
  <c r="AH721" i="1"/>
  <c r="Z721" i="1"/>
  <c r="W721" i="1"/>
  <c r="U721" i="1"/>
  <c r="S721" i="1"/>
  <c r="Q721" i="1"/>
  <c r="O721" i="1"/>
  <c r="M721" i="1"/>
  <c r="K721" i="1"/>
  <c r="AP720" i="1"/>
  <c r="AQ720" i="1" s="1"/>
  <c r="AM720" i="1"/>
  <c r="AJ720" i="1"/>
  <c r="AH720" i="1"/>
  <c r="Z720" i="1"/>
  <c r="W720" i="1"/>
  <c r="U720" i="1"/>
  <c r="S720" i="1"/>
  <c r="Q720" i="1"/>
  <c r="O720" i="1"/>
  <c r="M720" i="1"/>
  <c r="K720" i="1"/>
  <c r="AP719" i="1"/>
  <c r="AQ719" i="1" s="1"/>
  <c r="AM719" i="1"/>
  <c r="AJ719" i="1"/>
  <c r="AH719" i="1"/>
  <c r="Z719" i="1"/>
  <c r="W719" i="1"/>
  <c r="U719" i="1"/>
  <c r="S719" i="1"/>
  <c r="Q719" i="1"/>
  <c r="O719" i="1"/>
  <c r="M719" i="1"/>
  <c r="K719" i="1"/>
  <c r="AP718" i="1"/>
  <c r="AQ718" i="1" s="1"/>
  <c r="AM718" i="1"/>
  <c r="AJ718" i="1"/>
  <c r="AH718" i="1"/>
  <c r="Z718" i="1"/>
  <c r="W718" i="1"/>
  <c r="U718" i="1"/>
  <c r="S718" i="1"/>
  <c r="Q718" i="1"/>
  <c r="O718" i="1"/>
  <c r="M718" i="1"/>
  <c r="K718" i="1"/>
  <c r="AP717" i="1"/>
  <c r="AQ717" i="1" s="1"/>
  <c r="AM717" i="1"/>
  <c r="AJ717" i="1"/>
  <c r="AH717" i="1"/>
  <c r="Z717" i="1"/>
  <c r="W717" i="1"/>
  <c r="U717" i="1"/>
  <c r="S717" i="1"/>
  <c r="Q717" i="1"/>
  <c r="O717" i="1"/>
  <c r="M717" i="1"/>
  <c r="K717" i="1"/>
  <c r="AP716" i="1"/>
  <c r="AQ716" i="1" s="1"/>
  <c r="AM716" i="1"/>
  <c r="AJ716" i="1"/>
  <c r="AH716" i="1"/>
  <c r="Z716" i="1"/>
  <c r="W716" i="1"/>
  <c r="U716" i="1"/>
  <c r="S716" i="1"/>
  <c r="Q716" i="1"/>
  <c r="O716" i="1"/>
  <c r="M716" i="1"/>
  <c r="K716" i="1"/>
  <c r="AP715" i="1"/>
  <c r="AQ715" i="1" s="1"/>
  <c r="AM715" i="1"/>
  <c r="AJ715" i="1"/>
  <c r="AH715" i="1"/>
  <c r="Z715" i="1"/>
  <c r="W715" i="1"/>
  <c r="U715" i="1"/>
  <c r="S715" i="1"/>
  <c r="Q715" i="1"/>
  <c r="O715" i="1"/>
  <c r="M715" i="1"/>
  <c r="K715" i="1"/>
  <c r="AP714" i="1"/>
  <c r="AQ714" i="1" s="1"/>
  <c r="AM714" i="1"/>
  <c r="AJ714" i="1"/>
  <c r="AH714" i="1"/>
  <c r="Z714" i="1"/>
  <c r="W714" i="1"/>
  <c r="U714" i="1"/>
  <c r="S714" i="1"/>
  <c r="Q714" i="1"/>
  <c r="O714" i="1"/>
  <c r="M714" i="1"/>
  <c r="K714" i="1"/>
  <c r="AP713" i="1"/>
  <c r="AQ713" i="1" s="1"/>
  <c r="AM713" i="1"/>
  <c r="AJ713" i="1"/>
  <c r="AH713" i="1"/>
  <c r="Z713" i="1"/>
  <c r="W713" i="1"/>
  <c r="U713" i="1"/>
  <c r="S713" i="1"/>
  <c r="Q713" i="1"/>
  <c r="O713" i="1"/>
  <c r="M713" i="1"/>
  <c r="K713" i="1"/>
  <c r="AP712" i="1"/>
  <c r="AQ712" i="1" s="1"/>
  <c r="AM712" i="1"/>
  <c r="AJ712" i="1"/>
  <c r="AH712" i="1"/>
  <c r="Z712" i="1"/>
  <c r="W712" i="1"/>
  <c r="U712" i="1"/>
  <c r="S712" i="1"/>
  <c r="Q712" i="1"/>
  <c r="O712" i="1"/>
  <c r="M712" i="1"/>
  <c r="K712" i="1"/>
  <c r="AP711" i="1"/>
  <c r="AQ711" i="1" s="1"/>
  <c r="AM711" i="1"/>
  <c r="AJ711" i="1"/>
  <c r="AH711" i="1"/>
  <c r="Z711" i="1"/>
  <c r="W711" i="1"/>
  <c r="U711" i="1"/>
  <c r="S711" i="1"/>
  <c r="Q711" i="1"/>
  <c r="O711" i="1"/>
  <c r="M711" i="1"/>
  <c r="K711" i="1"/>
  <c r="AP710" i="1"/>
  <c r="AQ710" i="1" s="1"/>
  <c r="AM710" i="1"/>
  <c r="AJ710" i="1"/>
  <c r="AH710" i="1"/>
  <c r="Z710" i="1"/>
  <c r="W710" i="1"/>
  <c r="U710" i="1"/>
  <c r="S710" i="1"/>
  <c r="Q710" i="1"/>
  <c r="O710" i="1"/>
  <c r="M710" i="1"/>
  <c r="K710" i="1"/>
  <c r="AP709" i="1"/>
  <c r="AQ709" i="1" s="1"/>
  <c r="AM709" i="1"/>
  <c r="AJ709" i="1"/>
  <c r="AH709" i="1"/>
  <c r="Z709" i="1"/>
  <c r="W709" i="1"/>
  <c r="U709" i="1"/>
  <c r="S709" i="1"/>
  <c r="Q709" i="1"/>
  <c r="O709" i="1"/>
  <c r="M709" i="1"/>
  <c r="K709" i="1"/>
  <c r="AP708" i="1"/>
  <c r="AQ708" i="1" s="1"/>
  <c r="AM708" i="1"/>
  <c r="AJ708" i="1"/>
  <c r="AH708" i="1"/>
  <c r="Z708" i="1"/>
  <c r="W708" i="1"/>
  <c r="U708" i="1"/>
  <c r="S708" i="1"/>
  <c r="Q708" i="1"/>
  <c r="O708" i="1"/>
  <c r="M708" i="1"/>
  <c r="K708" i="1"/>
  <c r="AP707" i="1"/>
  <c r="AQ707" i="1" s="1"/>
  <c r="AM707" i="1"/>
  <c r="AJ707" i="1"/>
  <c r="AH707" i="1"/>
  <c r="Z707" i="1"/>
  <c r="W707" i="1"/>
  <c r="U707" i="1"/>
  <c r="S707" i="1"/>
  <c r="Q707" i="1"/>
  <c r="O707" i="1"/>
  <c r="M707" i="1"/>
  <c r="K707" i="1"/>
  <c r="AP706" i="1"/>
  <c r="AQ706" i="1" s="1"/>
  <c r="AM706" i="1"/>
  <c r="AJ706" i="1"/>
  <c r="AH706" i="1"/>
  <c r="Z706" i="1"/>
  <c r="W706" i="1"/>
  <c r="U706" i="1"/>
  <c r="S706" i="1"/>
  <c r="Q706" i="1"/>
  <c r="O706" i="1"/>
  <c r="M706" i="1"/>
  <c r="K706" i="1"/>
  <c r="AP705" i="1"/>
  <c r="AQ705" i="1" s="1"/>
  <c r="AM705" i="1"/>
  <c r="AJ705" i="1"/>
  <c r="AH705" i="1"/>
  <c r="Z705" i="1"/>
  <c r="W705" i="1"/>
  <c r="U705" i="1"/>
  <c r="S705" i="1"/>
  <c r="Q705" i="1"/>
  <c r="O705" i="1"/>
  <c r="M705" i="1"/>
  <c r="K705" i="1"/>
  <c r="AP704" i="1"/>
  <c r="AQ704" i="1" s="1"/>
  <c r="AM704" i="1"/>
  <c r="AJ704" i="1"/>
  <c r="AH704" i="1"/>
  <c r="Z704" i="1"/>
  <c r="W704" i="1"/>
  <c r="U704" i="1"/>
  <c r="S704" i="1"/>
  <c r="Q704" i="1"/>
  <c r="O704" i="1"/>
  <c r="M704" i="1"/>
  <c r="K704" i="1"/>
  <c r="AP703" i="1"/>
  <c r="AQ703" i="1" s="1"/>
  <c r="AM703" i="1"/>
  <c r="AJ703" i="1"/>
  <c r="AH703" i="1"/>
  <c r="Z703" i="1"/>
  <c r="W703" i="1"/>
  <c r="U703" i="1"/>
  <c r="S703" i="1"/>
  <c r="Q703" i="1"/>
  <c r="O703" i="1"/>
  <c r="M703" i="1"/>
  <c r="K703" i="1"/>
  <c r="AP702" i="1"/>
  <c r="AQ702" i="1" s="1"/>
  <c r="AM702" i="1"/>
  <c r="AJ702" i="1"/>
  <c r="AH702" i="1"/>
  <c r="Z702" i="1"/>
  <c r="W702" i="1"/>
  <c r="U702" i="1"/>
  <c r="S702" i="1"/>
  <c r="Q702" i="1"/>
  <c r="O702" i="1"/>
  <c r="M702" i="1"/>
  <c r="K702" i="1"/>
  <c r="AP701" i="1"/>
  <c r="AQ701" i="1" s="1"/>
  <c r="AM701" i="1"/>
  <c r="AJ701" i="1"/>
  <c r="AH701" i="1"/>
  <c r="Z701" i="1"/>
  <c r="W701" i="1"/>
  <c r="U701" i="1"/>
  <c r="S701" i="1"/>
  <c r="Q701" i="1"/>
  <c r="O701" i="1"/>
  <c r="M701" i="1"/>
  <c r="K701" i="1"/>
  <c r="AP700" i="1"/>
  <c r="AQ700" i="1" s="1"/>
  <c r="AM700" i="1"/>
  <c r="AJ700" i="1"/>
  <c r="AH700" i="1"/>
  <c r="Z700" i="1"/>
  <c r="W700" i="1"/>
  <c r="U700" i="1"/>
  <c r="S700" i="1"/>
  <c r="Q700" i="1"/>
  <c r="O700" i="1"/>
  <c r="M700" i="1"/>
  <c r="K700" i="1"/>
  <c r="AP699" i="1"/>
  <c r="AQ699" i="1" s="1"/>
  <c r="AM699" i="1"/>
  <c r="AJ699" i="1"/>
  <c r="AH699" i="1"/>
  <c r="Z699" i="1"/>
  <c r="W699" i="1"/>
  <c r="U699" i="1"/>
  <c r="S699" i="1"/>
  <c r="Q699" i="1"/>
  <c r="O699" i="1"/>
  <c r="M699" i="1"/>
  <c r="K699" i="1"/>
  <c r="AP698" i="1"/>
  <c r="AQ698" i="1" s="1"/>
  <c r="AM698" i="1"/>
  <c r="AJ698" i="1"/>
  <c r="AH698" i="1"/>
  <c r="Z698" i="1"/>
  <c r="W698" i="1"/>
  <c r="U698" i="1"/>
  <c r="S698" i="1"/>
  <c r="Q698" i="1"/>
  <c r="O698" i="1"/>
  <c r="M698" i="1"/>
  <c r="K698" i="1"/>
  <c r="AP697" i="1"/>
  <c r="AQ697" i="1" s="1"/>
  <c r="AM697" i="1"/>
  <c r="AJ697" i="1"/>
  <c r="AH697" i="1"/>
  <c r="Z697" i="1"/>
  <c r="W697" i="1"/>
  <c r="U697" i="1"/>
  <c r="S697" i="1"/>
  <c r="Q697" i="1"/>
  <c r="O697" i="1"/>
  <c r="M697" i="1"/>
  <c r="K697" i="1"/>
  <c r="AP696" i="1"/>
  <c r="AQ696" i="1" s="1"/>
  <c r="AM696" i="1"/>
  <c r="AJ696" i="1"/>
  <c r="AH696" i="1"/>
  <c r="Z696" i="1"/>
  <c r="W696" i="1"/>
  <c r="U696" i="1"/>
  <c r="S696" i="1"/>
  <c r="Q696" i="1"/>
  <c r="O696" i="1"/>
  <c r="M696" i="1"/>
  <c r="K696" i="1"/>
  <c r="AP695" i="1"/>
  <c r="AQ695" i="1" s="1"/>
  <c r="AM695" i="1"/>
  <c r="AJ695" i="1"/>
  <c r="AH695" i="1"/>
  <c r="Z695" i="1"/>
  <c r="W695" i="1"/>
  <c r="U695" i="1"/>
  <c r="S695" i="1"/>
  <c r="Q695" i="1"/>
  <c r="O695" i="1"/>
  <c r="M695" i="1"/>
  <c r="K695" i="1"/>
  <c r="AP694" i="1"/>
  <c r="AQ694" i="1" s="1"/>
  <c r="AM694" i="1"/>
  <c r="AJ694" i="1"/>
  <c r="AH694" i="1"/>
  <c r="Z694" i="1"/>
  <c r="W694" i="1"/>
  <c r="U694" i="1"/>
  <c r="S694" i="1"/>
  <c r="Q694" i="1"/>
  <c r="O694" i="1"/>
  <c r="M694" i="1"/>
  <c r="K694" i="1"/>
  <c r="AP693" i="1"/>
  <c r="AQ693" i="1" s="1"/>
  <c r="AM693" i="1"/>
  <c r="AJ693" i="1"/>
  <c r="AH693" i="1"/>
  <c r="Z693" i="1"/>
  <c r="W693" i="1"/>
  <c r="U693" i="1"/>
  <c r="S693" i="1"/>
  <c r="Q693" i="1"/>
  <c r="O693" i="1"/>
  <c r="M693" i="1"/>
  <c r="K693" i="1"/>
  <c r="AP692" i="1"/>
  <c r="AQ692" i="1" s="1"/>
  <c r="AM692" i="1"/>
  <c r="AJ692" i="1"/>
  <c r="AH692" i="1"/>
  <c r="Z692" i="1"/>
  <c r="W692" i="1"/>
  <c r="U692" i="1"/>
  <c r="S692" i="1"/>
  <c r="Q692" i="1"/>
  <c r="O692" i="1"/>
  <c r="M692" i="1"/>
  <c r="K692" i="1"/>
  <c r="AP691" i="1"/>
  <c r="AQ691" i="1" s="1"/>
  <c r="AM691" i="1"/>
  <c r="AJ691" i="1"/>
  <c r="AH691" i="1"/>
  <c r="Z691" i="1"/>
  <c r="W691" i="1"/>
  <c r="U691" i="1"/>
  <c r="S691" i="1"/>
  <c r="Q691" i="1"/>
  <c r="O691" i="1"/>
  <c r="M691" i="1"/>
  <c r="K691" i="1"/>
  <c r="AP690" i="1"/>
  <c r="AQ690" i="1" s="1"/>
  <c r="AM690" i="1"/>
  <c r="AJ690" i="1"/>
  <c r="AH690" i="1"/>
  <c r="Z690" i="1"/>
  <c r="W690" i="1"/>
  <c r="U690" i="1"/>
  <c r="S690" i="1"/>
  <c r="Q690" i="1"/>
  <c r="O690" i="1"/>
  <c r="M690" i="1"/>
  <c r="K690" i="1"/>
  <c r="AP689" i="1"/>
  <c r="AQ689" i="1" s="1"/>
  <c r="AM689" i="1"/>
  <c r="AJ689" i="1"/>
  <c r="AH689" i="1"/>
  <c r="Z689" i="1"/>
  <c r="W689" i="1"/>
  <c r="U689" i="1"/>
  <c r="S689" i="1"/>
  <c r="Q689" i="1"/>
  <c r="O689" i="1"/>
  <c r="M689" i="1"/>
  <c r="K689" i="1"/>
  <c r="AP688" i="1"/>
  <c r="AQ688" i="1" s="1"/>
  <c r="AM688" i="1"/>
  <c r="AJ688" i="1"/>
  <c r="AH688" i="1"/>
  <c r="Z688" i="1"/>
  <c r="W688" i="1"/>
  <c r="U688" i="1"/>
  <c r="S688" i="1"/>
  <c r="Q688" i="1"/>
  <c r="O688" i="1"/>
  <c r="M688" i="1"/>
  <c r="K688" i="1"/>
  <c r="AP687" i="1"/>
  <c r="AQ687" i="1" s="1"/>
  <c r="AM687" i="1"/>
  <c r="AJ687" i="1"/>
  <c r="AH687" i="1"/>
  <c r="Z687" i="1"/>
  <c r="W687" i="1"/>
  <c r="U687" i="1"/>
  <c r="S687" i="1"/>
  <c r="Q687" i="1"/>
  <c r="O687" i="1"/>
  <c r="M687" i="1"/>
  <c r="K687" i="1"/>
  <c r="AP686" i="1"/>
  <c r="AQ686" i="1" s="1"/>
  <c r="AM686" i="1"/>
  <c r="AJ686" i="1"/>
  <c r="AH686" i="1"/>
  <c r="Z686" i="1"/>
  <c r="W686" i="1"/>
  <c r="U686" i="1"/>
  <c r="S686" i="1"/>
  <c r="Q686" i="1"/>
  <c r="O686" i="1"/>
  <c r="M686" i="1"/>
  <c r="K686" i="1"/>
  <c r="AP685" i="1"/>
  <c r="AQ685" i="1" s="1"/>
  <c r="AM685" i="1"/>
  <c r="AJ685" i="1"/>
  <c r="AH685" i="1"/>
  <c r="Z685" i="1"/>
  <c r="W685" i="1"/>
  <c r="U685" i="1"/>
  <c r="S685" i="1"/>
  <c r="Q685" i="1"/>
  <c r="O685" i="1"/>
  <c r="M685" i="1"/>
  <c r="K685" i="1"/>
  <c r="AP684" i="1"/>
  <c r="AQ684" i="1" s="1"/>
  <c r="AM684" i="1"/>
  <c r="AJ684" i="1"/>
  <c r="AH684" i="1"/>
  <c r="Z684" i="1"/>
  <c r="W684" i="1"/>
  <c r="U684" i="1"/>
  <c r="S684" i="1"/>
  <c r="Q684" i="1"/>
  <c r="O684" i="1"/>
  <c r="M684" i="1"/>
  <c r="K684" i="1"/>
  <c r="AP683" i="1"/>
  <c r="AQ683" i="1" s="1"/>
  <c r="AM683" i="1"/>
  <c r="AJ683" i="1"/>
  <c r="AH683" i="1"/>
  <c r="Z683" i="1"/>
  <c r="W683" i="1"/>
  <c r="U683" i="1"/>
  <c r="S683" i="1"/>
  <c r="Q683" i="1"/>
  <c r="O683" i="1"/>
  <c r="M683" i="1"/>
  <c r="K683" i="1"/>
  <c r="AP682" i="1"/>
  <c r="AQ682" i="1" s="1"/>
  <c r="AM682" i="1"/>
  <c r="AJ682" i="1"/>
  <c r="AH682" i="1"/>
  <c r="Z682" i="1"/>
  <c r="W682" i="1"/>
  <c r="U682" i="1"/>
  <c r="S682" i="1"/>
  <c r="Q682" i="1"/>
  <c r="O682" i="1"/>
  <c r="M682" i="1"/>
  <c r="K682" i="1"/>
  <c r="AP681" i="1"/>
  <c r="AQ681" i="1" s="1"/>
  <c r="AM681" i="1"/>
  <c r="AJ681" i="1"/>
  <c r="AH681" i="1"/>
  <c r="Z681" i="1"/>
  <c r="W681" i="1"/>
  <c r="U681" i="1"/>
  <c r="S681" i="1"/>
  <c r="Q681" i="1"/>
  <c r="O681" i="1"/>
  <c r="M681" i="1"/>
  <c r="K681" i="1"/>
  <c r="AP680" i="1"/>
  <c r="AQ680" i="1" s="1"/>
  <c r="AM680" i="1"/>
  <c r="AJ680" i="1"/>
  <c r="AH680" i="1"/>
  <c r="Z680" i="1"/>
  <c r="W680" i="1"/>
  <c r="U680" i="1"/>
  <c r="S680" i="1"/>
  <c r="Q680" i="1"/>
  <c r="O680" i="1"/>
  <c r="M680" i="1"/>
  <c r="K680" i="1"/>
  <c r="AP679" i="1"/>
  <c r="AQ679" i="1" s="1"/>
  <c r="AM679" i="1"/>
  <c r="AJ679" i="1"/>
  <c r="AH679" i="1"/>
  <c r="Z679" i="1"/>
  <c r="W679" i="1"/>
  <c r="U679" i="1"/>
  <c r="S679" i="1"/>
  <c r="Q679" i="1"/>
  <c r="O679" i="1"/>
  <c r="M679" i="1"/>
  <c r="K679" i="1"/>
  <c r="AP678" i="1"/>
  <c r="AQ678" i="1" s="1"/>
  <c r="AM678" i="1"/>
  <c r="AJ678" i="1"/>
  <c r="AH678" i="1"/>
  <c r="Z678" i="1"/>
  <c r="W678" i="1"/>
  <c r="U678" i="1"/>
  <c r="S678" i="1"/>
  <c r="Q678" i="1"/>
  <c r="O678" i="1"/>
  <c r="M678" i="1"/>
  <c r="K678" i="1"/>
  <c r="AP677" i="1"/>
  <c r="AQ677" i="1" s="1"/>
  <c r="AM677" i="1"/>
  <c r="AJ677" i="1"/>
  <c r="AH677" i="1"/>
  <c r="Z677" i="1"/>
  <c r="W677" i="1"/>
  <c r="U677" i="1"/>
  <c r="S677" i="1"/>
  <c r="Q677" i="1"/>
  <c r="O677" i="1"/>
  <c r="M677" i="1"/>
  <c r="K677" i="1"/>
  <c r="AP676" i="1"/>
  <c r="AQ676" i="1" s="1"/>
  <c r="AM676" i="1"/>
  <c r="AJ676" i="1"/>
  <c r="AH676" i="1"/>
  <c r="Z676" i="1"/>
  <c r="W676" i="1"/>
  <c r="U676" i="1"/>
  <c r="S676" i="1"/>
  <c r="Q676" i="1"/>
  <c r="O676" i="1"/>
  <c r="M676" i="1"/>
  <c r="K676" i="1"/>
  <c r="AP675" i="1"/>
  <c r="AQ675" i="1" s="1"/>
  <c r="AM675" i="1"/>
  <c r="AJ675" i="1"/>
  <c r="AH675" i="1"/>
  <c r="Z675" i="1"/>
  <c r="W675" i="1"/>
  <c r="U675" i="1"/>
  <c r="S675" i="1"/>
  <c r="Q675" i="1"/>
  <c r="O675" i="1"/>
  <c r="M675" i="1"/>
  <c r="K675" i="1"/>
  <c r="AP674" i="1"/>
  <c r="AQ674" i="1" s="1"/>
  <c r="AM674" i="1"/>
  <c r="AJ674" i="1"/>
  <c r="AH674" i="1"/>
  <c r="Z674" i="1"/>
  <c r="W674" i="1"/>
  <c r="U674" i="1"/>
  <c r="S674" i="1"/>
  <c r="Q674" i="1"/>
  <c r="O674" i="1"/>
  <c r="M674" i="1"/>
  <c r="K674" i="1"/>
  <c r="AP673" i="1"/>
  <c r="AQ673" i="1" s="1"/>
  <c r="AM673" i="1"/>
  <c r="AJ673" i="1"/>
  <c r="AH673" i="1"/>
  <c r="Z673" i="1"/>
  <c r="W673" i="1"/>
  <c r="U673" i="1"/>
  <c r="S673" i="1"/>
  <c r="Q673" i="1"/>
  <c r="O673" i="1"/>
  <c r="M673" i="1"/>
  <c r="K673" i="1"/>
  <c r="AP672" i="1"/>
  <c r="AQ672" i="1" s="1"/>
  <c r="AM672" i="1"/>
  <c r="AJ672" i="1"/>
  <c r="AH672" i="1"/>
  <c r="Z672" i="1"/>
  <c r="W672" i="1"/>
  <c r="U672" i="1"/>
  <c r="S672" i="1"/>
  <c r="Q672" i="1"/>
  <c r="O672" i="1"/>
  <c r="M672" i="1"/>
  <c r="K672" i="1"/>
  <c r="AP671" i="1"/>
  <c r="AQ671" i="1" s="1"/>
  <c r="AM671" i="1"/>
  <c r="AJ671" i="1"/>
  <c r="AH671" i="1"/>
  <c r="Z671" i="1"/>
  <c r="W671" i="1"/>
  <c r="U671" i="1"/>
  <c r="S671" i="1"/>
  <c r="Q671" i="1"/>
  <c r="O671" i="1"/>
  <c r="M671" i="1"/>
  <c r="K671" i="1"/>
  <c r="AP670" i="1"/>
  <c r="AQ670" i="1" s="1"/>
  <c r="AM670" i="1"/>
  <c r="AJ670" i="1"/>
  <c r="AH670" i="1"/>
  <c r="Z670" i="1"/>
  <c r="W670" i="1"/>
  <c r="U670" i="1"/>
  <c r="S670" i="1"/>
  <c r="Q670" i="1"/>
  <c r="O670" i="1"/>
  <c r="M670" i="1"/>
  <c r="K670" i="1"/>
  <c r="AP669" i="1"/>
  <c r="AQ669" i="1" s="1"/>
  <c r="AM669" i="1"/>
  <c r="AJ669" i="1"/>
  <c r="AH669" i="1"/>
  <c r="Z669" i="1"/>
  <c r="W669" i="1"/>
  <c r="U669" i="1"/>
  <c r="S669" i="1"/>
  <c r="Q669" i="1"/>
  <c r="O669" i="1"/>
  <c r="M669" i="1"/>
  <c r="K669" i="1"/>
  <c r="AP668" i="1"/>
  <c r="AQ668" i="1" s="1"/>
  <c r="AM668" i="1"/>
  <c r="AJ668" i="1"/>
  <c r="AH668" i="1"/>
  <c r="Z668" i="1"/>
  <c r="W668" i="1"/>
  <c r="U668" i="1"/>
  <c r="S668" i="1"/>
  <c r="Q668" i="1"/>
  <c r="O668" i="1"/>
  <c r="M668" i="1"/>
  <c r="K668" i="1"/>
  <c r="AP667" i="1"/>
  <c r="AQ667" i="1" s="1"/>
  <c r="AM667" i="1"/>
  <c r="AJ667" i="1"/>
  <c r="AH667" i="1"/>
  <c r="Z667" i="1"/>
  <c r="W667" i="1"/>
  <c r="U667" i="1"/>
  <c r="S667" i="1"/>
  <c r="Q667" i="1"/>
  <c r="O667" i="1"/>
  <c r="M667" i="1"/>
  <c r="K667" i="1"/>
  <c r="AP666" i="1"/>
  <c r="AQ666" i="1" s="1"/>
  <c r="AM666" i="1"/>
  <c r="AJ666" i="1"/>
  <c r="AH666" i="1"/>
  <c r="Z666" i="1"/>
  <c r="W666" i="1"/>
  <c r="U666" i="1"/>
  <c r="S666" i="1"/>
  <c r="Q666" i="1"/>
  <c r="O666" i="1"/>
  <c r="M666" i="1"/>
  <c r="K666" i="1"/>
  <c r="AP665" i="1"/>
  <c r="AQ665" i="1" s="1"/>
  <c r="AM665" i="1"/>
  <c r="AJ665" i="1"/>
  <c r="AH665" i="1"/>
  <c r="Z665" i="1"/>
  <c r="W665" i="1"/>
  <c r="U665" i="1"/>
  <c r="S665" i="1"/>
  <c r="Q665" i="1"/>
  <c r="O665" i="1"/>
  <c r="M665" i="1"/>
  <c r="K665" i="1"/>
  <c r="AP664" i="1"/>
  <c r="AQ664" i="1" s="1"/>
  <c r="AM664" i="1"/>
  <c r="AJ664" i="1"/>
  <c r="AH664" i="1"/>
  <c r="Z664" i="1"/>
  <c r="W664" i="1"/>
  <c r="U664" i="1"/>
  <c r="S664" i="1"/>
  <c r="Q664" i="1"/>
  <c r="O664" i="1"/>
  <c r="M664" i="1"/>
  <c r="K664" i="1"/>
  <c r="AP663" i="1"/>
  <c r="AQ663" i="1" s="1"/>
  <c r="AM663" i="1"/>
  <c r="AJ663" i="1"/>
  <c r="AH663" i="1"/>
  <c r="Z663" i="1"/>
  <c r="W663" i="1"/>
  <c r="U663" i="1"/>
  <c r="S663" i="1"/>
  <c r="Q663" i="1"/>
  <c r="O663" i="1"/>
  <c r="M663" i="1"/>
  <c r="K663" i="1"/>
  <c r="AP662" i="1"/>
  <c r="AQ662" i="1" s="1"/>
  <c r="AM662" i="1"/>
  <c r="AJ662" i="1"/>
  <c r="AH662" i="1"/>
  <c r="Z662" i="1"/>
  <c r="W662" i="1"/>
  <c r="U662" i="1"/>
  <c r="S662" i="1"/>
  <c r="Q662" i="1"/>
  <c r="O662" i="1"/>
  <c r="M662" i="1"/>
  <c r="K662" i="1"/>
  <c r="AP661" i="1"/>
  <c r="AQ661" i="1" s="1"/>
  <c r="AM661" i="1"/>
  <c r="AJ661" i="1"/>
  <c r="AH661" i="1"/>
  <c r="Z661" i="1"/>
  <c r="W661" i="1"/>
  <c r="U661" i="1"/>
  <c r="S661" i="1"/>
  <c r="Q661" i="1"/>
  <c r="O661" i="1"/>
  <c r="M661" i="1"/>
  <c r="K661" i="1"/>
  <c r="AP660" i="1"/>
  <c r="AQ660" i="1" s="1"/>
  <c r="AM660" i="1"/>
  <c r="AJ660" i="1"/>
  <c r="AH660" i="1"/>
  <c r="Z660" i="1"/>
  <c r="W660" i="1"/>
  <c r="U660" i="1"/>
  <c r="S660" i="1"/>
  <c r="Q660" i="1"/>
  <c r="O660" i="1"/>
  <c r="M660" i="1"/>
  <c r="K660" i="1"/>
  <c r="AP659" i="1"/>
  <c r="AQ659" i="1" s="1"/>
  <c r="AM659" i="1"/>
  <c r="AJ659" i="1"/>
  <c r="AH659" i="1"/>
  <c r="Z659" i="1"/>
  <c r="W659" i="1"/>
  <c r="U659" i="1"/>
  <c r="S659" i="1"/>
  <c r="Q659" i="1"/>
  <c r="O659" i="1"/>
  <c r="M659" i="1"/>
  <c r="K659" i="1"/>
  <c r="AP658" i="1"/>
  <c r="AQ658" i="1" s="1"/>
  <c r="AM658" i="1"/>
  <c r="AJ658" i="1"/>
  <c r="AH658" i="1"/>
  <c r="Z658" i="1"/>
  <c r="W658" i="1"/>
  <c r="U658" i="1"/>
  <c r="S658" i="1"/>
  <c r="Q658" i="1"/>
  <c r="O658" i="1"/>
  <c r="M658" i="1"/>
  <c r="K658" i="1"/>
  <c r="AP657" i="1"/>
  <c r="AQ657" i="1" s="1"/>
  <c r="AM657" i="1"/>
  <c r="AJ657" i="1"/>
  <c r="AH657" i="1"/>
  <c r="Z657" i="1"/>
  <c r="W657" i="1"/>
  <c r="U657" i="1"/>
  <c r="S657" i="1"/>
  <c r="Q657" i="1"/>
  <c r="O657" i="1"/>
  <c r="M657" i="1"/>
  <c r="K657" i="1"/>
  <c r="AP656" i="1"/>
  <c r="AQ656" i="1" s="1"/>
  <c r="AM656" i="1"/>
  <c r="AJ656" i="1"/>
  <c r="AH656" i="1"/>
  <c r="Z656" i="1"/>
  <c r="W656" i="1"/>
  <c r="U656" i="1"/>
  <c r="S656" i="1"/>
  <c r="Q656" i="1"/>
  <c r="O656" i="1"/>
  <c r="M656" i="1"/>
  <c r="K656" i="1"/>
  <c r="AP655" i="1"/>
  <c r="AQ655" i="1" s="1"/>
  <c r="AM655" i="1"/>
  <c r="AJ655" i="1"/>
  <c r="AH655" i="1"/>
  <c r="Z655" i="1"/>
  <c r="W655" i="1"/>
  <c r="U655" i="1"/>
  <c r="S655" i="1"/>
  <c r="Q655" i="1"/>
  <c r="O655" i="1"/>
  <c r="M655" i="1"/>
  <c r="K655" i="1"/>
  <c r="AP654" i="1"/>
  <c r="AQ654" i="1" s="1"/>
  <c r="AM654" i="1"/>
  <c r="AJ654" i="1"/>
  <c r="AH654" i="1"/>
  <c r="Z654" i="1"/>
  <c r="W654" i="1"/>
  <c r="U654" i="1"/>
  <c r="S654" i="1"/>
  <c r="Q654" i="1"/>
  <c r="O654" i="1"/>
  <c r="M654" i="1"/>
  <c r="K654" i="1"/>
  <c r="AP653" i="1"/>
  <c r="AQ653" i="1" s="1"/>
  <c r="AM653" i="1"/>
  <c r="AJ653" i="1"/>
  <c r="AH653" i="1"/>
  <c r="Z653" i="1"/>
  <c r="W653" i="1"/>
  <c r="U653" i="1"/>
  <c r="S653" i="1"/>
  <c r="Q653" i="1"/>
  <c r="O653" i="1"/>
  <c r="M653" i="1"/>
  <c r="K653" i="1"/>
  <c r="AP652" i="1"/>
  <c r="AQ652" i="1" s="1"/>
  <c r="AM652" i="1"/>
  <c r="AJ652" i="1"/>
  <c r="AH652" i="1"/>
  <c r="Z652" i="1"/>
  <c r="W652" i="1"/>
  <c r="U652" i="1"/>
  <c r="S652" i="1"/>
  <c r="Q652" i="1"/>
  <c r="O652" i="1"/>
  <c r="M652" i="1"/>
  <c r="K652" i="1"/>
  <c r="AP651" i="1"/>
  <c r="AQ651" i="1" s="1"/>
  <c r="AM651" i="1"/>
  <c r="AJ651" i="1"/>
  <c r="AH651" i="1"/>
  <c r="Z651" i="1"/>
  <c r="W651" i="1"/>
  <c r="U651" i="1"/>
  <c r="S651" i="1"/>
  <c r="Q651" i="1"/>
  <c r="O651" i="1"/>
  <c r="M651" i="1"/>
  <c r="K651" i="1"/>
  <c r="AP650" i="1"/>
  <c r="AQ650" i="1" s="1"/>
  <c r="AM650" i="1"/>
  <c r="AJ650" i="1"/>
  <c r="AH650" i="1"/>
  <c r="Z650" i="1"/>
  <c r="W650" i="1"/>
  <c r="U650" i="1"/>
  <c r="S650" i="1"/>
  <c r="Q650" i="1"/>
  <c r="O650" i="1"/>
  <c r="M650" i="1"/>
  <c r="K650" i="1"/>
  <c r="AP649" i="1"/>
  <c r="AQ649" i="1" s="1"/>
  <c r="AM649" i="1"/>
  <c r="AJ649" i="1"/>
  <c r="AH649" i="1"/>
  <c r="Z649" i="1"/>
  <c r="W649" i="1"/>
  <c r="U649" i="1"/>
  <c r="S649" i="1"/>
  <c r="Q649" i="1"/>
  <c r="O649" i="1"/>
  <c r="M649" i="1"/>
  <c r="K649" i="1"/>
  <c r="AP648" i="1"/>
  <c r="AQ648" i="1" s="1"/>
  <c r="AM648" i="1"/>
  <c r="AJ648" i="1"/>
  <c r="AH648" i="1"/>
  <c r="Z648" i="1"/>
  <c r="W648" i="1"/>
  <c r="U648" i="1"/>
  <c r="S648" i="1"/>
  <c r="Q648" i="1"/>
  <c r="O648" i="1"/>
  <c r="M648" i="1"/>
  <c r="K648" i="1"/>
  <c r="AP647" i="1"/>
  <c r="AQ647" i="1" s="1"/>
  <c r="AM647" i="1"/>
  <c r="AJ647" i="1"/>
  <c r="AH647" i="1"/>
  <c r="Z647" i="1"/>
  <c r="W647" i="1"/>
  <c r="U647" i="1"/>
  <c r="S647" i="1"/>
  <c r="Q647" i="1"/>
  <c r="O647" i="1"/>
  <c r="M647" i="1"/>
  <c r="K647" i="1"/>
  <c r="AP646" i="1"/>
  <c r="AQ646" i="1" s="1"/>
  <c r="AM646" i="1"/>
  <c r="AJ646" i="1"/>
  <c r="AH646" i="1"/>
  <c r="Z646" i="1"/>
  <c r="W646" i="1"/>
  <c r="U646" i="1"/>
  <c r="S646" i="1"/>
  <c r="Q646" i="1"/>
  <c r="O646" i="1"/>
  <c r="M646" i="1"/>
  <c r="K646" i="1"/>
  <c r="AP645" i="1"/>
  <c r="AQ645" i="1" s="1"/>
  <c r="AM645" i="1"/>
  <c r="AJ645" i="1"/>
  <c r="AH645" i="1"/>
  <c r="Z645" i="1"/>
  <c r="W645" i="1"/>
  <c r="U645" i="1"/>
  <c r="S645" i="1"/>
  <c r="Q645" i="1"/>
  <c r="O645" i="1"/>
  <c r="M645" i="1"/>
  <c r="K645" i="1"/>
  <c r="AP644" i="1"/>
  <c r="AQ644" i="1" s="1"/>
  <c r="AM644" i="1"/>
  <c r="AJ644" i="1"/>
  <c r="AH644" i="1"/>
  <c r="Z644" i="1"/>
  <c r="W644" i="1"/>
  <c r="U644" i="1"/>
  <c r="S644" i="1"/>
  <c r="Q644" i="1"/>
  <c r="O644" i="1"/>
  <c r="M644" i="1"/>
  <c r="K644" i="1"/>
  <c r="AP643" i="1"/>
  <c r="AQ643" i="1" s="1"/>
  <c r="AM643" i="1"/>
  <c r="AJ643" i="1"/>
  <c r="AH643" i="1"/>
  <c r="Z643" i="1"/>
  <c r="W643" i="1"/>
  <c r="U643" i="1"/>
  <c r="S643" i="1"/>
  <c r="Q643" i="1"/>
  <c r="O643" i="1"/>
  <c r="M643" i="1"/>
  <c r="K643" i="1"/>
  <c r="AP642" i="1"/>
  <c r="AQ642" i="1" s="1"/>
  <c r="AM642" i="1"/>
  <c r="AJ642" i="1"/>
  <c r="AH642" i="1"/>
  <c r="Z642" i="1"/>
  <c r="W642" i="1"/>
  <c r="U642" i="1"/>
  <c r="S642" i="1"/>
  <c r="Q642" i="1"/>
  <c r="O642" i="1"/>
  <c r="M642" i="1"/>
  <c r="K642" i="1"/>
  <c r="AP641" i="1"/>
  <c r="AQ641" i="1" s="1"/>
  <c r="AM641" i="1"/>
  <c r="AJ641" i="1"/>
  <c r="AH641" i="1"/>
  <c r="Z641" i="1"/>
  <c r="W641" i="1"/>
  <c r="U641" i="1"/>
  <c r="S641" i="1"/>
  <c r="Q641" i="1"/>
  <c r="O641" i="1"/>
  <c r="M641" i="1"/>
  <c r="K641" i="1"/>
  <c r="AP640" i="1"/>
  <c r="AQ640" i="1" s="1"/>
  <c r="AM640" i="1"/>
  <c r="AJ640" i="1"/>
  <c r="AH640" i="1"/>
  <c r="Z640" i="1"/>
  <c r="W640" i="1"/>
  <c r="U640" i="1"/>
  <c r="S640" i="1"/>
  <c r="Q640" i="1"/>
  <c r="O640" i="1"/>
  <c r="M640" i="1"/>
  <c r="K640" i="1"/>
  <c r="AP639" i="1"/>
  <c r="AQ639" i="1" s="1"/>
  <c r="AM639" i="1"/>
  <c r="AJ639" i="1"/>
  <c r="AH639" i="1"/>
  <c r="Z639" i="1"/>
  <c r="W639" i="1"/>
  <c r="U639" i="1"/>
  <c r="S639" i="1"/>
  <c r="Q639" i="1"/>
  <c r="O639" i="1"/>
  <c r="M639" i="1"/>
  <c r="K639" i="1"/>
  <c r="AP638" i="1"/>
  <c r="AQ638" i="1" s="1"/>
  <c r="AM638" i="1"/>
  <c r="AJ638" i="1"/>
  <c r="AH638" i="1"/>
  <c r="Z638" i="1"/>
  <c r="W638" i="1"/>
  <c r="U638" i="1"/>
  <c r="S638" i="1"/>
  <c r="Q638" i="1"/>
  <c r="O638" i="1"/>
  <c r="M638" i="1"/>
  <c r="K638" i="1"/>
  <c r="AP637" i="1"/>
  <c r="AQ637" i="1" s="1"/>
  <c r="AM637" i="1"/>
  <c r="AJ637" i="1"/>
  <c r="AH637" i="1"/>
  <c r="Z637" i="1"/>
  <c r="W637" i="1"/>
  <c r="U637" i="1"/>
  <c r="S637" i="1"/>
  <c r="Q637" i="1"/>
  <c r="O637" i="1"/>
  <c r="M637" i="1"/>
  <c r="K637" i="1"/>
  <c r="AP636" i="1"/>
  <c r="AQ636" i="1" s="1"/>
  <c r="AM636" i="1"/>
  <c r="AJ636" i="1"/>
  <c r="AH636" i="1"/>
  <c r="Z636" i="1"/>
  <c r="W636" i="1"/>
  <c r="U636" i="1"/>
  <c r="S636" i="1"/>
  <c r="Q636" i="1"/>
  <c r="O636" i="1"/>
  <c r="M636" i="1"/>
  <c r="K636" i="1"/>
  <c r="AP635" i="1"/>
  <c r="AQ635" i="1" s="1"/>
  <c r="AM635" i="1"/>
  <c r="AJ635" i="1"/>
  <c r="AH635" i="1"/>
  <c r="Z635" i="1"/>
  <c r="W635" i="1"/>
  <c r="U635" i="1"/>
  <c r="S635" i="1"/>
  <c r="Q635" i="1"/>
  <c r="O635" i="1"/>
  <c r="M635" i="1"/>
  <c r="K635" i="1"/>
  <c r="AP634" i="1"/>
  <c r="AQ634" i="1" s="1"/>
  <c r="AM634" i="1"/>
  <c r="AJ634" i="1"/>
  <c r="AH634" i="1"/>
  <c r="Z634" i="1"/>
  <c r="W634" i="1"/>
  <c r="U634" i="1"/>
  <c r="S634" i="1"/>
  <c r="Q634" i="1"/>
  <c r="O634" i="1"/>
  <c r="M634" i="1"/>
  <c r="K634" i="1"/>
  <c r="AP633" i="1"/>
  <c r="AQ633" i="1" s="1"/>
  <c r="AM633" i="1"/>
  <c r="AJ633" i="1"/>
  <c r="AH633" i="1"/>
  <c r="Z633" i="1"/>
  <c r="W633" i="1"/>
  <c r="U633" i="1"/>
  <c r="S633" i="1"/>
  <c r="Q633" i="1"/>
  <c r="O633" i="1"/>
  <c r="M633" i="1"/>
  <c r="K633" i="1"/>
  <c r="AP632" i="1"/>
  <c r="AQ632" i="1" s="1"/>
  <c r="AM632" i="1"/>
  <c r="AJ632" i="1"/>
  <c r="AH632" i="1"/>
  <c r="Z632" i="1"/>
  <c r="W632" i="1"/>
  <c r="U632" i="1"/>
  <c r="S632" i="1"/>
  <c r="Q632" i="1"/>
  <c r="O632" i="1"/>
  <c r="M632" i="1"/>
  <c r="K632" i="1"/>
  <c r="AP631" i="1"/>
  <c r="AQ631" i="1" s="1"/>
  <c r="AM631" i="1"/>
  <c r="AJ631" i="1"/>
  <c r="AH631" i="1"/>
  <c r="Z631" i="1"/>
  <c r="W631" i="1"/>
  <c r="U631" i="1"/>
  <c r="S631" i="1"/>
  <c r="Q631" i="1"/>
  <c r="O631" i="1"/>
  <c r="M631" i="1"/>
  <c r="K631" i="1"/>
  <c r="AP630" i="1"/>
  <c r="AQ630" i="1" s="1"/>
  <c r="AM630" i="1"/>
  <c r="AJ630" i="1"/>
  <c r="AH630" i="1"/>
  <c r="Z630" i="1"/>
  <c r="W630" i="1"/>
  <c r="U630" i="1"/>
  <c r="S630" i="1"/>
  <c r="Q630" i="1"/>
  <c r="O630" i="1"/>
  <c r="M630" i="1"/>
  <c r="K630" i="1"/>
  <c r="AP629" i="1"/>
  <c r="AQ629" i="1" s="1"/>
  <c r="AM629" i="1"/>
  <c r="AJ629" i="1"/>
  <c r="AH629" i="1"/>
  <c r="Z629" i="1"/>
  <c r="W629" i="1"/>
  <c r="U629" i="1"/>
  <c r="S629" i="1"/>
  <c r="Q629" i="1"/>
  <c r="O629" i="1"/>
  <c r="M629" i="1"/>
  <c r="K629" i="1"/>
  <c r="AP628" i="1"/>
  <c r="AQ628" i="1" s="1"/>
  <c r="AM628" i="1"/>
  <c r="AJ628" i="1"/>
  <c r="AH628" i="1"/>
  <c r="Z628" i="1"/>
  <c r="W628" i="1"/>
  <c r="U628" i="1"/>
  <c r="S628" i="1"/>
  <c r="Q628" i="1"/>
  <c r="O628" i="1"/>
  <c r="M628" i="1"/>
  <c r="K628" i="1"/>
  <c r="AP627" i="1"/>
  <c r="AQ627" i="1" s="1"/>
  <c r="AM627" i="1"/>
  <c r="AJ627" i="1"/>
  <c r="AH627" i="1"/>
  <c r="Z627" i="1"/>
  <c r="W627" i="1"/>
  <c r="U627" i="1"/>
  <c r="S627" i="1"/>
  <c r="Q627" i="1"/>
  <c r="O627" i="1"/>
  <c r="M627" i="1"/>
  <c r="K627" i="1"/>
  <c r="AP626" i="1"/>
  <c r="AQ626" i="1" s="1"/>
  <c r="AM626" i="1"/>
  <c r="AJ626" i="1"/>
  <c r="AH626" i="1"/>
  <c r="Z626" i="1"/>
  <c r="W626" i="1"/>
  <c r="U626" i="1"/>
  <c r="S626" i="1"/>
  <c r="Q626" i="1"/>
  <c r="O626" i="1"/>
  <c r="M626" i="1"/>
  <c r="K626" i="1"/>
  <c r="AP625" i="1"/>
  <c r="AQ625" i="1" s="1"/>
  <c r="AM625" i="1"/>
  <c r="AJ625" i="1"/>
  <c r="AH625" i="1"/>
  <c r="Z625" i="1"/>
  <c r="W625" i="1"/>
  <c r="U625" i="1"/>
  <c r="S625" i="1"/>
  <c r="Q625" i="1"/>
  <c r="O625" i="1"/>
  <c r="M625" i="1"/>
  <c r="K625" i="1"/>
  <c r="AP624" i="1"/>
  <c r="AQ624" i="1" s="1"/>
  <c r="AM624" i="1"/>
  <c r="AJ624" i="1"/>
  <c r="AH624" i="1"/>
  <c r="Z624" i="1"/>
  <c r="W624" i="1"/>
  <c r="U624" i="1"/>
  <c r="S624" i="1"/>
  <c r="Q624" i="1"/>
  <c r="O624" i="1"/>
  <c r="M624" i="1"/>
  <c r="K624" i="1"/>
  <c r="AP623" i="1"/>
  <c r="AQ623" i="1" s="1"/>
  <c r="AM623" i="1"/>
  <c r="AJ623" i="1"/>
  <c r="AH623" i="1"/>
  <c r="Z623" i="1"/>
  <c r="W623" i="1"/>
  <c r="U623" i="1"/>
  <c r="S623" i="1"/>
  <c r="Q623" i="1"/>
  <c r="O623" i="1"/>
  <c r="M623" i="1"/>
  <c r="K623" i="1"/>
  <c r="AP622" i="1"/>
  <c r="AQ622" i="1" s="1"/>
  <c r="AM622" i="1"/>
  <c r="AJ622" i="1"/>
  <c r="AH622" i="1"/>
  <c r="Z622" i="1"/>
  <c r="W622" i="1"/>
  <c r="U622" i="1"/>
  <c r="S622" i="1"/>
  <c r="Q622" i="1"/>
  <c r="O622" i="1"/>
  <c r="M622" i="1"/>
  <c r="K622" i="1"/>
  <c r="AP621" i="1"/>
  <c r="AQ621" i="1" s="1"/>
  <c r="AM621" i="1"/>
  <c r="AJ621" i="1"/>
  <c r="AH621" i="1"/>
  <c r="Z621" i="1"/>
  <c r="W621" i="1"/>
  <c r="U621" i="1"/>
  <c r="S621" i="1"/>
  <c r="Q621" i="1"/>
  <c r="O621" i="1"/>
  <c r="M621" i="1"/>
  <c r="K621" i="1"/>
  <c r="AP620" i="1"/>
  <c r="AQ620" i="1" s="1"/>
  <c r="AM620" i="1"/>
  <c r="AJ620" i="1"/>
  <c r="AH620" i="1"/>
  <c r="Z620" i="1"/>
  <c r="W620" i="1"/>
  <c r="U620" i="1"/>
  <c r="S620" i="1"/>
  <c r="Q620" i="1"/>
  <c r="O620" i="1"/>
  <c r="M620" i="1"/>
  <c r="K620" i="1"/>
  <c r="AP619" i="1"/>
  <c r="AQ619" i="1" s="1"/>
  <c r="AM619" i="1"/>
  <c r="AJ619" i="1"/>
  <c r="AH619" i="1"/>
  <c r="Z619" i="1"/>
  <c r="W619" i="1"/>
  <c r="U619" i="1"/>
  <c r="S619" i="1"/>
  <c r="Q619" i="1"/>
  <c r="O619" i="1"/>
  <c r="M619" i="1"/>
  <c r="K619" i="1"/>
  <c r="AP618" i="1"/>
  <c r="AQ618" i="1" s="1"/>
  <c r="AM618" i="1"/>
  <c r="AJ618" i="1"/>
  <c r="AH618" i="1"/>
  <c r="Z618" i="1"/>
  <c r="W618" i="1"/>
  <c r="U618" i="1"/>
  <c r="S618" i="1"/>
  <c r="Q618" i="1"/>
  <c r="O618" i="1"/>
  <c r="M618" i="1"/>
  <c r="K618" i="1"/>
  <c r="AP617" i="1"/>
  <c r="AQ617" i="1" s="1"/>
  <c r="AM617" i="1"/>
  <c r="AJ617" i="1"/>
  <c r="AH617" i="1"/>
  <c r="Z617" i="1"/>
  <c r="W617" i="1"/>
  <c r="U617" i="1"/>
  <c r="S617" i="1"/>
  <c r="Q617" i="1"/>
  <c r="O617" i="1"/>
  <c r="M617" i="1"/>
  <c r="K617" i="1"/>
  <c r="AP616" i="1"/>
  <c r="AQ616" i="1" s="1"/>
  <c r="AM616" i="1"/>
  <c r="AJ616" i="1"/>
  <c r="AH616" i="1"/>
  <c r="Z616" i="1"/>
  <c r="W616" i="1"/>
  <c r="U616" i="1"/>
  <c r="S616" i="1"/>
  <c r="Q616" i="1"/>
  <c r="O616" i="1"/>
  <c r="M616" i="1"/>
  <c r="K616" i="1"/>
  <c r="AP615" i="1"/>
  <c r="AQ615" i="1" s="1"/>
  <c r="AM615" i="1"/>
  <c r="AJ615" i="1"/>
  <c r="AH615" i="1"/>
  <c r="Z615" i="1"/>
  <c r="W615" i="1"/>
  <c r="U615" i="1"/>
  <c r="S615" i="1"/>
  <c r="Q615" i="1"/>
  <c r="O615" i="1"/>
  <c r="M615" i="1"/>
  <c r="K615" i="1"/>
  <c r="AP614" i="1"/>
  <c r="AQ614" i="1" s="1"/>
  <c r="AM614" i="1"/>
  <c r="AJ614" i="1"/>
  <c r="AH614" i="1"/>
  <c r="Z614" i="1"/>
  <c r="W614" i="1"/>
  <c r="U614" i="1"/>
  <c r="S614" i="1"/>
  <c r="Q614" i="1"/>
  <c r="O614" i="1"/>
  <c r="M614" i="1"/>
  <c r="K614" i="1"/>
  <c r="AP613" i="1"/>
  <c r="AQ613" i="1" s="1"/>
  <c r="AM613" i="1"/>
  <c r="AJ613" i="1"/>
  <c r="AH613" i="1"/>
  <c r="Z613" i="1"/>
  <c r="W613" i="1"/>
  <c r="U613" i="1"/>
  <c r="S613" i="1"/>
  <c r="Q613" i="1"/>
  <c r="O613" i="1"/>
  <c r="M613" i="1"/>
  <c r="K613" i="1"/>
  <c r="AP612" i="1"/>
  <c r="AQ612" i="1" s="1"/>
  <c r="AM612" i="1"/>
  <c r="AJ612" i="1"/>
  <c r="AH612" i="1"/>
  <c r="Z612" i="1"/>
  <c r="W612" i="1"/>
  <c r="U612" i="1"/>
  <c r="S612" i="1"/>
  <c r="Q612" i="1"/>
  <c r="O612" i="1"/>
  <c r="M612" i="1"/>
  <c r="K612" i="1"/>
  <c r="AP611" i="1"/>
  <c r="AQ611" i="1" s="1"/>
  <c r="AM611" i="1"/>
  <c r="AJ611" i="1"/>
  <c r="AH611" i="1"/>
  <c r="Z611" i="1"/>
  <c r="W611" i="1"/>
  <c r="U611" i="1"/>
  <c r="S611" i="1"/>
  <c r="Q611" i="1"/>
  <c r="O611" i="1"/>
  <c r="M611" i="1"/>
  <c r="K611" i="1"/>
  <c r="AP610" i="1"/>
  <c r="AQ610" i="1" s="1"/>
  <c r="AM610" i="1"/>
  <c r="AJ610" i="1"/>
  <c r="AH610" i="1"/>
  <c r="Z610" i="1"/>
  <c r="W610" i="1"/>
  <c r="U610" i="1"/>
  <c r="S610" i="1"/>
  <c r="Q610" i="1"/>
  <c r="O610" i="1"/>
  <c r="M610" i="1"/>
  <c r="K610" i="1"/>
  <c r="AP609" i="1"/>
  <c r="AQ609" i="1" s="1"/>
  <c r="AM609" i="1"/>
  <c r="AJ609" i="1"/>
  <c r="AH609" i="1"/>
  <c r="Z609" i="1"/>
  <c r="W609" i="1"/>
  <c r="U609" i="1"/>
  <c r="S609" i="1"/>
  <c r="Q609" i="1"/>
  <c r="O609" i="1"/>
  <c r="M609" i="1"/>
  <c r="K609" i="1"/>
  <c r="AP608" i="1"/>
  <c r="AQ608" i="1" s="1"/>
  <c r="AM608" i="1"/>
  <c r="AJ608" i="1"/>
  <c r="AH608" i="1"/>
  <c r="Z608" i="1"/>
  <c r="W608" i="1"/>
  <c r="U608" i="1"/>
  <c r="S608" i="1"/>
  <c r="Q608" i="1"/>
  <c r="O608" i="1"/>
  <c r="M608" i="1"/>
  <c r="K608" i="1"/>
  <c r="AP607" i="1"/>
  <c r="AQ607" i="1" s="1"/>
  <c r="AM607" i="1"/>
  <c r="AJ607" i="1"/>
  <c r="AH607" i="1"/>
  <c r="Z607" i="1"/>
  <c r="W607" i="1"/>
  <c r="U607" i="1"/>
  <c r="S607" i="1"/>
  <c r="Q607" i="1"/>
  <c r="O607" i="1"/>
  <c r="M607" i="1"/>
  <c r="K607" i="1"/>
  <c r="AP606" i="1"/>
  <c r="AQ606" i="1" s="1"/>
  <c r="AM606" i="1"/>
  <c r="AJ606" i="1"/>
  <c r="AH606" i="1"/>
  <c r="Z606" i="1"/>
  <c r="W606" i="1"/>
  <c r="U606" i="1"/>
  <c r="S606" i="1"/>
  <c r="Q606" i="1"/>
  <c r="O606" i="1"/>
  <c r="M606" i="1"/>
  <c r="K606" i="1"/>
  <c r="AP605" i="1"/>
  <c r="AQ605" i="1" s="1"/>
  <c r="AM605" i="1"/>
  <c r="AJ605" i="1"/>
  <c r="AH605" i="1"/>
  <c r="Z605" i="1"/>
  <c r="W605" i="1"/>
  <c r="U605" i="1"/>
  <c r="S605" i="1"/>
  <c r="Q605" i="1"/>
  <c r="O605" i="1"/>
  <c r="M605" i="1"/>
  <c r="K605" i="1"/>
  <c r="AP604" i="1"/>
  <c r="AQ604" i="1" s="1"/>
  <c r="AM604" i="1"/>
  <c r="AJ604" i="1"/>
  <c r="AH604" i="1"/>
  <c r="Z604" i="1"/>
  <c r="W604" i="1"/>
  <c r="U604" i="1"/>
  <c r="S604" i="1"/>
  <c r="Q604" i="1"/>
  <c r="O604" i="1"/>
  <c r="M604" i="1"/>
  <c r="K604" i="1"/>
  <c r="AP603" i="1"/>
  <c r="AQ603" i="1" s="1"/>
  <c r="AM603" i="1"/>
  <c r="AJ603" i="1"/>
  <c r="AH603" i="1"/>
  <c r="Z603" i="1"/>
  <c r="W603" i="1"/>
  <c r="U603" i="1"/>
  <c r="S603" i="1"/>
  <c r="Q603" i="1"/>
  <c r="O603" i="1"/>
  <c r="M603" i="1"/>
  <c r="K603" i="1"/>
  <c r="AP602" i="1"/>
  <c r="AQ602" i="1" s="1"/>
  <c r="AM602" i="1"/>
  <c r="AJ602" i="1"/>
  <c r="AH602" i="1"/>
  <c r="Z602" i="1"/>
  <c r="W602" i="1"/>
  <c r="U602" i="1"/>
  <c r="S602" i="1"/>
  <c r="Q602" i="1"/>
  <c r="O602" i="1"/>
  <c r="M602" i="1"/>
  <c r="K602" i="1"/>
  <c r="AP601" i="1"/>
  <c r="AQ601" i="1" s="1"/>
  <c r="AM601" i="1"/>
  <c r="AJ601" i="1"/>
  <c r="AH601" i="1"/>
  <c r="Z601" i="1"/>
  <c r="W601" i="1"/>
  <c r="U601" i="1"/>
  <c r="S601" i="1"/>
  <c r="Q601" i="1"/>
  <c r="O601" i="1"/>
  <c r="M601" i="1"/>
  <c r="K601" i="1"/>
  <c r="AP600" i="1"/>
  <c r="AQ600" i="1" s="1"/>
  <c r="AM600" i="1"/>
  <c r="AJ600" i="1"/>
  <c r="AH600" i="1"/>
  <c r="Z600" i="1"/>
  <c r="W600" i="1"/>
  <c r="U600" i="1"/>
  <c r="S600" i="1"/>
  <c r="Q600" i="1"/>
  <c r="O600" i="1"/>
  <c r="M600" i="1"/>
  <c r="K600" i="1"/>
  <c r="AP599" i="1"/>
  <c r="AQ599" i="1" s="1"/>
  <c r="AM599" i="1"/>
  <c r="AJ599" i="1"/>
  <c r="AH599" i="1"/>
  <c r="Z599" i="1"/>
  <c r="W599" i="1"/>
  <c r="U599" i="1"/>
  <c r="S599" i="1"/>
  <c r="Q599" i="1"/>
  <c r="O599" i="1"/>
  <c r="M599" i="1"/>
  <c r="K599" i="1"/>
  <c r="AP598" i="1"/>
  <c r="AQ598" i="1" s="1"/>
  <c r="AM598" i="1"/>
  <c r="AJ598" i="1"/>
  <c r="AH598" i="1"/>
  <c r="Z598" i="1"/>
  <c r="W598" i="1"/>
  <c r="U598" i="1"/>
  <c r="S598" i="1"/>
  <c r="Q598" i="1"/>
  <c r="O598" i="1"/>
  <c r="M598" i="1"/>
  <c r="K598" i="1"/>
  <c r="AP597" i="1"/>
  <c r="AQ597" i="1" s="1"/>
  <c r="AM597" i="1"/>
  <c r="AJ597" i="1"/>
  <c r="AH597" i="1"/>
  <c r="Z597" i="1"/>
  <c r="W597" i="1"/>
  <c r="U597" i="1"/>
  <c r="S597" i="1"/>
  <c r="Q597" i="1"/>
  <c r="O597" i="1"/>
  <c r="M597" i="1"/>
  <c r="K597" i="1"/>
  <c r="AP596" i="1"/>
  <c r="AQ596" i="1" s="1"/>
  <c r="AM596" i="1"/>
  <c r="AJ596" i="1"/>
  <c r="AH596" i="1"/>
  <c r="Z596" i="1"/>
  <c r="W596" i="1"/>
  <c r="U596" i="1"/>
  <c r="S596" i="1"/>
  <c r="Q596" i="1"/>
  <c r="O596" i="1"/>
  <c r="M596" i="1"/>
  <c r="K596" i="1"/>
  <c r="AP595" i="1"/>
  <c r="AQ595" i="1" s="1"/>
  <c r="AM595" i="1"/>
  <c r="AJ595" i="1"/>
  <c r="AH595" i="1"/>
  <c r="Z595" i="1"/>
  <c r="W595" i="1"/>
  <c r="U595" i="1"/>
  <c r="S595" i="1"/>
  <c r="Q595" i="1"/>
  <c r="O595" i="1"/>
  <c r="M595" i="1"/>
  <c r="K595" i="1"/>
  <c r="AP594" i="1"/>
  <c r="AQ594" i="1" s="1"/>
  <c r="AM594" i="1"/>
  <c r="AJ594" i="1"/>
  <c r="AH594" i="1"/>
  <c r="Z594" i="1"/>
  <c r="W594" i="1"/>
  <c r="U594" i="1"/>
  <c r="S594" i="1"/>
  <c r="Q594" i="1"/>
  <c r="O594" i="1"/>
  <c r="M594" i="1"/>
  <c r="K594" i="1"/>
  <c r="AP593" i="1"/>
  <c r="AQ593" i="1" s="1"/>
  <c r="AM593" i="1"/>
  <c r="AJ593" i="1"/>
  <c r="AH593" i="1"/>
  <c r="Z593" i="1"/>
  <c r="W593" i="1"/>
  <c r="U593" i="1"/>
  <c r="S593" i="1"/>
  <c r="Q593" i="1"/>
  <c r="O593" i="1"/>
  <c r="M593" i="1"/>
  <c r="K593" i="1"/>
  <c r="AP592" i="1"/>
  <c r="AQ592" i="1" s="1"/>
  <c r="AM592" i="1"/>
  <c r="AJ592" i="1"/>
  <c r="AH592" i="1"/>
  <c r="Z592" i="1"/>
  <c r="W592" i="1"/>
  <c r="U592" i="1"/>
  <c r="S592" i="1"/>
  <c r="Q592" i="1"/>
  <c r="O592" i="1"/>
  <c r="M592" i="1"/>
  <c r="K592" i="1"/>
  <c r="AP591" i="1"/>
  <c r="AQ591" i="1" s="1"/>
  <c r="AM591" i="1"/>
  <c r="AJ591" i="1"/>
  <c r="AH591" i="1"/>
  <c r="Z591" i="1"/>
  <c r="W591" i="1"/>
  <c r="U591" i="1"/>
  <c r="S591" i="1"/>
  <c r="Q591" i="1"/>
  <c r="O591" i="1"/>
  <c r="M591" i="1"/>
  <c r="K591" i="1"/>
  <c r="AP590" i="1"/>
  <c r="AQ590" i="1" s="1"/>
  <c r="AM590" i="1"/>
  <c r="AJ590" i="1"/>
  <c r="AH590" i="1"/>
  <c r="Z590" i="1"/>
  <c r="W590" i="1"/>
  <c r="U590" i="1"/>
  <c r="S590" i="1"/>
  <c r="Q590" i="1"/>
  <c r="O590" i="1"/>
  <c r="M590" i="1"/>
  <c r="K590" i="1"/>
  <c r="AP589" i="1"/>
  <c r="AQ589" i="1" s="1"/>
  <c r="AM589" i="1"/>
  <c r="AJ589" i="1"/>
  <c r="AH589" i="1"/>
  <c r="Z589" i="1"/>
  <c r="W589" i="1"/>
  <c r="U589" i="1"/>
  <c r="S589" i="1"/>
  <c r="Q589" i="1"/>
  <c r="O589" i="1"/>
  <c r="M589" i="1"/>
  <c r="K589" i="1"/>
  <c r="AP588" i="1"/>
  <c r="AQ588" i="1" s="1"/>
  <c r="AM588" i="1"/>
  <c r="AJ588" i="1"/>
  <c r="AH588" i="1"/>
  <c r="Z588" i="1"/>
  <c r="W588" i="1"/>
  <c r="U588" i="1"/>
  <c r="S588" i="1"/>
  <c r="Q588" i="1"/>
  <c r="O588" i="1"/>
  <c r="M588" i="1"/>
  <c r="K588" i="1"/>
  <c r="AP587" i="1"/>
  <c r="AQ587" i="1" s="1"/>
  <c r="AM587" i="1"/>
  <c r="AJ587" i="1"/>
  <c r="AH587" i="1"/>
  <c r="Z587" i="1"/>
  <c r="W587" i="1"/>
  <c r="U587" i="1"/>
  <c r="S587" i="1"/>
  <c r="Q587" i="1"/>
  <c r="O587" i="1"/>
  <c r="M587" i="1"/>
  <c r="K587" i="1"/>
  <c r="AP586" i="1"/>
  <c r="AQ586" i="1" s="1"/>
  <c r="AM586" i="1"/>
  <c r="AJ586" i="1"/>
  <c r="AH586" i="1"/>
  <c r="Z586" i="1"/>
  <c r="W586" i="1"/>
  <c r="U586" i="1"/>
  <c r="S586" i="1"/>
  <c r="Q586" i="1"/>
  <c r="O586" i="1"/>
  <c r="M586" i="1"/>
  <c r="K586" i="1"/>
  <c r="AP585" i="1"/>
  <c r="AQ585" i="1" s="1"/>
  <c r="AM585" i="1"/>
  <c r="AJ585" i="1"/>
  <c r="AH585" i="1"/>
  <c r="Z585" i="1"/>
  <c r="W585" i="1"/>
  <c r="U585" i="1"/>
  <c r="S585" i="1"/>
  <c r="Q585" i="1"/>
  <c r="O585" i="1"/>
  <c r="M585" i="1"/>
  <c r="K585" i="1"/>
  <c r="AP584" i="1"/>
  <c r="AQ584" i="1" s="1"/>
  <c r="AM584" i="1"/>
  <c r="AJ584" i="1"/>
  <c r="AH584" i="1"/>
  <c r="Z584" i="1"/>
  <c r="W584" i="1"/>
  <c r="U584" i="1"/>
  <c r="S584" i="1"/>
  <c r="Q584" i="1"/>
  <c r="O584" i="1"/>
  <c r="M584" i="1"/>
  <c r="K584" i="1"/>
  <c r="AP583" i="1"/>
  <c r="AQ583" i="1" s="1"/>
  <c r="AM583" i="1"/>
  <c r="AJ583" i="1"/>
  <c r="AH583" i="1"/>
  <c r="Z583" i="1"/>
  <c r="W583" i="1"/>
  <c r="U583" i="1"/>
  <c r="S583" i="1"/>
  <c r="Q583" i="1"/>
  <c r="O583" i="1"/>
  <c r="M583" i="1"/>
  <c r="K583" i="1"/>
  <c r="AP582" i="1"/>
  <c r="AQ582" i="1" s="1"/>
  <c r="AM582" i="1"/>
  <c r="AJ582" i="1"/>
  <c r="AH582" i="1"/>
  <c r="Z582" i="1"/>
  <c r="W582" i="1"/>
  <c r="U582" i="1"/>
  <c r="S582" i="1"/>
  <c r="Q582" i="1"/>
  <c r="O582" i="1"/>
  <c r="M582" i="1"/>
  <c r="K582" i="1"/>
  <c r="AP581" i="1"/>
  <c r="AQ581" i="1" s="1"/>
  <c r="AM581" i="1"/>
  <c r="AJ581" i="1"/>
  <c r="AH581" i="1"/>
  <c r="Z581" i="1"/>
  <c r="W581" i="1"/>
  <c r="U581" i="1"/>
  <c r="S581" i="1"/>
  <c r="Q581" i="1"/>
  <c r="O581" i="1"/>
  <c r="M581" i="1"/>
  <c r="K581" i="1"/>
  <c r="AP580" i="1"/>
  <c r="AQ580" i="1" s="1"/>
  <c r="AM580" i="1"/>
  <c r="AJ580" i="1"/>
  <c r="AH580" i="1"/>
  <c r="Z580" i="1"/>
  <c r="W580" i="1"/>
  <c r="U580" i="1"/>
  <c r="S580" i="1"/>
  <c r="Q580" i="1"/>
  <c r="O580" i="1"/>
  <c r="M580" i="1"/>
  <c r="K580" i="1"/>
  <c r="AP579" i="1"/>
  <c r="AQ579" i="1" s="1"/>
  <c r="AM579" i="1"/>
  <c r="AJ579" i="1"/>
  <c r="AH579" i="1"/>
  <c r="Z579" i="1"/>
  <c r="W579" i="1"/>
  <c r="U579" i="1"/>
  <c r="S579" i="1"/>
  <c r="Q579" i="1"/>
  <c r="O579" i="1"/>
  <c r="M579" i="1"/>
  <c r="K579" i="1"/>
  <c r="AP578" i="1"/>
  <c r="AQ578" i="1" s="1"/>
  <c r="AM578" i="1"/>
  <c r="AJ578" i="1"/>
  <c r="AH578" i="1"/>
  <c r="Z578" i="1"/>
  <c r="W578" i="1"/>
  <c r="U578" i="1"/>
  <c r="S578" i="1"/>
  <c r="Q578" i="1"/>
  <c r="O578" i="1"/>
  <c r="M578" i="1"/>
  <c r="K578" i="1"/>
  <c r="AP577" i="1"/>
  <c r="AQ577" i="1" s="1"/>
  <c r="AM577" i="1"/>
  <c r="AJ577" i="1"/>
  <c r="AH577" i="1"/>
  <c r="Z577" i="1"/>
  <c r="W577" i="1"/>
  <c r="U577" i="1"/>
  <c r="S577" i="1"/>
  <c r="Q577" i="1"/>
  <c r="O577" i="1"/>
  <c r="M577" i="1"/>
  <c r="K577" i="1"/>
  <c r="AP576" i="1"/>
  <c r="AQ576" i="1" s="1"/>
  <c r="AM576" i="1"/>
  <c r="AJ576" i="1"/>
  <c r="AH576" i="1"/>
  <c r="Z576" i="1"/>
  <c r="W576" i="1"/>
  <c r="U576" i="1"/>
  <c r="S576" i="1"/>
  <c r="Q576" i="1"/>
  <c r="O576" i="1"/>
  <c r="M576" i="1"/>
  <c r="K576" i="1"/>
  <c r="AP575" i="1"/>
  <c r="AQ575" i="1" s="1"/>
  <c r="AM575" i="1"/>
  <c r="AJ575" i="1"/>
  <c r="AH575" i="1"/>
  <c r="Z575" i="1"/>
  <c r="W575" i="1"/>
  <c r="U575" i="1"/>
  <c r="S575" i="1"/>
  <c r="Q575" i="1"/>
  <c r="O575" i="1"/>
  <c r="M575" i="1"/>
  <c r="K575" i="1"/>
  <c r="AP574" i="1"/>
  <c r="AQ574" i="1" s="1"/>
  <c r="AM574" i="1"/>
  <c r="AJ574" i="1"/>
  <c r="AH574" i="1"/>
  <c r="Z574" i="1"/>
  <c r="W574" i="1"/>
  <c r="U574" i="1"/>
  <c r="S574" i="1"/>
  <c r="Q574" i="1"/>
  <c r="O574" i="1"/>
  <c r="M574" i="1"/>
  <c r="K574" i="1"/>
  <c r="AP573" i="1"/>
  <c r="AQ573" i="1" s="1"/>
  <c r="AM573" i="1"/>
  <c r="AJ573" i="1"/>
  <c r="AH573" i="1"/>
  <c r="Z573" i="1"/>
  <c r="W573" i="1"/>
  <c r="U573" i="1"/>
  <c r="S573" i="1"/>
  <c r="Q573" i="1"/>
  <c r="O573" i="1"/>
  <c r="M573" i="1"/>
  <c r="K573" i="1"/>
  <c r="AP572" i="1"/>
  <c r="AQ572" i="1" s="1"/>
  <c r="AM572" i="1"/>
  <c r="AJ572" i="1"/>
  <c r="AH572" i="1"/>
  <c r="Z572" i="1"/>
  <c r="W572" i="1"/>
  <c r="U572" i="1"/>
  <c r="S572" i="1"/>
  <c r="Q572" i="1"/>
  <c r="O572" i="1"/>
  <c r="M572" i="1"/>
  <c r="K572" i="1"/>
  <c r="AP571" i="1"/>
  <c r="AQ571" i="1" s="1"/>
  <c r="AM571" i="1"/>
  <c r="AJ571" i="1"/>
  <c r="AH571" i="1"/>
  <c r="Z571" i="1"/>
  <c r="W571" i="1"/>
  <c r="U571" i="1"/>
  <c r="S571" i="1"/>
  <c r="Q571" i="1"/>
  <c r="O571" i="1"/>
  <c r="M571" i="1"/>
  <c r="K571" i="1"/>
  <c r="AP570" i="1"/>
  <c r="AQ570" i="1" s="1"/>
  <c r="AM570" i="1"/>
  <c r="AJ570" i="1"/>
  <c r="AH570" i="1"/>
  <c r="Z570" i="1"/>
  <c r="W570" i="1"/>
  <c r="U570" i="1"/>
  <c r="S570" i="1"/>
  <c r="Q570" i="1"/>
  <c r="O570" i="1"/>
  <c r="M570" i="1"/>
  <c r="K570" i="1"/>
  <c r="AP569" i="1"/>
  <c r="AQ569" i="1" s="1"/>
  <c r="AM569" i="1"/>
  <c r="AJ569" i="1"/>
  <c r="AH569" i="1"/>
  <c r="Z569" i="1"/>
  <c r="W569" i="1"/>
  <c r="U569" i="1"/>
  <c r="S569" i="1"/>
  <c r="Q569" i="1"/>
  <c r="O569" i="1"/>
  <c r="M569" i="1"/>
  <c r="K569" i="1"/>
  <c r="AP568" i="1"/>
  <c r="AQ568" i="1" s="1"/>
  <c r="AM568" i="1"/>
  <c r="AJ568" i="1"/>
  <c r="AH568" i="1"/>
  <c r="Z568" i="1"/>
  <c r="W568" i="1"/>
  <c r="U568" i="1"/>
  <c r="S568" i="1"/>
  <c r="Q568" i="1"/>
  <c r="O568" i="1"/>
  <c r="M568" i="1"/>
  <c r="K568" i="1"/>
  <c r="AP567" i="1"/>
  <c r="AQ567" i="1" s="1"/>
  <c r="AM567" i="1"/>
  <c r="AJ567" i="1"/>
  <c r="AH567" i="1"/>
  <c r="Z567" i="1"/>
  <c r="W567" i="1"/>
  <c r="U567" i="1"/>
  <c r="S567" i="1"/>
  <c r="Q567" i="1"/>
  <c r="O567" i="1"/>
  <c r="M567" i="1"/>
  <c r="K567" i="1"/>
  <c r="AP566" i="1"/>
  <c r="AQ566" i="1" s="1"/>
  <c r="AM566" i="1"/>
  <c r="AJ566" i="1"/>
  <c r="AH566" i="1"/>
  <c r="Z566" i="1"/>
  <c r="W566" i="1"/>
  <c r="U566" i="1"/>
  <c r="S566" i="1"/>
  <c r="Q566" i="1"/>
  <c r="O566" i="1"/>
  <c r="M566" i="1"/>
  <c r="K566" i="1"/>
  <c r="AP565" i="1"/>
  <c r="AQ565" i="1" s="1"/>
  <c r="AM565" i="1"/>
  <c r="AJ565" i="1"/>
  <c r="AH565" i="1"/>
  <c r="Z565" i="1"/>
  <c r="W565" i="1"/>
  <c r="U565" i="1"/>
  <c r="S565" i="1"/>
  <c r="Q565" i="1"/>
  <c r="O565" i="1"/>
  <c r="M565" i="1"/>
  <c r="K565" i="1"/>
  <c r="AP564" i="1"/>
  <c r="AQ564" i="1" s="1"/>
  <c r="AM564" i="1"/>
  <c r="AJ564" i="1"/>
  <c r="AH564" i="1"/>
  <c r="Z564" i="1"/>
  <c r="W564" i="1"/>
  <c r="U564" i="1"/>
  <c r="S564" i="1"/>
  <c r="Q564" i="1"/>
  <c r="O564" i="1"/>
  <c r="M564" i="1"/>
  <c r="K564" i="1"/>
  <c r="AP563" i="1"/>
  <c r="AQ563" i="1" s="1"/>
  <c r="AM563" i="1"/>
  <c r="AJ563" i="1"/>
  <c r="AH563" i="1"/>
  <c r="Z563" i="1"/>
  <c r="W563" i="1"/>
  <c r="U563" i="1"/>
  <c r="S563" i="1"/>
  <c r="Q563" i="1"/>
  <c r="O563" i="1"/>
  <c r="M563" i="1"/>
  <c r="K563" i="1"/>
  <c r="AP562" i="1"/>
  <c r="AQ562" i="1" s="1"/>
  <c r="AM562" i="1"/>
  <c r="AJ562" i="1"/>
  <c r="AH562" i="1"/>
  <c r="Z562" i="1"/>
  <c r="W562" i="1"/>
  <c r="U562" i="1"/>
  <c r="S562" i="1"/>
  <c r="Q562" i="1"/>
  <c r="O562" i="1"/>
  <c r="M562" i="1"/>
  <c r="K562" i="1"/>
  <c r="AP561" i="1"/>
  <c r="AQ561" i="1" s="1"/>
  <c r="AM561" i="1"/>
  <c r="AJ561" i="1"/>
  <c r="AH561" i="1"/>
  <c r="Z561" i="1"/>
  <c r="W561" i="1"/>
  <c r="U561" i="1"/>
  <c r="S561" i="1"/>
  <c r="Q561" i="1"/>
  <c r="O561" i="1"/>
  <c r="M561" i="1"/>
  <c r="K561" i="1"/>
  <c r="AP560" i="1"/>
  <c r="AQ560" i="1" s="1"/>
  <c r="AM560" i="1"/>
  <c r="AJ560" i="1"/>
  <c r="AH560" i="1"/>
  <c r="Z560" i="1"/>
  <c r="W560" i="1"/>
  <c r="U560" i="1"/>
  <c r="S560" i="1"/>
  <c r="Q560" i="1"/>
  <c r="O560" i="1"/>
  <c r="M560" i="1"/>
  <c r="K560" i="1"/>
  <c r="AP559" i="1"/>
  <c r="AQ559" i="1" s="1"/>
  <c r="AM559" i="1"/>
  <c r="AJ559" i="1"/>
  <c r="AH559" i="1"/>
  <c r="Z559" i="1"/>
  <c r="W559" i="1"/>
  <c r="U559" i="1"/>
  <c r="S559" i="1"/>
  <c r="Q559" i="1"/>
  <c r="O559" i="1"/>
  <c r="M559" i="1"/>
  <c r="K559" i="1"/>
  <c r="AP558" i="1"/>
  <c r="AQ558" i="1" s="1"/>
  <c r="AM558" i="1"/>
  <c r="AJ558" i="1"/>
  <c r="AH558" i="1"/>
  <c r="Z558" i="1"/>
  <c r="W558" i="1"/>
  <c r="U558" i="1"/>
  <c r="S558" i="1"/>
  <c r="Q558" i="1"/>
  <c r="O558" i="1"/>
  <c r="M558" i="1"/>
  <c r="K558" i="1"/>
  <c r="AP557" i="1"/>
  <c r="AQ557" i="1" s="1"/>
  <c r="AM557" i="1"/>
  <c r="AJ557" i="1"/>
  <c r="AH557" i="1"/>
  <c r="Z557" i="1"/>
  <c r="W557" i="1"/>
  <c r="U557" i="1"/>
  <c r="S557" i="1"/>
  <c r="Q557" i="1"/>
  <c r="O557" i="1"/>
  <c r="M557" i="1"/>
  <c r="K557" i="1"/>
  <c r="AP556" i="1"/>
  <c r="AQ556" i="1" s="1"/>
  <c r="AM556" i="1"/>
  <c r="AJ556" i="1"/>
  <c r="AH556" i="1"/>
  <c r="Z556" i="1"/>
  <c r="W556" i="1"/>
  <c r="U556" i="1"/>
  <c r="S556" i="1"/>
  <c r="Q556" i="1"/>
  <c r="O556" i="1"/>
  <c r="M556" i="1"/>
  <c r="K556" i="1"/>
  <c r="AP555" i="1"/>
  <c r="AQ555" i="1" s="1"/>
  <c r="AM555" i="1"/>
  <c r="AJ555" i="1"/>
  <c r="AH555" i="1"/>
  <c r="Z555" i="1"/>
  <c r="W555" i="1"/>
  <c r="U555" i="1"/>
  <c r="S555" i="1"/>
  <c r="Q555" i="1"/>
  <c r="O555" i="1"/>
  <c r="M555" i="1"/>
  <c r="K555" i="1"/>
  <c r="AP554" i="1"/>
  <c r="AQ554" i="1" s="1"/>
  <c r="AM554" i="1"/>
  <c r="AJ554" i="1"/>
  <c r="AH554" i="1"/>
  <c r="Z554" i="1"/>
  <c r="W554" i="1"/>
  <c r="U554" i="1"/>
  <c r="S554" i="1"/>
  <c r="Q554" i="1"/>
  <c r="O554" i="1"/>
  <c r="M554" i="1"/>
  <c r="K554" i="1"/>
  <c r="AP553" i="1"/>
  <c r="AQ553" i="1" s="1"/>
  <c r="AM553" i="1"/>
  <c r="AJ553" i="1"/>
  <c r="AH553" i="1"/>
  <c r="Z553" i="1"/>
  <c r="W553" i="1"/>
  <c r="U553" i="1"/>
  <c r="S553" i="1"/>
  <c r="Q553" i="1"/>
  <c r="O553" i="1"/>
  <c r="M553" i="1"/>
  <c r="K553" i="1"/>
  <c r="AP552" i="1"/>
  <c r="AQ552" i="1" s="1"/>
  <c r="AM552" i="1"/>
  <c r="AJ552" i="1"/>
  <c r="AH552" i="1"/>
  <c r="Z552" i="1"/>
  <c r="W552" i="1"/>
  <c r="U552" i="1"/>
  <c r="S552" i="1"/>
  <c r="Q552" i="1"/>
  <c r="O552" i="1"/>
  <c r="M552" i="1"/>
  <c r="K552" i="1"/>
  <c r="AP551" i="1"/>
  <c r="AQ551" i="1" s="1"/>
  <c r="AM551" i="1"/>
  <c r="AJ551" i="1"/>
  <c r="AH551" i="1"/>
  <c r="Z551" i="1"/>
  <c r="W551" i="1"/>
  <c r="U551" i="1"/>
  <c r="S551" i="1"/>
  <c r="Q551" i="1"/>
  <c r="O551" i="1"/>
  <c r="M551" i="1"/>
  <c r="K551" i="1"/>
  <c r="AP550" i="1"/>
  <c r="AQ550" i="1" s="1"/>
  <c r="AM550" i="1"/>
  <c r="AJ550" i="1"/>
  <c r="AH550" i="1"/>
  <c r="Z550" i="1"/>
  <c r="W550" i="1"/>
  <c r="U550" i="1"/>
  <c r="S550" i="1"/>
  <c r="Q550" i="1"/>
  <c r="O550" i="1"/>
  <c r="M550" i="1"/>
  <c r="K550" i="1"/>
  <c r="AP549" i="1"/>
  <c r="AQ549" i="1" s="1"/>
  <c r="AM549" i="1"/>
  <c r="AJ549" i="1"/>
  <c r="AH549" i="1"/>
  <c r="Z549" i="1"/>
  <c r="W549" i="1"/>
  <c r="U549" i="1"/>
  <c r="S549" i="1"/>
  <c r="Q549" i="1"/>
  <c r="O549" i="1"/>
  <c r="M549" i="1"/>
  <c r="K549" i="1"/>
  <c r="AP548" i="1"/>
  <c r="AQ548" i="1" s="1"/>
  <c r="AM548" i="1"/>
  <c r="AJ548" i="1"/>
  <c r="AH548" i="1"/>
  <c r="Z548" i="1"/>
  <c r="W548" i="1"/>
  <c r="U548" i="1"/>
  <c r="S548" i="1"/>
  <c r="Q548" i="1"/>
  <c r="O548" i="1"/>
  <c r="M548" i="1"/>
  <c r="K548" i="1"/>
  <c r="AP547" i="1"/>
  <c r="AQ547" i="1" s="1"/>
  <c r="AM547" i="1"/>
  <c r="AJ547" i="1"/>
  <c r="AH547" i="1"/>
  <c r="Z547" i="1"/>
  <c r="W547" i="1"/>
  <c r="U547" i="1"/>
  <c r="S547" i="1"/>
  <c r="Q547" i="1"/>
  <c r="O547" i="1"/>
  <c r="M547" i="1"/>
  <c r="K547" i="1"/>
  <c r="AP546" i="1"/>
  <c r="AQ546" i="1" s="1"/>
  <c r="AM546" i="1"/>
  <c r="AJ546" i="1"/>
  <c r="AH546" i="1"/>
  <c r="Z546" i="1"/>
  <c r="W546" i="1"/>
  <c r="U546" i="1"/>
  <c r="S546" i="1"/>
  <c r="Q546" i="1"/>
  <c r="O546" i="1"/>
  <c r="M546" i="1"/>
  <c r="K546" i="1"/>
  <c r="AP545" i="1"/>
  <c r="AQ545" i="1" s="1"/>
  <c r="AM545" i="1"/>
  <c r="AJ545" i="1"/>
  <c r="AH545" i="1"/>
  <c r="Z545" i="1"/>
  <c r="W545" i="1"/>
  <c r="U545" i="1"/>
  <c r="S545" i="1"/>
  <c r="Q545" i="1"/>
  <c r="O545" i="1"/>
  <c r="M545" i="1"/>
  <c r="K545" i="1"/>
  <c r="AP544" i="1"/>
  <c r="AQ544" i="1" s="1"/>
  <c r="AM544" i="1"/>
  <c r="AJ544" i="1"/>
  <c r="AH544" i="1"/>
  <c r="Z544" i="1"/>
  <c r="W544" i="1"/>
  <c r="U544" i="1"/>
  <c r="S544" i="1"/>
  <c r="Q544" i="1"/>
  <c r="O544" i="1"/>
  <c r="M544" i="1"/>
  <c r="K544" i="1"/>
  <c r="AP543" i="1"/>
  <c r="AQ543" i="1" s="1"/>
  <c r="AM543" i="1"/>
  <c r="AJ543" i="1"/>
  <c r="AH543" i="1"/>
  <c r="Z543" i="1"/>
  <c r="W543" i="1"/>
  <c r="U543" i="1"/>
  <c r="S543" i="1"/>
  <c r="Q543" i="1"/>
  <c r="O543" i="1"/>
  <c r="M543" i="1"/>
  <c r="K543" i="1"/>
  <c r="AP542" i="1"/>
  <c r="AQ542" i="1" s="1"/>
  <c r="AM542" i="1"/>
  <c r="AJ542" i="1"/>
  <c r="AH542" i="1"/>
  <c r="Z542" i="1"/>
  <c r="W542" i="1"/>
  <c r="U542" i="1"/>
  <c r="S542" i="1"/>
  <c r="Q542" i="1"/>
  <c r="O542" i="1"/>
  <c r="M542" i="1"/>
  <c r="K542" i="1"/>
  <c r="AP541" i="1"/>
  <c r="AQ541" i="1" s="1"/>
  <c r="AM541" i="1"/>
  <c r="AJ541" i="1"/>
  <c r="AH541" i="1"/>
  <c r="Z541" i="1"/>
  <c r="W541" i="1"/>
  <c r="U541" i="1"/>
  <c r="S541" i="1"/>
  <c r="Q541" i="1"/>
  <c r="O541" i="1"/>
  <c r="M541" i="1"/>
  <c r="K541" i="1"/>
  <c r="AP540" i="1"/>
  <c r="AQ540" i="1" s="1"/>
  <c r="AM540" i="1"/>
  <c r="AJ540" i="1"/>
  <c r="AH540" i="1"/>
  <c r="Z540" i="1"/>
  <c r="W540" i="1"/>
  <c r="U540" i="1"/>
  <c r="S540" i="1"/>
  <c r="Q540" i="1"/>
  <c r="O540" i="1"/>
  <c r="M540" i="1"/>
  <c r="K540" i="1"/>
  <c r="AP539" i="1"/>
  <c r="AQ539" i="1" s="1"/>
  <c r="AM539" i="1"/>
  <c r="AJ539" i="1"/>
  <c r="AH539" i="1"/>
  <c r="Z539" i="1"/>
  <c r="W539" i="1"/>
  <c r="U539" i="1"/>
  <c r="S539" i="1"/>
  <c r="Q539" i="1"/>
  <c r="O539" i="1"/>
  <c r="M539" i="1"/>
  <c r="K539" i="1"/>
  <c r="AP538" i="1"/>
  <c r="AQ538" i="1" s="1"/>
  <c r="AM538" i="1"/>
  <c r="AJ538" i="1"/>
  <c r="AH538" i="1"/>
  <c r="Z538" i="1"/>
  <c r="W538" i="1"/>
  <c r="U538" i="1"/>
  <c r="S538" i="1"/>
  <c r="Q538" i="1"/>
  <c r="O538" i="1"/>
  <c r="M538" i="1"/>
  <c r="K538" i="1"/>
  <c r="AP537" i="1"/>
  <c r="AQ537" i="1" s="1"/>
  <c r="AM537" i="1"/>
  <c r="AJ537" i="1"/>
  <c r="AH537" i="1"/>
  <c r="Z537" i="1"/>
  <c r="W537" i="1"/>
  <c r="U537" i="1"/>
  <c r="S537" i="1"/>
  <c r="Q537" i="1"/>
  <c r="O537" i="1"/>
  <c r="M537" i="1"/>
  <c r="K537" i="1"/>
  <c r="AP536" i="1"/>
  <c r="AQ536" i="1" s="1"/>
  <c r="AM536" i="1"/>
  <c r="AJ536" i="1"/>
  <c r="AH536" i="1"/>
  <c r="Z536" i="1"/>
  <c r="W536" i="1"/>
  <c r="U536" i="1"/>
  <c r="S536" i="1"/>
  <c r="Q536" i="1"/>
  <c r="O536" i="1"/>
  <c r="M536" i="1"/>
  <c r="K536" i="1"/>
  <c r="AP535" i="1"/>
  <c r="AQ535" i="1" s="1"/>
  <c r="AM535" i="1"/>
  <c r="AJ535" i="1"/>
  <c r="AH535" i="1"/>
  <c r="Z535" i="1"/>
  <c r="W535" i="1"/>
  <c r="U535" i="1"/>
  <c r="S535" i="1"/>
  <c r="Q535" i="1"/>
  <c r="O535" i="1"/>
  <c r="M535" i="1"/>
  <c r="K535" i="1"/>
  <c r="AP534" i="1"/>
  <c r="AQ534" i="1" s="1"/>
  <c r="AM534" i="1"/>
  <c r="AJ534" i="1"/>
  <c r="AH534" i="1"/>
  <c r="Z534" i="1"/>
  <c r="W534" i="1"/>
  <c r="U534" i="1"/>
  <c r="S534" i="1"/>
  <c r="Q534" i="1"/>
  <c r="O534" i="1"/>
  <c r="M534" i="1"/>
  <c r="K534" i="1"/>
  <c r="AP533" i="1"/>
  <c r="AQ533" i="1" s="1"/>
  <c r="AM533" i="1"/>
  <c r="AJ533" i="1"/>
  <c r="AH533" i="1"/>
  <c r="Z533" i="1"/>
  <c r="W533" i="1"/>
  <c r="U533" i="1"/>
  <c r="S533" i="1"/>
  <c r="Q533" i="1"/>
  <c r="O533" i="1"/>
  <c r="M533" i="1"/>
  <c r="K533" i="1"/>
  <c r="AP532" i="1"/>
  <c r="AQ532" i="1" s="1"/>
  <c r="AM532" i="1"/>
  <c r="AJ532" i="1"/>
  <c r="AH532" i="1"/>
  <c r="Z532" i="1"/>
  <c r="W532" i="1"/>
  <c r="U532" i="1"/>
  <c r="S532" i="1"/>
  <c r="Q532" i="1"/>
  <c r="O532" i="1"/>
  <c r="M532" i="1"/>
  <c r="K532" i="1"/>
  <c r="AP531" i="1"/>
  <c r="AQ531" i="1" s="1"/>
  <c r="AM531" i="1"/>
  <c r="AJ531" i="1"/>
  <c r="AH531" i="1"/>
  <c r="Z531" i="1"/>
  <c r="W531" i="1"/>
  <c r="U531" i="1"/>
  <c r="S531" i="1"/>
  <c r="Q531" i="1"/>
  <c r="O531" i="1"/>
  <c r="M531" i="1"/>
  <c r="K531" i="1"/>
  <c r="AP530" i="1"/>
  <c r="AQ530" i="1" s="1"/>
  <c r="AM530" i="1"/>
  <c r="AJ530" i="1"/>
  <c r="AH530" i="1"/>
  <c r="Z530" i="1"/>
  <c r="W530" i="1"/>
  <c r="U530" i="1"/>
  <c r="S530" i="1"/>
  <c r="Q530" i="1"/>
  <c r="O530" i="1"/>
  <c r="M530" i="1"/>
  <c r="K530" i="1"/>
  <c r="AP529" i="1"/>
  <c r="AQ529" i="1" s="1"/>
  <c r="AM529" i="1"/>
  <c r="AJ529" i="1"/>
  <c r="AH529" i="1"/>
  <c r="Z529" i="1"/>
  <c r="W529" i="1"/>
  <c r="U529" i="1"/>
  <c r="S529" i="1"/>
  <c r="Q529" i="1"/>
  <c r="O529" i="1"/>
  <c r="M529" i="1"/>
  <c r="K529" i="1"/>
  <c r="AP528" i="1"/>
  <c r="AQ528" i="1" s="1"/>
  <c r="AM528" i="1"/>
  <c r="AJ528" i="1"/>
  <c r="AH528" i="1"/>
  <c r="Z528" i="1"/>
  <c r="W528" i="1"/>
  <c r="U528" i="1"/>
  <c r="S528" i="1"/>
  <c r="Q528" i="1"/>
  <c r="O528" i="1"/>
  <c r="M528" i="1"/>
  <c r="K528" i="1"/>
  <c r="AP527" i="1"/>
  <c r="AQ527" i="1" s="1"/>
  <c r="AM527" i="1"/>
  <c r="AJ527" i="1"/>
  <c r="AH527" i="1"/>
  <c r="Z527" i="1"/>
  <c r="W527" i="1"/>
  <c r="U527" i="1"/>
  <c r="S527" i="1"/>
  <c r="Q527" i="1"/>
  <c r="O527" i="1"/>
  <c r="M527" i="1"/>
  <c r="K527" i="1"/>
  <c r="AP526" i="1"/>
  <c r="AQ526" i="1" s="1"/>
  <c r="AM526" i="1"/>
  <c r="AJ526" i="1"/>
  <c r="AH526" i="1"/>
  <c r="Z526" i="1"/>
  <c r="W526" i="1"/>
  <c r="U526" i="1"/>
  <c r="S526" i="1"/>
  <c r="Q526" i="1"/>
  <c r="O526" i="1"/>
  <c r="M526" i="1"/>
  <c r="K526" i="1"/>
  <c r="AP525" i="1"/>
  <c r="AQ525" i="1" s="1"/>
  <c r="AM525" i="1"/>
  <c r="AJ525" i="1"/>
  <c r="AH525" i="1"/>
  <c r="Z525" i="1"/>
  <c r="W525" i="1"/>
  <c r="U525" i="1"/>
  <c r="S525" i="1"/>
  <c r="Q525" i="1"/>
  <c r="O525" i="1"/>
  <c r="M525" i="1"/>
  <c r="K525" i="1"/>
  <c r="AP524" i="1"/>
  <c r="AQ524" i="1" s="1"/>
  <c r="AM524" i="1"/>
  <c r="AJ524" i="1"/>
  <c r="AH524" i="1"/>
  <c r="Z524" i="1"/>
  <c r="W524" i="1"/>
  <c r="U524" i="1"/>
  <c r="S524" i="1"/>
  <c r="Q524" i="1"/>
  <c r="O524" i="1"/>
  <c r="M524" i="1"/>
  <c r="K524" i="1"/>
  <c r="AP523" i="1"/>
  <c r="AQ523" i="1" s="1"/>
  <c r="AM523" i="1"/>
  <c r="AJ523" i="1"/>
  <c r="AH523" i="1"/>
  <c r="Z523" i="1"/>
  <c r="W523" i="1"/>
  <c r="U523" i="1"/>
  <c r="S523" i="1"/>
  <c r="Q523" i="1"/>
  <c r="O523" i="1"/>
  <c r="M523" i="1"/>
  <c r="K523" i="1"/>
  <c r="AP522" i="1"/>
  <c r="AQ522" i="1" s="1"/>
  <c r="AM522" i="1"/>
  <c r="AJ522" i="1"/>
  <c r="AH522" i="1"/>
  <c r="Z522" i="1"/>
  <c r="W522" i="1"/>
  <c r="U522" i="1"/>
  <c r="S522" i="1"/>
  <c r="Q522" i="1"/>
  <c r="O522" i="1"/>
  <c r="M522" i="1"/>
  <c r="K522" i="1"/>
  <c r="AP521" i="1"/>
  <c r="AQ521" i="1" s="1"/>
  <c r="AM521" i="1"/>
  <c r="AJ521" i="1"/>
  <c r="AH521" i="1"/>
  <c r="Z521" i="1"/>
  <c r="W521" i="1"/>
  <c r="U521" i="1"/>
  <c r="S521" i="1"/>
  <c r="Q521" i="1"/>
  <c r="O521" i="1"/>
  <c r="M521" i="1"/>
  <c r="K521" i="1"/>
  <c r="AP520" i="1"/>
  <c r="AQ520" i="1" s="1"/>
  <c r="AM520" i="1"/>
  <c r="AJ520" i="1"/>
  <c r="AH520" i="1"/>
  <c r="Z520" i="1"/>
  <c r="W520" i="1"/>
  <c r="U520" i="1"/>
  <c r="S520" i="1"/>
  <c r="Q520" i="1"/>
  <c r="O520" i="1"/>
  <c r="M520" i="1"/>
  <c r="K520" i="1"/>
  <c r="AP519" i="1"/>
  <c r="AQ519" i="1" s="1"/>
  <c r="AM519" i="1"/>
  <c r="AJ519" i="1"/>
  <c r="AH519" i="1"/>
  <c r="Z519" i="1"/>
  <c r="W519" i="1"/>
  <c r="U519" i="1"/>
  <c r="S519" i="1"/>
  <c r="Q519" i="1"/>
  <c r="O519" i="1"/>
  <c r="M519" i="1"/>
  <c r="K519" i="1"/>
  <c r="AP518" i="1"/>
  <c r="AQ518" i="1" s="1"/>
  <c r="AM518" i="1"/>
  <c r="AJ518" i="1"/>
  <c r="AH518" i="1"/>
  <c r="Z518" i="1"/>
  <c r="W518" i="1"/>
  <c r="U518" i="1"/>
  <c r="S518" i="1"/>
  <c r="Q518" i="1"/>
  <c r="O518" i="1"/>
  <c r="M518" i="1"/>
  <c r="K518" i="1"/>
  <c r="AP517" i="1"/>
  <c r="AQ517" i="1" s="1"/>
  <c r="AM517" i="1"/>
  <c r="AJ517" i="1"/>
  <c r="AH517" i="1"/>
  <c r="Z517" i="1"/>
  <c r="W517" i="1"/>
  <c r="U517" i="1"/>
  <c r="S517" i="1"/>
  <c r="Q517" i="1"/>
  <c r="O517" i="1"/>
  <c r="M517" i="1"/>
  <c r="K517" i="1"/>
  <c r="AP516" i="1"/>
  <c r="AQ516" i="1" s="1"/>
  <c r="AM516" i="1"/>
  <c r="AJ516" i="1"/>
  <c r="AH516" i="1"/>
  <c r="Z516" i="1"/>
  <c r="W516" i="1"/>
  <c r="U516" i="1"/>
  <c r="S516" i="1"/>
  <c r="Q516" i="1"/>
  <c r="O516" i="1"/>
  <c r="M516" i="1"/>
  <c r="K516" i="1"/>
  <c r="AP515" i="1"/>
  <c r="AQ515" i="1" s="1"/>
  <c r="AM515" i="1"/>
  <c r="AJ515" i="1"/>
  <c r="AH515" i="1"/>
  <c r="Z515" i="1"/>
  <c r="W515" i="1"/>
  <c r="U515" i="1"/>
  <c r="S515" i="1"/>
  <c r="Q515" i="1"/>
  <c r="O515" i="1"/>
  <c r="M515" i="1"/>
  <c r="K515" i="1"/>
  <c r="AP514" i="1"/>
  <c r="AQ514" i="1" s="1"/>
  <c r="AM514" i="1"/>
  <c r="AJ514" i="1"/>
  <c r="AH514" i="1"/>
  <c r="Z514" i="1"/>
  <c r="W514" i="1"/>
  <c r="U514" i="1"/>
  <c r="S514" i="1"/>
  <c r="Q514" i="1"/>
  <c r="O514" i="1"/>
  <c r="M514" i="1"/>
  <c r="K514" i="1"/>
  <c r="AP513" i="1"/>
  <c r="AQ513" i="1" s="1"/>
  <c r="AM513" i="1"/>
  <c r="AJ513" i="1"/>
  <c r="AH513" i="1"/>
  <c r="Z513" i="1"/>
  <c r="W513" i="1"/>
  <c r="U513" i="1"/>
  <c r="S513" i="1"/>
  <c r="Q513" i="1"/>
  <c r="O513" i="1"/>
  <c r="M513" i="1"/>
  <c r="K513" i="1"/>
  <c r="AP512" i="1"/>
  <c r="AQ512" i="1" s="1"/>
  <c r="AM512" i="1"/>
  <c r="AJ512" i="1"/>
  <c r="AH512" i="1"/>
  <c r="Z512" i="1"/>
  <c r="W512" i="1"/>
  <c r="U512" i="1"/>
  <c r="S512" i="1"/>
  <c r="Q512" i="1"/>
  <c r="O512" i="1"/>
  <c r="M512" i="1"/>
  <c r="K512" i="1"/>
  <c r="AP511" i="1"/>
  <c r="AQ511" i="1" s="1"/>
  <c r="AM511" i="1"/>
  <c r="AJ511" i="1"/>
  <c r="AH511" i="1"/>
  <c r="Z511" i="1"/>
  <c r="W511" i="1"/>
  <c r="U511" i="1"/>
  <c r="S511" i="1"/>
  <c r="Q511" i="1"/>
  <c r="O511" i="1"/>
  <c r="M511" i="1"/>
  <c r="K511" i="1"/>
  <c r="AP510" i="1"/>
  <c r="AQ510" i="1" s="1"/>
  <c r="AM510" i="1"/>
  <c r="AJ510" i="1"/>
  <c r="AH510" i="1"/>
  <c r="Z510" i="1"/>
  <c r="W510" i="1"/>
  <c r="U510" i="1"/>
  <c r="S510" i="1"/>
  <c r="Q510" i="1"/>
  <c r="O510" i="1"/>
  <c r="M510" i="1"/>
  <c r="K510" i="1"/>
  <c r="AP509" i="1"/>
  <c r="AQ509" i="1" s="1"/>
  <c r="AM509" i="1"/>
  <c r="AJ509" i="1"/>
  <c r="AH509" i="1"/>
  <c r="Z509" i="1"/>
  <c r="W509" i="1"/>
  <c r="U509" i="1"/>
  <c r="S509" i="1"/>
  <c r="Q509" i="1"/>
  <c r="O509" i="1"/>
  <c r="M509" i="1"/>
  <c r="K509" i="1"/>
  <c r="AP508" i="1"/>
  <c r="AQ508" i="1" s="1"/>
  <c r="AM508" i="1"/>
  <c r="AJ508" i="1"/>
  <c r="AH508" i="1"/>
  <c r="Z508" i="1"/>
  <c r="W508" i="1"/>
  <c r="U508" i="1"/>
  <c r="S508" i="1"/>
  <c r="Q508" i="1"/>
  <c r="O508" i="1"/>
  <c r="M508" i="1"/>
  <c r="K508" i="1"/>
  <c r="AP507" i="1"/>
  <c r="AQ507" i="1" s="1"/>
  <c r="AM507" i="1"/>
  <c r="AJ507" i="1"/>
  <c r="AH507" i="1"/>
  <c r="Z507" i="1"/>
  <c r="W507" i="1"/>
  <c r="U507" i="1"/>
  <c r="S507" i="1"/>
  <c r="Q507" i="1"/>
  <c r="O507" i="1"/>
  <c r="M507" i="1"/>
  <c r="K507" i="1"/>
  <c r="AP506" i="1"/>
  <c r="AQ506" i="1" s="1"/>
  <c r="AM506" i="1"/>
  <c r="AJ506" i="1"/>
  <c r="AH506" i="1"/>
  <c r="Z506" i="1"/>
  <c r="W506" i="1"/>
  <c r="U506" i="1"/>
  <c r="S506" i="1"/>
  <c r="Q506" i="1"/>
  <c r="O506" i="1"/>
  <c r="M506" i="1"/>
  <c r="K506" i="1"/>
  <c r="AP505" i="1"/>
  <c r="AQ505" i="1" s="1"/>
  <c r="AM505" i="1"/>
  <c r="AJ505" i="1"/>
  <c r="AH505" i="1"/>
  <c r="Z505" i="1"/>
  <c r="W505" i="1"/>
  <c r="U505" i="1"/>
  <c r="S505" i="1"/>
  <c r="Q505" i="1"/>
  <c r="O505" i="1"/>
  <c r="M505" i="1"/>
  <c r="K505" i="1"/>
  <c r="AP504" i="1"/>
  <c r="AQ504" i="1" s="1"/>
  <c r="AM504" i="1"/>
  <c r="AJ504" i="1"/>
  <c r="AH504" i="1"/>
  <c r="Z504" i="1"/>
  <c r="W504" i="1"/>
  <c r="U504" i="1"/>
  <c r="S504" i="1"/>
  <c r="Q504" i="1"/>
  <c r="O504" i="1"/>
  <c r="M504" i="1"/>
  <c r="K504" i="1"/>
  <c r="AP503" i="1"/>
  <c r="AQ503" i="1" s="1"/>
  <c r="AM503" i="1"/>
  <c r="AJ503" i="1"/>
  <c r="AH503" i="1"/>
  <c r="Z503" i="1"/>
  <c r="W503" i="1"/>
  <c r="U503" i="1"/>
  <c r="S503" i="1"/>
  <c r="Q503" i="1"/>
  <c r="O503" i="1"/>
  <c r="M503" i="1"/>
  <c r="K503" i="1"/>
  <c r="AP502" i="1"/>
  <c r="AQ502" i="1" s="1"/>
  <c r="AM502" i="1"/>
  <c r="AJ502" i="1"/>
  <c r="AH502" i="1"/>
  <c r="Z502" i="1"/>
  <c r="W502" i="1"/>
  <c r="U502" i="1"/>
  <c r="S502" i="1"/>
  <c r="Q502" i="1"/>
  <c r="O502" i="1"/>
  <c r="M502" i="1"/>
  <c r="K502" i="1"/>
  <c r="AP501" i="1"/>
  <c r="AQ501" i="1" s="1"/>
  <c r="AM501" i="1"/>
  <c r="AJ501" i="1"/>
  <c r="AH501" i="1"/>
  <c r="Z501" i="1"/>
  <c r="W501" i="1"/>
  <c r="U501" i="1"/>
  <c r="S501" i="1"/>
  <c r="Q501" i="1"/>
  <c r="O501" i="1"/>
  <c r="M501" i="1"/>
  <c r="K501" i="1"/>
  <c r="AP500" i="1"/>
  <c r="AQ500" i="1" s="1"/>
  <c r="AM500" i="1"/>
  <c r="AJ500" i="1"/>
  <c r="AH500" i="1"/>
  <c r="Z500" i="1"/>
  <c r="W500" i="1"/>
  <c r="U500" i="1"/>
  <c r="S500" i="1"/>
  <c r="Q500" i="1"/>
  <c r="O500" i="1"/>
  <c r="M500" i="1"/>
  <c r="K500" i="1"/>
  <c r="AP499" i="1"/>
  <c r="AQ499" i="1" s="1"/>
  <c r="AM499" i="1"/>
  <c r="AJ499" i="1"/>
  <c r="AH499" i="1"/>
  <c r="Z499" i="1"/>
  <c r="W499" i="1"/>
  <c r="U499" i="1"/>
  <c r="S499" i="1"/>
  <c r="Q499" i="1"/>
  <c r="O499" i="1"/>
  <c r="M499" i="1"/>
  <c r="K499" i="1"/>
  <c r="AP498" i="1"/>
  <c r="AQ498" i="1" s="1"/>
  <c r="AM498" i="1"/>
  <c r="AJ498" i="1"/>
  <c r="AH498" i="1"/>
  <c r="Z498" i="1"/>
  <c r="W498" i="1"/>
  <c r="U498" i="1"/>
  <c r="S498" i="1"/>
  <c r="Q498" i="1"/>
  <c r="O498" i="1"/>
  <c r="M498" i="1"/>
  <c r="K498" i="1"/>
  <c r="AP497" i="1"/>
  <c r="AQ497" i="1" s="1"/>
  <c r="AM497" i="1"/>
  <c r="AJ497" i="1"/>
  <c r="AH497" i="1"/>
  <c r="Z497" i="1"/>
  <c r="W497" i="1"/>
  <c r="U497" i="1"/>
  <c r="S497" i="1"/>
  <c r="Q497" i="1"/>
  <c r="O497" i="1"/>
  <c r="M497" i="1"/>
  <c r="K497" i="1"/>
  <c r="AP496" i="1"/>
  <c r="AQ496" i="1" s="1"/>
  <c r="AM496" i="1"/>
  <c r="AJ496" i="1"/>
  <c r="AH496" i="1"/>
  <c r="Z496" i="1"/>
  <c r="W496" i="1"/>
  <c r="U496" i="1"/>
  <c r="S496" i="1"/>
  <c r="Q496" i="1"/>
  <c r="O496" i="1"/>
  <c r="M496" i="1"/>
  <c r="K496" i="1"/>
  <c r="AP495" i="1"/>
  <c r="AQ495" i="1" s="1"/>
  <c r="AM495" i="1"/>
  <c r="AJ495" i="1"/>
  <c r="AH495" i="1"/>
  <c r="Z495" i="1"/>
  <c r="W495" i="1"/>
  <c r="U495" i="1"/>
  <c r="S495" i="1"/>
  <c r="Q495" i="1"/>
  <c r="O495" i="1"/>
  <c r="M495" i="1"/>
  <c r="K495" i="1"/>
  <c r="AP494" i="1"/>
  <c r="AQ494" i="1" s="1"/>
  <c r="AM494" i="1"/>
  <c r="AJ494" i="1"/>
  <c r="AH494" i="1"/>
  <c r="Z494" i="1"/>
  <c r="W494" i="1"/>
  <c r="U494" i="1"/>
  <c r="S494" i="1"/>
  <c r="Q494" i="1"/>
  <c r="O494" i="1"/>
  <c r="M494" i="1"/>
  <c r="K494" i="1"/>
  <c r="AP493" i="1"/>
  <c r="AQ493" i="1" s="1"/>
  <c r="AM493" i="1"/>
  <c r="AJ493" i="1"/>
  <c r="AH493" i="1"/>
  <c r="Z493" i="1"/>
  <c r="W493" i="1"/>
  <c r="U493" i="1"/>
  <c r="S493" i="1"/>
  <c r="Q493" i="1"/>
  <c r="O493" i="1"/>
  <c r="M493" i="1"/>
  <c r="K493" i="1"/>
  <c r="AP492" i="1"/>
  <c r="AQ492" i="1" s="1"/>
  <c r="AM492" i="1"/>
  <c r="AJ492" i="1"/>
  <c r="AH492" i="1"/>
  <c r="Z492" i="1"/>
  <c r="W492" i="1"/>
  <c r="U492" i="1"/>
  <c r="S492" i="1"/>
  <c r="Q492" i="1"/>
  <c r="O492" i="1"/>
  <c r="M492" i="1"/>
  <c r="K492" i="1"/>
  <c r="AP491" i="1"/>
  <c r="AQ491" i="1" s="1"/>
  <c r="AM491" i="1"/>
  <c r="AJ491" i="1"/>
  <c r="AH491" i="1"/>
  <c r="Z491" i="1"/>
  <c r="W491" i="1"/>
  <c r="U491" i="1"/>
  <c r="S491" i="1"/>
  <c r="Q491" i="1"/>
  <c r="O491" i="1"/>
  <c r="M491" i="1"/>
  <c r="K491" i="1"/>
  <c r="AP490" i="1"/>
  <c r="AQ490" i="1" s="1"/>
  <c r="AM490" i="1"/>
  <c r="AJ490" i="1"/>
  <c r="AH490" i="1"/>
  <c r="Z490" i="1"/>
  <c r="W490" i="1"/>
  <c r="U490" i="1"/>
  <c r="S490" i="1"/>
  <c r="Q490" i="1"/>
  <c r="O490" i="1"/>
  <c r="M490" i="1"/>
  <c r="K490" i="1"/>
  <c r="AP489" i="1"/>
  <c r="AQ489" i="1" s="1"/>
  <c r="AM489" i="1"/>
  <c r="AJ489" i="1"/>
  <c r="AH489" i="1"/>
  <c r="Z489" i="1"/>
  <c r="W489" i="1"/>
  <c r="U489" i="1"/>
  <c r="S489" i="1"/>
  <c r="Q489" i="1"/>
  <c r="O489" i="1"/>
  <c r="M489" i="1"/>
  <c r="K489" i="1"/>
  <c r="AP488" i="1"/>
  <c r="AQ488" i="1" s="1"/>
  <c r="AM488" i="1"/>
  <c r="AJ488" i="1"/>
  <c r="AH488" i="1"/>
  <c r="Z488" i="1"/>
  <c r="W488" i="1"/>
  <c r="U488" i="1"/>
  <c r="S488" i="1"/>
  <c r="Q488" i="1"/>
  <c r="O488" i="1"/>
  <c r="M488" i="1"/>
  <c r="K488" i="1"/>
  <c r="AP487" i="1"/>
  <c r="AQ487" i="1" s="1"/>
  <c r="AM487" i="1"/>
  <c r="AJ487" i="1"/>
  <c r="AH487" i="1"/>
  <c r="Z487" i="1"/>
  <c r="W487" i="1"/>
  <c r="U487" i="1"/>
  <c r="S487" i="1"/>
  <c r="Q487" i="1"/>
  <c r="O487" i="1"/>
  <c r="M487" i="1"/>
  <c r="K487" i="1"/>
  <c r="AP486" i="1"/>
  <c r="AQ486" i="1" s="1"/>
  <c r="AM486" i="1"/>
  <c r="AJ486" i="1"/>
  <c r="AH486" i="1"/>
  <c r="Z486" i="1"/>
  <c r="W486" i="1"/>
  <c r="U486" i="1"/>
  <c r="S486" i="1"/>
  <c r="Q486" i="1"/>
  <c r="O486" i="1"/>
  <c r="M486" i="1"/>
  <c r="K486" i="1"/>
  <c r="AP485" i="1"/>
  <c r="AQ485" i="1" s="1"/>
  <c r="AM485" i="1"/>
  <c r="AJ485" i="1"/>
  <c r="AH485" i="1"/>
  <c r="Z485" i="1"/>
  <c r="W485" i="1"/>
  <c r="U485" i="1"/>
  <c r="S485" i="1"/>
  <c r="Q485" i="1"/>
  <c r="O485" i="1"/>
  <c r="M485" i="1"/>
  <c r="K485" i="1"/>
  <c r="AP484" i="1"/>
  <c r="AQ484" i="1" s="1"/>
  <c r="AM484" i="1"/>
  <c r="AJ484" i="1"/>
  <c r="AH484" i="1"/>
  <c r="Z484" i="1"/>
  <c r="W484" i="1"/>
  <c r="U484" i="1"/>
  <c r="S484" i="1"/>
  <c r="Q484" i="1"/>
  <c r="O484" i="1"/>
  <c r="M484" i="1"/>
  <c r="K484" i="1"/>
  <c r="AP483" i="1"/>
  <c r="AQ483" i="1" s="1"/>
  <c r="AM483" i="1"/>
  <c r="AJ483" i="1"/>
  <c r="AH483" i="1"/>
  <c r="Z483" i="1"/>
  <c r="W483" i="1"/>
  <c r="U483" i="1"/>
  <c r="S483" i="1"/>
  <c r="Q483" i="1"/>
  <c r="O483" i="1"/>
  <c r="M483" i="1"/>
  <c r="K483" i="1"/>
  <c r="AP482" i="1"/>
  <c r="AQ482" i="1" s="1"/>
  <c r="AM482" i="1"/>
  <c r="AJ482" i="1"/>
  <c r="AH482" i="1"/>
  <c r="Z482" i="1"/>
  <c r="W482" i="1"/>
  <c r="U482" i="1"/>
  <c r="S482" i="1"/>
  <c r="Q482" i="1"/>
  <c r="O482" i="1"/>
  <c r="M482" i="1"/>
  <c r="K482" i="1"/>
  <c r="AP481" i="1"/>
  <c r="AQ481" i="1" s="1"/>
  <c r="AM481" i="1"/>
  <c r="AJ481" i="1"/>
  <c r="AH481" i="1"/>
  <c r="Z481" i="1"/>
  <c r="W481" i="1"/>
  <c r="U481" i="1"/>
  <c r="S481" i="1"/>
  <c r="Q481" i="1"/>
  <c r="O481" i="1"/>
  <c r="M481" i="1"/>
  <c r="K481" i="1"/>
  <c r="AP480" i="1"/>
  <c r="AQ480" i="1" s="1"/>
  <c r="AM480" i="1"/>
  <c r="AJ480" i="1"/>
  <c r="AH480" i="1"/>
  <c r="Z480" i="1"/>
  <c r="W480" i="1"/>
  <c r="U480" i="1"/>
  <c r="S480" i="1"/>
  <c r="Q480" i="1"/>
  <c r="O480" i="1"/>
  <c r="M480" i="1"/>
  <c r="K480" i="1"/>
  <c r="AP479" i="1"/>
  <c r="AQ479" i="1" s="1"/>
  <c r="AM479" i="1"/>
  <c r="AJ479" i="1"/>
  <c r="AH479" i="1"/>
  <c r="Z479" i="1"/>
  <c r="W479" i="1"/>
  <c r="U479" i="1"/>
  <c r="S479" i="1"/>
  <c r="Q479" i="1"/>
  <c r="O479" i="1"/>
  <c r="M479" i="1"/>
  <c r="K479" i="1"/>
  <c r="AP478" i="1"/>
  <c r="AQ478" i="1" s="1"/>
  <c r="AM478" i="1"/>
  <c r="AJ478" i="1"/>
  <c r="AH478" i="1"/>
  <c r="Z478" i="1"/>
  <c r="W478" i="1"/>
  <c r="U478" i="1"/>
  <c r="S478" i="1"/>
  <c r="Q478" i="1"/>
  <c r="O478" i="1"/>
  <c r="M478" i="1"/>
  <c r="K478" i="1"/>
  <c r="AP477" i="1"/>
  <c r="AQ477" i="1" s="1"/>
  <c r="AM477" i="1"/>
  <c r="AJ477" i="1"/>
  <c r="AH477" i="1"/>
  <c r="Z477" i="1"/>
  <c r="W477" i="1"/>
  <c r="U477" i="1"/>
  <c r="S477" i="1"/>
  <c r="Q477" i="1"/>
  <c r="O477" i="1"/>
  <c r="M477" i="1"/>
  <c r="K477" i="1"/>
  <c r="AP476" i="1"/>
  <c r="AQ476" i="1" s="1"/>
  <c r="AM476" i="1"/>
  <c r="AJ476" i="1"/>
  <c r="AH476" i="1"/>
  <c r="Z476" i="1"/>
  <c r="W476" i="1"/>
  <c r="U476" i="1"/>
  <c r="S476" i="1"/>
  <c r="Q476" i="1"/>
  <c r="O476" i="1"/>
  <c r="M476" i="1"/>
  <c r="K476" i="1"/>
  <c r="AP475" i="1"/>
  <c r="AQ475" i="1" s="1"/>
  <c r="AM475" i="1"/>
  <c r="AJ475" i="1"/>
  <c r="AH475" i="1"/>
  <c r="Z475" i="1"/>
  <c r="W475" i="1"/>
  <c r="U475" i="1"/>
  <c r="S475" i="1"/>
  <c r="Q475" i="1"/>
  <c r="O475" i="1"/>
  <c r="M475" i="1"/>
  <c r="K475" i="1"/>
  <c r="AP474" i="1"/>
  <c r="AQ474" i="1" s="1"/>
  <c r="AM474" i="1"/>
  <c r="AJ474" i="1"/>
  <c r="AH474" i="1"/>
  <c r="Z474" i="1"/>
  <c r="W474" i="1"/>
  <c r="U474" i="1"/>
  <c r="S474" i="1"/>
  <c r="Q474" i="1"/>
  <c r="O474" i="1"/>
  <c r="M474" i="1"/>
  <c r="K474" i="1"/>
  <c r="AP473" i="1"/>
  <c r="AQ473" i="1" s="1"/>
  <c r="AM473" i="1"/>
  <c r="AJ473" i="1"/>
  <c r="AH473" i="1"/>
  <c r="Z473" i="1"/>
  <c r="W473" i="1"/>
  <c r="U473" i="1"/>
  <c r="S473" i="1"/>
  <c r="Q473" i="1"/>
  <c r="O473" i="1"/>
  <c r="M473" i="1"/>
  <c r="K473" i="1"/>
  <c r="AP472" i="1"/>
  <c r="AQ472" i="1" s="1"/>
  <c r="AM472" i="1"/>
  <c r="AJ472" i="1"/>
  <c r="AH472" i="1"/>
  <c r="Z472" i="1"/>
  <c r="W472" i="1"/>
  <c r="U472" i="1"/>
  <c r="S472" i="1"/>
  <c r="Q472" i="1"/>
  <c r="O472" i="1"/>
  <c r="M472" i="1"/>
  <c r="K472" i="1"/>
  <c r="AP471" i="1"/>
  <c r="AQ471" i="1" s="1"/>
  <c r="AM471" i="1"/>
  <c r="AJ471" i="1"/>
  <c r="AH471" i="1"/>
  <c r="Z471" i="1"/>
  <c r="W471" i="1"/>
  <c r="U471" i="1"/>
  <c r="S471" i="1"/>
  <c r="Q471" i="1"/>
  <c r="O471" i="1"/>
  <c r="M471" i="1"/>
  <c r="K471" i="1"/>
  <c r="AP470" i="1"/>
  <c r="AQ470" i="1" s="1"/>
  <c r="AM470" i="1"/>
  <c r="AJ470" i="1"/>
  <c r="AH470" i="1"/>
  <c r="Z470" i="1"/>
  <c r="W470" i="1"/>
  <c r="U470" i="1"/>
  <c r="S470" i="1"/>
  <c r="Q470" i="1"/>
  <c r="O470" i="1"/>
  <c r="M470" i="1"/>
  <c r="K470" i="1"/>
  <c r="AP469" i="1"/>
  <c r="AQ469" i="1" s="1"/>
  <c r="AM469" i="1"/>
  <c r="AJ469" i="1"/>
  <c r="AH469" i="1"/>
  <c r="Z469" i="1"/>
  <c r="W469" i="1"/>
  <c r="U469" i="1"/>
  <c r="S469" i="1"/>
  <c r="Q469" i="1"/>
  <c r="O469" i="1"/>
  <c r="M469" i="1"/>
  <c r="K469" i="1"/>
  <c r="AP468" i="1"/>
  <c r="AQ468" i="1" s="1"/>
  <c r="AM468" i="1"/>
  <c r="AJ468" i="1"/>
  <c r="AH468" i="1"/>
  <c r="Z468" i="1"/>
  <c r="W468" i="1"/>
  <c r="U468" i="1"/>
  <c r="S468" i="1"/>
  <c r="Q468" i="1"/>
  <c r="O468" i="1"/>
  <c r="M468" i="1"/>
  <c r="K468" i="1"/>
  <c r="AP467" i="1"/>
  <c r="AQ467" i="1" s="1"/>
  <c r="AM467" i="1"/>
  <c r="AJ467" i="1"/>
  <c r="AH467" i="1"/>
  <c r="Z467" i="1"/>
  <c r="W467" i="1"/>
  <c r="U467" i="1"/>
  <c r="S467" i="1"/>
  <c r="Q467" i="1"/>
  <c r="O467" i="1"/>
  <c r="M467" i="1"/>
  <c r="K467" i="1"/>
  <c r="AP466" i="1"/>
  <c r="AQ466" i="1" s="1"/>
  <c r="AM466" i="1"/>
  <c r="AJ466" i="1"/>
  <c r="AH466" i="1"/>
  <c r="Z466" i="1"/>
  <c r="W466" i="1"/>
  <c r="U466" i="1"/>
  <c r="S466" i="1"/>
  <c r="Q466" i="1"/>
  <c r="O466" i="1"/>
  <c r="M466" i="1"/>
  <c r="K466" i="1"/>
  <c r="AP465" i="1"/>
  <c r="AQ465" i="1" s="1"/>
  <c r="AM465" i="1"/>
  <c r="AJ465" i="1"/>
  <c r="AH465" i="1"/>
  <c r="Z465" i="1"/>
  <c r="W465" i="1"/>
  <c r="U465" i="1"/>
  <c r="S465" i="1"/>
  <c r="Q465" i="1"/>
  <c r="O465" i="1"/>
  <c r="M465" i="1"/>
  <c r="K465" i="1"/>
  <c r="AP464" i="1"/>
  <c r="AQ464" i="1" s="1"/>
  <c r="AM464" i="1"/>
  <c r="AJ464" i="1"/>
  <c r="AH464" i="1"/>
  <c r="Z464" i="1"/>
  <c r="W464" i="1"/>
  <c r="U464" i="1"/>
  <c r="S464" i="1"/>
  <c r="Q464" i="1"/>
  <c r="O464" i="1"/>
  <c r="M464" i="1"/>
  <c r="K464" i="1"/>
  <c r="AP463" i="1"/>
  <c r="AQ463" i="1" s="1"/>
  <c r="AM463" i="1"/>
  <c r="AJ463" i="1"/>
  <c r="AH463" i="1"/>
  <c r="Z463" i="1"/>
  <c r="W463" i="1"/>
  <c r="U463" i="1"/>
  <c r="S463" i="1"/>
  <c r="Q463" i="1"/>
  <c r="O463" i="1"/>
  <c r="M463" i="1"/>
  <c r="K463" i="1"/>
  <c r="AP462" i="1"/>
  <c r="AQ462" i="1" s="1"/>
  <c r="AM462" i="1"/>
  <c r="AJ462" i="1"/>
  <c r="AH462" i="1"/>
  <c r="Z462" i="1"/>
  <c r="W462" i="1"/>
  <c r="U462" i="1"/>
  <c r="S462" i="1"/>
  <c r="Q462" i="1"/>
  <c r="O462" i="1"/>
  <c r="M462" i="1"/>
  <c r="K462" i="1"/>
  <c r="AP461" i="1"/>
  <c r="AQ461" i="1" s="1"/>
  <c r="AM461" i="1"/>
  <c r="AJ461" i="1"/>
  <c r="AH461" i="1"/>
  <c r="Z461" i="1"/>
  <c r="W461" i="1"/>
  <c r="U461" i="1"/>
  <c r="S461" i="1"/>
  <c r="Q461" i="1"/>
  <c r="O461" i="1"/>
  <c r="M461" i="1"/>
  <c r="K461" i="1"/>
  <c r="AP460" i="1"/>
  <c r="AQ460" i="1" s="1"/>
  <c r="AM460" i="1"/>
  <c r="AJ460" i="1"/>
  <c r="AH460" i="1"/>
  <c r="Z460" i="1"/>
  <c r="W460" i="1"/>
  <c r="U460" i="1"/>
  <c r="S460" i="1"/>
  <c r="Q460" i="1"/>
  <c r="O460" i="1"/>
  <c r="M460" i="1"/>
  <c r="K460" i="1"/>
  <c r="AP459" i="1"/>
  <c r="AQ459" i="1" s="1"/>
  <c r="AM459" i="1"/>
  <c r="AJ459" i="1"/>
  <c r="AH459" i="1"/>
  <c r="Z459" i="1"/>
  <c r="W459" i="1"/>
  <c r="U459" i="1"/>
  <c r="S459" i="1"/>
  <c r="Q459" i="1"/>
  <c r="O459" i="1"/>
  <c r="M459" i="1"/>
  <c r="K459" i="1"/>
  <c r="AP458" i="1"/>
  <c r="AQ458" i="1" s="1"/>
  <c r="AM458" i="1"/>
  <c r="AJ458" i="1"/>
  <c r="AH458" i="1"/>
  <c r="Z458" i="1"/>
  <c r="W458" i="1"/>
  <c r="U458" i="1"/>
  <c r="S458" i="1"/>
  <c r="Q458" i="1"/>
  <c r="O458" i="1"/>
  <c r="M458" i="1"/>
  <c r="K458" i="1"/>
  <c r="AP457" i="1"/>
  <c r="AQ457" i="1" s="1"/>
  <c r="AM457" i="1"/>
  <c r="AJ457" i="1"/>
  <c r="AH457" i="1"/>
  <c r="Z457" i="1"/>
  <c r="W457" i="1"/>
  <c r="U457" i="1"/>
  <c r="S457" i="1"/>
  <c r="Q457" i="1"/>
  <c r="O457" i="1"/>
  <c r="M457" i="1"/>
  <c r="K457" i="1"/>
  <c r="AP456" i="1"/>
  <c r="AQ456" i="1" s="1"/>
  <c r="AM456" i="1"/>
  <c r="AJ456" i="1"/>
  <c r="AH456" i="1"/>
  <c r="Z456" i="1"/>
  <c r="W456" i="1"/>
  <c r="U456" i="1"/>
  <c r="S456" i="1"/>
  <c r="Q456" i="1"/>
  <c r="O456" i="1"/>
  <c r="M456" i="1"/>
  <c r="K456" i="1"/>
  <c r="AP455" i="1"/>
  <c r="AQ455" i="1" s="1"/>
  <c r="AM455" i="1"/>
  <c r="AJ455" i="1"/>
  <c r="AH455" i="1"/>
  <c r="Z455" i="1"/>
  <c r="W455" i="1"/>
  <c r="U455" i="1"/>
  <c r="S455" i="1"/>
  <c r="Q455" i="1"/>
  <c r="O455" i="1"/>
  <c r="M455" i="1"/>
  <c r="K455" i="1"/>
  <c r="AP454" i="1"/>
  <c r="AQ454" i="1" s="1"/>
  <c r="AM454" i="1"/>
  <c r="AJ454" i="1"/>
  <c r="AH454" i="1"/>
  <c r="Z454" i="1"/>
  <c r="W454" i="1"/>
  <c r="U454" i="1"/>
  <c r="S454" i="1"/>
  <c r="Q454" i="1"/>
  <c r="O454" i="1"/>
  <c r="M454" i="1"/>
  <c r="K454" i="1"/>
  <c r="AP453" i="1"/>
  <c r="AQ453" i="1" s="1"/>
  <c r="AM453" i="1"/>
  <c r="AJ453" i="1"/>
  <c r="AH453" i="1"/>
  <c r="Z453" i="1"/>
  <c r="W453" i="1"/>
  <c r="U453" i="1"/>
  <c r="S453" i="1"/>
  <c r="Q453" i="1"/>
  <c r="O453" i="1"/>
  <c r="M453" i="1"/>
  <c r="K453" i="1"/>
  <c r="AP452" i="1"/>
  <c r="AQ452" i="1" s="1"/>
  <c r="AM452" i="1"/>
  <c r="AJ452" i="1"/>
  <c r="AH452" i="1"/>
  <c r="Z452" i="1"/>
  <c r="W452" i="1"/>
  <c r="U452" i="1"/>
  <c r="S452" i="1"/>
  <c r="Q452" i="1"/>
  <c r="O452" i="1"/>
  <c r="M452" i="1"/>
  <c r="K452" i="1"/>
  <c r="AP451" i="1"/>
  <c r="AQ451" i="1" s="1"/>
  <c r="AM451" i="1"/>
  <c r="AJ451" i="1"/>
  <c r="AH451" i="1"/>
  <c r="Z451" i="1"/>
  <c r="W451" i="1"/>
  <c r="U451" i="1"/>
  <c r="S451" i="1"/>
  <c r="Q451" i="1"/>
  <c r="O451" i="1"/>
  <c r="M451" i="1"/>
  <c r="K451" i="1"/>
  <c r="AP450" i="1"/>
  <c r="AQ450" i="1" s="1"/>
  <c r="AM450" i="1"/>
  <c r="AJ450" i="1"/>
  <c r="AH450" i="1"/>
  <c r="Z450" i="1"/>
  <c r="W450" i="1"/>
  <c r="U450" i="1"/>
  <c r="S450" i="1"/>
  <c r="Q450" i="1"/>
  <c r="O450" i="1"/>
  <c r="M450" i="1"/>
  <c r="K450" i="1"/>
  <c r="AP449" i="1"/>
  <c r="AQ449" i="1" s="1"/>
  <c r="AM449" i="1"/>
  <c r="AJ449" i="1"/>
  <c r="AH449" i="1"/>
  <c r="Z449" i="1"/>
  <c r="W449" i="1"/>
  <c r="U449" i="1"/>
  <c r="S449" i="1"/>
  <c r="Q449" i="1"/>
  <c r="O449" i="1"/>
  <c r="M449" i="1"/>
  <c r="K449" i="1"/>
  <c r="AP448" i="1"/>
  <c r="AQ448" i="1" s="1"/>
  <c r="AM448" i="1"/>
  <c r="AJ448" i="1"/>
  <c r="AH448" i="1"/>
  <c r="Z448" i="1"/>
  <c r="W448" i="1"/>
  <c r="U448" i="1"/>
  <c r="S448" i="1"/>
  <c r="Q448" i="1"/>
  <c r="O448" i="1"/>
  <c r="M448" i="1"/>
  <c r="K448" i="1"/>
  <c r="AP447" i="1"/>
  <c r="AQ447" i="1" s="1"/>
  <c r="AM447" i="1"/>
  <c r="AJ447" i="1"/>
  <c r="AH447" i="1"/>
  <c r="Z447" i="1"/>
  <c r="W447" i="1"/>
  <c r="U447" i="1"/>
  <c r="S447" i="1"/>
  <c r="Q447" i="1"/>
  <c r="O447" i="1"/>
  <c r="M447" i="1"/>
  <c r="K447" i="1"/>
  <c r="AP446" i="1"/>
  <c r="AQ446" i="1" s="1"/>
  <c r="AM446" i="1"/>
  <c r="AJ446" i="1"/>
  <c r="AH446" i="1"/>
  <c r="Z446" i="1"/>
  <c r="W446" i="1"/>
  <c r="U446" i="1"/>
  <c r="S446" i="1"/>
  <c r="Q446" i="1"/>
  <c r="O446" i="1"/>
  <c r="M446" i="1"/>
  <c r="K446" i="1"/>
  <c r="AP445" i="1"/>
  <c r="AQ445" i="1" s="1"/>
  <c r="AM445" i="1"/>
  <c r="AJ445" i="1"/>
  <c r="AH445" i="1"/>
  <c r="Z445" i="1"/>
  <c r="W445" i="1"/>
  <c r="U445" i="1"/>
  <c r="S445" i="1"/>
  <c r="Q445" i="1"/>
  <c r="O445" i="1"/>
  <c r="M445" i="1"/>
  <c r="K445" i="1"/>
  <c r="AP444" i="1"/>
  <c r="AQ444" i="1" s="1"/>
  <c r="AM444" i="1"/>
  <c r="AJ444" i="1"/>
  <c r="AH444" i="1"/>
  <c r="Z444" i="1"/>
  <c r="W444" i="1"/>
  <c r="U444" i="1"/>
  <c r="S444" i="1"/>
  <c r="Q444" i="1"/>
  <c r="O444" i="1"/>
  <c r="M444" i="1"/>
  <c r="K444" i="1"/>
  <c r="AP443" i="1"/>
  <c r="AQ443" i="1" s="1"/>
  <c r="AM443" i="1"/>
  <c r="AJ443" i="1"/>
  <c r="AH443" i="1"/>
  <c r="Z443" i="1"/>
  <c r="W443" i="1"/>
  <c r="U443" i="1"/>
  <c r="S443" i="1"/>
  <c r="Q443" i="1"/>
  <c r="O443" i="1"/>
  <c r="M443" i="1"/>
  <c r="K443" i="1"/>
  <c r="AP442" i="1"/>
  <c r="AQ442" i="1" s="1"/>
  <c r="AM442" i="1"/>
  <c r="AJ442" i="1"/>
  <c r="AH442" i="1"/>
  <c r="Z442" i="1"/>
  <c r="W442" i="1"/>
  <c r="U442" i="1"/>
  <c r="S442" i="1"/>
  <c r="Q442" i="1"/>
  <c r="O442" i="1"/>
  <c r="M442" i="1"/>
  <c r="K442" i="1"/>
  <c r="AP441" i="1"/>
  <c r="AQ441" i="1" s="1"/>
  <c r="AM441" i="1"/>
  <c r="AJ441" i="1"/>
  <c r="AH441" i="1"/>
  <c r="Z441" i="1"/>
  <c r="W441" i="1"/>
  <c r="U441" i="1"/>
  <c r="S441" i="1"/>
  <c r="Q441" i="1"/>
  <c r="O441" i="1"/>
  <c r="M441" i="1"/>
  <c r="K441" i="1"/>
  <c r="AP440" i="1"/>
  <c r="AQ440" i="1" s="1"/>
  <c r="AM440" i="1"/>
  <c r="AJ440" i="1"/>
  <c r="AH440" i="1"/>
  <c r="Z440" i="1"/>
  <c r="W440" i="1"/>
  <c r="U440" i="1"/>
  <c r="S440" i="1"/>
  <c r="Q440" i="1"/>
  <c r="O440" i="1"/>
  <c r="M440" i="1"/>
  <c r="K440" i="1"/>
  <c r="AP439" i="1"/>
  <c r="AQ439" i="1" s="1"/>
  <c r="AM439" i="1"/>
  <c r="AJ439" i="1"/>
  <c r="AH439" i="1"/>
  <c r="Z439" i="1"/>
  <c r="W439" i="1"/>
  <c r="U439" i="1"/>
  <c r="S439" i="1"/>
  <c r="Q439" i="1"/>
  <c r="O439" i="1"/>
  <c r="M439" i="1"/>
  <c r="K439" i="1"/>
  <c r="AP438" i="1"/>
  <c r="AQ438" i="1" s="1"/>
  <c r="AM438" i="1"/>
  <c r="AJ438" i="1"/>
  <c r="AH438" i="1"/>
  <c r="Z438" i="1"/>
  <c r="W438" i="1"/>
  <c r="U438" i="1"/>
  <c r="S438" i="1"/>
  <c r="Q438" i="1"/>
  <c r="O438" i="1"/>
  <c r="M438" i="1"/>
  <c r="K438" i="1"/>
  <c r="AP437" i="1"/>
  <c r="AQ437" i="1" s="1"/>
  <c r="AM437" i="1"/>
  <c r="AJ437" i="1"/>
  <c r="AH437" i="1"/>
  <c r="Z437" i="1"/>
  <c r="W437" i="1"/>
  <c r="U437" i="1"/>
  <c r="S437" i="1"/>
  <c r="Q437" i="1"/>
  <c r="O437" i="1"/>
  <c r="M437" i="1"/>
  <c r="K437" i="1"/>
  <c r="AP436" i="1"/>
  <c r="AQ436" i="1" s="1"/>
  <c r="AM436" i="1"/>
  <c r="AJ436" i="1"/>
  <c r="AH436" i="1"/>
  <c r="Z436" i="1"/>
  <c r="W436" i="1"/>
  <c r="U436" i="1"/>
  <c r="S436" i="1"/>
  <c r="Q436" i="1"/>
  <c r="O436" i="1"/>
  <c r="M436" i="1"/>
  <c r="K436" i="1"/>
  <c r="AP435" i="1"/>
  <c r="AQ435" i="1" s="1"/>
  <c r="AM435" i="1"/>
  <c r="AJ435" i="1"/>
  <c r="AH435" i="1"/>
  <c r="Z435" i="1"/>
  <c r="W435" i="1"/>
  <c r="U435" i="1"/>
  <c r="S435" i="1"/>
  <c r="Q435" i="1"/>
  <c r="O435" i="1"/>
  <c r="M435" i="1"/>
  <c r="K435" i="1"/>
  <c r="AP434" i="1"/>
  <c r="AQ434" i="1" s="1"/>
  <c r="AM434" i="1"/>
  <c r="AJ434" i="1"/>
  <c r="AH434" i="1"/>
  <c r="Z434" i="1"/>
  <c r="W434" i="1"/>
  <c r="U434" i="1"/>
  <c r="S434" i="1"/>
  <c r="Q434" i="1"/>
  <c r="O434" i="1"/>
  <c r="M434" i="1"/>
  <c r="K434" i="1"/>
  <c r="AP433" i="1"/>
  <c r="AQ433" i="1" s="1"/>
  <c r="AM433" i="1"/>
  <c r="AJ433" i="1"/>
  <c r="AH433" i="1"/>
  <c r="Z433" i="1"/>
  <c r="W433" i="1"/>
  <c r="U433" i="1"/>
  <c r="S433" i="1"/>
  <c r="Q433" i="1"/>
  <c r="O433" i="1"/>
  <c r="M433" i="1"/>
  <c r="K433" i="1"/>
  <c r="AP432" i="1"/>
  <c r="AQ432" i="1" s="1"/>
  <c r="AM432" i="1"/>
  <c r="AJ432" i="1"/>
  <c r="AH432" i="1"/>
  <c r="Z432" i="1"/>
  <c r="W432" i="1"/>
  <c r="U432" i="1"/>
  <c r="S432" i="1"/>
  <c r="Q432" i="1"/>
  <c r="O432" i="1"/>
  <c r="M432" i="1"/>
  <c r="K432" i="1"/>
  <c r="AP431" i="1"/>
  <c r="AQ431" i="1" s="1"/>
  <c r="AM431" i="1"/>
  <c r="AJ431" i="1"/>
  <c r="AH431" i="1"/>
  <c r="Z431" i="1"/>
  <c r="W431" i="1"/>
  <c r="U431" i="1"/>
  <c r="S431" i="1"/>
  <c r="Q431" i="1"/>
  <c r="O431" i="1"/>
  <c r="M431" i="1"/>
  <c r="K431" i="1"/>
  <c r="AP430" i="1"/>
  <c r="AQ430" i="1" s="1"/>
  <c r="AM430" i="1"/>
  <c r="AJ430" i="1"/>
  <c r="AH430" i="1"/>
  <c r="Z430" i="1"/>
  <c r="W430" i="1"/>
  <c r="U430" i="1"/>
  <c r="S430" i="1"/>
  <c r="Q430" i="1"/>
  <c r="O430" i="1"/>
  <c r="M430" i="1"/>
  <c r="K430" i="1"/>
  <c r="AP429" i="1"/>
  <c r="AQ429" i="1" s="1"/>
  <c r="AM429" i="1"/>
  <c r="AJ429" i="1"/>
  <c r="AH429" i="1"/>
  <c r="Z429" i="1"/>
  <c r="W429" i="1"/>
  <c r="U429" i="1"/>
  <c r="S429" i="1"/>
  <c r="Q429" i="1"/>
  <c r="O429" i="1"/>
  <c r="M429" i="1"/>
  <c r="K429" i="1"/>
  <c r="AP428" i="1"/>
  <c r="AQ428" i="1" s="1"/>
  <c r="AM428" i="1"/>
  <c r="AJ428" i="1"/>
  <c r="AH428" i="1"/>
  <c r="Z428" i="1"/>
  <c r="W428" i="1"/>
  <c r="U428" i="1"/>
  <c r="S428" i="1"/>
  <c r="Q428" i="1"/>
  <c r="O428" i="1"/>
  <c r="M428" i="1"/>
  <c r="K428" i="1"/>
  <c r="AP427" i="1"/>
  <c r="AQ427" i="1" s="1"/>
  <c r="AM427" i="1"/>
  <c r="AJ427" i="1"/>
  <c r="AH427" i="1"/>
  <c r="Z427" i="1"/>
  <c r="W427" i="1"/>
  <c r="U427" i="1"/>
  <c r="S427" i="1"/>
  <c r="Q427" i="1"/>
  <c r="O427" i="1"/>
  <c r="M427" i="1"/>
  <c r="K427" i="1"/>
  <c r="AP426" i="1"/>
  <c r="AQ426" i="1" s="1"/>
  <c r="AM426" i="1"/>
  <c r="AJ426" i="1"/>
  <c r="AH426" i="1"/>
  <c r="Z426" i="1"/>
  <c r="W426" i="1"/>
  <c r="U426" i="1"/>
  <c r="S426" i="1"/>
  <c r="Q426" i="1"/>
  <c r="O426" i="1"/>
  <c r="M426" i="1"/>
  <c r="K426" i="1"/>
  <c r="AP425" i="1"/>
  <c r="AQ425" i="1" s="1"/>
  <c r="AM425" i="1"/>
  <c r="AJ425" i="1"/>
  <c r="AH425" i="1"/>
  <c r="Z425" i="1"/>
  <c r="W425" i="1"/>
  <c r="U425" i="1"/>
  <c r="S425" i="1"/>
  <c r="Q425" i="1"/>
  <c r="O425" i="1"/>
  <c r="M425" i="1"/>
  <c r="K425" i="1"/>
  <c r="AP424" i="1"/>
  <c r="AQ424" i="1" s="1"/>
  <c r="AM424" i="1"/>
  <c r="AJ424" i="1"/>
  <c r="AH424" i="1"/>
  <c r="Z424" i="1"/>
  <c r="W424" i="1"/>
  <c r="U424" i="1"/>
  <c r="S424" i="1"/>
  <c r="Q424" i="1"/>
  <c r="O424" i="1"/>
  <c r="M424" i="1"/>
  <c r="K424" i="1"/>
  <c r="AP423" i="1"/>
  <c r="AQ423" i="1" s="1"/>
  <c r="AM423" i="1"/>
  <c r="AJ423" i="1"/>
  <c r="AH423" i="1"/>
  <c r="Z423" i="1"/>
  <c r="W423" i="1"/>
  <c r="U423" i="1"/>
  <c r="S423" i="1"/>
  <c r="Q423" i="1"/>
  <c r="O423" i="1"/>
  <c r="M423" i="1"/>
  <c r="K423" i="1"/>
  <c r="AP422" i="1"/>
  <c r="AQ422" i="1" s="1"/>
  <c r="AM422" i="1"/>
  <c r="AJ422" i="1"/>
  <c r="AH422" i="1"/>
  <c r="Z422" i="1"/>
  <c r="W422" i="1"/>
  <c r="U422" i="1"/>
  <c r="S422" i="1"/>
  <c r="Q422" i="1"/>
  <c r="O422" i="1"/>
  <c r="M422" i="1"/>
  <c r="K422" i="1"/>
  <c r="AP421" i="1"/>
  <c r="AQ421" i="1" s="1"/>
  <c r="AM421" i="1"/>
  <c r="AJ421" i="1"/>
  <c r="AH421" i="1"/>
  <c r="Z421" i="1"/>
  <c r="W421" i="1"/>
  <c r="U421" i="1"/>
  <c r="S421" i="1"/>
  <c r="Q421" i="1"/>
  <c r="O421" i="1"/>
  <c r="M421" i="1"/>
  <c r="K421" i="1"/>
  <c r="AP420" i="1"/>
  <c r="AQ420" i="1" s="1"/>
  <c r="AM420" i="1"/>
  <c r="AJ420" i="1"/>
  <c r="AH420" i="1"/>
  <c r="Z420" i="1"/>
  <c r="W420" i="1"/>
  <c r="U420" i="1"/>
  <c r="S420" i="1"/>
  <c r="Q420" i="1"/>
  <c r="O420" i="1"/>
  <c r="M420" i="1"/>
  <c r="K420" i="1"/>
  <c r="AP419" i="1"/>
  <c r="AQ419" i="1" s="1"/>
  <c r="AM419" i="1"/>
  <c r="AJ419" i="1"/>
  <c r="AH419" i="1"/>
  <c r="Z419" i="1"/>
  <c r="W419" i="1"/>
  <c r="U419" i="1"/>
  <c r="S419" i="1"/>
  <c r="Q419" i="1"/>
  <c r="O419" i="1"/>
  <c r="M419" i="1"/>
  <c r="K419" i="1"/>
  <c r="AP418" i="1"/>
  <c r="AQ418" i="1" s="1"/>
  <c r="AM418" i="1"/>
  <c r="AJ418" i="1"/>
  <c r="AH418" i="1"/>
  <c r="Z418" i="1"/>
  <c r="W418" i="1"/>
  <c r="U418" i="1"/>
  <c r="S418" i="1"/>
  <c r="Q418" i="1"/>
  <c r="O418" i="1"/>
  <c r="M418" i="1"/>
  <c r="K418" i="1"/>
  <c r="AP417" i="1"/>
  <c r="AQ417" i="1" s="1"/>
  <c r="AM417" i="1"/>
  <c r="AJ417" i="1"/>
  <c r="AH417" i="1"/>
  <c r="Z417" i="1"/>
  <c r="W417" i="1"/>
  <c r="U417" i="1"/>
  <c r="S417" i="1"/>
  <c r="Q417" i="1"/>
  <c r="O417" i="1"/>
  <c r="M417" i="1"/>
  <c r="K417" i="1"/>
  <c r="AP416" i="1"/>
  <c r="AQ416" i="1" s="1"/>
  <c r="AM416" i="1"/>
  <c r="AJ416" i="1"/>
  <c r="AH416" i="1"/>
  <c r="Z416" i="1"/>
  <c r="W416" i="1"/>
  <c r="U416" i="1"/>
  <c r="S416" i="1"/>
  <c r="Q416" i="1"/>
  <c r="O416" i="1"/>
  <c r="M416" i="1"/>
  <c r="K416" i="1"/>
  <c r="AP415" i="1"/>
  <c r="AQ415" i="1" s="1"/>
  <c r="AM415" i="1"/>
  <c r="AJ415" i="1"/>
  <c r="AH415" i="1"/>
  <c r="Z415" i="1"/>
  <c r="W415" i="1"/>
  <c r="U415" i="1"/>
  <c r="S415" i="1"/>
  <c r="Q415" i="1"/>
  <c r="O415" i="1"/>
  <c r="M415" i="1"/>
  <c r="K415" i="1"/>
  <c r="AP414" i="1"/>
  <c r="AQ414" i="1" s="1"/>
  <c r="AM414" i="1"/>
  <c r="AJ414" i="1"/>
  <c r="AH414" i="1"/>
  <c r="Z414" i="1"/>
  <c r="W414" i="1"/>
  <c r="U414" i="1"/>
  <c r="S414" i="1"/>
  <c r="Q414" i="1"/>
  <c r="O414" i="1"/>
  <c r="M414" i="1"/>
  <c r="K414" i="1"/>
  <c r="AP413" i="1"/>
  <c r="AQ413" i="1" s="1"/>
  <c r="AM413" i="1"/>
  <c r="AJ413" i="1"/>
  <c r="AH413" i="1"/>
  <c r="Z413" i="1"/>
  <c r="W413" i="1"/>
  <c r="U413" i="1"/>
  <c r="S413" i="1"/>
  <c r="Q413" i="1"/>
  <c r="O413" i="1"/>
  <c r="M413" i="1"/>
  <c r="K413" i="1"/>
  <c r="AP412" i="1"/>
  <c r="AQ412" i="1" s="1"/>
  <c r="AM412" i="1"/>
  <c r="AJ412" i="1"/>
  <c r="AH412" i="1"/>
  <c r="Z412" i="1"/>
  <c r="W412" i="1"/>
  <c r="U412" i="1"/>
  <c r="S412" i="1"/>
  <c r="Q412" i="1"/>
  <c r="O412" i="1"/>
  <c r="M412" i="1"/>
  <c r="K412" i="1"/>
  <c r="AP411" i="1"/>
  <c r="AQ411" i="1" s="1"/>
  <c r="AM411" i="1"/>
  <c r="AJ411" i="1"/>
  <c r="AH411" i="1"/>
  <c r="Z411" i="1"/>
  <c r="W411" i="1"/>
  <c r="U411" i="1"/>
  <c r="S411" i="1"/>
  <c r="Q411" i="1"/>
  <c r="O411" i="1"/>
  <c r="M411" i="1"/>
  <c r="K411" i="1"/>
  <c r="AP410" i="1"/>
  <c r="AQ410" i="1" s="1"/>
  <c r="AM410" i="1"/>
  <c r="AJ410" i="1"/>
  <c r="AH410" i="1"/>
  <c r="Z410" i="1"/>
  <c r="W410" i="1"/>
  <c r="U410" i="1"/>
  <c r="S410" i="1"/>
  <c r="Q410" i="1"/>
  <c r="O410" i="1"/>
  <c r="M410" i="1"/>
  <c r="K410" i="1"/>
  <c r="AP409" i="1"/>
  <c r="AQ409" i="1" s="1"/>
  <c r="AM409" i="1"/>
  <c r="AJ409" i="1"/>
  <c r="AH409" i="1"/>
  <c r="Z409" i="1"/>
  <c r="W409" i="1"/>
  <c r="U409" i="1"/>
  <c r="S409" i="1"/>
  <c r="Q409" i="1"/>
  <c r="O409" i="1"/>
  <c r="M409" i="1"/>
  <c r="K409" i="1"/>
  <c r="AP408" i="1"/>
  <c r="AQ408" i="1" s="1"/>
  <c r="AM408" i="1"/>
  <c r="AJ408" i="1"/>
  <c r="AH408" i="1"/>
  <c r="Z408" i="1"/>
  <c r="W408" i="1"/>
  <c r="U408" i="1"/>
  <c r="S408" i="1"/>
  <c r="Q408" i="1"/>
  <c r="O408" i="1"/>
  <c r="M408" i="1"/>
  <c r="K408" i="1"/>
  <c r="AP407" i="1"/>
  <c r="AQ407" i="1" s="1"/>
  <c r="AM407" i="1"/>
  <c r="AJ407" i="1"/>
  <c r="AH407" i="1"/>
  <c r="Z407" i="1"/>
  <c r="W407" i="1"/>
  <c r="U407" i="1"/>
  <c r="S407" i="1"/>
  <c r="Q407" i="1"/>
  <c r="O407" i="1"/>
  <c r="M407" i="1"/>
  <c r="K407" i="1"/>
  <c r="AP406" i="1"/>
  <c r="AQ406" i="1" s="1"/>
  <c r="AM406" i="1"/>
  <c r="AJ406" i="1"/>
  <c r="AH406" i="1"/>
  <c r="Z406" i="1"/>
  <c r="W406" i="1"/>
  <c r="U406" i="1"/>
  <c r="S406" i="1"/>
  <c r="Q406" i="1"/>
  <c r="O406" i="1"/>
  <c r="M406" i="1"/>
  <c r="K406" i="1"/>
  <c r="AP405" i="1"/>
  <c r="AQ405" i="1" s="1"/>
  <c r="AM405" i="1"/>
  <c r="AJ405" i="1"/>
  <c r="AH405" i="1"/>
  <c r="Z405" i="1"/>
  <c r="W405" i="1"/>
  <c r="U405" i="1"/>
  <c r="S405" i="1"/>
  <c r="Q405" i="1"/>
  <c r="O405" i="1"/>
  <c r="M405" i="1"/>
  <c r="K405" i="1"/>
  <c r="AP404" i="1"/>
  <c r="AQ404" i="1" s="1"/>
  <c r="AM404" i="1"/>
  <c r="AJ404" i="1"/>
  <c r="AH404" i="1"/>
  <c r="Z404" i="1"/>
  <c r="W404" i="1"/>
  <c r="U404" i="1"/>
  <c r="S404" i="1"/>
  <c r="Q404" i="1"/>
  <c r="O404" i="1"/>
  <c r="M404" i="1"/>
  <c r="K404" i="1"/>
  <c r="AP403" i="1"/>
  <c r="AQ403" i="1" s="1"/>
  <c r="AM403" i="1"/>
  <c r="AJ403" i="1"/>
  <c r="AH403" i="1"/>
  <c r="Z403" i="1"/>
  <c r="W403" i="1"/>
  <c r="U403" i="1"/>
  <c r="S403" i="1"/>
  <c r="Q403" i="1"/>
  <c r="O403" i="1"/>
  <c r="M403" i="1"/>
  <c r="K403" i="1"/>
  <c r="AP402" i="1"/>
  <c r="AQ402" i="1" s="1"/>
  <c r="AM402" i="1"/>
  <c r="AJ402" i="1"/>
  <c r="AH402" i="1"/>
  <c r="Z402" i="1"/>
  <c r="W402" i="1"/>
  <c r="U402" i="1"/>
  <c r="S402" i="1"/>
  <c r="Q402" i="1"/>
  <c r="O402" i="1"/>
  <c r="M402" i="1"/>
  <c r="K402" i="1"/>
  <c r="AP401" i="1"/>
  <c r="AQ401" i="1" s="1"/>
  <c r="AM401" i="1"/>
  <c r="AJ401" i="1"/>
  <c r="AH401" i="1"/>
  <c r="Z401" i="1"/>
  <c r="W401" i="1"/>
  <c r="U401" i="1"/>
  <c r="S401" i="1"/>
  <c r="Q401" i="1"/>
  <c r="O401" i="1"/>
  <c r="M401" i="1"/>
  <c r="K401" i="1"/>
  <c r="AP400" i="1"/>
  <c r="AQ400" i="1" s="1"/>
  <c r="AM400" i="1"/>
  <c r="AJ400" i="1"/>
  <c r="AH400" i="1"/>
  <c r="Z400" i="1"/>
  <c r="W400" i="1"/>
  <c r="U400" i="1"/>
  <c r="S400" i="1"/>
  <c r="Q400" i="1"/>
  <c r="O400" i="1"/>
  <c r="M400" i="1"/>
  <c r="K400" i="1"/>
  <c r="AP399" i="1"/>
  <c r="AQ399" i="1" s="1"/>
  <c r="AM399" i="1"/>
  <c r="AJ399" i="1"/>
  <c r="AH399" i="1"/>
  <c r="Z399" i="1"/>
  <c r="W399" i="1"/>
  <c r="U399" i="1"/>
  <c r="S399" i="1"/>
  <c r="Q399" i="1"/>
  <c r="O399" i="1"/>
  <c r="M399" i="1"/>
  <c r="K399" i="1"/>
  <c r="AP398" i="1"/>
  <c r="AQ398" i="1" s="1"/>
  <c r="AM398" i="1"/>
  <c r="AJ398" i="1"/>
  <c r="AH398" i="1"/>
  <c r="Z398" i="1"/>
  <c r="W398" i="1"/>
  <c r="U398" i="1"/>
  <c r="S398" i="1"/>
  <c r="Q398" i="1"/>
  <c r="O398" i="1"/>
  <c r="M398" i="1"/>
  <c r="K398" i="1"/>
  <c r="AP397" i="1"/>
  <c r="AQ397" i="1" s="1"/>
  <c r="AM397" i="1"/>
  <c r="AJ397" i="1"/>
  <c r="AH397" i="1"/>
  <c r="Z397" i="1"/>
  <c r="W397" i="1"/>
  <c r="U397" i="1"/>
  <c r="S397" i="1"/>
  <c r="Q397" i="1"/>
  <c r="O397" i="1"/>
  <c r="M397" i="1"/>
  <c r="K397" i="1"/>
  <c r="AP396" i="1"/>
  <c r="AQ396" i="1" s="1"/>
  <c r="AM396" i="1"/>
  <c r="AJ396" i="1"/>
  <c r="AH396" i="1"/>
  <c r="Z396" i="1"/>
  <c r="W396" i="1"/>
  <c r="U396" i="1"/>
  <c r="S396" i="1"/>
  <c r="Q396" i="1"/>
  <c r="O396" i="1"/>
  <c r="M396" i="1"/>
  <c r="K396" i="1"/>
  <c r="AP395" i="1"/>
  <c r="AQ395" i="1" s="1"/>
  <c r="AM395" i="1"/>
  <c r="AJ395" i="1"/>
  <c r="AH395" i="1"/>
  <c r="Z395" i="1"/>
  <c r="W395" i="1"/>
  <c r="U395" i="1"/>
  <c r="S395" i="1"/>
  <c r="Q395" i="1"/>
  <c r="O395" i="1"/>
  <c r="M395" i="1"/>
  <c r="K395" i="1"/>
  <c r="AP394" i="1"/>
  <c r="AQ394" i="1" s="1"/>
  <c r="AM394" i="1"/>
  <c r="AJ394" i="1"/>
  <c r="AH394" i="1"/>
  <c r="Z394" i="1"/>
  <c r="W394" i="1"/>
  <c r="U394" i="1"/>
  <c r="S394" i="1"/>
  <c r="Q394" i="1"/>
  <c r="O394" i="1"/>
  <c r="M394" i="1"/>
  <c r="K394" i="1"/>
  <c r="AP393" i="1"/>
  <c r="AQ393" i="1" s="1"/>
  <c r="AM393" i="1"/>
  <c r="AJ393" i="1"/>
  <c r="AH393" i="1"/>
  <c r="Z393" i="1"/>
  <c r="W393" i="1"/>
  <c r="U393" i="1"/>
  <c r="S393" i="1"/>
  <c r="Q393" i="1"/>
  <c r="O393" i="1"/>
  <c r="M393" i="1"/>
  <c r="K393" i="1"/>
  <c r="AP392" i="1"/>
  <c r="AQ392" i="1" s="1"/>
  <c r="AM392" i="1"/>
  <c r="AJ392" i="1"/>
  <c r="AH392" i="1"/>
  <c r="Z392" i="1"/>
  <c r="W392" i="1"/>
  <c r="U392" i="1"/>
  <c r="S392" i="1"/>
  <c r="Q392" i="1"/>
  <c r="O392" i="1"/>
  <c r="M392" i="1"/>
  <c r="K392" i="1"/>
  <c r="AP391" i="1"/>
  <c r="AQ391" i="1" s="1"/>
  <c r="AM391" i="1"/>
  <c r="AJ391" i="1"/>
  <c r="AH391" i="1"/>
  <c r="Z391" i="1"/>
  <c r="W391" i="1"/>
  <c r="U391" i="1"/>
  <c r="S391" i="1"/>
  <c r="Q391" i="1"/>
  <c r="O391" i="1"/>
  <c r="M391" i="1"/>
  <c r="K391" i="1"/>
  <c r="AP390" i="1"/>
  <c r="AQ390" i="1" s="1"/>
  <c r="AM390" i="1"/>
  <c r="AJ390" i="1"/>
  <c r="AH390" i="1"/>
  <c r="Z390" i="1"/>
  <c r="W390" i="1"/>
  <c r="U390" i="1"/>
  <c r="S390" i="1"/>
  <c r="Q390" i="1"/>
  <c r="O390" i="1"/>
  <c r="M390" i="1"/>
  <c r="K390" i="1"/>
  <c r="AP389" i="1"/>
  <c r="AQ389" i="1" s="1"/>
  <c r="AM389" i="1"/>
  <c r="AJ389" i="1"/>
  <c r="AH389" i="1"/>
  <c r="Z389" i="1"/>
  <c r="W389" i="1"/>
  <c r="U389" i="1"/>
  <c r="S389" i="1"/>
  <c r="Q389" i="1"/>
  <c r="O389" i="1"/>
  <c r="M389" i="1"/>
  <c r="K389" i="1"/>
  <c r="AP388" i="1"/>
  <c r="AQ388" i="1" s="1"/>
  <c r="AM388" i="1"/>
  <c r="AJ388" i="1"/>
  <c r="AH388" i="1"/>
  <c r="Z388" i="1"/>
  <c r="W388" i="1"/>
  <c r="U388" i="1"/>
  <c r="S388" i="1"/>
  <c r="Q388" i="1"/>
  <c r="O388" i="1"/>
  <c r="M388" i="1"/>
  <c r="K388" i="1"/>
  <c r="AP387" i="1"/>
  <c r="AQ387" i="1" s="1"/>
  <c r="AM387" i="1"/>
  <c r="AJ387" i="1"/>
  <c r="AH387" i="1"/>
  <c r="Z387" i="1"/>
  <c r="W387" i="1"/>
  <c r="U387" i="1"/>
  <c r="S387" i="1"/>
  <c r="Q387" i="1"/>
  <c r="O387" i="1"/>
  <c r="M387" i="1"/>
  <c r="K387" i="1"/>
  <c r="AP386" i="1"/>
  <c r="AQ386" i="1" s="1"/>
  <c r="AM386" i="1"/>
  <c r="AJ386" i="1"/>
  <c r="AH386" i="1"/>
  <c r="Z386" i="1"/>
  <c r="W386" i="1"/>
  <c r="U386" i="1"/>
  <c r="S386" i="1"/>
  <c r="Q386" i="1"/>
  <c r="O386" i="1"/>
  <c r="M386" i="1"/>
  <c r="K386" i="1"/>
  <c r="AP385" i="1"/>
  <c r="AQ385" i="1" s="1"/>
  <c r="AM385" i="1"/>
  <c r="AJ385" i="1"/>
  <c r="AH385" i="1"/>
  <c r="Z385" i="1"/>
  <c r="W385" i="1"/>
  <c r="U385" i="1"/>
  <c r="S385" i="1"/>
  <c r="Q385" i="1"/>
  <c r="O385" i="1"/>
  <c r="M385" i="1"/>
  <c r="K385" i="1"/>
  <c r="AP384" i="1"/>
  <c r="AQ384" i="1" s="1"/>
  <c r="AM384" i="1"/>
  <c r="AJ384" i="1"/>
  <c r="AH384" i="1"/>
  <c r="Z384" i="1"/>
  <c r="W384" i="1"/>
  <c r="U384" i="1"/>
  <c r="S384" i="1"/>
  <c r="Q384" i="1"/>
  <c r="O384" i="1"/>
  <c r="M384" i="1"/>
  <c r="K384" i="1"/>
  <c r="AP383" i="1"/>
  <c r="AQ383" i="1" s="1"/>
  <c r="AM383" i="1"/>
  <c r="AJ383" i="1"/>
  <c r="AH383" i="1"/>
  <c r="Z383" i="1"/>
  <c r="W383" i="1"/>
  <c r="U383" i="1"/>
  <c r="S383" i="1"/>
  <c r="Q383" i="1"/>
  <c r="O383" i="1"/>
  <c r="M383" i="1"/>
  <c r="K383" i="1"/>
  <c r="AP382" i="1"/>
  <c r="AQ382" i="1" s="1"/>
  <c r="AM382" i="1"/>
  <c r="AJ382" i="1"/>
  <c r="AH382" i="1"/>
  <c r="Z382" i="1"/>
  <c r="W382" i="1"/>
  <c r="U382" i="1"/>
  <c r="S382" i="1"/>
  <c r="Q382" i="1"/>
  <c r="O382" i="1"/>
  <c r="M382" i="1"/>
  <c r="K382" i="1"/>
  <c r="AP381" i="1"/>
  <c r="AQ381" i="1" s="1"/>
  <c r="AM381" i="1"/>
  <c r="AJ381" i="1"/>
  <c r="AH381" i="1"/>
  <c r="Z381" i="1"/>
  <c r="W381" i="1"/>
  <c r="U381" i="1"/>
  <c r="S381" i="1"/>
  <c r="Q381" i="1"/>
  <c r="O381" i="1"/>
  <c r="M381" i="1"/>
  <c r="K381" i="1"/>
  <c r="AP380" i="1"/>
  <c r="AQ380" i="1" s="1"/>
  <c r="AM380" i="1"/>
  <c r="AJ380" i="1"/>
  <c r="AH380" i="1"/>
  <c r="Z380" i="1"/>
  <c r="W380" i="1"/>
  <c r="U380" i="1"/>
  <c r="S380" i="1"/>
  <c r="Q380" i="1"/>
  <c r="O380" i="1"/>
  <c r="M380" i="1"/>
  <c r="K380" i="1"/>
  <c r="AP379" i="1"/>
  <c r="AQ379" i="1" s="1"/>
  <c r="AM379" i="1"/>
  <c r="AJ379" i="1"/>
  <c r="AH379" i="1"/>
  <c r="Z379" i="1"/>
  <c r="W379" i="1"/>
  <c r="U379" i="1"/>
  <c r="S379" i="1"/>
  <c r="Q379" i="1"/>
  <c r="O379" i="1"/>
  <c r="M379" i="1"/>
  <c r="K379" i="1"/>
  <c r="AP378" i="1"/>
  <c r="AQ378" i="1" s="1"/>
  <c r="AM378" i="1"/>
  <c r="AJ378" i="1"/>
  <c r="AH378" i="1"/>
  <c r="Z378" i="1"/>
  <c r="W378" i="1"/>
  <c r="U378" i="1"/>
  <c r="S378" i="1"/>
  <c r="Q378" i="1"/>
  <c r="O378" i="1"/>
  <c r="M378" i="1"/>
  <c r="K378" i="1"/>
  <c r="AP377" i="1"/>
  <c r="AQ377" i="1" s="1"/>
  <c r="AM377" i="1"/>
  <c r="AJ377" i="1"/>
  <c r="AH377" i="1"/>
  <c r="Z377" i="1"/>
  <c r="W377" i="1"/>
  <c r="U377" i="1"/>
  <c r="S377" i="1"/>
  <c r="Q377" i="1"/>
  <c r="O377" i="1"/>
  <c r="M377" i="1"/>
  <c r="K377" i="1"/>
  <c r="AP376" i="1"/>
  <c r="AQ376" i="1" s="1"/>
  <c r="AM376" i="1"/>
  <c r="AJ376" i="1"/>
  <c r="AH376" i="1"/>
  <c r="Z376" i="1"/>
  <c r="W376" i="1"/>
  <c r="U376" i="1"/>
  <c r="S376" i="1"/>
  <c r="Q376" i="1"/>
  <c r="O376" i="1"/>
  <c r="M376" i="1"/>
  <c r="K376" i="1"/>
  <c r="AP375" i="1"/>
  <c r="AQ375" i="1" s="1"/>
  <c r="AM375" i="1"/>
  <c r="AJ375" i="1"/>
  <c r="AH375" i="1"/>
  <c r="Z375" i="1"/>
  <c r="W375" i="1"/>
  <c r="U375" i="1"/>
  <c r="S375" i="1"/>
  <c r="Q375" i="1"/>
  <c r="O375" i="1"/>
  <c r="M375" i="1"/>
  <c r="K375" i="1"/>
  <c r="AP374" i="1"/>
  <c r="AQ374" i="1" s="1"/>
  <c r="AM374" i="1"/>
  <c r="AJ374" i="1"/>
  <c r="AH374" i="1"/>
  <c r="Z374" i="1"/>
  <c r="W374" i="1"/>
  <c r="U374" i="1"/>
  <c r="S374" i="1"/>
  <c r="Q374" i="1"/>
  <c r="O374" i="1"/>
  <c r="M374" i="1"/>
  <c r="K374" i="1"/>
  <c r="AP373" i="1"/>
  <c r="AQ373" i="1" s="1"/>
  <c r="AM373" i="1"/>
  <c r="AJ373" i="1"/>
  <c r="AH373" i="1"/>
  <c r="Z373" i="1"/>
  <c r="W373" i="1"/>
  <c r="U373" i="1"/>
  <c r="S373" i="1"/>
  <c r="Q373" i="1"/>
  <c r="O373" i="1"/>
  <c r="M373" i="1"/>
  <c r="K373" i="1"/>
  <c r="AP372" i="1"/>
  <c r="AQ372" i="1" s="1"/>
  <c r="AM372" i="1"/>
  <c r="AJ372" i="1"/>
  <c r="AH372" i="1"/>
  <c r="Z372" i="1"/>
  <c r="W372" i="1"/>
  <c r="U372" i="1"/>
  <c r="S372" i="1"/>
  <c r="Q372" i="1"/>
  <c r="O372" i="1"/>
  <c r="M372" i="1"/>
  <c r="K372" i="1"/>
  <c r="AP371" i="1"/>
  <c r="AQ371" i="1" s="1"/>
  <c r="AM371" i="1"/>
  <c r="AJ371" i="1"/>
  <c r="AH371" i="1"/>
  <c r="Z371" i="1"/>
  <c r="W371" i="1"/>
  <c r="U371" i="1"/>
  <c r="S371" i="1"/>
  <c r="Q371" i="1"/>
  <c r="O371" i="1"/>
  <c r="M371" i="1"/>
  <c r="K371" i="1"/>
  <c r="AP370" i="1"/>
  <c r="AQ370" i="1" s="1"/>
  <c r="AM370" i="1"/>
  <c r="AJ370" i="1"/>
  <c r="AH370" i="1"/>
  <c r="Z370" i="1"/>
  <c r="W370" i="1"/>
  <c r="U370" i="1"/>
  <c r="S370" i="1"/>
  <c r="Q370" i="1"/>
  <c r="O370" i="1"/>
  <c r="M370" i="1"/>
  <c r="K370" i="1"/>
  <c r="AP369" i="1"/>
  <c r="AQ369" i="1" s="1"/>
  <c r="AM369" i="1"/>
  <c r="AJ369" i="1"/>
  <c r="AH369" i="1"/>
  <c r="Z369" i="1"/>
  <c r="W369" i="1"/>
  <c r="U369" i="1"/>
  <c r="S369" i="1"/>
  <c r="Q369" i="1"/>
  <c r="O369" i="1"/>
  <c r="M369" i="1"/>
  <c r="K369" i="1"/>
  <c r="AP368" i="1"/>
  <c r="AQ368" i="1" s="1"/>
  <c r="AM368" i="1"/>
  <c r="AJ368" i="1"/>
  <c r="AH368" i="1"/>
  <c r="Z368" i="1"/>
  <c r="W368" i="1"/>
  <c r="U368" i="1"/>
  <c r="S368" i="1"/>
  <c r="Q368" i="1"/>
  <c r="O368" i="1"/>
  <c r="M368" i="1"/>
  <c r="K368" i="1"/>
  <c r="AP367" i="1"/>
  <c r="AQ367" i="1" s="1"/>
  <c r="AM367" i="1"/>
  <c r="AJ367" i="1"/>
  <c r="AH367" i="1"/>
  <c r="Z367" i="1"/>
  <c r="W367" i="1"/>
  <c r="U367" i="1"/>
  <c r="S367" i="1"/>
  <c r="Q367" i="1"/>
  <c r="O367" i="1"/>
  <c r="M367" i="1"/>
  <c r="K367" i="1"/>
  <c r="AP366" i="1"/>
  <c r="AQ366" i="1" s="1"/>
  <c r="AM366" i="1"/>
  <c r="AJ366" i="1"/>
  <c r="AH366" i="1"/>
  <c r="Z366" i="1"/>
  <c r="W366" i="1"/>
  <c r="U366" i="1"/>
  <c r="S366" i="1"/>
  <c r="Q366" i="1"/>
  <c r="O366" i="1"/>
  <c r="M366" i="1"/>
  <c r="K366" i="1"/>
  <c r="AP365" i="1"/>
  <c r="AQ365" i="1" s="1"/>
  <c r="AM365" i="1"/>
  <c r="AJ365" i="1"/>
  <c r="AH365" i="1"/>
  <c r="Z365" i="1"/>
  <c r="W365" i="1"/>
  <c r="U365" i="1"/>
  <c r="S365" i="1"/>
  <c r="Q365" i="1"/>
  <c r="O365" i="1"/>
  <c r="M365" i="1"/>
  <c r="K365" i="1"/>
  <c r="AP364" i="1"/>
  <c r="AQ364" i="1" s="1"/>
  <c r="AM364" i="1"/>
  <c r="AJ364" i="1"/>
  <c r="AH364" i="1"/>
  <c r="Z364" i="1"/>
  <c r="W364" i="1"/>
  <c r="U364" i="1"/>
  <c r="S364" i="1"/>
  <c r="Q364" i="1"/>
  <c r="O364" i="1"/>
  <c r="M364" i="1"/>
  <c r="K364" i="1"/>
  <c r="AP363" i="1"/>
  <c r="AQ363" i="1" s="1"/>
  <c r="AM363" i="1"/>
  <c r="AJ363" i="1"/>
  <c r="AH363" i="1"/>
  <c r="Z363" i="1"/>
  <c r="W363" i="1"/>
  <c r="U363" i="1"/>
  <c r="S363" i="1"/>
  <c r="Q363" i="1"/>
  <c r="O363" i="1"/>
  <c r="M363" i="1"/>
  <c r="K363" i="1"/>
  <c r="AP362" i="1"/>
  <c r="AQ362" i="1" s="1"/>
  <c r="AM362" i="1"/>
  <c r="AJ362" i="1"/>
  <c r="AH362" i="1"/>
  <c r="Z362" i="1"/>
  <c r="W362" i="1"/>
  <c r="U362" i="1"/>
  <c r="S362" i="1"/>
  <c r="Q362" i="1"/>
  <c r="O362" i="1"/>
  <c r="M362" i="1"/>
  <c r="K362" i="1"/>
  <c r="AP361" i="1"/>
  <c r="AQ361" i="1" s="1"/>
  <c r="AM361" i="1"/>
  <c r="AJ361" i="1"/>
  <c r="AH361" i="1"/>
  <c r="Z361" i="1"/>
  <c r="W361" i="1"/>
  <c r="U361" i="1"/>
  <c r="S361" i="1"/>
  <c r="Q361" i="1"/>
  <c r="O361" i="1"/>
  <c r="M361" i="1"/>
  <c r="K361" i="1"/>
  <c r="AP360" i="1"/>
  <c r="AQ360" i="1" s="1"/>
  <c r="AM360" i="1"/>
  <c r="AJ360" i="1"/>
  <c r="AH360" i="1"/>
  <c r="Z360" i="1"/>
  <c r="W360" i="1"/>
  <c r="U360" i="1"/>
  <c r="S360" i="1"/>
  <c r="Q360" i="1"/>
  <c r="O360" i="1"/>
  <c r="M360" i="1"/>
  <c r="K360" i="1"/>
  <c r="AP359" i="1"/>
  <c r="AQ359" i="1" s="1"/>
  <c r="AM359" i="1"/>
  <c r="AJ359" i="1"/>
  <c r="AH359" i="1"/>
  <c r="Z359" i="1"/>
  <c r="W359" i="1"/>
  <c r="U359" i="1"/>
  <c r="S359" i="1"/>
  <c r="Q359" i="1"/>
  <c r="O359" i="1"/>
  <c r="M359" i="1"/>
  <c r="K359" i="1"/>
  <c r="AP358" i="1"/>
  <c r="AQ358" i="1" s="1"/>
  <c r="AM358" i="1"/>
  <c r="AJ358" i="1"/>
  <c r="AH358" i="1"/>
  <c r="Z358" i="1"/>
  <c r="W358" i="1"/>
  <c r="U358" i="1"/>
  <c r="S358" i="1"/>
  <c r="Q358" i="1"/>
  <c r="O358" i="1"/>
  <c r="M358" i="1"/>
  <c r="K358" i="1"/>
  <c r="AP357" i="1"/>
  <c r="AQ357" i="1" s="1"/>
  <c r="AM357" i="1"/>
  <c r="AJ357" i="1"/>
  <c r="AH357" i="1"/>
  <c r="Z357" i="1"/>
  <c r="W357" i="1"/>
  <c r="U357" i="1"/>
  <c r="S357" i="1"/>
  <c r="Q357" i="1"/>
  <c r="O357" i="1"/>
  <c r="M357" i="1"/>
  <c r="K357" i="1"/>
  <c r="AP356" i="1"/>
  <c r="AQ356" i="1" s="1"/>
  <c r="AM356" i="1"/>
  <c r="AJ356" i="1"/>
  <c r="AH356" i="1"/>
  <c r="Z356" i="1"/>
  <c r="W356" i="1"/>
  <c r="U356" i="1"/>
  <c r="S356" i="1"/>
  <c r="Q356" i="1"/>
  <c r="O356" i="1"/>
  <c r="M356" i="1"/>
  <c r="K356" i="1"/>
  <c r="AP355" i="1"/>
  <c r="AQ355" i="1" s="1"/>
  <c r="AM355" i="1"/>
  <c r="AJ355" i="1"/>
  <c r="AH355" i="1"/>
  <c r="Z355" i="1"/>
  <c r="W355" i="1"/>
  <c r="U355" i="1"/>
  <c r="S355" i="1"/>
  <c r="Q355" i="1"/>
  <c r="O355" i="1"/>
  <c r="M355" i="1"/>
  <c r="K355" i="1"/>
  <c r="AP354" i="1"/>
  <c r="AQ354" i="1" s="1"/>
  <c r="AM354" i="1"/>
  <c r="AJ354" i="1"/>
  <c r="AH354" i="1"/>
  <c r="Z354" i="1"/>
  <c r="W354" i="1"/>
  <c r="U354" i="1"/>
  <c r="S354" i="1"/>
  <c r="Q354" i="1"/>
  <c r="O354" i="1"/>
  <c r="M354" i="1"/>
  <c r="K354" i="1"/>
  <c r="AP353" i="1"/>
  <c r="AQ353" i="1" s="1"/>
  <c r="AM353" i="1"/>
  <c r="AJ353" i="1"/>
  <c r="AH353" i="1"/>
  <c r="Z353" i="1"/>
  <c r="W353" i="1"/>
  <c r="U353" i="1"/>
  <c r="S353" i="1"/>
  <c r="Q353" i="1"/>
  <c r="O353" i="1"/>
  <c r="M353" i="1"/>
  <c r="K353" i="1"/>
  <c r="AP352" i="1"/>
  <c r="AQ352" i="1" s="1"/>
  <c r="AM352" i="1"/>
  <c r="AJ352" i="1"/>
  <c r="AH352" i="1"/>
  <c r="Z352" i="1"/>
  <c r="W352" i="1"/>
  <c r="U352" i="1"/>
  <c r="S352" i="1"/>
  <c r="Q352" i="1"/>
  <c r="O352" i="1"/>
  <c r="M352" i="1"/>
  <c r="K352" i="1"/>
  <c r="AP351" i="1"/>
  <c r="AQ351" i="1" s="1"/>
  <c r="AM351" i="1"/>
  <c r="AJ351" i="1"/>
  <c r="AH351" i="1"/>
  <c r="Z351" i="1"/>
  <c r="W351" i="1"/>
  <c r="U351" i="1"/>
  <c r="S351" i="1"/>
  <c r="Q351" i="1"/>
  <c r="O351" i="1"/>
  <c r="M351" i="1"/>
  <c r="K351" i="1"/>
  <c r="AP350" i="1"/>
  <c r="AQ350" i="1" s="1"/>
  <c r="AM350" i="1"/>
  <c r="AJ350" i="1"/>
  <c r="AH350" i="1"/>
  <c r="Z350" i="1"/>
  <c r="W350" i="1"/>
  <c r="U350" i="1"/>
  <c r="S350" i="1"/>
  <c r="Q350" i="1"/>
  <c r="O350" i="1"/>
  <c r="M350" i="1"/>
  <c r="K350" i="1"/>
  <c r="AP349" i="1"/>
  <c r="AQ349" i="1" s="1"/>
  <c r="AM349" i="1"/>
  <c r="AJ349" i="1"/>
  <c r="AH349" i="1"/>
  <c r="Z349" i="1"/>
  <c r="W349" i="1"/>
  <c r="U349" i="1"/>
  <c r="S349" i="1"/>
  <c r="Q349" i="1"/>
  <c r="O349" i="1"/>
  <c r="M349" i="1"/>
  <c r="K349" i="1"/>
  <c r="AP348" i="1"/>
  <c r="AQ348" i="1" s="1"/>
  <c r="AM348" i="1"/>
  <c r="AJ348" i="1"/>
  <c r="AH348" i="1"/>
  <c r="Z348" i="1"/>
  <c r="W348" i="1"/>
  <c r="U348" i="1"/>
  <c r="S348" i="1"/>
  <c r="Q348" i="1"/>
  <c r="O348" i="1"/>
  <c r="M348" i="1"/>
  <c r="K348" i="1"/>
  <c r="AP347" i="1"/>
  <c r="AQ347" i="1" s="1"/>
  <c r="AM347" i="1"/>
  <c r="AJ347" i="1"/>
  <c r="AH347" i="1"/>
  <c r="Z347" i="1"/>
  <c r="W347" i="1"/>
  <c r="U347" i="1"/>
  <c r="S347" i="1"/>
  <c r="Q347" i="1"/>
  <c r="O347" i="1"/>
  <c r="M347" i="1"/>
  <c r="K347" i="1"/>
  <c r="AP346" i="1"/>
  <c r="AQ346" i="1" s="1"/>
  <c r="AM346" i="1"/>
  <c r="AJ346" i="1"/>
  <c r="AH346" i="1"/>
  <c r="Z346" i="1"/>
  <c r="W346" i="1"/>
  <c r="U346" i="1"/>
  <c r="S346" i="1"/>
  <c r="Q346" i="1"/>
  <c r="O346" i="1"/>
  <c r="M346" i="1"/>
  <c r="K346" i="1"/>
  <c r="AP345" i="1"/>
  <c r="AQ345" i="1" s="1"/>
  <c r="AM345" i="1"/>
  <c r="AJ345" i="1"/>
  <c r="AH345" i="1"/>
  <c r="Z345" i="1"/>
  <c r="W345" i="1"/>
  <c r="U345" i="1"/>
  <c r="S345" i="1"/>
  <c r="Q345" i="1"/>
  <c r="O345" i="1"/>
  <c r="M345" i="1"/>
  <c r="K345" i="1"/>
  <c r="AP344" i="1"/>
  <c r="AQ344" i="1" s="1"/>
  <c r="AM344" i="1"/>
  <c r="AJ344" i="1"/>
  <c r="AH344" i="1"/>
  <c r="Z344" i="1"/>
  <c r="W344" i="1"/>
  <c r="U344" i="1"/>
  <c r="S344" i="1"/>
  <c r="Q344" i="1"/>
  <c r="O344" i="1"/>
  <c r="M344" i="1"/>
  <c r="K344" i="1"/>
  <c r="AP343" i="1"/>
  <c r="AQ343" i="1" s="1"/>
  <c r="AM343" i="1"/>
  <c r="AJ343" i="1"/>
  <c r="AH343" i="1"/>
  <c r="Z343" i="1"/>
  <c r="W343" i="1"/>
  <c r="U343" i="1"/>
  <c r="S343" i="1"/>
  <c r="Q343" i="1"/>
  <c r="O343" i="1"/>
  <c r="M343" i="1"/>
  <c r="K343" i="1"/>
  <c r="AP342" i="1"/>
  <c r="AQ342" i="1" s="1"/>
  <c r="AM342" i="1"/>
  <c r="AJ342" i="1"/>
  <c r="AH342" i="1"/>
  <c r="Z342" i="1"/>
  <c r="W342" i="1"/>
  <c r="U342" i="1"/>
  <c r="S342" i="1"/>
  <c r="Q342" i="1"/>
  <c r="O342" i="1"/>
  <c r="M342" i="1"/>
  <c r="K342" i="1"/>
  <c r="AP341" i="1"/>
  <c r="AQ341" i="1" s="1"/>
  <c r="AM341" i="1"/>
  <c r="AJ341" i="1"/>
  <c r="AH341" i="1"/>
  <c r="Z341" i="1"/>
  <c r="W341" i="1"/>
  <c r="U341" i="1"/>
  <c r="S341" i="1"/>
  <c r="Q341" i="1"/>
  <c r="O341" i="1"/>
  <c r="M341" i="1"/>
  <c r="K341" i="1"/>
  <c r="AP340" i="1"/>
  <c r="AQ340" i="1" s="1"/>
  <c r="AM340" i="1"/>
  <c r="AJ340" i="1"/>
  <c r="AH340" i="1"/>
  <c r="Z340" i="1"/>
  <c r="W340" i="1"/>
  <c r="U340" i="1"/>
  <c r="S340" i="1"/>
  <c r="Q340" i="1"/>
  <c r="O340" i="1"/>
  <c r="M340" i="1"/>
  <c r="K340" i="1"/>
  <c r="AP339" i="1"/>
  <c r="AQ339" i="1" s="1"/>
  <c r="AM339" i="1"/>
  <c r="AJ339" i="1"/>
  <c r="AH339" i="1"/>
  <c r="Z339" i="1"/>
  <c r="W339" i="1"/>
  <c r="U339" i="1"/>
  <c r="S339" i="1"/>
  <c r="Q339" i="1"/>
  <c r="O339" i="1"/>
  <c r="M339" i="1"/>
  <c r="K339" i="1"/>
  <c r="AP338" i="1"/>
  <c r="AQ338" i="1" s="1"/>
  <c r="AM338" i="1"/>
  <c r="AJ338" i="1"/>
  <c r="AH338" i="1"/>
  <c r="Z338" i="1"/>
  <c r="W338" i="1"/>
  <c r="U338" i="1"/>
  <c r="S338" i="1"/>
  <c r="Q338" i="1"/>
  <c r="O338" i="1"/>
  <c r="M338" i="1"/>
  <c r="K338" i="1"/>
  <c r="AP337" i="1"/>
  <c r="AQ337" i="1" s="1"/>
  <c r="AM337" i="1"/>
  <c r="AJ337" i="1"/>
  <c r="AH337" i="1"/>
  <c r="Z337" i="1"/>
  <c r="W337" i="1"/>
  <c r="U337" i="1"/>
  <c r="S337" i="1"/>
  <c r="Q337" i="1"/>
  <c r="O337" i="1"/>
  <c r="M337" i="1"/>
  <c r="K337" i="1"/>
  <c r="AP336" i="1"/>
  <c r="AQ336" i="1" s="1"/>
  <c r="AM336" i="1"/>
  <c r="AJ336" i="1"/>
  <c r="AH336" i="1"/>
  <c r="Z336" i="1"/>
  <c r="W336" i="1"/>
  <c r="U336" i="1"/>
  <c r="S336" i="1"/>
  <c r="Q336" i="1"/>
  <c r="O336" i="1"/>
  <c r="M336" i="1"/>
  <c r="K336" i="1"/>
  <c r="AP335" i="1"/>
  <c r="AQ335" i="1" s="1"/>
  <c r="AM335" i="1"/>
  <c r="AJ335" i="1"/>
  <c r="AH335" i="1"/>
  <c r="Z335" i="1"/>
  <c r="W335" i="1"/>
  <c r="U335" i="1"/>
  <c r="S335" i="1"/>
  <c r="Q335" i="1"/>
  <c r="O335" i="1"/>
  <c r="M335" i="1"/>
  <c r="K335" i="1"/>
  <c r="AP334" i="1"/>
  <c r="AQ334" i="1" s="1"/>
  <c r="AM334" i="1"/>
  <c r="AJ334" i="1"/>
  <c r="AH334" i="1"/>
  <c r="Z334" i="1"/>
  <c r="W334" i="1"/>
  <c r="U334" i="1"/>
  <c r="S334" i="1"/>
  <c r="Q334" i="1"/>
  <c r="O334" i="1"/>
  <c r="M334" i="1"/>
  <c r="K334" i="1"/>
  <c r="AP333" i="1"/>
  <c r="AQ333" i="1" s="1"/>
  <c r="AM333" i="1"/>
  <c r="AJ333" i="1"/>
  <c r="AH333" i="1"/>
  <c r="Z333" i="1"/>
  <c r="W333" i="1"/>
  <c r="U333" i="1"/>
  <c r="S333" i="1"/>
  <c r="Q333" i="1"/>
  <c r="O333" i="1"/>
  <c r="M333" i="1"/>
  <c r="K333" i="1"/>
  <c r="AP332" i="1"/>
  <c r="AQ332" i="1" s="1"/>
  <c r="AM332" i="1"/>
  <c r="AJ332" i="1"/>
  <c r="AH332" i="1"/>
  <c r="Z332" i="1"/>
  <c r="W332" i="1"/>
  <c r="U332" i="1"/>
  <c r="S332" i="1"/>
  <c r="Q332" i="1"/>
  <c r="O332" i="1"/>
  <c r="M332" i="1"/>
  <c r="K332" i="1"/>
  <c r="AP331" i="1"/>
  <c r="AQ331" i="1" s="1"/>
  <c r="AM331" i="1"/>
  <c r="AJ331" i="1"/>
  <c r="AH331" i="1"/>
  <c r="Z331" i="1"/>
  <c r="W331" i="1"/>
  <c r="U331" i="1"/>
  <c r="S331" i="1"/>
  <c r="Q331" i="1"/>
  <c r="O331" i="1"/>
  <c r="M331" i="1"/>
  <c r="K331" i="1"/>
  <c r="AP330" i="1"/>
  <c r="AQ330" i="1" s="1"/>
  <c r="AM330" i="1"/>
  <c r="AJ330" i="1"/>
  <c r="AH330" i="1"/>
  <c r="Z330" i="1"/>
  <c r="W330" i="1"/>
  <c r="U330" i="1"/>
  <c r="S330" i="1"/>
  <c r="Q330" i="1"/>
  <c r="O330" i="1"/>
  <c r="M330" i="1"/>
  <c r="K330" i="1"/>
  <c r="AP329" i="1"/>
  <c r="AQ329" i="1" s="1"/>
  <c r="AM329" i="1"/>
  <c r="AJ329" i="1"/>
  <c r="AH329" i="1"/>
  <c r="Z329" i="1"/>
  <c r="W329" i="1"/>
  <c r="U329" i="1"/>
  <c r="S329" i="1"/>
  <c r="Q329" i="1"/>
  <c r="O329" i="1"/>
  <c r="M329" i="1"/>
  <c r="K329" i="1"/>
  <c r="AP328" i="1"/>
  <c r="AQ328" i="1" s="1"/>
  <c r="AM328" i="1"/>
  <c r="AJ328" i="1"/>
  <c r="AH328" i="1"/>
  <c r="Z328" i="1"/>
  <c r="W328" i="1"/>
  <c r="U328" i="1"/>
  <c r="S328" i="1"/>
  <c r="Q328" i="1"/>
  <c r="O328" i="1"/>
  <c r="M328" i="1"/>
  <c r="K328" i="1"/>
  <c r="AP327" i="1"/>
  <c r="AQ327" i="1" s="1"/>
  <c r="AM327" i="1"/>
  <c r="AJ327" i="1"/>
  <c r="AH327" i="1"/>
  <c r="Z327" i="1"/>
  <c r="W327" i="1"/>
  <c r="U327" i="1"/>
  <c r="S327" i="1"/>
  <c r="Q327" i="1"/>
  <c r="O327" i="1"/>
  <c r="M327" i="1"/>
  <c r="K327" i="1"/>
  <c r="AP326" i="1"/>
  <c r="AQ326" i="1" s="1"/>
  <c r="AM326" i="1"/>
  <c r="AJ326" i="1"/>
  <c r="AH326" i="1"/>
  <c r="Z326" i="1"/>
  <c r="W326" i="1"/>
  <c r="U326" i="1"/>
  <c r="S326" i="1"/>
  <c r="Q326" i="1"/>
  <c r="O326" i="1"/>
  <c r="M326" i="1"/>
  <c r="K326" i="1"/>
  <c r="AP325" i="1"/>
  <c r="AQ325" i="1" s="1"/>
  <c r="AM325" i="1"/>
  <c r="AJ325" i="1"/>
  <c r="AH325" i="1"/>
  <c r="Z325" i="1"/>
  <c r="W325" i="1"/>
  <c r="U325" i="1"/>
  <c r="S325" i="1"/>
  <c r="Q325" i="1"/>
  <c r="O325" i="1"/>
  <c r="M325" i="1"/>
  <c r="K325" i="1"/>
  <c r="AP324" i="1"/>
  <c r="AQ324" i="1" s="1"/>
  <c r="AM324" i="1"/>
  <c r="AJ324" i="1"/>
  <c r="AH324" i="1"/>
  <c r="Z324" i="1"/>
  <c r="W324" i="1"/>
  <c r="U324" i="1"/>
  <c r="S324" i="1"/>
  <c r="Q324" i="1"/>
  <c r="O324" i="1"/>
  <c r="M324" i="1"/>
  <c r="K324" i="1"/>
  <c r="AP323" i="1"/>
  <c r="AQ323" i="1" s="1"/>
  <c r="AM323" i="1"/>
  <c r="AJ323" i="1"/>
  <c r="AH323" i="1"/>
  <c r="Z323" i="1"/>
  <c r="W323" i="1"/>
  <c r="U323" i="1"/>
  <c r="S323" i="1"/>
  <c r="Q323" i="1"/>
  <c r="O323" i="1"/>
  <c r="M323" i="1"/>
  <c r="K323" i="1"/>
  <c r="AP322" i="1"/>
  <c r="AQ322" i="1" s="1"/>
  <c r="AM322" i="1"/>
  <c r="AJ322" i="1"/>
  <c r="AH322" i="1"/>
  <c r="Z322" i="1"/>
  <c r="W322" i="1"/>
  <c r="U322" i="1"/>
  <c r="S322" i="1"/>
  <c r="Q322" i="1"/>
  <c r="O322" i="1"/>
  <c r="M322" i="1"/>
  <c r="K322" i="1"/>
  <c r="AP321" i="1"/>
  <c r="AQ321" i="1" s="1"/>
  <c r="AM321" i="1"/>
  <c r="AJ321" i="1"/>
  <c r="AH321" i="1"/>
  <c r="Z321" i="1"/>
  <c r="W321" i="1"/>
  <c r="U321" i="1"/>
  <c r="S321" i="1"/>
  <c r="Q321" i="1"/>
  <c r="O321" i="1"/>
  <c r="M321" i="1"/>
  <c r="K321" i="1"/>
  <c r="AP320" i="1"/>
  <c r="AQ320" i="1" s="1"/>
  <c r="AM320" i="1"/>
  <c r="AJ320" i="1"/>
  <c r="AH320" i="1"/>
  <c r="Z320" i="1"/>
  <c r="W320" i="1"/>
  <c r="U320" i="1"/>
  <c r="S320" i="1"/>
  <c r="Q320" i="1"/>
  <c r="O320" i="1"/>
  <c r="M320" i="1"/>
  <c r="K320" i="1"/>
  <c r="AP319" i="1"/>
  <c r="AQ319" i="1" s="1"/>
  <c r="AM319" i="1"/>
  <c r="AJ319" i="1"/>
  <c r="AH319" i="1"/>
  <c r="Z319" i="1"/>
  <c r="W319" i="1"/>
  <c r="U319" i="1"/>
  <c r="S319" i="1"/>
  <c r="Q319" i="1"/>
  <c r="O319" i="1"/>
  <c r="M319" i="1"/>
  <c r="K319" i="1"/>
  <c r="AP318" i="1"/>
  <c r="AQ318" i="1" s="1"/>
  <c r="AM318" i="1"/>
  <c r="AJ318" i="1"/>
  <c r="AH318" i="1"/>
  <c r="Z318" i="1"/>
  <c r="W318" i="1"/>
  <c r="U318" i="1"/>
  <c r="S318" i="1"/>
  <c r="Q318" i="1"/>
  <c r="O318" i="1"/>
  <c r="M318" i="1"/>
  <c r="K318" i="1"/>
  <c r="AP317" i="1"/>
  <c r="AQ317" i="1" s="1"/>
  <c r="AM317" i="1"/>
  <c r="AJ317" i="1"/>
  <c r="AH317" i="1"/>
  <c r="Z317" i="1"/>
  <c r="W317" i="1"/>
  <c r="U317" i="1"/>
  <c r="S317" i="1"/>
  <c r="Q317" i="1"/>
  <c r="O317" i="1"/>
  <c r="M317" i="1"/>
  <c r="K317" i="1"/>
  <c r="AP316" i="1"/>
  <c r="AQ316" i="1" s="1"/>
  <c r="AM316" i="1"/>
  <c r="AJ316" i="1"/>
  <c r="AH316" i="1"/>
  <c r="Z316" i="1"/>
  <c r="W316" i="1"/>
  <c r="U316" i="1"/>
  <c r="S316" i="1"/>
  <c r="Q316" i="1"/>
  <c r="O316" i="1"/>
  <c r="M316" i="1"/>
  <c r="K316" i="1"/>
  <c r="AP315" i="1"/>
  <c r="AQ315" i="1" s="1"/>
  <c r="AM315" i="1"/>
  <c r="AJ315" i="1"/>
  <c r="AH315" i="1"/>
  <c r="Z315" i="1"/>
  <c r="W315" i="1"/>
  <c r="U315" i="1"/>
  <c r="S315" i="1"/>
  <c r="Q315" i="1"/>
  <c r="O315" i="1"/>
  <c r="M315" i="1"/>
  <c r="K315" i="1"/>
  <c r="AP314" i="1"/>
  <c r="AQ314" i="1" s="1"/>
  <c r="AM314" i="1"/>
  <c r="AJ314" i="1"/>
  <c r="AH314" i="1"/>
  <c r="Z314" i="1"/>
  <c r="W314" i="1"/>
  <c r="U314" i="1"/>
  <c r="S314" i="1"/>
  <c r="Q314" i="1"/>
  <c r="O314" i="1"/>
  <c r="M314" i="1"/>
  <c r="K314" i="1"/>
  <c r="AP313" i="1"/>
  <c r="AQ313" i="1" s="1"/>
  <c r="AM313" i="1"/>
  <c r="AJ313" i="1"/>
  <c r="AH313" i="1"/>
  <c r="Z313" i="1"/>
  <c r="W313" i="1"/>
  <c r="U313" i="1"/>
  <c r="S313" i="1"/>
  <c r="Q313" i="1"/>
  <c r="O313" i="1"/>
  <c r="M313" i="1"/>
  <c r="K313" i="1"/>
  <c r="AP312" i="1"/>
  <c r="AQ312" i="1" s="1"/>
  <c r="AM312" i="1"/>
  <c r="AJ312" i="1"/>
  <c r="AH312" i="1"/>
  <c r="Z312" i="1"/>
  <c r="W312" i="1"/>
  <c r="U312" i="1"/>
  <c r="S312" i="1"/>
  <c r="Q312" i="1"/>
  <c r="O312" i="1"/>
  <c r="M312" i="1"/>
  <c r="K312" i="1"/>
  <c r="AP311" i="1"/>
  <c r="AQ311" i="1" s="1"/>
  <c r="AM311" i="1"/>
  <c r="AJ311" i="1"/>
  <c r="AH311" i="1"/>
  <c r="Z311" i="1"/>
  <c r="W311" i="1"/>
  <c r="U311" i="1"/>
  <c r="S311" i="1"/>
  <c r="Q311" i="1"/>
  <c r="O311" i="1"/>
  <c r="M311" i="1"/>
  <c r="K311" i="1"/>
  <c r="AP310" i="1"/>
  <c r="AQ310" i="1" s="1"/>
  <c r="AM310" i="1"/>
  <c r="AJ310" i="1"/>
  <c r="AH310" i="1"/>
  <c r="Z310" i="1"/>
  <c r="W310" i="1"/>
  <c r="U310" i="1"/>
  <c r="S310" i="1"/>
  <c r="Q310" i="1"/>
  <c r="O310" i="1"/>
  <c r="M310" i="1"/>
  <c r="K310" i="1"/>
  <c r="AP309" i="1"/>
  <c r="AQ309" i="1" s="1"/>
  <c r="AM309" i="1"/>
  <c r="AJ309" i="1"/>
  <c r="AH309" i="1"/>
  <c r="Z309" i="1"/>
  <c r="W309" i="1"/>
  <c r="U309" i="1"/>
  <c r="S309" i="1"/>
  <c r="Q309" i="1"/>
  <c r="O309" i="1"/>
  <c r="M309" i="1"/>
  <c r="K309" i="1"/>
  <c r="AP308" i="1"/>
  <c r="AQ308" i="1" s="1"/>
  <c r="AM308" i="1"/>
  <c r="AJ308" i="1"/>
  <c r="AH308" i="1"/>
  <c r="Z308" i="1"/>
  <c r="W308" i="1"/>
  <c r="U308" i="1"/>
  <c r="S308" i="1"/>
  <c r="Q308" i="1"/>
  <c r="O308" i="1"/>
  <c r="M308" i="1"/>
  <c r="K308" i="1"/>
  <c r="AP307" i="1"/>
  <c r="AQ307" i="1" s="1"/>
  <c r="AM307" i="1"/>
  <c r="AJ307" i="1"/>
  <c r="AH307" i="1"/>
  <c r="Z307" i="1"/>
  <c r="W307" i="1"/>
  <c r="U307" i="1"/>
  <c r="S307" i="1"/>
  <c r="Q307" i="1"/>
  <c r="O307" i="1"/>
  <c r="M307" i="1"/>
  <c r="K307" i="1"/>
  <c r="AP306" i="1"/>
  <c r="AQ306" i="1" s="1"/>
  <c r="AM306" i="1"/>
  <c r="AJ306" i="1"/>
  <c r="AH306" i="1"/>
  <c r="Z306" i="1"/>
  <c r="W306" i="1"/>
  <c r="U306" i="1"/>
  <c r="S306" i="1"/>
  <c r="Q306" i="1"/>
  <c r="O306" i="1"/>
  <c r="M306" i="1"/>
  <c r="K306" i="1"/>
  <c r="AP305" i="1"/>
  <c r="AQ305" i="1" s="1"/>
  <c r="AM305" i="1"/>
  <c r="AJ305" i="1"/>
  <c r="AH305" i="1"/>
  <c r="Z305" i="1"/>
  <c r="W305" i="1"/>
  <c r="U305" i="1"/>
  <c r="S305" i="1"/>
  <c r="Q305" i="1"/>
  <c r="O305" i="1"/>
  <c r="M305" i="1"/>
  <c r="K305" i="1"/>
  <c r="AP304" i="1"/>
  <c r="AQ304" i="1" s="1"/>
  <c r="AM304" i="1"/>
  <c r="AJ304" i="1"/>
  <c r="AH304" i="1"/>
  <c r="Z304" i="1"/>
  <c r="W304" i="1"/>
  <c r="U304" i="1"/>
  <c r="S304" i="1"/>
  <c r="Q304" i="1"/>
  <c r="O304" i="1"/>
  <c r="M304" i="1"/>
  <c r="K304" i="1"/>
  <c r="AP303" i="1"/>
  <c r="AQ303" i="1" s="1"/>
  <c r="AM303" i="1"/>
  <c r="AJ303" i="1"/>
  <c r="AH303" i="1"/>
  <c r="Z303" i="1"/>
  <c r="W303" i="1"/>
  <c r="U303" i="1"/>
  <c r="S303" i="1"/>
  <c r="Q303" i="1"/>
  <c r="O303" i="1"/>
  <c r="M303" i="1"/>
  <c r="K303" i="1"/>
  <c r="AP302" i="1"/>
  <c r="AQ302" i="1" s="1"/>
  <c r="AM302" i="1"/>
  <c r="AJ302" i="1"/>
  <c r="AH302" i="1"/>
  <c r="Z302" i="1"/>
  <c r="W302" i="1"/>
  <c r="U302" i="1"/>
  <c r="S302" i="1"/>
  <c r="Q302" i="1"/>
  <c r="O302" i="1"/>
  <c r="M302" i="1"/>
  <c r="K302" i="1"/>
  <c r="AP301" i="1"/>
  <c r="AQ301" i="1" s="1"/>
  <c r="AM301" i="1"/>
  <c r="AJ301" i="1"/>
  <c r="AH301" i="1"/>
  <c r="Z301" i="1"/>
  <c r="W301" i="1"/>
  <c r="U301" i="1"/>
  <c r="S301" i="1"/>
  <c r="Q301" i="1"/>
  <c r="O301" i="1"/>
  <c r="M301" i="1"/>
  <c r="K301" i="1"/>
  <c r="AP300" i="1"/>
  <c r="AQ300" i="1" s="1"/>
  <c r="AM300" i="1"/>
  <c r="AJ300" i="1"/>
  <c r="AH300" i="1"/>
  <c r="Z300" i="1"/>
  <c r="W300" i="1"/>
  <c r="U300" i="1"/>
  <c r="S300" i="1"/>
  <c r="Q300" i="1"/>
  <c r="O300" i="1"/>
  <c r="M300" i="1"/>
  <c r="K300" i="1"/>
  <c r="AP299" i="1"/>
  <c r="AQ299" i="1" s="1"/>
  <c r="AM299" i="1"/>
  <c r="AJ299" i="1"/>
  <c r="AH299" i="1"/>
  <c r="Z299" i="1"/>
  <c r="W299" i="1"/>
  <c r="U299" i="1"/>
  <c r="S299" i="1"/>
  <c r="Q299" i="1"/>
  <c r="O299" i="1"/>
  <c r="M299" i="1"/>
  <c r="K299" i="1"/>
  <c r="AP298" i="1"/>
  <c r="AQ298" i="1" s="1"/>
  <c r="AM298" i="1"/>
  <c r="AJ298" i="1"/>
  <c r="AH298" i="1"/>
  <c r="Z298" i="1"/>
  <c r="W298" i="1"/>
  <c r="U298" i="1"/>
  <c r="S298" i="1"/>
  <c r="Q298" i="1"/>
  <c r="O298" i="1"/>
  <c r="M298" i="1"/>
  <c r="K298" i="1"/>
  <c r="AP297" i="1"/>
  <c r="AQ297" i="1" s="1"/>
  <c r="AM297" i="1"/>
  <c r="AJ297" i="1"/>
  <c r="AH297" i="1"/>
  <c r="Z297" i="1"/>
  <c r="W297" i="1"/>
  <c r="U297" i="1"/>
  <c r="S297" i="1"/>
  <c r="Q297" i="1"/>
  <c r="O297" i="1"/>
  <c r="M297" i="1"/>
  <c r="K297" i="1"/>
  <c r="AP296" i="1"/>
  <c r="AQ296" i="1" s="1"/>
  <c r="AM296" i="1"/>
  <c r="AJ296" i="1"/>
  <c r="AH296" i="1"/>
  <c r="Z296" i="1"/>
  <c r="W296" i="1"/>
  <c r="U296" i="1"/>
  <c r="S296" i="1"/>
  <c r="Q296" i="1"/>
  <c r="O296" i="1"/>
  <c r="M296" i="1"/>
  <c r="K296" i="1"/>
  <c r="AP295" i="1"/>
  <c r="AQ295" i="1" s="1"/>
  <c r="AM295" i="1"/>
  <c r="AJ295" i="1"/>
  <c r="AH295" i="1"/>
  <c r="Z295" i="1"/>
  <c r="W295" i="1"/>
  <c r="U295" i="1"/>
  <c r="S295" i="1"/>
  <c r="Q295" i="1"/>
  <c r="O295" i="1"/>
  <c r="M295" i="1"/>
  <c r="K295" i="1"/>
  <c r="AP294" i="1"/>
  <c r="AQ294" i="1" s="1"/>
  <c r="AM294" i="1"/>
  <c r="AJ294" i="1"/>
  <c r="AH294" i="1"/>
  <c r="Z294" i="1"/>
  <c r="W294" i="1"/>
  <c r="U294" i="1"/>
  <c r="S294" i="1"/>
  <c r="Q294" i="1"/>
  <c r="O294" i="1"/>
  <c r="M294" i="1"/>
  <c r="K294" i="1"/>
  <c r="AP293" i="1"/>
  <c r="AQ293" i="1" s="1"/>
  <c r="AM293" i="1"/>
  <c r="AJ293" i="1"/>
  <c r="AH293" i="1"/>
  <c r="Z293" i="1"/>
  <c r="W293" i="1"/>
  <c r="U293" i="1"/>
  <c r="S293" i="1"/>
  <c r="Q293" i="1"/>
  <c r="O293" i="1"/>
  <c r="M293" i="1"/>
  <c r="K293" i="1"/>
  <c r="AP292" i="1"/>
  <c r="AQ292" i="1" s="1"/>
  <c r="AM292" i="1"/>
  <c r="AJ292" i="1"/>
  <c r="AH292" i="1"/>
  <c r="Z292" i="1"/>
  <c r="W292" i="1"/>
  <c r="U292" i="1"/>
  <c r="S292" i="1"/>
  <c r="Q292" i="1"/>
  <c r="O292" i="1"/>
  <c r="M292" i="1"/>
  <c r="K292" i="1"/>
  <c r="AP291" i="1"/>
  <c r="AQ291" i="1" s="1"/>
  <c r="AM291" i="1"/>
  <c r="AJ291" i="1"/>
  <c r="AH291" i="1"/>
  <c r="Z291" i="1"/>
  <c r="W291" i="1"/>
  <c r="U291" i="1"/>
  <c r="S291" i="1"/>
  <c r="Q291" i="1"/>
  <c r="O291" i="1"/>
  <c r="M291" i="1"/>
  <c r="K291" i="1"/>
  <c r="AP290" i="1"/>
  <c r="AQ290" i="1" s="1"/>
  <c r="AM290" i="1"/>
  <c r="AJ290" i="1"/>
  <c r="AH290" i="1"/>
  <c r="Z290" i="1"/>
  <c r="W290" i="1"/>
  <c r="U290" i="1"/>
  <c r="S290" i="1"/>
  <c r="Q290" i="1"/>
  <c r="O290" i="1"/>
  <c r="M290" i="1"/>
  <c r="K290" i="1"/>
  <c r="AP289" i="1"/>
  <c r="AQ289" i="1" s="1"/>
  <c r="AM289" i="1"/>
  <c r="AJ289" i="1"/>
  <c r="AH289" i="1"/>
  <c r="Z289" i="1"/>
  <c r="W289" i="1"/>
  <c r="U289" i="1"/>
  <c r="S289" i="1"/>
  <c r="Q289" i="1"/>
  <c r="O289" i="1"/>
  <c r="M289" i="1"/>
  <c r="K289" i="1"/>
  <c r="AP288" i="1"/>
  <c r="AQ288" i="1" s="1"/>
  <c r="AM288" i="1"/>
  <c r="AJ288" i="1"/>
  <c r="AH288" i="1"/>
  <c r="Z288" i="1"/>
  <c r="W288" i="1"/>
  <c r="U288" i="1"/>
  <c r="S288" i="1"/>
  <c r="Q288" i="1"/>
  <c r="O288" i="1"/>
  <c r="M288" i="1"/>
  <c r="K288" i="1"/>
  <c r="AP287" i="1"/>
  <c r="AQ287" i="1" s="1"/>
  <c r="AM287" i="1"/>
  <c r="AJ287" i="1"/>
  <c r="AH287" i="1"/>
  <c r="Z287" i="1"/>
  <c r="W287" i="1"/>
  <c r="U287" i="1"/>
  <c r="S287" i="1"/>
  <c r="Q287" i="1"/>
  <c r="O287" i="1"/>
  <c r="M287" i="1"/>
  <c r="K287" i="1"/>
  <c r="AP286" i="1"/>
  <c r="AQ286" i="1" s="1"/>
  <c r="AM286" i="1"/>
  <c r="AJ286" i="1"/>
  <c r="AH286" i="1"/>
  <c r="Z286" i="1"/>
  <c r="W286" i="1"/>
  <c r="U286" i="1"/>
  <c r="S286" i="1"/>
  <c r="Q286" i="1"/>
  <c r="O286" i="1"/>
  <c r="M286" i="1"/>
  <c r="K286" i="1"/>
  <c r="AP285" i="1"/>
  <c r="AQ285" i="1" s="1"/>
  <c r="AM285" i="1"/>
  <c r="AJ285" i="1"/>
  <c r="AH285" i="1"/>
  <c r="Z285" i="1"/>
  <c r="W285" i="1"/>
  <c r="U285" i="1"/>
  <c r="S285" i="1"/>
  <c r="Q285" i="1"/>
  <c r="O285" i="1"/>
  <c r="M285" i="1"/>
  <c r="K285" i="1"/>
  <c r="AP284" i="1"/>
  <c r="AQ284" i="1" s="1"/>
  <c r="AM284" i="1"/>
  <c r="AJ284" i="1"/>
  <c r="AH284" i="1"/>
  <c r="Z284" i="1"/>
  <c r="W284" i="1"/>
  <c r="U284" i="1"/>
  <c r="S284" i="1"/>
  <c r="Q284" i="1"/>
  <c r="O284" i="1"/>
  <c r="M284" i="1"/>
  <c r="K284" i="1"/>
  <c r="AP283" i="1"/>
  <c r="AQ283" i="1" s="1"/>
  <c r="AM283" i="1"/>
  <c r="AJ283" i="1"/>
  <c r="AH283" i="1"/>
  <c r="Z283" i="1"/>
  <c r="W283" i="1"/>
  <c r="U283" i="1"/>
  <c r="S283" i="1"/>
  <c r="Q283" i="1"/>
  <c r="O283" i="1"/>
  <c r="M283" i="1"/>
  <c r="K283" i="1"/>
  <c r="AP282" i="1"/>
  <c r="AQ282" i="1" s="1"/>
  <c r="AM282" i="1"/>
  <c r="AJ282" i="1"/>
  <c r="AH282" i="1"/>
  <c r="Z282" i="1"/>
  <c r="W282" i="1"/>
  <c r="U282" i="1"/>
  <c r="S282" i="1"/>
  <c r="Q282" i="1"/>
  <c r="O282" i="1"/>
  <c r="M282" i="1"/>
  <c r="K282" i="1"/>
  <c r="AP281" i="1"/>
  <c r="AQ281" i="1" s="1"/>
  <c r="AM281" i="1"/>
  <c r="AJ281" i="1"/>
  <c r="AH281" i="1"/>
  <c r="Z281" i="1"/>
  <c r="W281" i="1"/>
  <c r="U281" i="1"/>
  <c r="S281" i="1"/>
  <c r="Q281" i="1"/>
  <c r="O281" i="1"/>
  <c r="M281" i="1"/>
  <c r="K281" i="1"/>
  <c r="AP280" i="1"/>
  <c r="AQ280" i="1" s="1"/>
  <c r="AM280" i="1"/>
  <c r="AJ280" i="1"/>
  <c r="AH280" i="1"/>
  <c r="Z280" i="1"/>
  <c r="W280" i="1"/>
  <c r="U280" i="1"/>
  <c r="S280" i="1"/>
  <c r="Q280" i="1"/>
  <c r="O280" i="1"/>
  <c r="M280" i="1"/>
  <c r="K280" i="1"/>
  <c r="AP279" i="1"/>
  <c r="AQ279" i="1" s="1"/>
  <c r="AM279" i="1"/>
  <c r="AJ279" i="1"/>
  <c r="AH279" i="1"/>
  <c r="Z279" i="1"/>
  <c r="W279" i="1"/>
  <c r="U279" i="1"/>
  <c r="S279" i="1"/>
  <c r="Q279" i="1"/>
  <c r="O279" i="1"/>
  <c r="M279" i="1"/>
  <c r="K279" i="1"/>
  <c r="AP278" i="1"/>
  <c r="AQ278" i="1" s="1"/>
  <c r="AM278" i="1"/>
  <c r="AJ278" i="1"/>
  <c r="AH278" i="1"/>
  <c r="Z278" i="1"/>
  <c r="W278" i="1"/>
  <c r="U278" i="1"/>
  <c r="S278" i="1"/>
  <c r="Q278" i="1"/>
  <c r="O278" i="1"/>
  <c r="M278" i="1"/>
  <c r="K278" i="1"/>
  <c r="AP277" i="1"/>
  <c r="AQ277" i="1" s="1"/>
  <c r="AM277" i="1"/>
  <c r="AJ277" i="1"/>
  <c r="AH277" i="1"/>
  <c r="Z277" i="1"/>
  <c r="W277" i="1"/>
  <c r="U277" i="1"/>
  <c r="S277" i="1"/>
  <c r="Q277" i="1"/>
  <c r="O277" i="1"/>
  <c r="M277" i="1"/>
  <c r="K277" i="1"/>
  <c r="AP276" i="1"/>
  <c r="AQ276" i="1" s="1"/>
  <c r="AM276" i="1"/>
  <c r="AJ276" i="1"/>
  <c r="AH276" i="1"/>
  <c r="Z276" i="1"/>
  <c r="W276" i="1"/>
  <c r="U276" i="1"/>
  <c r="S276" i="1"/>
  <c r="Q276" i="1"/>
  <c r="O276" i="1"/>
  <c r="M276" i="1"/>
  <c r="K276" i="1"/>
  <c r="AP275" i="1"/>
  <c r="AQ275" i="1" s="1"/>
  <c r="AM275" i="1"/>
  <c r="AJ275" i="1"/>
  <c r="AH275" i="1"/>
  <c r="Z275" i="1"/>
  <c r="W275" i="1"/>
  <c r="U275" i="1"/>
  <c r="S275" i="1"/>
  <c r="Q275" i="1"/>
  <c r="O275" i="1"/>
  <c r="M275" i="1"/>
  <c r="K275" i="1"/>
  <c r="AP274" i="1"/>
  <c r="AQ274" i="1" s="1"/>
  <c r="AM274" i="1"/>
  <c r="AJ274" i="1"/>
  <c r="AH274" i="1"/>
  <c r="Z274" i="1"/>
  <c r="W274" i="1"/>
  <c r="U274" i="1"/>
  <c r="S274" i="1"/>
  <c r="Q274" i="1"/>
  <c r="O274" i="1"/>
  <c r="M274" i="1"/>
  <c r="K274" i="1"/>
  <c r="AP273" i="1"/>
  <c r="AQ273" i="1" s="1"/>
  <c r="AM273" i="1"/>
  <c r="AJ273" i="1"/>
  <c r="AH273" i="1"/>
  <c r="Z273" i="1"/>
  <c r="W273" i="1"/>
  <c r="U273" i="1"/>
  <c r="S273" i="1"/>
  <c r="Q273" i="1"/>
  <c r="O273" i="1"/>
  <c r="M273" i="1"/>
  <c r="K273" i="1"/>
  <c r="AP272" i="1"/>
  <c r="AQ272" i="1" s="1"/>
  <c r="AM272" i="1"/>
  <c r="AJ272" i="1"/>
  <c r="AH272" i="1"/>
  <c r="Z272" i="1"/>
  <c r="W272" i="1"/>
  <c r="U272" i="1"/>
  <c r="S272" i="1"/>
  <c r="Q272" i="1"/>
  <c r="O272" i="1"/>
  <c r="M272" i="1"/>
  <c r="K272" i="1"/>
  <c r="AP271" i="1"/>
  <c r="AQ271" i="1" s="1"/>
  <c r="AM271" i="1"/>
  <c r="AJ271" i="1"/>
  <c r="AH271" i="1"/>
  <c r="Z271" i="1"/>
  <c r="W271" i="1"/>
  <c r="U271" i="1"/>
  <c r="S271" i="1"/>
  <c r="Q271" i="1"/>
  <c r="O271" i="1"/>
  <c r="M271" i="1"/>
  <c r="K271" i="1"/>
  <c r="AP270" i="1"/>
  <c r="AQ270" i="1" s="1"/>
  <c r="AM270" i="1"/>
  <c r="AJ270" i="1"/>
  <c r="AH270" i="1"/>
  <c r="Z270" i="1"/>
  <c r="W270" i="1"/>
  <c r="U270" i="1"/>
  <c r="S270" i="1"/>
  <c r="Q270" i="1"/>
  <c r="O270" i="1"/>
  <c r="M270" i="1"/>
  <c r="K270" i="1"/>
  <c r="AP269" i="1"/>
  <c r="AQ269" i="1" s="1"/>
  <c r="AM269" i="1"/>
  <c r="AJ269" i="1"/>
  <c r="AH269" i="1"/>
  <c r="Z269" i="1"/>
  <c r="W269" i="1"/>
  <c r="U269" i="1"/>
  <c r="S269" i="1"/>
  <c r="Q269" i="1"/>
  <c r="O269" i="1"/>
  <c r="M269" i="1"/>
  <c r="K269" i="1"/>
  <c r="AP268" i="1"/>
  <c r="AQ268" i="1" s="1"/>
  <c r="AM268" i="1"/>
  <c r="AJ268" i="1"/>
  <c r="AH268" i="1"/>
  <c r="Z268" i="1"/>
  <c r="W268" i="1"/>
  <c r="U268" i="1"/>
  <c r="S268" i="1"/>
  <c r="Q268" i="1"/>
  <c r="O268" i="1"/>
  <c r="M268" i="1"/>
  <c r="K268" i="1"/>
  <c r="AP267" i="1"/>
  <c r="AQ267" i="1" s="1"/>
  <c r="AM267" i="1"/>
  <c r="AJ267" i="1"/>
  <c r="AH267" i="1"/>
  <c r="Z267" i="1"/>
  <c r="W267" i="1"/>
  <c r="U267" i="1"/>
  <c r="S267" i="1"/>
  <c r="Q267" i="1"/>
  <c r="O267" i="1"/>
  <c r="M267" i="1"/>
  <c r="K267" i="1"/>
  <c r="AP266" i="1"/>
  <c r="AQ266" i="1" s="1"/>
  <c r="AM266" i="1"/>
  <c r="AJ266" i="1"/>
  <c r="AH266" i="1"/>
  <c r="Z266" i="1"/>
  <c r="W266" i="1"/>
  <c r="U266" i="1"/>
  <c r="S266" i="1"/>
  <c r="Q266" i="1"/>
  <c r="O266" i="1"/>
  <c r="M266" i="1"/>
  <c r="K266" i="1"/>
  <c r="AP265" i="1"/>
  <c r="AQ265" i="1" s="1"/>
  <c r="AM265" i="1"/>
  <c r="AJ265" i="1"/>
  <c r="AH265" i="1"/>
  <c r="Z265" i="1"/>
  <c r="W265" i="1"/>
  <c r="U265" i="1"/>
  <c r="S265" i="1"/>
  <c r="Q265" i="1"/>
  <c r="O265" i="1"/>
  <c r="M265" i="1"/>
  <c r="K265" i="1"/>
  <c r="AP264" i="1"/>
  <c r="AQ264" i="1" s="1"/>
  <c r="AM264" i="1"/>
  <c r="AJ264" i="1"/>
  <c r="AH264" i="1"/>
  <c r="Z264" i="1"/>
  <c r="W264" i="1"/>
  <c r="U264" i="1"/>
  <c r="S264" i="1"/>
  <c r="Q264" i="1"/>
  <c r="O264" i="1"/>
  <c r="M264" i="1"/>
  <c r="K264" i="1"/>
  <c r="AP263" i="1"/>
  <c r="AQ263" i="1" s="1"/>
  <c r="AM263" i="1"/>
  <c r="AJ263" i="1"/>
  <c r="AH263" i="1"/>
  <c r="Z263" i="1"/>
  <c r="W263" i="1"/>
  <c r="U263" i="1"/>
  <c r="S263" i="1"/>
  <c r="Q263" i="1"/>
  <c r="O263" i="1"/>
  <c r="M263" i="1"/>
  <c r="K263" i="1"/>
  <c r="AP262" i="1"/>
  <c r="AQ262" i="1" s="1"/>
  <c r="AM262" i="1"/>
  <c r="AJ262" i="1"/>
  <c r="AH262" i="1"/>
  <c r="Z262" i="1"/>
  <c r="W262" i="1"/>
  <c r="U262" i="1"/>
  <c r="S262" i="1"/>
  <c r="Q262" i="1"/>
  <c r="O262" i="1"/>
  <c r="M262" i="1"/>
  <c r="K262" i="1"/>
  <c r="AP261" i="1"/>
  <c r="AQ261" i="1" s="1"/>
  <c r="AM261" i="1"/>
  <c r="AJ261" i="1"/>
  <c r="AH261" i="1"/>
  <c r="Z261" i="1"/>
  <c r="W261" i="1"/>
  <c r="U261" i="1"/>
  <c r="S261" i="1"/>
  <c r="Q261" i="1"/>
  <c r="O261" i="1"/>
  <c r="M261" i="1"/>
  <c r="K261" i="1"/>
  <c r="AP260" i="1"/>
  <c r="AQ260" i="1" s="1"/>
  <c r="AM260" i="1"/>
  <c r="AJ260" i="1"/>
  <c r="AH260" i="1"/>
  <c r="Z260" i="1"/>
  <c r="W260" i="1"/>
  <c r="U260" i="1"/>
  <c r="S260" i="1"/>
  <c r="Q260" i="1"/>
  <c r="O260" i="1"/>
  <c r="M260" i="1"/>
  <c r="K260" i="1"/>
  <c r="AP259" i="1"/>
  <c r="AQ259" i="1" s="1"/>
  <c r="AM259" i="1"/>
  <c r="AJ259" i="1"/>
  <c r="AH259" i="1"/>
  <c r="Z259" i="1"/>
  <c r="W259" i="1"/>
  <c r="U259" i="1"/>
  <c r="S259" i="1"/>
  <c r="Q259" i="1"/>
  <c r="O259" i="1"/>
  <c r="M259" i="1"/>
  <c r="K259" i="1"/>
  <c r="AP258" i="1"/>
  <c r="AQ258" i="1" s="1"/>
  <c r="AM258" i="1"/>
  <c r="AJ258" i="1"/>
  <c r="AH258" i="1"/>
  <c r="Z258" i="1"/>
  <c r="W258" i="1"/>
  <c r="U258" i="1"/>
  <c r="S258" i="1"/>
  <c r="Q258" i="1"/>
  <c r="O258" i="1"/>
  <c r="M258" i="1"/>
  <c r="K258" i="1"/>
  <c r="AP257" i="1"/>
  <c r="AQ257" i="1" s="1"/>
  <c r="AM257" i="1"/>
  <c r="AJ257" i="1"/>
  <c r="AH257" i="1"/>
  <c r="Z257" i="1"/>
  <c r="W257" i="1"/>
  <c r="U257" i="1"/>
  <c r="S257" i="1"/>
  <c r="Q257" i="1"/>
  <c r="O257" i="1"/>
  <c r="M257" i="1"/>
  <c r="K257" i="1"/>
  <c r="AP256" i="1"/>
  <c r="AQ256" i="1" s="1"/>
  <c r="AM256" i="1"/>
  <c r="AJ256" i="1"/>
  <c r="AH256" i="1"/>
  <c r="Z256" i="1"/>
  <c r="W256" i="1"/>
  <c r="U256" i="1"/>
  <c r="S256" i="1"/>
  <c r="Q256" i="1"/>
  <c r="O256" i="1"/>
  <c r="M256" i="1"/>
  <c r="K256" i="1"/>
  <c r="AP255" i="1"/>
  <c r="AQ255" i="1" s="1"/>
  <c r="AM255" i="1"/>
  <c r="AJ255" i="1"/>
  <c r="AH255" i="1"/>
  <c r="Z255" i="1"/>
  <c r="W255" i="1"/>
  <c r="U255" i="1"/>
  <c r="S255" i="1"/>
  <c r="Q255" i="1"/>
  <c r="O255" i="1"/>
  <c r="M255" i="1"/>
  <c r="K255" i="1"/>
  <c r="AP254" i="1"/>
  <c r="AQ254" i="1" s="1"/>
  <c r="AM254" i="1"/>
  <c r="AJ254" i="1"/>
  <c r="AH254" i="1"/>
  <c r="Z254" i="1"/>
  <c r="W254" i="1"/>
  <c r="U254" i="1"/>
  <c r="S254" i="1"/>
  <c r="Q254" i="1"/>
  <c r="O254" i="1"/>
  <c r="M254" i="1"/>
  <c r="K254" i="1"/>
  <c r="AP253" i="1"/>
  <c r="AQ253" i="1" s="1"/>
  <c r="AM253" i="1"/>
  <c r="AJ253" i="1"/>
  <c r="AH253" i="1"/>
  <c r="Z253" i="1"/>
  <c r="W253" i="1"/>
  <c r="U253" i="1"/>
  <c r="S253" i="1"/>
  <c r="Q253" i="1"/>
  <c r="O253" i="1"/>
  <c r="M253" i="1"/>
  <c r="K253" i="1"/>
  <c r="AP252" i="1"/>
  <c r="AQ252" i="1" s="1"/>
  <c r="AM252" i="1"/>
  <c r="AJ252" i="1"/>
  <c r="AH252" i="1"/>
  <c r="Z252" i="1"/>
  <c r="W252" i="1"/>
  <c r="U252" i="1"/>
  <c r="S252" i="1"/>
  <c r="Q252" i="1"/>
  <c r="O252" i="1"/>
  <c r="M252" i="1"/>
  <c r="K252" i="1"/>
  <c r="AP251" i="1"/>
  <c r="AQ251" i="1" s="1"/>
  <c r="AM251" i="1"/>
  <c r="AJ251" i="1"/>
  <c r="AH251" i="1"/>
  <c r="Z251" i="1"/>
  <c r="W251" i="1"/>
  <c r="U251" i="1"/>
  <c r="S251" i="1"/>
  <c r="Q251" i="1"/>
  <c r="O251" i="1"/>
  <c r="M251" i="1"/>
  <c r="K251" i="1"/>
  <c r="AP250" i="1"/>
  <c r="AQ250" i="1" s="1"/>
  <c r="AM250" i="1"/>
  <c r="AJ250" i="1"/>
  <c r="AH250" i="1"/>
  <c r="Z250" i="1"/>
  <c r="W250" i="1"/>
  <c r="U250" i="1"/>
  <c r="S250" i="1"/>
  <c r="Q250" i="1"/>
  <c r="O250" i="1"/>
  <c r="M250" i="1"/>
  <c r="K250" i="1"/>
  <c r="AP249" i="1"/>
  <c r="AQ249" i="1" s="1"/>
  <c r="AM249" i="1"/>
  <c r="AJ249" i="1"/>
  <c r="AH249" i="1"/>
  <c r="Z249" i="1"/>
  <c r="W249" i="1"/>
  <c r="U249" i="1"/>
  <c r="S249" i="1"/>
  <c r="Q249" i="1"/>
  <c r="O249" i="1"/>
  <c r="M249" i="1"/>
  <c r="K249" i="1"/>
  <c r="AP248" i="1"/>
  <c r="AQ248" i="1" s="1"/>
  <c r="AM248" i="1"/>
  <c r="AJ248" i="1"/>
  <c r="AH248" i="1"/>
  <c r="Z248" i="1"/>
  <c r="W248" i="1"/>
  <c r="U248" i="1"/>
  <c r="S248" i="1"/>
  <c r="Q248" i="1"/>
  <c r="O248" i="1"/>
  <c r="M248" i="1"/>
  <c r="K248" i="1"/>
  <c r="AP247" i="1"/>
  <c r="AQ247" i="1" s="1"/>
  <c r="AM247" i="1"/>
  <c r="AJ247" i="1"/>
  <c r="AH247" i="1"/>
  <c r="Z247" i="1"/>
  <c r="W247" i="1"/>
  <c r="U247" i="1"/>
  <c r="S247" i="1"/>
  <c r="Q247" i="1"/>
  <c r="O247" i="1"/>
  <c r="M247" i="1"/>
  <c r="K247" i="1"/>
  <c r="AP246" i="1"/>
  <c r="AQ246" i="1" s="1"/>
  <c r="AM246" i="1"/>
  <c r="AJ246" i="1"/>
  <c r="AH246" i="1"/>
  <c r="Z246" i="1"/>
  <c r="W246" i="1"/>
  <c r="U246" i="1"/>
  <c r="S246" i="1"/>
  <c r="Q246" i="1"/>
  <c r="O246" i="1"/>
  <c r="M246" i="1"/>
  <c r="K246" i="1"/>
  <c r="AP245" i="1"/>
  <c r="AQ245" i="1" s="1"/>
  <c r="AM245" i="1"/>
  <c r="AJ245" i="1"/>
  <c r="AH245" i="1"/>
  <c r="Z245" i="1"/>
  <c r="W245" i="1"/>
  <c r="U245" i="1"/>
  <c r="S245" i="1"/>
  <c r="Q245" i="1"/>
  <c r="O245" i="1"/>
  <c r="M245" i="1"/>
  <c r="K245" i="1"/>
  <c r="AP244" i="1"/>
  <c r="AQ244" i="1" s="1"/>
  <c r="AM244" i="1"/>
  <c r="AJ244" i="1"/>
  <c r="AH244" i="1"/>
  <c r="Z244" i="1"/>
  <c r="W244" i="1"/>
  <c r="U244" i="1"/>
  <c r="S244" i="1"/>
  <c r="Q244" i="1"/>
  <c r="O244" i="1"/>
  <c r="M244" i="1"/>
  <c r="K244" i="1"/>
  <c r="AP243" i="1"/>
  <c r="AQ243" i="1" s="1"/>
  <c r="AM243" i="1"/>
  <c r="AJ243" i="1"/>
  <c r="AH243" i="1"/>
  <c r="Z243" i="1"/>
  <c r="W243" i="1"/>
  <c r="U243" i="1"/>
  <c r="S243" i="1"/>
  <c r="Q243" i="1"/>
  <c r="O243" i="1"/>
  <c r="M243" i="1"/>
  <c r="K243" i="1"/>
  <c r="AP242" i="1"/>
  <c r="AQ242" i="1" s="1"/>
  <c r="AM242" i="1"/>
  <c r="AJ242" i="1"/>
  <c r="AH242" i="1"/>
  <c r="Z242" i="1"/>
  <c r="W242" i="1"/>
  <c r="U242" i="1"/>
  <c r="S242" i="1"/>
  <c r="Q242" i="1"/>
  <c r="O242" i="1"/>
  <c r="M242" i="1"/>
  <c r="K242" i="1"/>
  <c r="AP241" i="1"/>
  <c r="AQ241" i="1" s="1"/>
  <c r="AM241" i="1"/>
  <c r="AJ241" i="1"/>
  <c r="AH241" i="1"/>
  <c r="Z241" i="1"/>
  <c r="W241" i="1"/>
  <c r="U241" i="1"/>
  <c r="S241" i="1"/>
  <c r="Q241" i="1"/>
  <c r="O241" i="1"/>
  <c r="M241" i="1"/>
  <c r="K241" i="1"/>
  <c r="AP240" i="1"/>
  <c r="AQ240" i="1" s="1"/>
  <c r="AM240" i="1"/>
  <c r="AJ240" i="1"/>
  <c r="AH240" i="1"/>
  <c r="Z240" i="1"/>
  <c r="W240" i="1"/>
  <c r="U240" i="1"/>
  <c r="S240" i="1"/>
  <c r="Q240" i="1"/>
  <c r="O240" i="1"/>
  <c r="M240" i="1"/>
  <c r="K240" i="1"/>
  <c r="AP239" i="1"/>
  <c r="AQ239" i="1" s="1"/>
  <c r="AM239" i="1"/>
  <c r="AJ239" i="1"/>
  <c r="AH239" i="1"/>
  <c r="Z239" i="1"/>
  <c r="W239" i="1"/>
  <c r="U239" i="1"/>
  <c r="S239" i="1"/>
  <c r="Q239" i="1"/>
  <c r="O239" i="1"/>
  <c r="M239" i="1"/>
  <c r="K239" i="1"/>
  <c r="AP238" i="1"/>
  <c r="AQ238" i="1" s="1"/>
  <c r="AM238" i="1"/>
  <c r="AJ238" i="1"/>
  <c r="AH238" i="1"/>
  <c r="Z238" i="1"/>
  <c r="W238" i="1"/>
  <c r="U238" i="1"/>
  <c r="S238" i="1"/>
  <c r="Q238" i="1"/>
  <c r="O238" i="1"/>
  <c r="M238" i="1"/>
  <c r="K238" i="1"/>
  <c r="AP237" i="1"/>
  <c r="AQ237" i="1" s="1"/>
  <c r="AM237" i="1"/>
  <c r="AJ237" i="1"/>
  <c r="AH237" i="1"/>
  <c r="Z237" i="1"/>
  <c r="W237" i="1"/>
  <c r="U237" i="1"/>
  <c r="S237" i="1"/>
  <c r="Q237" i="1"/>
  <c r="O237" i="1"/>
  <c r="M237" i="1"/>
  <c r="K237" i="1"/>
  <c r="AP236" i="1"/>
  <c r="AQ236" i="1" s="1"/>
  <c r="AM236" i="1"/>
  <c r="AJ236" i="1"/>
  <c r="AH236" i="1"/>
  <c r="Z236" i="1"/>
  <c r="W236" i="1"/>
  <c r="U236" i="1"/>
  <c r="S236" i="1"/>
  <c r="Q236" i="1"/>
  <c r="O236" i="1"/>
  <c r="M236" i="1"/>
  <c r="K236" i="1"/>
  <c r="AP235" i="1"/>
  <c r="AQ235" i="1" s="1"/>
  <c r="AM235" i="1"/>
  <c r="AJ235" i="1"/>
  <c r="AH235" i="1"/>
  <c r="Z235" i="1"/>
  <c r="W235" i="1"/>
  <c r="U235" i="1"/>
  <c r="S235" i="1"/>
  <c r="Q235" i="1"/>
  <c r="O235" i="1"/>
  <c r="M235" i="1"/>
  <c r="K235" i="1"/>
  <c r="AP234" i="1"/>
  <c r="AQ234" i="1" s="1"/>
  <c r="AM234" i="1"/>
  <c r="AJ234" i="1"/>
  <c r="AH234" i="1"/>
  <c r="Z234" i="1"/>
  <c r="W234" i="1"/>
  <c r="U234" i="1"/>
  <c r="S234" i="1"/>
  <c r="Q234" i="1"/>
  <c r="O234" i="1"/>
  <c r="M234" i="1"/>
  <c r="K234" i="1"/>
  <c r="AP233" i="1"/>
  <c r="AQ233" i="1" s="1"/>
  <c r="AM233" i="1"/>
  <c r="AJ233" i="1"/>
  <c r="AH233" i="1"/>
  <c r="Z233" i="1"/>
  <c r="W233" i="1"/>
  <c r="U233" i="1"/>
  <c r="S233" i="1"/>
  <c r="Q233" i="1"/>
  <c r="O233" i="1"/>
  <c r="M233" i="1"/>
  <c r="K233" i="1"/>
  <c r="AP232" i="1"/>
  <c r="AQ232" i="1" s="1"/>
  <c r="AM232" i="1"/>
  <c r="AJ232" i="1"/>
  <c r="AH232" i="1"/>
  <c r="Z232" i="1"/>
  <c r="W232" i="1"/>
  <c r="U232" i="1"/>
  <c r="S232" i="1"/>
  <c r="Q232" i="1"/>
  <c r="O232" i="1"/>
  <c r="M232" i="1"/>
  <c r="K232" i="1"/>
  <c r="AP231" i="1"/>
  <c r="AQ231" i="1" s="1"/>
  <c r="AM231" i="1"/>
  <c r="AJ231" i="1"/>
  <c r="AH231" i="1"/>
  <c r="Z231" i="1"/>
  <c r="W231" i="1"/>
  <c r="U231" i="1"/>
  <c r="S231" i="1"/>
  <c r="Q231" i="1"/>
  <c r="O231" i="1"/>
  <c r="M231" i="1"/>
  <c r="K231" i="1"/>
  <c r="AP230" i="1"/>
  <c r="AQ230" i="1" s="1"/>
  <c r="AM230" i="1"/>
  <c r="AJ230" i="1"/>
  <c r="AH230" i="1"/>
  <c r="Z230" i="1"/>
  <c r="W230" i="1"/>
  <c r="U230" i="1"/>
  <c r="S230" i="1"/>
  <c r="Q230" i="1"/>
  <c r="O230" i="1"/>
  <c r="M230" i="1"/>
  <c r="K230" i="1"/>
  <c r="AP229" i="1"/>
  <c r="AQ229" i="1" s="1"/>
  <c r="AM229" i="1"/>
  <c r="AJ229" i="1"/>
  <c r="AH229" i="1"/>
  <c r="Z229" i="1"/>
  <c r="W229" i="1"/>
  <c r="U229" i="1"/>
  <c r="S229" i="1"/>
  <c r="Q229" i="1"/>
  <c r="O229" i="1"/>
  <c r="M229" i="1"/>
  <c r="K229" i="1"/>
  <c r="AP228" i="1"/>
  <c r="AQ228" i="1" s="1"/>
  <c r="AM228" i="1"/>
  <c r="AJ228" i="1"/>
  <c r="AH228" i="1"/>
  <c r="Z228" i="1"/>
  <c r="W228" i="1"/>
  <c r="U228" i="1"/>
  <c r="S228" i="1"/>
  <c r="Q228" i="1"/>
  <c r="O228" i="1"/>
  <c r="M228" i="1"/>
  <c r="K228" i="1"/>
  <c r="AP227" i="1"/>
  <c r="AQ227" i="1" s="1"/>
  <c r="AM227" i="1"/>
  <c r="AJ227" i="1"/>
  <c r="AH227" i="1"/>
  <c r="Z227" i="1"/>
  <c r="W227" i="1"/>
  <c r="U227" i="1"/>
  <c r="S227" i="1"/>
  <c r="Q227" i="1"/>
  <c r="O227" i="1"/>
  <c r="M227" i="1"/>
  <c r="K227" i="1"/>
  <c r="AP226" i="1"/>
  <c r="AQ226" i="1" s="1"/>
  <c r="AM226" i="1"/>
  <c r="AJ226" i="1"/>
  <c r="AH226" i="1"/>
  <c r="Z226" i="1"/>
  <c r="W226" i="1"/>
  <c r="U226" i="1"/>
  <c r="S226" i="1"/>
  <c r="Q226" i="1"/>
  <c r="O226" i="1"/>
  <c r="M226" i="1"/>
  <c r="K226" i="1"/>
  <c r="AP225" i="1"/>
  <c r="AQ225" i="1" s="1"/>
  <c r="AM225" i="1"/>
  <c r="AJ225" i="1"/>
  <c r="AH225" i="1"/>
  <c r="Z225" i="1"/>
  <c r="W225" i="1"/>
  <c r="U225" i="1"/>
  <c r="S225" i="1"/>
  <c r="Q225" i="1"/>
  <c r="O225" i="1"/>
  <c r="M225" i="1"/>
  <c r="K225" i="1"/>
  <c r="AP224" i="1"/>
  <c r="AQ224" i="1" s="1"/>
  <c r="AM224" i="1"/>
  <c r="AJ224" i="1"/>
  <c r="AH224" i="1"/>
  <c r="Z224" i="1"/>
  <c r="W224" i="1"/>
  <c r="U224" i="1"/>
  <c r="S224" i="1"/>
  <c r="Q224" i="1"/>
  <c r="O224" i="1"/>
  <c r="M224" i="1"/>
  <c r="K224" i="1"/>
  <c r="AP223" i="1"/>
  <c r="AQ223" i="1" s="1"/>
  <c r="AM223" i="1"/>
  <c r="AJ223" i="1"/>
  <c r="AH223" i="1"/>
  <c r="Z223" i="1"/>
  <c r="W223" i="1"/>
  <c r="U223" i="1"/>
  <c r="S223" i="1"/>
  <c r="Q223" i="1"/>
  <c r="O223" i="1"/>
  <c r="M223" i="1"/>
  <c r="K223" i="1"/>
  <c r="AP222" i="1"/>
  <c r="AQ222" i="1" s="1"/>
  <c r="AM222" i="1"/>
  <c r="AJ222" i="1"/>
  <c r="AH222" i="1"/>
  <c r="Z222" i="1"/>
  <c r="W222" i="1"/>
  <c r="U222" i="1"/>
  <c r="S222" i="1"/>
  <c r="Q222" i="1"/>
  <c r="O222" i="1"/>
  <c r="M222" i="1"/>
  <c r="K222" i="1"/>
  <c r="AP221" i="1"/>
  <c r="AQ221" i="1" s="1"/>
  <c r="AM221" i="1"/>
  <c r="AJ221" i="1"/>
  <c r="AH221" i="1"/>
  <c r="Z221" i="1"/>
  <c r="W221" i="1"/>
  <c r="U221" i="1"/>
  <c r="S221" i="1"/>
  <c r="Q221" i="1"/>
  <c r="O221" i="1"/>
  <c r="M221" i="1"/>
  <c r="K221" i="1"/>
  <c r="AP220" i="1"/>
  <c r="AQ220" i="1" s="1"/>
  <c r="AM220" i="1"/>
  <c r="AJ220" i="1"/>
  <c r="AH220" i="1"/>
  <c r="Z220" i="1"/>
  <c r="W220" i="1"/>
  <c r="U220" i="1"/>
  <c r="S220" i="1"/>
  <c r="Q220" i="1"/>
  <c r="O220" i="1"/>
  <c r="M220" i="1"/>
  <c r="K220" i="1"/>
  <c r="AP219" i="1"/>
  <c r="AQ219" i="1" s="1"/>
  <c r="AM219" i="1"/>
  <c r="AJ219" i="1"/>
  <c r="AH219" i="1"/>
  <c r="Z219" i="1"/>
  <c r="W219" i="1"/>
  <c r="U219" i="1"/>
  <c r="S219" i="1"/>
  <c r="Q219" i="1"/>
  <c r="O219" i="1"/>
  <c r="M219" i="1"/>
  <c r="K219" i="1"/>
  <c r="AP218" i="1"/>
  <c r="AQ218" i="1" s="1"/>
  <c r="AM218" i="1"/>
  <c r="AJ218" i="1"/>
  <c r="AH218" i="1"/>
  <c r="Z218" i="1"/>
  <c r="W218" i="1"/>
  <c r="U218" i="1"/>
  <c r="S218" i="1"/>
  <c r="Q218" i="1"/>
  <c r="O218" i="1"/>
  <c r="M218" i="1"/>
  <c r="K218" i="1"/>
  <c r="AP217" i="1"/>
  <c r="AQ217" i="1" s="1"/>
  <c r="AM217" i="1"/>
  <c r="AJ217" i="1"/>
  <c r="AH217" i="1"/>
  <c r="Z217" i="1"/>
  <c r="W217" i="1"/>
  <c r="U217" i="1"/>
  <c r="S217" i="1"/>
  <c r="Q217" i="1"/>
  <c r="O217" i="1"/>
  <c r="M217" i="1"/>
  <c r="K217" i="1"/>
  <c r="AP216" i="1"/>
  <c r="AQ216" i="1" s="1"/>
  <c r="AM216" i="1"/>
  <c r="AJ216" i="1"/>
  <c r="AH216" i="1"/>
  <c r="Z216" i="1"/>
  <c r="W216" i="1"/>
  <c r="U216" i="1"/>
  <c r="S216" i="1"/>
  <c r="Q216" i="1"/>
  <c r="O216" i="1"/>
  <c r="M216" i="1"/>
  <c r="K216" i="1"/>
  <c r="AP215" i="1"/>
  <c r="AQ215" i="1" s="1"/>
  <c r="AM215" i="1"/>
  <c r="AJ215" i="1"/>
  <c r="AH215" i="1"/>
  <c r="Z215" i="1"/>
  <c r="W215" i="1"/>
  <c r="U215" i="1"/>
  <c r="S215" i="1"/>
  <c r="Q215" i="1"/>
  <c r="O215" i="1"/>
  <c r="M215" i="1"/>
  <c r="K215" i="1"/>
  <c r="AP214" i="1"/>
  <c r="AQ214" i="1" s="1"/>
  <c r="AM214" i="1"/>
  <c r="AJ214" i="1"/>
  <c r="AH214" i="1"/>
  <c r="Z214" i="1"/>
  <c r="W214" i="1"/>
  <c r="U214" i="1"/>
  <c r="S214" i="1"/>
  <c r="Q214" i="1"/>
  <c r="O214" i="1"/>
  <c r="M214" i="1"/>
  <c r="K214" i="1"/>
  <c r="AP213" i="1"/>
  <c r="AQ213" i="1" s="1"/>
  <c r="AM213" i="1"/>
  <c r="AJ213" i="1"/>
  <c r="AH213" i="1"/>
  <c r="Z213" i="1"/>
  <c r="W213" i="1"/>
  <c r="U213" i="1"/>
  <c r="S213" i="1"/>
  <c r="Q213" i="1"/>
  <c r="O213" i="1"/>
  <c r="M213" i="1"/>
  <c r="K213" i="1"/>
  <c r="AP212" i="1"/>
  <c r="AQ212" i="1" s="1"/>
  <c r="AM212" i="1"/>
  <c r="AJ212" i="1"/>
  <c r="AH212" i="1"/>
  <c r="Z212" i="1"/>
  <c r="W212" i="1"/>
  <c r="U212" i="1"/>
  <c r="S212" i="1"/>
  <c r="Q212" i="1"/>
  <c r="O212" i="1"/>
  <c r="M212" i="1"/>
  <c r="K212" i="1"/>
  <c r="AP211" i="1"/>
  <c r="AQ211" i="1" s="1"/>
  <c r="AM211" i="1"/>
  <c r="AJ211" i="1"/>
  <c r="AH211" i="1"/>
  <c r="Z211" i="1"/>
  <c r="W211" i="1"/>
  <c r="U211" i="1"/>
  <c r="S211" i="1"/>
  <c r="Q211" i="1"/>
  <c r="O211" i="1"/>
  <c r="M211" i="1"/>
  <c r="K211" i="1"/>
  <c r="AP210" i="1"/>
  <c r="AQ210" i="1" s="1"/>
  <c r="AM210" i="1"/>
  <c r="AJ210" i="1"/>
  <c r="AH210" i="1"/>
  <c r="Z210" i="1"/>
  <c r="W210" i="1"/>
  <c r="U210" i="1"/>
  <c r="S210" i="1"/>
  <c r="Q210" i="1"/>
  <c r="O210" i="1"/>
  <c r="M210" i="1"/>
  <c r="K210" i="1"/>
  <c r="AP209" i="1"/>
  <c r="AQ209" i="1" s="1"/>
  <c r="AM209" i="1"/>
  <c r="AJ209" i="1"/>
  <c r="AH209" i="1"/>
  <c r="Z209" i="1"/>
  <c r="W209" i="1"/>
  <c r="U209" i="1"/>
  <c r="S209" i="1"/>
  <c r="Q209" i="1"/>
  <c r="O209" i="1"/>
  <c r="M209" i="1"/>
  <c r="K209" i="1"/>
  <c r="AP208" i="1"/>
  <c r="AQ208" i="1" s="1"/>
  <c r="AM208" i="1"/>
  <c r="AJ208" i="1"/>
  <c r="AH208" i="1"/>
  <c r="Z208" i="1"/>
  <c r="W208" i="1"/>
  <c r="U208" i="1"/>
  <c r="S208" i="1"/>
  <c r="Q208" i="1"/>
  <c r="O208" i="1"/>
  <c r="M208" i="1"/>
  <c r="K208" i="1"/>
  <c r="AP207" i="1"/>
  <c r="AQ207" i="1" s="1"/>
  <c r="AM207" i="1"/>
  <c r="AJ207" i="1"/>
  <c r="AH207" i="1"/>
  <c r="Z207" i="1"/>
  <c r="W207" i="1"/>
  <c r="U207" i="1"/>
  <c r="S207" i="1"/>
  <c r="Q207" i="1"/>
  <c r="O207" i="1"/>
  <c r="M207" i="1"/>
  <c r="K207" i="1"/>
  <c r="AP206" i="1"/>
  <c r="AQ206" i="1" s="1"/>
  <c r="AM206" i="1"/>
  <c r="AJ206" i="1"/>
  <c r="AH206" i="1"/>
  <c r="Z206" i="1"/>
  <c r="W206" i="1"/>
  <c r="U206" i="1"/>
  <c r="S206" i="1"/>
  <c r="Q206" i="1"/>
  <c r="O206" i="1"/>
  <c r="M206" i="1"/>
  <c r="K206" i="1"/>
  <c r="AP205" i="1"/>
  <c r="AQ205" i="1" s="1"/>
  <c r="AM205" i="1"/>
  <c r="AJ205" i="1"/>
  <c r="AH205" i="1"/>
  <c r="Z205" i="1"/>
  <c r="W205" i="1"/>
  <c r="U205" i="1"/>
  <c r="S205" i="1"/>
  <c r="Q205" i="1"/>
  <c r="O205" i="1"/>
  <c r="M205" i="1"/>
  <c r="K205" i="1"/>
  <c r="AP204" i="1"/>
  <c r="AQ204" i="1" s="1"/>
  <c r="AM204" i="1"/>
  <c r="AJ204" i="1"/>
  <c r="AH204" i="1"/>
  <c r="Z204" i="1"/>
  <c r="W204" i="1"/>
  <c r="U204" i="1"/>
  <c r="S204" i="1"/>
  <c r="Q204" i="1"/>
  <c r="O204" i="1"/>
  <c r="M204" i="1"/>
  <c r="K204" i="1"/>
  <c r="AP203" i="1"/>
  <c r="AQ203" i="1" s="1"/>
  <c r="AM203" i="1"/>
  <c r="AJ203" i="1"/>
  <c r="AH203" i="1"/>
  <c r="Z203" i="1"/>
  <c r="W203" i="1"/>
  <c r="U203" i="1"/>
  <c r="S203" i="1"/>
  <c r="Q203" i="1"/>
  <c r="O203" i="1"/>
  <c r="M203" i="1"/>
  <c r="K203" i="1"/>
  <c r="AP202" i="1"/>
  <c r="AQ202" i="1" s="1"/>
  <c r="AM202" i="1"/>
  <c r="AJ202" i="1"/>
  <c r="AH202" i="1"/>
  <c r="Z202" i="1"/>
  <c r="W202" i="1"/>
  <c r="U202" i="1"/>
  <c r="S202" i="1"/>
  <c r="Q202" i="1"/>
  <c r="O202" i="1"/>
  <c r="M202" i="1"/>
  <c r="K202" i="1"/>
  <c r="AP201" i="1"/>
  <c r="AQ201" i="1" s="1"/>
  <c r="AM201" i="1"/>
  <c r="AJ201" i="1"/>
  <c r="AH201" i="1"/>
  <c r="Z201" i="1"/>
  <c r="W201" i="1"/>
  <c r="U201" i="1"/>
  <c r="S201" i="1"/>
  <c r="Q201" i="1"/>
  <c r="O201" i="1"/>
  <c r="M201" i="1"/>
  <c r="K201" i="1"/>
  <c r="AP200" i="1"/>
  <c r="AQ200" i="1" s="1"/>
  <c r="AM200" i="1"/>
  <c r="AJ200" i="1"/>
  <c r="AH200" i="1"/>
  <c r="Z200" i="1"/>
  <c r="W200" i="1"/>
  <c r="U200" i="1"/>
  <c r="S200" i="1"/>
  <c r="Q200" i="1"/>
  <c r="O200" i="1"/>
  <c r="M200" i="1"/>
  <c r="K200" i="1"/>
  <c r="AP199" i="1"/>
  <c r="AQ199" i="1" s="1"/>
  <c r="AM199" i="1"/>
  <c r="AJ199" i="1"/>
  <c r="AH199" i="1"/>
  <c r="Z199" i="1"/>
  <c r="W199" i="1"/>
  <c r="U199" i="1"/>
  <c r="S199" i="1"/>
  <c r="Q199" i="1"/>
  <c r="O199" i="1"/>
  <c r="M199" i="1"/>
  <c r="K199" i="1"/>
  <c r="AP198" i="1"/>
  <c r="AQ198" i="1" s="1"/>
  <c r="AM198" i="1"/>
  <c r="AJ198" i="1"/>
  <c r="AH198" i="1"/>
  <c r="Z198" i="1"/>
  <c r="W198" i="1"/>
  <c r="U198" i="1"/>
  <c r="S198" i="1"/>
  <c r="Q198" i="1"/>
  <c r="O198" i="1"/>
  <c r="M198" i="1"/>
  <c r="K198" i="1"/>
  <c r="AP197" i="1"/>
  <c r="AQ197" i="1" s="1"/>
  <c r="AM197" i="1"/>
  <c r="AJ197" i="1"/>
  <c r="AH197" i="1"/>
  <c r="Z197" i="1"/>
  <c r="W197" i="1"/>
  <c r="U197" i="1"/>
  <c r="S197" i="1"/>
  <c r="Q197" i="1"/>
  <c r="O197" i="1"/>
  <c r="M197" i="1"/>
  <c r="K197" i="1"/>
  <c r="AP196" i="1"/>
  <c r="AQ196" i="1" s="1"/>
  <c r="AM196" i="1"/>
  <c r="AJ196" i="1"/>
  <c r="AH196" i="1"/>
  <c r="Z196" i="1"/>
  <c r="W196" i="1"/>
  <c r="U196" i="1"/>
  <c r="S196" i="1"/>
  <c r="Q196" i="1"/>
  <c r="O196" i="1"/>
  <c r="M196" i="1"/>
  <c r="K196" i="1"/>
  <c r="AP195" i="1"/>
  <c r="AQ195" i="1" s="1"/>
  <c r="AM195" i="1"/>
  <c r="AJ195" i="1"/>
  <c r="AH195" i="1"/>
  <c r="Z195" i="1"/>
  <c r="W195" i="1"/>
  <c r="U195" i="1"/>
  <c r="S195" i="1"/>
  <c r="Q195" i="1"/>
  <c r="O195" i="1"/>
  <c r="M195" i="1"/>
  <c r="K195" i="1"/>
  <c r="AP194" i="1"/>
  <c r="AQ194" i="1" s="1"/>
  <c r="AM194" i="1"/>
  <c r="AJ194" i="1"/>
  <c r="AH194" i="1"/>
  <c r="Z194" i="1"/>
  <c r="W194" i="1"/>
  <c r="U194" i="1"/>
  <c r="S194" i="1"/>
  <c r="Q194" i="1"/>
  <c r="O194" i="1"/>
  <c r="M194" i="1"/>
  <c r="K194" i="1"/>
  <c r="AP193" i="1"/>
  <c r="AQ193" i="1" s="1"/>
  <c r="AM193" i="1"/>
  <c r="AJ193" i="1"/>
  <c r="AH193" i="1"/>
  <c r="Z193" i="1"/>
  <c r="W193" i="1"/>
  <c r="U193" i="1"/>
  <c r="S193" i="1"/>
  <c r="Q193" i="1"/>
  <c r="O193" i="1"/>
  <c r="M193" i="1"/>
  <c r="K193" i="1"/>
  <c r="AP192" i="1"/>
  <c r="AQ192" i="1" s="1"/>
  <c r="AM192" i="1"/>
  <c r="AJ192" i="1"/>
  <c r="AH192" i="1"/>
  <c r="Z192" i="1"/>
  <c r="W192" i="1"/>
  <c r="U192" i="1"/>
  <c r="S192" i="1"/>
  <c r="Q192" i="1"/>
  <c r="O192" i="1"/>
  <c r="M192" i="1"/>
  <c r="K192" i="1"/>
  <c r="AP191" i="1"/>
  <c r="AQ191" i="1" s="1"/>
  <c r="AM191" i="1"/>
  <c r="AJ191" i="1"/>
  <c r="AH191" i="1"/>
  <c r="Z191" i="1"/>
  <c r="W191" i="1"/>
  <c r="U191" i="1"/>
  <c r="S191" i="1"/>
  <c r="Q191" i="1"/>
  <c r="O191" i="1"/>
  <c r="M191" i="1"/>
  <c r="K191" i="1"/>
  <c r="AP190" i="1"/>
  <c r="AQ190" i="1" s="1"/>
  <c r="AM190" i="1"/>
  <c r="AJ190" i="1"/>
  <c r="AH190" i="1"/>
  <c r="Z190" i="1"/>
  <c r="W190" i="1"/>
  <c r="U190" i="1"/>
  <c r="S190" i="1"/>
  <c r="Q190" i="1"/>
  <c r="O190" i="1"/>
  <c r="M190" i="1"/>
  <c r="K190" i="1"/>
  <c r="AP189" i="1"/>
  <c r="AQ189" i="1" s="1"/>
  <c r="AM189" i="1"/>
  <c r="AJ189" i="1"/>
  <c r="AH189" i="1"/>
  <c r="Z189" i="1"/>
  <c r="W189" i="1"/>
  <c r="U189" i="1"/>
  <c r="S189" i="1"/>
  <c r="Q189" i="1"/>
  <c r="O189" i="1"/>
  <c r="M189" i="1"/>
  <c r="K189" i="1"/>
  <c r="AP188" i="1"/>
  <c r="AQ188" i="1" s="1"/>
  <c r="AM188" i="1"/>
  <c r="AJ188" i="1"/>
  <c r="AH188" i="1"/>
  <c r="Z188" i="1"/>
  <c r="W188" i="1"/>
  <c r="U188" i="1"/>
  <c r="S188" i="1"/>
  <c r="Q188" i="1"/>
  <c r="O188" i="1"/>
  <c r="M188" i="1"/>
  <c r="K188" i="1"/>
  <c r="AP187" i="1"/>
  <c r="AQ187" i="1" s="1"/>
  <c r="AM187" i="1"/>
  <c r="AJ187" i="1"/>
  <c r="AH187" i="1"/>
  <c r="Z187" i="1"/>
  <c r="W187" i="1"/>
  <c r="U187" i="1"/>
  <c r="S187" i="1"/>
  <c r="Q187" i="1"/>
  <c r="O187" i="1"/>
  <c r="M187" i="1"/>
  <c r="K187" i="1"/>
  <c r="AP186" i="1"/>
  <c r="AQ186" i="1" s="1"/>
  <c r="AM186" i="1"/>
  <c r="AJ186" i="1"/>
  <c r="AH186" i="1"/>
  <c r="Z186" i="1"/>
  <c r="W186" i="1"/>
  <c r="U186" i="1"/>
  <c r="S186" i="1"/>
  <c r="Q186" i="1"/>
  <c r="O186" i="1"/>
  <c r="M186" i="1"/>
  <c r="K186" i="1"/>
  <c r="AP185" i="1"/>
  <c r="AQ185" i="1" s="1"/>
  <c r="AM185" i="1"/>
  <c r="AJ185" i="1"/>
  <c r="AH185" i="1"/>
  <c r="Z185" i="1"/>
  <c r="W185" i="1"/>
  <c r="U185" i="1"/>
  <c r="S185" i="1"/>
  <c r="Q185" i="1"/>
  <c r="O185" i="1"/>
  <c r="M185" i="1"/>
  <c r="K185" i="1"/>
  <c r="AP184" i="1"/>
  <c r="AQ184" i="1" s="1"/>
  <c r="AM184" i="1"/>
  <c r="AJ184" i="1"/>
  <c r="AH184" i="1"/>
  <c r="Z184" i="1"/>
  <c r="W184" i="1"/>
  <c r="U184" i="1"/>
  <c r="S184" i="1"/>
  <c r="Q184" i="1"/>
  <c r="O184" i="1"/>
  <c r="M184" i="1"/>
  <c r="K184" i="1"/>
  <c r="AP183" i="1"/>
  <c r="AQ183" i="1" s="1"/>
  <c r="AM183" i="1"/>
  <c r="AJ183" i="1"/>
  <c r="AH183" i="1"/>
  <c r="Z183" i="1"/>
  <c r="W183" i="1"/>
  <c r="U183" i="1"/>
  <c r="S183" i="1"/>
  <c r="Q183" i="1"/>
  <c r="O183" i="1"/>
  <c r="M183" i="1"/>
  <c r="K183" i="1"/>
  <c r="AP182" i="1"/>
  <c r="AQ182" i="1" s="1"/>
  <c r="AM182" i="1"/>
  <c r="AJ182" i="1"/>
  <c r="AH182" i="1"/>
  <c r="Z182" i="1"/>
  <c r="W182" i="1"/>
  <c r="U182" i="1"/>
  <c r="S182" i="1"/>
  <c r="Q182" i="1"/>
  <c r="O182" i="1"/>
  <c r="M182" i="1"/>
  <c r="K182" i="1"/>
  <c r="AP181" i="1"/>
  <c r="AQ181" i="1" s="1"/>
  <c r="AM181" i="1"/>
  <c r="AJ181" i="1"/>
  <c r="AH181" i="1"/>
  <c r="Z181" i="1"/>
  <c r="W181" i="1"/>
  <c r="U181" i="1"/>
  <c r="S181" i="1"/>
  <c r="Q181" i="1"/>
  <c r="O181" i="1"/>
  <c r="M181" i="1"/>
  <c r="K181" i="1"/>
  <c r="AP180" i="1"/>
  <c r="AQ180" i="1" s="1"/>
  <c r="AM180" i="1"/>
  <c r="AJ180" i="1"/>
  <c r="AH180" i="1"/>
  <c r="Z180" i="1"/>
  <c r="W180" i="1"/>
  <c r="U180" i="1"/>
  <c r="S180" i="1"/>
  <c r="Q180" i="1"/>
  <c r="O180" i="1"/>
  <c r="M180" i="1"/>
  <c r="K180" i="1"/>
  <c r="AP179" i="1"/>
  <c r="AQ179" i="1" s="1"/>
  <c r="AM179" i="1"/>
  <c r="AJ179" i="1"/>
  <c r="AH179" i="1"/>
  <c r="Z179" i="1"/>
  <c r="W179" i="1"/>
  <c r="U179" i="1"/>
  <c r="S179" i="1"/>
  <c r="Q179" i="1"/>
  <c r="O179" i="1"/>
  <c r="M179" i="1"/>
  <c r="K179" i="1"/>
  <c r="AP178" i="1"/>
  <c r="AQ178" i="1" s="1"/>
  <c r="AM178" i="1"/>
  <c r="AJ178" i="1"/>
  <c r="AH178" i="1"/>
  <c r="Z178" i="1"/>
  <c r="W178" i="1"/>
  <c r="U178" i="1"/>
  <c r="S178" i="1"/>
  <c r="Q178" i="1"/>
  <c r="O178" i="1"/>
  <c r="M178" i="1"/>
  <c r="K178" i="1"/>
  <c r="AP177" i="1"/>
  <c r="AQ177" i="1" s="1"/>
  <c r="AM177" i="1"/>
  <c r="AJ177" i="1"/>
  <c r="AH177" i="1"/>
  <c r="Z177" i="1"/>
  <c r="W177" i="1"/>
  <c r="U177" i="1"/>
  <c r="S177" i="1"/>
  <c r="Q177" i="1"/>
  <c r="O177" i="1"/>
  <c r="M177" i="1"/>
  <c r="K177" i="1"/>
  <c r="AP176" i="1"/>
  <c r="AQ176" i="1" s="1"/>
  <c r="AM176" i="1"/>
  <c r="AJ176" i="1"/>
  <c r="AH176" i="1"/>
  <c r="Z176" i="1"/>
  <c r="W176" i="1"/>
  <c r="U176" i="1"/>
  <c r="S176" i="1"/>
  <c r="Q176" i="1"/>
  <c r="O176" i="1"/>
  <c r="M176" i="1"/>
  <c r="K176" i="1"/>
  <c r="AP175" i="1"/>
  <c r="AQ175" i="1" s="1"/>
  <c r="AM175" i="1"/>
  <c r="AJ175" i="1"/>
  <c r="AH175" i="1"/>
  <c r="Z175" i="1"/>
  <c r="W175" i="1"/>
  <c r="U175" i="1"/>
  <c r="S175" i="1"/>
  <c r="Q175" i="1"/>
  <c r="O175" i="1"/>
  <c r="M175" i="1"/>
  <c r="K175" i="1"/>
  <c r="AP174" i="1"/>
  <c r="AQ174" i="1" s="1"/>
  <c r="AM174" i="1"/>
  <c r="AJ174" i="1"/>
  <c r="AH174" i="1"/>
  <c r="Z174" i="1"/>
  <c r="W174" i="1"/>
  <c r="U174" i="1"/>
  <c r="S174" i="1"/>
  <c r="Q174" i="1"/>
  <c r="O174" i="1"/>
  <c r="M174" i="1"/>
  <c r="K174" i="1"/>
  <c r="AP173" i="1"/>
  <c r="AQ173" i="1" s="1"/>
  <c r="AM173" i="1"/>
  <c r="AJ173" i="1"/>
  <c r="AH173" i="1"/>
  <c r="Z173" i="1"/>
  <c r="W173" i="1"/>
  <c r="U173" i="1"/>
  <c r="S173" i="1"/>
  <c r="Q173" i="1"/>
  <c r="O173" i="1"/>
  <c r="M173" i="1"/>
  <c r="K173" i="1"/>
  <c r="AP172" i="1"/>
  <c r="AQ172" i="1" s="1"/>
  <c r="AM172" i="1"/>
  <c r="AJ172" i="1"/>
  <c r="AH172" i="1"/>
  <c r="Z172" i="1"/>
  <c r="W172" i="1"/>
  <c r="U172" i="1"/>
  <c r="S172" i="1"/>
  <c r="Q172" i="1"/>
  <c r="O172" i="1"/>
  <c r="M172" i="1"/>
  <c r="K172" i="1"/>
  <c r="AP171" i="1"/>
  <c r="AQ171" i="1" s="1"/>
  <c r="AM171" i="1"/>
  <c r="AJ171" i="1"/>
  <c r="AH171" i="1"/>
  <c r="Z171" i="1"/>
  <c r="W171" i="1"/>
  <c r="U171" i="1"/>
  <c r="S171" i="1"/>
  <c r="Q171" i="1"/>
  <c r="O171" i="1"/>
  <c r="M171" i="1"/>
  <c r="K171" i="1"/>
  <c r="AP170" i="1"/>
  <c r="AQ170" i="1" s="1"/>
  <c r="AM170" i="1"/>
  <c r="AJ170" i="1"/>
  <c r="AH170" i="1"/>
  <c r="Z170" i="1"/>
  <c r="W170" i="1"/>
  <c r="U170" i="1"/>
  <c r="S170" i="1"/>
  <c r="Q170" i="1"/>
  <c r="O170" i="1"/>
  <c r="M170" i="1"/>
  <c r="K170" i="1"/>
  <c r="AP169" i="1"/>
  <c r="AQ169" i="1" s="1"/>
  <c r="AM169" i="1"/>
  <c r="AJ169" i="1"/>
  <c r="AH169" i="1"/>
  <c r="Z169" i="1"/>
  <c r="W169" i="1"/>
  <c r="U169" i="1"/>
  <c r="S169" i="1"/>
  <c r="Q169" i="1"/>
  <c r="O169" i="1"/>
  <c r="M169" i="1"/>
  <c r="K169" i="1"/>
  <c r="AP168" i="1"/>
  <c r="AQ168" i="1" s="1"/>
  <c r="AM168" i="1"/>
  <c r="AJ168" i="1"/>
  <c r="AH168" i="1"/>
  <c r="Z168" i="1"/>
  <c r="W168" i="1"/>
  <c r="U168" i="1"/>
  <c r="S168" i="1"/>
  <c r="Q168" i="1"/>
  <c r="O168" i="1"/>
  <c r="M168" i="1"/>
  <c r="K168" i="1"/>
  <c r="AP167" i="1"/>
  <c r="AQ167" i="1" s="1"/>
  <c r="AM167" i="1"/>
  <c r="AJ167" i="1"/>
  <c r="AH167" i="1"/>
  <c r="Z167" i="1"/>
  <c r="W167" i="1"/>
  <c r="U167" i="1"/>
  <c r="S167" i="1"/>
  <c r="Q167" i="1"/>
  <c r="O167" i="1"/>
  <c r="M167" i="1"/>
  <c r="K167" i="1"/>
  <c r="AP166" i="1"/>
  <c r="AQ166" i="1" s="1"/>
  <c r="AM166" i="1"/>
  <c r="AJ166" i="1"/>
  <c r="AH166" i="1"/>
  <c r="Z166" i="1"/>
  <c r="W166" i="1"/>
  <c r="U166" i="1"/>
  <c r="S166" i="1"/>
  <c r="Q166" i="1"/>
  <c r="O166" i="1"/>
  <c r="M166" i="1"/>
  <c r="K166" i="1"/>
  <c r="AP165" i="1"/>
  <c r="AQ165" i="1" s="1"/>
  <c r="AM165" i="1"/>
  <c r="AJ165" i="1"/>
  <c r="AH165" i="1"/>
  <c r="Z165" i="1"/>
  <c r="W165" i="1"/>
  <c r="U165" i="1"/>
  <c r="S165" i="1"/>
  <c r="Q165" i="1"/>
  <c r="O165" i="1"/>
  <c r="M165" i="1"/>
  <c r="K165" i="1"/>
  <c r="AP164" i="1"/>
  <c r="AQ164" i="1" s="1"/>
  <c r="AM164" i="1"/>
  <c r="AJ164" i="1"/>
  <c r="AH164" i="1"/>
  <c r="Z164" i="1"/>
  <c r="W164" i="1"/>
  <c r="U164" i="1"/>
  <c r="S164" i="1"/>
  <c r="Q164" i="1"/>
  <c r="O164" i="1"/>
  <c r="M164" i="1"/>
  <c r="K164" i="1"/>
  <c r="AP163" i="1"/>
  <c r="AQ163" i="1" s="1"/>
  <c r="AM163" i="1"/>
  <c r="AJ163" i="1"/>
  <c r="AH163" i="1"/>
  <c r="Z163" i="1"/>
  <c r="W163" i="1"/>
  <c r="U163" i="1"/>
  <c r="S163" i="1"/>
  <c r="Q163" i="1"/>
  <c r="O163" i="1"/>
  <c r="M163" i="1"/>
  <c r="K163" i="1"/>
  <c r="AP162" i="1"/>
  <c r="AQ162" i="1" s="1"/>
  <c r="AM162" i="1"/>
  <c r="AJ162" i="1"/>
  <c r="AH162" i="1"/>
  <c r="Z162" i="1"/>
  <c r="W162" i="1"/>
  <c r="U162" i="1"/>
  <c r="S162" i="1"/>
  <c r="Q162" i="1"/>
  <c r="O162" i="1"/>
  <c r="M162" i="1"/>
  <c r="K162" i="1"/>
  <c r="AP161" i="1"/>
  <c r="AQ161" i="1" s="1"/>
  <c r="AM161" i="1"/>
  <c r="AJ161" i="1"/>
  <c r="AH161" i="1"/>
  <c r="Z161" i="1"/>
  <c r="W161" i="1"/>
  <c r="U161" i="1"/>
  <c r="S161" i="1"/>
  <c r="Q161" i="1"/>
  <c r="O161" i="1"/>
  <c r="M161" i="1"/>
  <c r="K161" i="1"/>
  <c r="AP160" i="1"/>
  <c r="AQ160" i="1" s="1"/>
  <c r="AM160" i="1"/>
  <c r="AJ160" i="1"/>
  <c r="AH160" i="1"/>
  <c r="Z160" i="1"/>
  <c r="W160" i="1"/>
  <c r="U160" i="1"/>
  <c r="S160" i="1"/>
  <c r="Q160" i="1"/>
  <c r="O160" i="1"/>
  <c r="M160" i="1"/>
  <c r="K160" i="1"/>
  <c r="AP159" i="1"/>
  <c r="AQ159" i="1" s="1"/>
  <c r="AM159" i="1"/>
  <c r="AJ159" i="1"/>
  <c r="AH159" i="1"/>
  <c r="Z159" i="1"/>
  <c r="W159" i="1"/>
  <c r="U159" i="1"/>
  <c r="S159" i="1"/>
  <c r="Q159" i="1"/>
  <c r="O159" i="1"/>
  <c r="M159" i="1"/>
  <c r="K159" i="1"/>
  <c r="AP158" i="1"/>
  <c r="AQ158" i="1" s="1"/>
  <c r="AM158" i="1"/>
  <c r="AJ158" i="1"/>
  <c r="AH158" i="1"/>
  <c r="Z158" i="1"/>
  <c r="W158" i="1"/>
  <c r="U158" i="1"/>
  <c r="S158" i="1"/>
  <c r="Q158" i="1"/>
  <c r="O158" i="1"/>
  <c r="M158" i="1"/>
  <c r="K158" i="1"/>
  <c r="AP157" i="1"/>
  <c r="AQ157" i="1" s="1"/>
  <c r="AM157" i="1"/>
  <c r="AJ157" i="1"/>
  <c r="AH157" i="1"/>
  <c r="Z157" i="1"/>
  <c r="W157" i="1"/>
  <c r="U157" i="1"/>
  <c r="S157" i="1"/>
  <c r="Q157" i="1"/>
  <c r="O157" i="1"/>
  <c r="M157" i="1"/>
  <c r="K157" i="1"/>
  <c r="AP156" i="1"/>
  <c r="AQ156" i="1" s="1"/>
  <c r="AM156" i="1"/>
  <c r="AJ156" i="1"/>
  <c r="AH156" i="1"/>
  <c r="Z156" i="1"/>
  <c r="W156" i="1"/>
  <c r="U156" i="1"/>
  <c r="S156" i="1"/>
  <c r="Q156" i="1"/>
  <c r="O156" i="1"/>
  <c r="M156" i="1"/>
  <c r="K156" i="1"/>
  <c r="AP155" i="1"/>
  <c r="AQ155" i="1" s="1"/>
  <c r="AM155" i="1"/>
  <c r="AJ155" i="1"/>
  <c r="AH155" i="1"/>
  <c r="Z155" i="1"/>
  <c r="W155" i="1"/>
  <c r="U155" i="1"/>
  <c r="S155" i="1"/>
  <c r="Q155" i="1"/>
  <c r="O155" i="1"/>
  <c r="M155" i="1"/>
  <c r="K155" i="1"/>
  <c r="AP154" i="1"/>
  <c r="AQ154" i="1" s="1"/>
  <c r="AM154" i="1"/>
  <c r="AJ154" i="1"/>
  <c r="AH154" i="1"/>
  <c r="Z154" i="1"/>
  <c r="W154" i="1"/>
  <c r="U154" i="1"/>
  <c r="S154" i="1"/>
  <c r="Q154" i="1"/>
  <c r="O154" i="1"/>
  <c r="M154" i="1"/>
  <c r="K154" i="1"/>
  <c r="AP153" i="1"/>
  <c r="AQ153" i="1" s="1"/>
  <c r="AM153" i="1"/>
  <c r="AJ153" i="1"/>
  <c r="AH153" i="1"/>
  <c r="Z153" i="1"/>
  <c r="W153" i="1"/>
  <c r="U153" i="1"/>
  <c r="S153" i="1"/>
  <c r="Q153" i="1"/>
  <c r="O153" i="1"/>
  <c r="M153" i="1"/>
  <c r="K153" i="1"/>
  <c r="AP152" i="1"/>
  <c r="AQ152" i="1" s="1"/>
  <c r="AM152" i="1"/>
  <c r="AJ152" i="1"/>
  <c r="AH152" i="1"/>
  <c r="Z152" i="1"/>
  <c r="W152" i="1"/>
  <c r="U152" i="1"/>
  <c r="S152" i="1"/>
  <c r="Q152" i="1"/>
  <c r="O152" i="1"/>
  <c r="M152" i="1"/>
  <c r="K152" i="1"/>
  <c r="AP151" i="1"/>
  <c r="AQ151" i="1" s="1"/>
  <c r="AM151" i="1"/>
  <c r="AJ151" i="1"/>
  <c r="AH151" i="1"/>
  <c r="Z151" i="1"/>
  <c r="W151" i="1"/>
  <c r="U151" i="1"/>
  <c r="S151" i="1"/>
  <c r="Q151" i="1"/>
  <c r="O151" i="1"/>
  <c r="M151" i="1"/>
  <c r="K151" i="1"/>
  <c r="AP150" i="1"/>
  <c r="AQ150" i="1" s="1"/>
  <c r="AM150" i="1"/>
  <c r="AJ150" i="1"/>
  <c r="AH150" i="1"/>
  <c r="Z150" i="1"/>
  <c r="W150" i="1"/>
  <c r="U150" i="1"/>
  <c r="S150" i="1"/>
  <c r="Q150" i="1"/>
  <c r="O150" i="1"/>
  <c r="M150" i="1"/>
  <c r="K150" i="1"/>
  <c r="AP149" i="1"/>
  <c r="AQ149" i="1" s="1"/>
  <c r="AM149" i="1"/>
  <c r="AJ149" i="1"/>
  <c r="AH149" i="1"/>
  <c r="Z149" i="1"/>
  <c r="W149" i="1"/>
  <c r="U149" i="1"/>
  <c r="S149" i="1"/>
  <c r="Q149" i="1"/>
  <c r="O149" i="1"/>
  <c r="M149" i="1"/>
  <c r="K149" i="1"/>
  <c r="AP148" i="1"/>
  <c r="AQ148" i="1" s="1"/>
  <c r="AM148" i="1"/>
  <c r="AJ148" i="1"/>
  <c r="AH148" i="1"/>
  <c r="Z148" i="1"/>
  <c r="W148" i="1"/>
  <c r="U148" i="1"/>
  <c r="S148" i="1"/>
  <c r="Q148" i="1"/>
  <c r="O148" i="1"/>
  <c r="M148" i="1"/>
  <c r="K148" i="1"/>
  <c r="AP147" i="1"/>
  <c r="AQ147" i="1" s="1"/>
  <c r="AM147" i="1"/>
  <c r="AJ147" i="1"/>
  <c r="AH147" i="1"/>
  <c r="Z147" i="1"/>
  <c r="W147" i="1"/>
  <c r="U147" i="1"/>
  <c r="S147" i="1"/>
  <c r="Q147" i="1"/>
  <c r="O147" i="1"/>
  <c r="M147" i="1"/>
  <c r="K147" i="1"/>
  <c r="AP146" i="1"/>
  <c r="AQ146" i="1" s="1"/>
  <c r="AM146" i="1"/>
  <c r="AJ146" i="1"/>
  <c r="AH146" i="1"/>
  <c r="Z146" i="1"/>
  <c r="W146" i="1"/>
  <c r="U146" i="1"/>
  <c r="S146" i="1"/>
  <c r="Q146" i="1"/>
  <c r="O146" i="1"/>
  <c r="M146" i="1"/>
  <c r="K146" i="1"/>
  <c r="AP145" i="1"/>
  <c r="AQ145" i="1" s="1"/>
  <c r="AM145" i="1"/>
  <c r="AJ145" i="1"/>
  <c r="AH145" i="1"/>
  <c r="Z145" i="1"/>
  <c r="W145" i="1"/>
  <c r="U145" i="1"/>
  <c r="S145" i="1"/>
  <c r="Q145" i="1"/>
  <c r="O145" i="1"/>
  <c r="M145" i="1"/>
  <c r="K145" i="1"/>
  <c r="AP144" i="1"/>
  <c r="AQ144" i="1" s="1"/>
  <c r="AM144" i="1"/>
  <c r="AJ144" i="1"/>
  <c r="AH144" i="1"/>
  <c r="Z144" i="1"/>
  <c r="W144" i="1"/>
  <c r="U144" i="1"/>
  <c r="S144" i="1"/>
  <c r="Q144" i="1"/>
  <c r="O144" i="1"/>
  <c r="M144" i="1"/>
  <c r="K144" i="1"/>
  <c r="AP143" i="1"/>
  <c r="AQ143" i="1" s="1"/>
  <c r="AM143" i="1"/>
  <c r="AJ143" i="1"/>
  <c r="AH143" i="1"/>
  <c r="Z143" i="1"/>
  <c r="W143" i="1"/>
  <c r="U143" i="1"/>
  <c r="S143" i="1"/>
  <c r="Q143" i="1"/>
  <c r="O143" i="1"/>
  <c r="M143" i="1"/>
  <c r="K143" i="1"/>
  <c r="AP142" i="1"/>
  <c r="AQ142" i="1" s="1"/>
  <c r="AM142" i="1"/>
  <c r="AJ142" i="1"/>
  <c r="AH142" i="1"/>
  <c r="Z142" i="1"/>
  <c r="W142" i="1"/>
  <c r="U142" i="1"/>
  <c r="S142" i="1"/>
  <c r="Q142" i="1"/>
  <c r="O142" i="1"/>
  <c r="M142" i="1"/>
  <c r="K142" i="1"/>
  <c r="AP141" i="1"/>
  <c r="AQ141" i="1" s="1"/>
  <c r="AM141" i="1"/>
  <c r="AJ141" i="1"/>
  <c r="AH141" i="1"/>
  <c r="Z141" i="1"/>
  <c r="W141" i="1"/>
  <c r="U141" i="1"/>
  <c r="S141" i="1"/>
  <c r="Q141" i="1"/>
  <c r="O141" i="1"/>
  <c r="M141" i="1"/>
  <c r="K141" i="1"/>
  <c r="AP140" i="1"/>
  <c r="AQ140" i="1" s="1"/>
  <c r="AM140" i="1"/>
  <c r="AJ140" i="1"/>
  <c r="AH140" i="1"/>
  <c r="Z140" i="1"/>
  <c r="W140" i="1"/>
  <c r="U140" i="1"/>
  <c r="S140" i="1"/>
  <c r="Q140" i="1"/>
  <c r="O140" i="1"/>
  <c r="M140" i="1"/>
  <c r="K140" i="1"/>
  <c r="AP139" i="1"/>
  <c r="AQ139" i="1" s="1"/>
  <c r="AM139" i="1"/>
  <c r="AJ139" i="1"/>
  <c r="AH139" i="1"/>
  <c r="Z139" i="1"/>
  <c r="W139" i="1"/>
  <c r="U139" i="1"/>
  <c r="S139" i="1"/>
  <c r="Q139" i="1"/>
  <c r="O139" i="1"/>
  <c r="M139" i="1"/>
  <c r="K139" i="1"/>
  <c r="AP138" i="1"/>
  <c r="AQ138" i="1" s="1"/>
  <c r="AM138" i="1"/>
  <c r="AJ138" i="1"/>
  <c r="AH138" i="1"/>
  <c r="Z138" i="1"/>
  <c r="W138" i="1"/>
  <c r="U138" i="1"/>
  <c r="S138" i="1"/>
  <c r="Q138" i="1"/>
  <c r="O138" i="1"/>
  <c r="M138" i="1"/>
  <c r="K138" i="1"/>
  <c r="AP137" i="1"/>
  <c r="AQ137" i="1" s="1"/>
  <c r="AM137" i="1"/>
  <c r="AJ137" i="1"/>
  <c r="AH137" i="1"/>
  <c r="Z137" i="1"/>
  <c r="W137" i="1"/>
  <c r="U137" i="1"/>
  <c r="S137" i="1"/>
  <c r="Q137" i="1"/>
  <c r="O137" i="1"/>
  <c r="M137" i="1"/>
  <c r="K137" i="1"/>
  <c r="AP136" i="1"/>
  <c r="AQ136" i="1" s="1"/>
  <c r="AM136" i="1"/>
  <c r="AJ136" i="1"/>
  <c r="AH136" i="1"/>
  <c r="Z136" i="1"/>
  <c r="W136" i="1"/>
  <c r="U136" i="1"/>
  <c r="S136" i="1"/>
  <c r="Q136" i="1"/>
  <c r="O136" i="1"/>
  <c r="M136" i="1"/>
  <c r="K136" i="1"/>
  <c r="AP135" i="1"/>
  <c r="AQ135" i="1" s="1"/>
  <c r="AM135" i="1"/>
  <c r="AJ135" i="1"/>
  <c r="AH135" i="1"/>
  <c r="Z135" i="1"/>
  <c r="W135" i="1"/>
  <c r="U135" i="1"/>
  <c r="S135" i="1"/>
  <c r="Q135" i="1"/>
  <c r="O135" i="1"/>
  <c r="M135" i="1"/>
  <c r="K135" i="1"/>
  <c r="AP134" i="1"/>
  <c r="AQ134" i="1" s="1"/>
  <c r="AM134" i="1"/>
  <c r="AJ134" i="1"/>
  <c r="AH134" i="1"/>
  <c r="Z134" i="1"/>
  <c r="W134" i="1"/>
  <c r="U134" i="1"/>
  <c r="S134" i="1"/>
  <c r="Q134" i="1"/>
  <c r="O134" i="1"/>
  <c r="M134" i="1"/>
  <c r="K134" i="1"/>
  <c r="AP133" i="1"/>
  <c r="AQ133" i="1" s="1"/>
  <c r="AM133" i="1"/>
  <c r="AJ133" i="1"/>
  <c r="AH133" i="1"/>
  <c r="Z133" i="1"/>
  <c r="W133" i="1"/>
  <c r="U133" i="1"/>
  <c r="S133" i="1"/>
  <c r="Q133" i="1"/>
  <c r="O133" i="1"/>
  <c r="M133" i="1"/>
  <c r="K133" i="1"/>
  <c r="AP132" i="1"/>
  <c r="AQ132" i="1" s="1"/>
  <c r="AM132" i="1"/>
  <c r="AJ132" i="1"/>
  <c r="AH132" i="1"/>
  <c r="Z132" i="1"/>
  <c r="W132" i="1"/>
  <c r="U132" i="1"/>
  <c r="S132" i="1"/>
  <c r="Q132" i="1"/>
  <c r="O132" i="1"/>
  <c r="M132" i="1"/>
  <c r="K132" i="1"/>
  <c r="AP131" i="1"/>
  <c r="AQ131" i="1" s="1"/>
  <c r="AM131" i="1"/>
  <c r="AJ131" i="1"/>
  <c r="AH131" i="1"/>
  <c r="Z131" i="1"/>
  <c r="W131" i="1"/>
  <c r="U131" i="1"/>
  <c r="S131" i="1"/>
  <c r="Q131" i="1"/>
  <c r="O131" i="1"/>
  <c r="M131" i="1"/>
  <c r="K131" i="1"/>
  <c r="AP130" i="1"/>
  <c r="AQ130" i="1" s="1"/>
  <c r="AM130" i="1"/>
  <c r="AJ130" i="1"/>
  <c r="AH130" i="1"/>
  <c r="Z130" i="1"/>
  <c r="W130" i="1"/>
  <c r="U130" i="1"/>
  <c r="S130" i="1"/>
  <c r="Q130" i="1"/>
  <c r="O130" i="1"/>
  <c r="M130" i="1"/>
  <c r="K130" i="1"/>
  <c r="AP129" i="1"/>
  <c r="AQ129" i="1" s="1"/>
  <c r="AM129" i="1"/>
  <c r="AJ129" i="1"/>
  <c r="AH129" i="1"/>
  <c r="Z129" i="1"/>
  <c r="W129" i="1"/>
  <c r="U129" i="1"/>
  <c r="S129" i="1"/>
  <c r="Q129" i="1"/>
  <c r="O129" i="1"/>
  <c r="M129" i="1"/>
  <c r="K129" i="1"/>
  <c r="AP128" i="1"/>
  <c r="AQ128" i="1" s="1"/>
  <c r="AM128" i="1"/>
  <c r="AJ128" i="1"/>
  <c r="AH128" i="1"/>
  <c r="Z128" i="1"/>
  <c r="W128" i="1"/>
  <c r="U128" i="1"/>
  <c r="S128" i="1"/>
  <c r="Q128" i="1"/>
  <c r="O128" i="1"/>
  <c r="M128" i="1"/>
  <c r="K128" i="1"/>
  <c r="AP127" i="1"/>
  <c r="AQ127" i="1" s="1"/>
  <c r="AM127" i="1"/>
  <c r="AJ127" i="1"/>
  <c r="AH127" i="1"/>
  <c r="Z127" i="1"/>
  <c r="W127" i="1"/>
  <c r="U127" i="1"/>
  <c r="S127" i="1"/>
  <c r="Q127" i="1"/>
  <c r="O127" i="1"/>
  <c r="M127" i="1"/>
  <c r="K127" i="1"/>
  <c r="AP126" i="1"/>
  <c r="AQ126" i="1" s="1"/>
  <c r="AM126" i="1"/>
  <c r="AJ126" i="1"/>
  <c r="AH126" i="1"/>
  <c r="Z126" i="1"/>
  <c r="W126" i="1"/>
  <c r="U126" i="1"/>
  <c r="S126" i="1"/>
  <c r="Q126" i="1"/>
  <c r="O126" i="1"/>
  <c r="M126" i="1"/>
  <c r="K126" i="1"/>
  <c r="AP125" i="1"/>
  <c r="AQ125" i="1" s="1"/>
  <c r="AM125" i="1"/>
  <c r="AJ125" i="1"/>
  <c r="AH125" i="1"/>
  <c r="Z125" i="1"/>
  <c r="W125" i="1"/>
  <c r="U125" i="1"/>
  <c r="S125" i="1"/>
  <c r="Q125" i="1"/>
  <c r="O125" i="1"/>
  <c r="M125" i="1"/>
  <c r="K125" i="1"/>
  <c r="AP124" i="1"/>
  <c r="AQ124" i="1" s="1"/>
  <c r="AM124" i="1"/>
  <c r="AJ124" i="1"/>
  <c r="AH124" i="1"/>
  <c r="Z124" i="1"/>
  <c r="W124" i="1"/>
  <c r="U124" i="1"/>
  <c r="S124" i="1"/>
  <c r="Q124" i="1"/>
  <c r="O124" i="1"/>
  <c r="M124" i="1"/>
  <c r="K124" i="1"/>
  <c r="AP123" i="1"/>
  <c r="AQ123" i="1" s="1"/>
  <c r="AM123" i="1"/>
  <c r="AJ123" i="1"/>
  <c r="AH123" i="1"/>
  <c r="Z123" i="1"/>
  <c r="W123" i="1"/>
  <c r="U123" i="1"/>
  <c r="S123" i="1"/>
  <c r="Q123" i="1"/>
  <c r="O123" i="1"/>
  <c r="M123" i="1"/>
  <c r="K123" i="1"/>
  <c r="AP122" i="1"/>
  <c r="AQ122" i="1" s="1"/>
  <c r="AM122" i="1"/>
  <c r="AJ122" i="1"/>
  <c r="AH122" i="1"/>
  <c r="Z122" i="1"/>
  <c r="W122" i="1"/>
  <c r="U122" i="1"/>
  <c r="S122" i="1"/>
  <c r="Q122" i="1"/>
  <c r="O122" i="1"/>
  <c r="M122" i="1"/>
  <c r="K122" i="1"/>
  <c r="AP121" i="1"/>
  <c r="AQ121" i="1" s="1"/>
  <c r="AM121" i="1"/>
  <c r="AJ121" i="1"/>
  <c r="AH121" i="1"/>
  <c r="Z121" i="1"/>
  <c r="W121" i="1"/>
  <c r="U121" i="1"/>
  <c r="S121" i="1"/>
  <c r="Q121" i="1"/>
  <c r="O121" i="1"/>
  <c r="M121" i="1"/>
  <c r="K121" i="1"/>
  <c r="AP120" i="1"/>
  <c r="AQ120" i="1" s="1"/>
  <c r="AM120" i="1"/>
  <c r="AJ120" i="1"/>
  <c r="AH120" i="1"/>
  <c r="Z120" i="1"/>
  <c r="W120" i="1"/>
  <c r="U120" i="1"/>
  <c r="S120" i="1"/>
  <c r="Q120" i="1"/>
  <c r="O120" i="1"/>
  <c r="M120" i="1"/>
  <c r="K120" i="1"/>
  <c r="AP119" i="1"/>
  <c r="AQ119" i="1" s="1"/>
  <c r="AM119" i="1"/>
  <c r="AJ119" i="1"/>
  <c r="AH119" i="1"/>
  <c r="Z119" i="1"/>
  <c r="W119" i="1"/>
  <c r="U119" i="1"/>
  <c r="S119" i="1"/>
  <c r="Q119" i="1"/>
  <c r="O119" i="1"/>
  <c r="M119" i="1"/>
  <c r="K119" i="1"/>
  <c r="AP118" i="1"/>
  <c r="AQ118" i="1" s="1"/>
  <c r="AM118" i="1"/>
  <c r="AJ118" i="1"/>
  <c r="AH118" i="1"/>
  <c r="Z118" i="1"/>
  <c r="W118" i="1"/>
  <c r="U118" i="1"/>
  <c r="S118" i="1"/>
  <c r="Q118" i="1"/>
  <c r="O118" i="1"/>
  <c r="M118" i="1"/>
  <c r="K118" i="1"/>
  <c r="AP117" i="1"/>
  <c r="AQ117" i="1" s="1"/>
  <c r="AM117" i="1"/>
  <c r="AJ117" i="1"/>
  <c r="AH117" i="1"/>
  <c r="Z117" i="1"/>
  <c r="W117" i="1"/>
  <c r="U117" i="1"/>
  <c r="S117" i="1"/>
  <c r="Q117" i="1"/>
  <c r="O117" i="1"/>
  <c r="M117" i="1"/>
  <c r="K117" i="1"/>
  <c r="AP116" i="1"/>
  <c r="AQ116" i="1" s="1"/>
  <c r="AM116" i="1"/>
  <c r="AJ116" i="1"/>
  <c r="AH116" i="1"/>
  <c r="Z116" i="1"/>
  <c r="W116" i="1"/>
  <c r="U116" i="1"/>
  <c r="S116" i="1"/>
  <c r="Q116" i="1"/>
  <c r="O116" i="1"/>
  <c r="M116" i="1"/>
  <c r="K116" i="1"/>
  <c r="AP115" i="1"/>
  <c r="AQ115" i="1" s="1"/>
  <c r="AM115" i="1"/>
  <c r="AJ115" i="1"/>
  <c r="AH115" i="1"/>
  <c r="Z115" i="1"/>
  <c r="W115" i="1"/>
  <c r="U115" i="1"/>
  <c r="S115" i="1"/>
  <c r="Q115" i="1"/>
  <c r="O115" i="1"/>
  <c r="M115" i="1"/>
  <c r="K115" i="1"/>
  <c r="AP114" i="1"/>
  <c r="AQ114" i="1" s="1"/>
  <c r="AM114" i="1"/>
  <c r="AJ114" i="1"/>
  <c r="AH114" i="1"/>
  <c r="Z114" i="1"/>
  <c r="W114" i="1"/>
  <c r="U114" i="1"/>
  <c r="S114" i="1"/>
  <c r="Q114" i="1"/>
  <c r="O114" i="1"/>
  <c r="M114" i="1"/>
  <c r="K114" i="1"/>
  <c r="AP113" i="1"/>
  <c r="AQ113" i="1" s="1"/>
  <c r="AM113" i="1"/>
  <c r="AJ113" i="1"/>
  <c r="AH113" i="1"/>
  <c r="Z113" i="1"/>
  <c r="W113" i="1"/>
  <c r="U113" i="1"/>
  <c r="S113" i="1"/>
  <c r="Q113" i="1"/>
  <c r="O113" i="1"/>
  <c r="M113" i="1"/>
  <c r="K113" i="1"/>
  <c r="AP112" i="1"/>
  <c r="AQ112" i="1" s="1"/>
  <c r="AM112" i="1"/>
  <c r="AJ112" i="1"/>
  <c r="AH112" i="1"/>
  <c r="Z112" i="1"/>
  <c r="W112" i="1"/>
  <c r="U112" i="1"/>
  <c r="S112" i="1"/>
  <c r="Q112" i="1"/>
  <c r="O112" i="1"/>
  <c r="M112" i="1"/>
  <c r="K112" i="1"/>
  <c r="AP111" i="1"/>
  <c r="AQ111" i="1" s="1"/>
  <c r="AM111" i="1"/>
  <c r="AJ111" i="1"/>
  <c r="AH111" i="1"/>
  <c r="Z111" i="1"/>
  <c r="W111" i="1"/>
  <c r="U111" i="1"/>
  <c r="S111" i="1"/>
  <c r="Q111" i="1"/>
  <c r="O111" i="1"/>
  <c r="M111" i="1"/>
  <c r="K111" i="1"/>
  <c r="AP110" i="1"/>
  <c r="AQ110" i="1" s="1"/>
  <c r="AM110" i="1"/>
  <c r="AJ110" i="1"/>
  <c r="AH110" i="1"/>
  <c r="Z110" i="1"/>
  <c r="W110" i="1"/>
  <c r="U110" i="1"/>
  <c r="S110" i="1"/>
  <c r="Q110" i="1"/>
  <c r="O110" i="1"/>
  <c r="M110" i="1"/>
  <c r="K110" i="1"/>
  <c r="AP109" i="1"/>
  <c r="AQ109" i="1" s="1"/>
  <c r="AM109" i="1"/>
  <c r="AJ109" i="1"/>
  <c r="AH109" i="1"/>
  <c r="Z109" i="1"/>
  <c r="W109" i="1"/>
  <c r="U109" i="1"/>
  <c r="S109" i="1"/>
  <c r="Q109" i="1"/>
  <c r="O109" i="1"/>
  <c r="M109" i="1"/>
  <c r="K109" i="1"/>
  <c r="AP108" i="1"/>
  <c r="AQ108" i="1" s="1"/>
  <c r="AM108" i="1"/>
  <c r="AJ108" i="1"/>
  <c r="AH108" i="1"/>
  <c r="Z108" i="1"/>
  <c r="W108" i="1"/>
  <c r="U108" i="1"/>
  <c r="S108" i="1"/>
  <c r="Q108" i="1"/>
  <c r="O108" i="1"/>
  <c r="M108" i="1"/>
  <c r="K108" i="1"/>
  <c r="AP107" i="1"/>
  <c r="AQ107" i="1" s="1"/>
  <c r="AM107" i="1"/>
  <c r="AJ107" i="1"/>
  <c r="AH107" i="1"/>
  <c r="Z107" i="1"/>
  <c r="W107" i="1"/>
  <c r="U107" i="1"/>
  <c r="S107" i="1"/>
  <c r="Q107" i="1"/>
  <c r="O107" i="1"/>
  <c r="M107" i="1"/>
  <c r="K107" i="1"/>
  <c r="AP106" i="1"/>
  <c r="AQ106" i="1" s="1"/>
  <c r="AM106" i="1"/>
  <c r="AJ106" i="1"/>
  <c r="AH106" i="1"/>
  <c r="Z106" i="1"/>
  <c r="W106" i="1"/>
  <c r="U106" i="1"/>
  <c r="S106" i="1"/>
  <c r="Q106" i="1"/>
  <c r="O106" i="1"/>
  <c r="M106" i="1"/>
  <c r="K106" i="1"/>
  <c r="AP105" i="1"/>
  <c r="AQ105" i="1" s="1"/>
  <c r="AM105" i="1"/>
  <c r="AJ105" i="1"/>
  <c r="AH105" i="1"/>
  <c r="Z105" i="1"/>
  <c r="W105" i="1"/>
  <c r="U105" i="1"/>
  <c r="S105" i="1"/>
  <c r="Q105" i="1"/>
  <c r="O105" i="1"/>
  <c r="M105" i="1"/>
  <c r="K105" i="1"/>
  <c r="AP104" i="1"/>
  <c r="AQ104" i="1" s="1"/>
  <c r="AM104" i="1"/>
  <c r="AJ104" i="1"/>
  <c r="AH104" i="1"/>
  <c r="Z104" i="1"/>
  <c r="W104" i="1"/>
  <c r="U104" i="1"/>
  <c r="S104" i="1"/>
  <c r="Q104" i="1"/>
  <c r="O104" i="1"/>
  <c r="M104" i="1"/>
  <c r="K104" i="1"/>
  <c r="AP103" i="1"/>
  <c r="AQ103" i="1" s="1"/>
  <c r="AM103" i="1"/>
  <c r="AJ103" i="1"/>
  <c r="AH103" i="1"/>
  <c r="Z103" i="1"/>
  <c r="W103" i="1"/>
  <c r="U103" i="1"/>
  <c r="S103" i="1"/>
  <c r="Q103" i="1"/>
  <c r="O103" i="1"/>
  <c r="M103" i="1"/>
  <c r="K103" i="1"/>
  <c r="AP102" i="1"/>
  <c r="AQ102" i="1" s="1"/>
  <c r="AM102" i="1"/>
  <c r="AJ102" i="1"/>
  <c r="AH102" i="1"/>
  <c r="Z102" i="1"/>
  <c r="W102" i="1"/>
  <c r="U102" i="1"/>
  <c r="S102" i="1"/>
  <c r="Q102" i="1"/>
  <c r="O102" i="1"/>
  <c r="M102" i="1"/>
  <c r="K102" i="1"/>
  <c r="AP101" i="1"/>
  <c r="AQ101" i="1" s="1"/>
  <c r="AM101" i="1"/>
  <c r="AJ101" i="1"/>
  <c r="AH101" i="1"/>
  <c r="Z101" i="1"/>
  <c r="W101" i="1"/>
  <c r="U101" i="1"/>
  <c r="S101" i="1"/>
  <c r="Q101" i="1"/>
  <c r="O101" i="1"/>
  <c r="M101" i="1"/>
  <c r="K101" i="1"/>
  <c r="AP100" i="1"/>
  <c r="AQ100" i="1" s="1"/>
  <c r="AM100" i="1"/>
  <c r="AJ100" i="1"/>
  <c r="AH100" i="1"/>
  <c r="Z100" i="1"/>
  <c r="W100" i="1"/>
  <c r="U100" i="1"/>
  <c r="S100" i="1"/>
  <c r="Q100" i="1"/>
  <c r="O100" i="1"/>
  <c r="M100" i="1"/>
  <c r="K100" i="1"/>
  <c r="AP99" i="1"/>
  <c r="AQ99" i="1" s="1"/>
  <c r="AM99" i="1"/>
  <c r="AJ99" i="1"/>
  <c r="AH99" i="1"/>
  <c r="Z99" i="1"/>
  <c r="W99" i="1"/>
  <c r="U99" i="1"/>
  <c r="S99" i="1"/>
  <c r="Q99" i="1"/>
  <c r="O99" i="1"/>
  <c r="M99" i="1"/>
  <c r="K99" i="1"/>
  <c r="AP98" i="1"/>
  <c r="AQ98" i="1" s="1"/>
  <c r="AM98" i="1"/>
  <c r="AJ98" i="1"/>
  <c r="AH98" i="1"/>
  <c r="Z98" i="1"/>
  <c r="W98" i="1"/>
  <c r="U98" i="1"/>
  <c r="S98" i="1"/>
  <c r="Q98" i="1"/>
  <c r="O98" i="1"/>
  <c r="M98" i="1"/>
  <c r="K98" i="1"/>
  <c r="AP97" i="1"/>
  <c r="AQ97" i="1" s="1"/>
  <c r="AM97" i="1"/>
  <c r="AJ97" i="1"/>
  <c r="AH97" i="1"/>
  <c r="Z97" i="1"/>
  <c r="W97" i="1"/>
  <c r="U97" i="1"/>
  <c r="S97" i="1"/>
  <c r="Q97" i="1"/>
  <c r="O97" i="1"/>
  <c r="M97" i="1"/>
  <c r="K97" i="1"/>
  <c r="AP96" i="1"/>
  <c r="AQ96" i="1" s="1"/>
  <c r="AM96" i="1"/>
  <c r="AJ96" i="1"/>
  <c r="AH96" i="1"/>
  <c r="Z96" i="1"/>
  <c r="W96" i="1"/>
  <c r="U96" i="1"/>
  <c r="S96" i="1"/>
  <c r="Q96" i="1"/>
  <c r="O96" i="1"/>
  <c r="M96" i="1"/>
  <c r="K96" i="1"/>
  <c r="AP95" i="1"/>
  <c r="AQ95" i="1" s="1"/>
  <c r="AM95" i="1"/>
  <c r="AJ95" i="1"/>
  <c r="AH95" i="1"/>
  <c r="Z95" i="1"/>
  <c r="W95" i="1"/>
  <c r="U95" i="1"/>
  <c r="S95" i="1"/>
  <c r="Q95" i="1"/>
  <c r="O95" i="1"/>
  <c r="M95" i="1"/>
  <c r="K95" i="1"/>
  <c r="AP94" i="1"/>
  <c r="AQ94" i="1" s="1"/>
  <c r="AM94" i="1"/>
  <c r="AJ94" i="1"/>
  <c r="AH94" i="1"/>
  <c r="Z94" i="1"/>
  <c r="W94" i="1"/>
  <c r="U94" i="1"/>
  <c r="S94" i="1"/>
  <c r="Q94" i="1"/>
  <c r="O94" i="1"/>
  <c r="M94" i="1"/>
  <c r="K94" i="1"/>
  <c r="AP93" i="1"/>
  <c r="AQ93" i="1" s="1"/>
  <c r="AM93" i="1"/>
  <c r="AJ93" i="1"/>
  <c r="AH93" i="1"/>
  <c r="Z93" i="1"/>
  <c r="W93" i="1"/>
  <c r="U93" i="1"/>
  <c r="S93" i="1"/>
  <c r="Q93" i="1"/>
  <c r="O93" i="1"/>
  <c r="M93" i="1"/>
  <c r="K93" i="1"/>
  <c r="AP92" i="1"/>
  <c r="AQ92" i="1" s="1"/>
  <c r="AM92" i="1"/>
  <c r="AJ92" i="1"/>
  <c r="AH92" i="1"/>
  <c r="Z92" i="1"/>
  <c r="W92" i="1"/>
  <c r="U92" i="1"/>
  <c r="S92" i="1"/>
  <c r="Q92" i="1"/>
  <c r="O92" i="1"/>
  <c r="M92" i="1"/>
  <c r="K92" i="1"/>
  <c r="AP91" i="1"/>
  <c r="AQ91" i="1" s="1"/>
  <c r="AM91" i="1"/>
  <c r="AJ91" i="1"/>
  <c r="AH91" i="1"/>
  <c r="Z91" i="1"/>
  <c r="W91" i="1"/>
  <c r="U91" i="1"/>
  <c r="S91" i="1"/>
  <c r="Q91" i="1"/>
  <c r="O91" i="1"/>
  <c r="M91" i="1"/>
  <c r="K91" i="1"/>
  <c r="AP90" i="1"/>
  <c r="AQ90" i="1" s="1"/>
  <c r="AM90" i="1"/>
  <c r="AJ90" i="1"/>
  <c r="AH90" i="1"/>
  <c r="Z90" i="1"/>
  <c r="W90" i="1"/>
  <c r="U90" i="1"/>
  <c r="S90" i="1"/>
  <c r="Q90" i="1"/>
  <c r="O90" i="1"/>
  <c r="M90" i="1"/>
  <c r="K90" i="1"/>
  <c r="AP89" i="1"/>
  <c r="AQ89" i="1" s="1"/>
  <c r="AM89" i="1"/>
  <c r="AJ89" i="1"/>
  <c r="AH89" i="1"/>
  <c r="Z89" i="1"/>
  <c r="W89" i="1"/>
  <c r="U89" i="1"/>
  <c r="S89" i="1"/>
  <c r="Q89" i="1"/>
  <c r="O89" i="1"/>
  <c r="M89" i="1"/>
  <c r="K89" i="1"/>
  <c r="AP88" i="1"/>
  <c r="AQ88" i="1" s="1"/>
  <c r="AM88" i="1"/>
  <c r="AJ88" i="1"/>
  <c r="AH88" i="1"/>
  <c r="Z88" i="1"/>
  <c r="W88" i="1"/>
  <c r="U88" i="1"/>
  <c r="S88" i="1"/>
  <c r="Q88" i="1"/>
  <c r="O88" i="1"/>
  <c r="M88" i="1"/>
  <c r="K88" i="1"/>
  <c r="AP87" i="1"/>
  <c r="AQ87" i="1" s="1"/>
  <c r="AM87" i="1"/>
  <c r="AJ87" i="1"/>
  <c r="AH87" i="1"/>
  <c r="Z87" i="1"/>
  <c r="W87" i="1"/>
  <c r="U87" i="1"/>
  <c r="S87" i="1"/>
  <c r="Q87" i="1"/>
  <c r="O87" i="1"/>
  <c r="M87" i="1"/>
  <c r="K87" i="1"/>
  <c r="AP86" i="1"/>
  <c r="AQ86" i="1" s="1"/>
  <c r="AM86" i="1"/>
  <c r="AJ86" i="1"/>
  <c r="AH86" i="1"/>
  <c r="Z86" i="1"/>
  <c r="W86" i="1"/>
  <c r="U86" i="1"/>
  <c r="S86" i="1"/>
  <c r="Q86" i="1"/>
  <c r="O86" i="1"/>
  <c r="M86" i="1"/>
  <c r="K86" i="1"/>
  <c r="AP85" i="1"/>
  <c r="AQ85" i="1" s="1"/>
  <c r="AM85" i="1"/>
  <c r="AJ85" i="1"/>
  <c r="AH85" i="1"/>
  <c r="Z85" i="1"/>
  <c r="W85" i="1"/>
  <c r="U85" i="1"/>
  <c r="S85" i="1"/>
  <c r="Q85" i="1"/>
  <c r="O85" i="1"/>
  <c r="M85" i="1"/>
  <c r="K85" i="1"/>
  <c r="AP84" i="1"/>
  <c r="AQ84" i="1" s="1"/>
  <c r="AM84" i="1"/>
  <c r="AJ84" i="1"/>
  <c r="AH84" i="1"/>
  <c r="Z84" i="1"/>
  <c r="W84" i="1"/>
  <c r="U84" i="1"/>
  <c r="S84" i="1"/>
  <c r="Q84" i="1"/>
  <c r="O84" i="1"/>
  <c r="M84" i="1"/>
  <c r="K84" i="1"/>
  <c r="AP83" i="1"/>
  <c r="AQ83" i="1" s="1"/>
  <c r="AM83" i="1"/>
  <c r="AJ83" i="1"/>
  <c r="AH83" i="1"/>
  <c r="Z83" i="1"/>
  <c r="W83" i="1"/>
  <c r="U83" i="1"/>
  <c r="S83" i="1"/>
  <c r="Q83" i="1"/>
  <c r="O83" i="1"/>
  <c r="M83" i="1"/>
  <c r="K83" i="1"/>
  <c r="AP82" i="1"/>
  <c r="AQ82" i="1" s="1"/>
  <c r="AM82" i="1"/>
  <c r="AJ82" i="1"/>
  <c r="AH82" i="1"/>
  <c r="Z82" i="1"/>
  <c r="W82" i="1"/>
  <c r="U82" i="1"/>
  <c r="S82" i="1"/>
  <c r="Q82" i="1"/>
  <c r="O82" i="1"/>
  <c r="M82" i="1"/>
  <c r="K82" i="1"/>
  <c r="AP81" i="1"/>
  <c r="AQ81" i="1" s="1"/>
  <c r="AM81" i="1"/>
  <c r="AJ81" i="1"/>
  <c r="AH81" i="1"/>
  <c r="Z81" i="1"/>
  <c r="W81" i="1"/>
  <c r="U81" i="1"/>
  <c r="S81" i="1"/>
  <c r="Q81" i="1"/>
  <c r="O81" i="1"/>
  <c r="M81" i="1"/>
  <c r="K81" i="1"/>
  <c r="AP80" i="1"/>
  <c r="AQ80" i="1" s="1"/>
  <c r="AM80" i="1"/>
  <c r="AJ80" i="1"/>
  <c r="AH80" i="1"/>
  <c r="Z80" i="1"/>
  <c r="W80" i="1"/>
  <c r="U80" i="1"/>
  <c r="S80" i="1"/>
  <c r="Q80" i="1"/>
  <c r="O80" i="1"/>
  <c r="M80" i="1"/>
  <c r="K80" i="1"/>
  <c r="AP79" i="1"/>
  <c r="AQ79" i="1" s="1"/>
  <c r="AM79" i="1"/>
  <c r="AJ79" i="1"/>
  <c r="AH79" i="1"/>
  <c r="Z79" i="1"/>
  <c r="W79" i="1"/>
  <c r="U79" i="1"/>
  <c r="S79" i="1"/>
  <c r="Q79" i="1"/>
  <c r="O79" i="1"/>
  <c r="M79" i="1"/>
  <c r="K79" i="1"/>
  <c r="AP78" i="1"/>
  <c r="AQ78" i="1" s="1"/>
  <c r="AM78" i="1"/>
  <c r="AJ78" i="1"/>
  <c r="AH78" i="1"/>
  <c r="Z78" i="1"/>
  <c r="W78" i="1"/>
  <c r="U78" i="1"/>
  <c r="S78" i="1"/>
  <c r="Q78" i="1"/>
  <c r="O78" i="1"/>
  <c r="M78" i="1"/>
  <c r="K78" i="1"/>
  <c r="AP77" i="1"/>
  <c r="AQ77" i="1" s="1"/>
  <c r="AM77" i="1"/>
  <c r="AJ77" i="1"/>
  <c r="AH77" i="1"/>
  <c r="Z77" i="1"/>
  <c r="W77" i="1"/>
  <c r="U77" i="1"/>
  <c r="S77" i="1"/>
  <c r="Q77" i="1"/>
  <c r="O77" i="1"/>
  <c r="M77" i="1"/>
  <c r="K77" i="1"/>
  <c r="AP76" i="1"/>
  <c r="AQ76" i="1" s="1"/>
  <c r="AM76" i="1"/>
  <c r="AJ76" i="1"/>
  <c r="AH76" i="1"/>
  <c r="Z76" i="1"/>
  <c r="W76" i="1"/>
  <c r="U76" i="1"/>
  <c r="S76" i="1"/>
  <c r="Q76" i="1"/>
  <c r="O76" i="1"/>
  <c r="M76" i="1"/>
  <c r="K76" i="1"/>
  <c r="AP75" i="1"/>
  <c r="AQ75" i="1" s="1"/>
  <c r="AM75" i="1"/>
  <c r="AJ75" i="1"/>
  <c r="AH75" i="1"/>
  <c r="Z75" i="1"/>
  <c r="W75" i="1"/>
  <c r="U75" i="1"/>
  <c r="S75" i="1"/>
  <c r="Q75" i="1"/>
  <c r="O75" i="1"/>
  <c r="M75" i="1"/>
  <c r="K75" i="1"/>
  <c r="AP74" i="1"/>
  <c r="AQ74" i="1" s="1"/>
  <c r="AM74" i="1"/>
  <c r="AJ74" i="1"/>
  <c r="AH74" i="1"/>
  <c r="Z74" i="1"/>
  <c r="W74" i="1"/>
  <c r="U74" i="1"/>
  <c r="S74" i="1"/>
  <c r="Q74" i="1"/>
  <c r="O74" i="1"/>
  <c r="M74" i="1"/>
  <c r="K74" i="1"/>
  <c r="AP73" i="1"/>
  <c r="AQ73" i="1" s="1"/>
  <c r="AM73" i="1"/>
  <c r="AJ73" i="1"/>
  <c r="AH73" i="1"/>
  <c r="Z73" i="1"/>
  <c r="W73" i="1"/>
  <c r="U73" i="1"/>
  <c r="S73" i="1"/>
  <c r="Q73" i="1"/>
  <c r="O73" i="1"/>
  <c r="M73" i="1"/>
  <c r="K73" i="1"/>
  <c r="AP72" i="1"/>
  <c r="AQ72" i="1" s="1"/>
  <c r="AM72" i="1"/>
  <c r="AJ72" i="1"/>
  <c r="AH72" i="1"/>
  <c r="Z72" i="1"/>
  <c r="W72" i="1"/>
  <c r="U72" i="1"/>
  <c r="S72" i="1"/>
  <c r="Q72" i="1"/>
  <c r="O72" i="1"/>
  <c r="M72" i="1"/>
  <c r="K72" i="1"/>
  <c r="AP71" i="1"/>
  <c r="AQ71" i="1" s="1"/>
  <c r="AM71" i="1"/>
  <c r="AJ71" i="1"/>
  <c r="AH71" i="1"/>
  <c r="Z71" i="1"/>
  <c r="W71" i="1"/>
  <c r="U71" i="1"/>
  <c r="S71" i="1"/>
  <c r="Q71" i="1"/>
  <c r="O71" i="1"/>
  <c r="M71" i="1"/>
  <c r="K71" i="1"/>
  <c r="AP70" i="1"/>
  <c r="AQ70" i="1" s="1"/>
  <c r="AM70" i="1"/>
  <c r="AJ70" i="1"/>
  <c r="AH70" i="1"/>
  <c r="Z70" i="1"/>
  <c r="W70" i="1"/>
  <c r="U70" i="1"/>
  <c r="S70" i="1"/>
  <c r="Q70" i="1"/>
  <c r="O70" i="1"/>
  <c r="M70" i="1"/>
  <c r="K70" i="1"/>
  <c r="AP69" i="1"/>
  <c r="AQ69" i="1" s="1"/>
  <c r="AM69" i="1"/>
  <c r="AJ69" i="1"/>
  <c r="AH69" i="1"/>
  <c r="Z69" i="1"/>
  <c r="W69" i="1"/>
  <c r="U69" i="1"/>
  <c r="S69" i="1"/>
  <c r="Q69" i="1"/>
  <c r="O69" i="1"/>
  <c r="M69" i="1"/>
  <c r="K69" i="1"/>
  <c r="AP68" i="1"/>
  <c r="AQ68" i="1" s="1"/>
  <c r="AM68" i="1"/>
  <c r="AJ68" i="1"/>
  <c r="AH68" i="1"/>
  <c r="Z68" i="1"/>
  <c r="W68" i="1"/>
  <c r="U68" i="1"/>
  <c r="S68" i="1"/>
  <c r="Q68" i="1"/>
  <c r="O68" i="1"/>
  <c r="M68" i="1"/>
  <c r="K68" i="1"/>
  <c r="AP67" i="1"/>
  <c r="AQ67" i="1" s="1"/>
  <c r="AM67" i="1"/>
  <c r="AJ67" i="1"/>
  <c r="AH67" i="1"/>
  <c r="Z67" i="1"/>
  <c r="W67" i="1"/>
  <c r="U67" i="1"/>
  <c r="S67" i="1"/>
  <c r="Q67" i="1"/>
  <c r="O67" i="1"/>
  <c r="M67" i="1"/>
  <c r="K67" i="1"/>
  <c r="AP66" i="1"/>
  <c r="AQ66" i="1" s="1"/>
  <c r="AM66" i="1"/>
  <c r="AJ66" i="1"/>
  <c r="AH66" i="1"/>
  <c r="Z66" i="1"/>
  <c r="W66" i="1"/>
  <c r="U66" i="1"/>
  <c r="S66" i="1"/>
  <c r="Q66" i="1"/>
  <c r="O66" i="1"/>
  <c r="M66" i="1"/>
  <c r="K66" i="1"/>
  <c r="AP65" i="1"/>
  <c r="AQ65" i="1" s="1"/>
  <c r="AM65" i="1"/>
  <c r="AJ65" i="1"/>
  <c r="AH65" i="1"/>
  <c r="Z65" i="1"/>
  <c r="W65" i="1"/>
  <c r="U65" i="1"/>
  <c r="S65" i="1"/>
  <c r="Q65" i="1"/>
  <c r="O65" i="1"/>
  <c r="M65" i="1"/>
  <c r="K65" i="1"/>
  <c r="AP64" i="1"/>
  <c r="AQ64" i="1" s="1"/>
  <c r="AM64" i="1"/>
  <c r="AJ64" i="1"/>
  <c r="AH64" i="1"/>
  <c r="Z64" i="1"/>
  <c r="W64" i="1"/>
  <c r="U64" i="1"/>
  <c r="S64" i="1"/>
  <c r="Q64" i="1"/>
  <c r="O64" i="1"/>
  <c r="M64" i="1"/>
  <c r="K64" i="1"/>
  <c r="AP63" i="1"/>
  <c r="AQ63" i="1" s="1"/>
  <c r="AM63" i="1"/>
  <c r="AJ63" i="1"/>
  <c r="AH63" i="1"/>
  <c r="Z63" i="1"/>
  <c r="W63" i="1"/>
  <c r="U63" i="1"/>
  <c r="S63" i="1"/>
  <c r="Q63" i="1"/>
  <c r="O63" i="1"/>
  <c r="M63" i="1"/>
  <c r="K63" i="1"/>
  <c r="AP62" i="1"/>
  <c r="AQ62" i="1" s="1"/>
  <c r="AM62" i="1"/>
  <c r="AJ62" i="1"/>
  <c r="AH62" i="1"/>
  <c r="Z62" i="1"/>
  <c r="W62" i="1"/>
  <c r="U62" i="1"/>
  <c r="S62" i="1"/>
  <c r="Q62" i="1"/>
  <c r="O62" i="1"/>
  <c r="M62" i="1"/>
  <c r="K62" i="1"/>
  <c r="AP61" i="1"/>
  <c r="AQ61" i="1" s="1"/>
  <c r="AM61" i="1"/>
  <c r="AJ61" i="1"/>
  <c r="AH61" i="1"/>
  <c r="Z61" i="1"/>
  <c r="W61" i="1"/>
  <c r="U61" i="1"/>
  <c r="S61" i="1"/>
  <c r="Q61" i="1"/>
  <c r="O61" i="1"/>
  <c r="M61" i="1"/>
  <c r="K61" i="1"/>
  <c r="AP60" i="1"/>
  <c r="AQ60" i="1" s="1"/>
  <c r="AM60" i="1"/>
  <c r="AJ60" i="1"/>
  <c r="AH60" i="1"/>
  <c r="Z60" i="1"/>
  <c r="W60" i="1"/>
  <c r="U60" i="1"/>
  <c r="S60" i="1"/>
  <c r="Q60" i="1"/>
  <c r="O60" i="1"/>
  <c r="M60" i="1"/>
  <c r="K60" i="1"/>
  <c r="AP59" i="1"/>
  <c r="AQ59" i="1" s="1"/>
  <c r="AM59" i="1"/>
  <c r="AJ59" i="1"/>
  <c r="AH59" i="1"/>
  <c r="Z59" i="1"/>
  <c r="W59" i="1"/>
  <c r="U59" i="1"/>
  <c r="S59" i="1"/>
  <c r="Q59" i="1"/>
  <c r="O59" i="1"/>
  <c r="M59" i="1"/>
  <c r="K59" i="1"/>
  <c r="AP58" i="1"/>
  <c r="AQ58" i="1" s="1"/>
  <c r="AM58" i="1"/>
  <c r="AJ58" i="1"/>
  <c r="AH58" i="1"/>
  <c r="Z58" i="1"/>
  <c r="W58" i="1"/>
  <c r="U58" i="1"/>
  <c r="S58" i="1"/>
  <c r="Q58" i="1"/>
  <c r="O58" i="1"/>
  <c r="M58" i="1"/>
  <c r="K58" i="1"/>
  <c r="AP57" i="1"/>
  <c r="AQ57" i="1" s="1"/>
  <c r="AM57" i="1"/>
  <c r="AJ57" i="1"/>
  <c r="AH57" i="1"/>
  <c r="Z57" i="1"/>
  <c r="W57" i="1"/>
  <c r="U57" i="1"/>
  <c r="S57" i="1"/>
  <c r="Q57" i="1"/>
  <c r="O57" i="1"/>
  <c r="M57" i="1"/>
  <c r="K57" i="1"/>
  <c r="AP56" i="1"/>
  <c r="AQ56" i="1" s="1"/>
  <c r="AM56" i="1"/>
  <c r="AJ56" i="1"/>
  <c r="AH56" i="1"/>
  <c r="Z56" i="1"/>
  <c r="W56" i="1"/>
  <c r="U56" i="1"/>
  <c r="S56" i="1"/>
  <c r="Q56" i="1"/>
  <c r="O56" i="1"/>
  <c r="M56" i="1"/>
  <c r="K56" i="1"/>
  <c r="AP55" i="1"/>
  <c r="AQ55" i="1" s="1"/>
  <c r="AM55" i="1"/>
  <c r="AJ55" i="1"/>
  <c r="AH55" i="1"/>
  <c r="Z55" i="1"/>
  <c r="W55" i="1"/>
  <c r="U55" i="1"/>
  <c r="S55" i="1"/>
  <c r="Q55" i="1"/>
  <c r="O55" i="1"/>
  <c r="M55" i="1"/>
  <c r="K55" i="1"/>
  <c r="AP54" i="1"/>
  <c r="AQ54" i="1" s="1"/>
  <c r="AM54" i="1"/>
  <c r="AJ54" i="1"/>
  <c r="AH54" i="1"/>
  <c r="Z54" i="1"/>
  <c r="W54" i="1"/>
  <c r="U54" i="1"/>
  <c r="S54" i="1"/>
  <c r="Q54" i="1"/>
  <c r="O54" i="1"/>
  <c r="M54" i="1"/>
  <c r="K54" i="1"/>
  <c r="AP53" i="1"/>
  <c r="AQ53" i="1" s="1"/>
  <c r="AM53" i="1"/>
  <c r="AJ53" i="1"/>
  <c r="AH53" i="1"/>
  <c r="Z53" i="1"/>
  <c r="W53" i="1"/>
  <c r="U53" i="1"/>
  <c r="S53" i="1"/>
  <c r="Q53" i="1"/>
  <c r="O53" i="1"/>
  <c r="M53" i="1"/>
  <c r="K53" i="1"/>
  <c r="AP52" i="1"/>
  <c r="AQ52" i="1" s="1"/>
  <c r="AM52" i="1"/>
  <c r="AJ52" i="1"/>
  <c r="AH52" i="1"/>
  <c r="Z52" i="1"/>
  <c r="W52" i="1"/>
  <c r="U52" i="1"/>
  <c r="S52" i="1"/>
  <c r="Q52" i="1"/>
  <c r="O52" i="1"/>
  <c r="M52" i="1"/>
  <c r="K52" i="1"/>
  <c r="AP51" i="1"/>
  <c r="AQ51" i="1" s="1"/>
  <c r="AM51" i="1"/>
  <c r="AJ51" i="1"/>
  <c r="AH51" i="1"/>
  <c r="Z51" i="1"/>
  <c r="W51" i="1"/>
  <c r="U51" i="1"/>
  <c r="S51" i="1"/>
  <c r="Q51" i="1"/>
  <c r="O51" i="1"/>
  <c r="M51" i="1"/>
  <c r="K51" i="1"/>
  <c r="AP50" i="1"/>
  <c r="AQ50" i="1" s="1"/>
  <c r="AM50" i="1"/>
  <c r="AJ50" i="1"/>
  <c r="AH50" i="1"/>
  <c r="Z50" i="1"/>
  <c r="W50" i="1"/>
  <c r="U50" i="1"/>
  <c r="S50" i="1"/>
  <c r="Q50" i="1"/>
  <c r="O50" i="1"/>
  <c r="M50" i="1"/>
  <c r="K50" i="1"/>
  <c r="AP49" i="1"/>
  <c r="AQ49" i="1" s="1"/>
  <c r="AM49" i="1"/>
  <c r="AJ49" i="1"/>
  <c r="AH49" i="1"/>
  <c r="Z49" i="1"/>
  <c r="W49" i="1"/>
  <c r="U49" i="1"/>
  <c r="S49" i="1"/>
  <c r="Q49" i="1"/>
  <c r="O49" i="1"/>
  <c r="M49" i="1"/>
  <c r="K49" i="1"/>
  <c r="AP48" i="1"/>
  <c r="AQ48" i="1" s="1"/>
  <c r="AM48" i="1"/>
  <c r="AJ48" i="1"/>
  <c r="AH48" i="1"/>
  <c r="Z48" i="1"/>
  <c r="W48" i="1"/>
  <c r="U48" i="1"/>
  <c r="S48" i="1"/>
  <c r="Q48" i="1"/>
  <c r="O48" i="1"/>
  <c r="M48" i="1"/>
  <c r="K48" i="1"/>
  <c r="AP47" i="1"/>
  <c r="AQ47" i="1" s="1"/>
  <c r="AM47" i="1"/>
  <c r="AJ47" i="1"/>
  <c r="AH47" i="1"/>
  <c r="Z47" i="1"/>
  <c r="W47" i="1"/>
  <c r="U47" i="1"/>
  <c r="S47" i="1"/>
  <c r="Q47" i="1"/>
  <c r="O47" i="1"/>
  <c r="M47" i="1"/>
  <c r="K47" i="1"/>
  <c r="AP46" i="1"/>
  <c r="AQ46" i="1" s="1"/>
  <c r="AM46" i="1"/>
  <c r="AJ46" i="1"/>
  <c r="AH46" i="1"/>
  <c r="Z46" i="1"/>
  <c r="W46" i="1"/>
  <c r="U46" i="1"/>
  <c r="S46" i="1"/>
  <c r="Q46" i="1"/>
  <c r="O46" i="1"/>
  <c r="M46" i="1"/>
  <c r="K46" i="1"/>
  <c r="AP45" i="1"/>
  <c r="AQ45" i="1" s="1"/>
  <c r="AM45" i="1"/>
  <c r="AJ45" i="1"/>
  <c r="AH45" i="1"/>
  <c r="Z45" i="1"/>
  <c r="W45" i="1"/>
  <c r="U45" i="1"/>
  <c r="S45" i="1"/>
  <c r="Q45" i="1"/>
  <c r="O45" i="1"/>
  <c r="M45" i="1"/>
  <c r="K45" i="1"/>
  <c r="AP44" i="1"/>
  <c r="AQ44" i="1" s="1"/>
  <c r="AM44" i="1"/>
  <c r="AJ44" i="1"/>
  <c r="AH44" i="1"/>
  <c r="Z44" i="1"/>
  <c r="W44" i="1"/>
  <c r="U44" i="1"/>
  <c r="S44" i="1"/>
  <c r="Q44" i="1"/>
  <c r="O44" i="1"/>
  <c r="M44" i="1"/>
  <c r="K44" i="1"/>
  <c r="AP43" i="1"/>
  <c r="AQ43" i="1" s="1"/>
  <c r="AM43" i="1"/>
  <c r="AJ43" i="1"/>
  <c r="AH43" i="1"/>
  <c r="Z43" i="1"/>
  <c r="W43" i="1"/>
  <c r="U43" i="1"/>
  <c r="S43" i="1"/>
  <c r="Q43" i="1"/>
  <c r="O43" i="1"/>
  <c r="M43" i="1"/>
  <c r="K43" i="1"/>
  <c r="AP42" i="1"/>
  <c r="AQ42" i="1" s="1"/>
  <c r="AM42" i="1"/>
  <c r="AJ42" i="1"/>
  <c r="AH42" i="1"/>
  <c r="Z42" i="1"/>
  <c r="W42" i="1"/>
  <c r="U42" i="1"/>
  <c r="S42" i="1"/>
  <c r="Q42" i="1"/>
  <c r="O42" i="1"/>
  <c r="M42" i="1"/>
  <c r="K42" i="1"/>
  <c r="AP41" i="1"/>
  <c r="AQ41" i="1" s="1"/>
  <c r="AM41" i="1"/>
  <c r="AJ41" i="1"/>
  <c r="AH41" i="1"/>
  <c r="Z41" i="1"/>
  <c r="W41" i="1"/>
  <c r="U41" i="1"/>
  <c r="S41" i="1"/>
  <c r="Q41" i="1"/>
  <c r="O41" i="1"/>
  <c r="M41" i="1"/>
  <c r="K41" i="1"/>
  <c r="AP40" i="1"/>
  <c r="AQ40" i="1" s="1"/>
  <c r="AM40" i="1"/>
  <c r="AJ40" i="1"/>
  <c r="AH40" i="1"/>
  <c r="Z40" i="1"/>
  <c r="W40" i="1"/>
  <c r="U40" i="1"/>
  <c r="S40" i="1"/>
  <c r="Q40" i="1"/>
  <c r="O40" i="1"/>
  <c r="M40" i="1"/>
  <c r="K40" i="1"/>
  <c r="AP39" i="1"/>
  <c r="AQ39" i="1" s="1"/>
  <c r="AM39" i="1"/>
  <c r="AJ39" i="1"/>
  <c r="AH39" i="1"/>
  <c r="Z39" i="1"/>
  <c r="W39" i="1"/>
  <c r="U39" i="1"/>
  <c r="S39" i="1"/>
  <c r="Q39" i="1"/>
  <c r="O39" i="1"/>
  <c r="M39" i="1"/>
  <c r="K39" i="1"/>
  <c r="AP38" i="1"/>
  <c r="AQ38" i="1" s="1"/>
  <c r="AM38" i="1"/>
  <c r="AJ38" i="1"/>
  <c r="AH38" i="1"/>
  <c r="Z38" i="1"/>
  <c r="W38" i="1"/>
  <c r="U38" i="1"/>
  <c r="S38" i="1"/>
  <c r="Q38" i="1"/>
  <c r="O38" i="1"/>
  <c r="M38" i="1"/>
  <c r="K38" i="1"/>
  <c r="AP37" i="1"/>
  <c r="AQ37" i="1" s="1"/>
  <c r="AM37" i="1"/>
  <c r="AJ37" i="1"/>
  <c r="AH37" i="1"/>
  <c r="Z37" i="1"/>
  <c r="W37" i="1"/>
  <c r="U37" i="1"/>
  <c r="S37" i="1"/>
  <c r="Q37" i="1"/>
  <c r="O37" i="1"/>
  <c r="M37" i="1"/>
  <c r="K37" i="1"/>
  <c r="AP36" i="1"/>
  <c r="AQ36" i="1" s="1"/>
  <c r="AM36" i="1"/>
  <c r="AJ36" i="1"/>
  <c r="AH36" i="1"/>
  <c r="Z36" i="1"/>
  <c r="W36" i="1"/>
  <c r="U36" i="1"/>
  <c r="S36" i="1"/>
  <c r="Q36" i="1"/>
  <c r="O36" i="1"/>
  <c r="M36" i="1"/>
  <c r="K36" i="1"/>
  <c r="AP35" i="1"/>
  <c r="AQ35" i="1" s="1"/>
  <c r="AM35" i="1"/>
  <c r="AJ35" i="1"/>
  <c r="AH35" i="1"/>
  <c r="Z35" i="1"/>
  <c r="W35" i="1"/>
  <c r="U35" i="1"/>
  <c r="S35" i="1"/>
  <c r="Q35" i="1"/>
  <c r="O35" i="1"/>
  <c r="M35" i="1"/>
  <c r="K35" i="1"/>
  <c r="AP34" i="1"/>
  <c r="AQ34" i="1" s="1"/>
  <c r="AM34" i="1"/>
  <c r="AJ34" i="1"/>
  <c r="AH34" i="1"/>
  <c r="Z34" i="1"/>
  <c r="W34" i="1"/>
  <c r="U34" i="1"/>
  <c r="S34" i="1"/>
  <c r="Q34" i="1"/>
  <c r="O34" i="1"/>
  <c r="M34" i="1"/>
  <c r="K34" i="1"/>
  <c r="AP33" i="1"/>
  <c r="AQ33" i="1" s="1"/>
  <c r="AM33" i="1"/>
  <c r="AJ33" i="1"/>
  <c r="AH33" i="1"/>
  <c r="Z33" i="1"/>
  <c r="W33" i="1"/>
  <c r="U33" i="1"/>
  <c r="S33" i="1"/>
  <c r="Q33" i="1"/>
  <c r="O33" i="1"/>
  <c r="M33" i="1"/>
  <c r="K33" i="1"/>
  <c r="AP32" i="1"/>
  <c r="AQ32" i="1" s="1"/>
  <c r="AM32" i="1"/>
  <c r="AJ32" i="1"/>
  <c r="AH32" i="1"/>
  <c r="Z32" i="1"/>
  <c r="W32" i="1"/>
  <c r="U32" i="1"/>
  <c r="S32" i="1"/>
  <c r="Q32" i="1"/>
  <c r="O32" i="1"/>
  <c r="M32" i="1"/>
  <c r="K32" i="1"/>
  <c r="AP31" i="1"/>
  <c r="AQ31" i="1" s="1"/>
  <c r="AM31" i="1"/>
  <c r="AJ31" i="1"/>
  <c r="AH31" i="1"/>
  <c r="Z31" i="1"/>
  <c r="W31" i="1"/>
  <c r="U31" i="1"/>
  <c r="S31" i="1"/>
  <c r="Q31" i="1"/>
  <c r="O31" i="1"/>
  <c r="M31" i="1"/>
  <c r="K31" i="1"/>
  <c r="AP30" i="1"/>
  <c r="AQ30" i="1" s="1"/>
  <c r="AM30" i="1"/>
  <c r="AJ30" i="1"/>
  <c r="AH30" i="1"/>
  <c r="Z30" i="1"/>
  <c r="W30" i="1"/>
  <c r="U30" i="1"/>
  <c r="S30" i="1"/>
  <c r="Q30" i="1"/>
  <c r="O30" i="1"/>
  <c r="M30" i="1"/>
  <c r="K30" i="1"/>
  <c r="AP29" i="1"/>
  <c r="AQ29" i="1" s="1"/>
  <c r="AM29" i="1"/>
  <c r="AJ29" i="1"/>
  <c r="AH29" i="1"/>
  <c r="Z29" i="1"/>
  <c r="W29" i="1"/>
  <c r="U29" i="1"/>
  <c r="S29" i="1"/>
  <c r="Q29" i="1"/>
  <c r="O29" i="1"/>
  <c r="M29" i="1"/>
  <c r="K29" i="1"/>
  <c r="AP28" i="1"/>
  <c r="AQ28" i="1" s="1"/>
  <c r="AM28" i="1"/>
  <c r="AJ28" i="1"/>
  <c r="AH28" i="1"/>
  <c r="Z28" i="1"/>
  <c r="W28" i="1"/>
  <c r="U28" i="1"/>
  <c r="S28" i="1"/>
  <c r="Q28" i="1"/>
  <c r="O28" i="1"/>
  <c r="M28" i="1"/>
  <c r="K28" i="1"/>
  <c r="AP27" i="1"/>
  <c r="AQ27" i="1" s="1"/>
  <c r="AM27" i="1"/>
  <c r="AJ27" i="1"/>
  <c r="AH27" i="1"/>
  <c r="Z27" i="1"/>
  <c r="W27" i="1"/>
  <c r="U27" i="1"/>
  <c r="S27" i="1"/>
  <c r="Q27" i="1"/>
  <c r="O27" i="1"/>
  <c r="M27" i="1"/>
  <c r="K27" i="1"/>
  <c r="AP26" i="1"/>
  <c r="AQ26" i="1" s="1"/>
  <c r="AM26" i="1"/>
  <c r="AJ26" i="1"/>
  <c r="AH26" i="1"/>
  <c r="Z26" i="1"/>
  <c r="W26" i="1"/>
  <c r="U26" i="1"/>
  <c r="S26" i="1"/>
  <c r="Q26" i="1"/>
  <c r="O26" i="1"/>
  <c r="M26" i="1"/>
  <c r="K26" i="1"/>
  <c r="AP25" i="1"/>
  <c r="AQ25" i="1" s="1"/>
  <c r="AM25" i="1"/>
  <c r="AJ25" i="1"/>
  <c r="AH25" i="1"/>
  <c r="Z25" i="1"/>
  <c r="W25" i="1"/>
  <c r="U25" i="1"/>
  <c r="S25" i="1"/>
  <c r="Q25" i="1"/>
  <c r="O25" i="1"/>
  <c r="M25" i="1"/>
  <c r="K25" i="1"/>
  <c r="AP24" i="1"/>
  <c r="AQ24" i="1" s="1"/>
  <c r="AM24" i="1"/>
  <c r="AJ24" i="1"/>
  <c r="AH24" i="1"/>
  <c r="Z24" i="1"/>
  <c r="W24" i="1"/>
  <c r="U24" i="1"/>
  <c r="S24" i="1"/>
  <c r="Q24" i="1"/>
  <c r="O24" i="1"/>
  <c r="M24" i="1"/>
  <c r="K24" i="1"/>
  <c r="AP23" i="1"/>
  <c r="AQ23" i="1" s="1"/>
  <c r="AM23" i="1"/>
  <c r="AJ23" i="1"/>
  <c r="AH23" i="1"/>
  <c r="Z23" i="1"/>
  <c r="W23" i="1"/>
  <c r="U23" i="1"/>
  <c r="S23" i="1"/>
  <c r="Q23" i="1"/>
  <c r="O23" i="1"/>
  <c r="M23" i="1"/>
  <c r="K23" i="1"/>
  <c r="AP22" i="1"/>
  <c r="AQ22" i="1" s="1"/>
  <c r="AM22" i="1"/>
  <c r="AJ22" i="1"/>
  <c r="AH22" i="1"/>
  <c r="Z22" i="1"/>
  <c r="W22" i="1"/>
  <c r="U22" i="1"/>
  <c r="S22" i="1"/>
  <c r="Q22" i="1"/>
  <c r="O22" i="1"/>
  <c r="M22" i="1"/>
  <c r="K22" i="1"/>
  <c r="AP21" i="1"/>
  <c r="AQ21" i="1" s="1"/>
  <c r="AM21" i="1"/>
  <c r="AJ21" i="1"/>
  <c r="AH21" i="1"/>
  <c r="Z21" i="1"/>
  <c r="W21" i="1"/>
  <c r="U21" i="1"/>
  <c r="S21" i="1"/>
  <c r="Q21" i="1"/>
  <c r="O21" i="1"/>
  <c r="M21" i="1"/>
  <c r="K21" i="1"/>
  <c r="AP20" i="1"/>
  <c r="AQ20" i="1" s="1"/>
  <c r="AM20" i="1"/>
  <c r="AJ20" i="1"/>
  <c r="AH20" i="1"/>
  <c r="Z20" i="1"/>
  <c r="W20" i="1"/>
  <c r="U20" i="1"/>
  <c r="S20" i="1"/>
  <c r="Q20" i="1"/>
  <c r="O20" i="1"/>
  <c r="M20" i="1"/>
  <c r="K20" i="1"/>
  <c r="AP19" i="1"/>
  <c r="AQ19" i="1" s="1"/>
  <c r="AM19" i="1"/>
  <c r="AJ19" i="1"/>
  <c r="AH19" i="1"/>
  <c r="Z19" i="1"/>
  <c r="W19" i="1"/>
  <c r="U19" i="1"/>
  <c r="S19" i="1"/>
  <c r="Q19" i="1"/>
  <c r="O19" i="1"/>
  <c r="M19" i="1"/>
  <c r="K19" i="1"/>
  <c r="AP18" i="1"/>
  <c r="AQ18" i="1" s="1"/>
  <c r="AM18" i="1"/>
  <c r="AJ18" i="1"/>
  <c r="AH18" i="1"/>
  <c r="Z18" i="1"/>
  <c r="W18" i="1"/>
  <c r="U18" i="1"/>
  <c r="S18" i="1"/>
  <c r="Q18" i="1"/>
  <c r="O18" i="1"/>
  <c r="M18" i="1"/>
  <c r="K18" i="1"/>
  <c r="AP17" i="1"/>
  <c r="AQ17" i="1" s="1"/>
  <c r="AM17" i="1"/>
  <c r="AJ17" i="1"/>
  <c r="AH17" i="1"/>
  <c r="Z17" i="1"/>
  <c r="W17" i="1"/>
  <c r="U17" i="1"/>
  <c r="S17" i="1"/>
  <c r="Q17" i="1"/>
  <c r="O17" i="1"/>
  <c r="M17" i="1"/>
  <c r="K17" i="1"/>
  <c r="AP16" i="1"/>
  <c r="AQ16" i="1" s="1"/>
  <c r="AM16" i="1"/>
  <c r="AJ16" i="1"/>
  <c r="AH16" i="1"/>
  <c r="Z16" i="1"/>
  <c r="W16" i="1"/>
  <c r="U16" i="1"/>
  <c r="S16" i="1"/>
  <c r="Q16" i="1"/>
  <c r="O16" i="1"/>
  <c r="M16" i="1"/>
  <c r="K16" i="1"/>
  <c r="AP15" i="1"/>
  <c r="AQ15" i="1" s="1"/>
  <c r="AM15" i="1"/>
  <c r="AJ15" i="1"/>
  <c r="AH15" i="1"/>
  <c r="Z15" i="1"/>
  <c r="W15" i="1"/>
  <c r="U15" i="1"/>
  <c r="S15" i="1"/>
  <c r="Q15" i="1"/>
  <c r="O15" i="1"/>
  <c r="M15" i="1"/>
  <c r="K15" i="1"/>
  <c r="AP14" i="1"/>
  <c r="AQ14" i="1" s="1"/>
  <c r="AM14" i="1"/>
  <c r="AJ14" i="1"/>
  <c r="AH14" i="1"/>
  <c r="Z14" i="1"/>
  <c r="W14" i="1"/>
  <c r="U14" i="1"/>
  <c r="S14" i="1"/>
  <c r="Q14" i="1"/>
  <c r="O14" i="1"/>
  <c r="M14" i="1"/>
  <c r="K14" i="1"/>
  <c r="AP13" i="1"/>
  <c r="AQ13" i="1" s="1"/>
  <c r="AM13" i="1"/>
  <c r="AJ13" i="1"/>
  <c r="AH13" i="1"/>
  <c r="Z13" i="1"/>
  <c r="W13" i="1"/>
  <c r="U13" i="1"/>
  <c r="S13" i="1"/>
  <c r="Q13" i="1"/>
  <c r="O13" i="1"/>
  <c r="M13" i="1"/>
  <c r="K13" i="1"/>
  <c r="AP12" i="1"/>
  <c r="AQ12" i="1" s="1"/>
  <c r="AM12" i="1"/>
  <c r="AJ12" i="1"/>
  <c r="AH12" i="1"/>
  <c r="Z12" i="1"/>
  <c r="W12" i="1"/>
  <c r="U12" i="1"/>
  <c r="S12" i="1"/>
  <c r="Q12" i="1"/>
  <c r="O12" i="1"/>
  <c r="M12" i="1"/>
  <c r="K12" i="1"/>
  <c r="AP11" i="1"/>
  <c r="AQ11" i="1" s="1"/>
  <c r="AM11" i="1"/>
  <c r="AJ11" i="1"/>
  <c r="AH11" i="1"/>
  <c r="Z11" i="1"/>
  <c r="W11" i="1"/>
  <c r="U11" i="1"/>
  <c r="S11" i="1"/>
  <c r="Q11" i="1"/>
  <c r="O11" i="1"/>
  <c r="M11" i="1"/>
  <c r="K11" i="1"/>
  <c r="AP10" i="1"/>
  <c r="AQ10" i="1" s="1"/>
  <c r="AM10" i="1"/>
  <c r="AJ10" i="1"/>
  <c r="AH10" i="1"/>
  <c r="Z10" i="1"/>
  <c r="W10" i="1"/>
  <c r="U10" i="1"/>
  <c r="S10" i="1"/>
  <c r="Q10" i="1"/>
  <c r="O10" i="1"/>
  <c r="M10" i="1"/>
  <c r="K10" i="1"/>
  <c r="AP9" i="1"/>
  <c r="AQ9" i="1" s="1"/>
  <c r="AM9" i="1"/>
  <c r="AJ9" i="1"/>
  <c r="AH9" i="1"/>
  <c r="Z9" i="1"/>
  <c r="W9" i="1"/>
  <c r="U9" i="1"/>
  <c r="S9" i="1"/>
  <c r="Q9" i="1"/>
  <c r="O9" i="1"/>
  <c r="M9" i="1"/>
  <c r="K9" i="1"/>
  <c r="AP8" i="1"/>
  <c r="AQ8" i="1" s="1"/>
  <c r="AM8" i="1"/>
  <c r="AJ8" i="1"/>
  <c r="AH8" i="1"/>
  <c r="Z8" i="1"/>
  <c r="W8" i="1"/>
  <c r="U8" i="1"/>
  <c r="S8" i="1"/>
  <c r="Q8" i="1"/>
  <c r="O8" i="1"/>
  <c r="M8" i="1"/>
  <c r="K8" i="1"/>
  <c r="AP7" i="1"/>
  <c r="AQ7" i="1" s="1"/>
  <c r="AM7" i="1"/>
  <c r="AJ7" i="1"/>
  <c r="AH7" i="1"/>
  <c r="Z7" i="1"/>
  <c r="W7" i="1"/>
  <c r="U7" i="1"/>
  <c r="S7" i="1"/>
  <c r="Q7" i="1"/>
  <c r="O7" i="1"/>
  <c r="M7" i="1"/>
  <c r="K7" i="1"/>
  <c r="AP6" i="1"/>
  <c r="AQ6" i="1" s="1"/>
  <c r="AM6" i="1"/>
  <c r="AJ6" i="1"/>
  <c r="AH6" i="1"/>
  <c r="Z6" i="1"/>
  <c r="W6" i="1"/>
  <c r="U6" i="1"/>
  <c r="S6" i="1"/>
  <c r="Q6" i="1"/>
  <c r="O6" i="1"/>
  <c r="M6" i="1"/>
  <c r="K6" i="1"/>
  <c r="AP5" i="1"/>
  <c r="AQ5" i="1" s="1"/>
  <c r="AM5" i="1"/>
  <c r="AJ5" i="1"/>
  <c r="AH5" i="1"/>
  <c r="Z5" i="1"/>
  <c r="W5" i="1"/>
  <c r="U5" i="1"/>
  <c r="S5" i="1"/>
  <c r="Q5" i="1"/>
  <c r="O5" i="1"/>
  <c r="M5" i="1"/>
  <c r="K5" i="1"/>
  <c r="AP4" i="1"/>
  <c r="AQ4" i="1" s="1"/>
  <c r="AM4" i="1"/>
  <c r="AJ4" i="1"/>
  <c r="AH4" i="1"/>
  <c r="Z4" i="1"/>
  <c r="W4" i="1"/>
  <c r="U4" i="1"/>
  <c r="S4" i="1"/>
  <c r="Q4" i="1"/>
  <c r="O4" i="1"/>
  <c r="M4" i="1"/>
  <c r="K4" i="1"/>
  <c r="AP3" i="1"/>
  <c r="AQ3" i="1" s="1"/>
  <c r="AM3" i="1"/>
  <c r="AJ3" i="1"/>
  <c r="AH3" i="1"/>
  <c r="Z3" i="1"/>
  <c r="W3" i="1"/>
  <c r="U3" i="1"/>
  <c r="S3" i="1"/>
  <c r="Q3" i="1"/>
  <c r="O3" i="1"/>
  <c r="M3" i="1"/>
  <c r="K3" i="1"/>
  <c r="AP2" i="1"/>
  <c r="AQ2" i="1" s="1"/>
  <c r="AM2" i="1"/>
  <c r="AL2" i="1"/>
  <c r="AJ2" i="1"/>
  <c r="AH2" i="1"/>
  <c r="Z2" i="1"/>
  <c r="W2" i="1"/>
  <c r="U2" i="1"/>
  <c r="S2" i="1"/>
  <c r="Q2" i="1"/>
  <c r="O2" i="1"/>
  <c r="M2" i="1"/>
  <c r="K2" i="1"/>
  <c r="AU2" i="1" l="1"/>
  <c r="AT2" i="1"/>
  <c r="H2" i="1"/>
  <c r="G2" i="1"/>
  <c r="AO2" i="1"/>
  <c r="AN2" i="1"/>
  <c r="AV2" i="1"/>
  <c r="AR2" i="1"/>
  <c r="AU3" i="1"/>
  <c r="AT3" i="1"/>
  <c r="H3" i="1"/>
  <c r="G3" i="1"/>
  <c r="AL3" i="1"/>
  <c r="AO3" i="1"/>
  <c r="AN3" i="1"/>
  <c r="AV3" i="1"/>
  <c r="AR3" i="1"/>
  <c r="AU4" i="1"/>
  <c r="AT4" i="1"/>
  <c r="H4" i="1"/>
  <c r="G4" i="1"/>
  <c r="AL4" i="1"/>
  <c r="AO4" i="1"/>
  <c r="AN4" i="1"/>
  <c r="AV4" i="1"/>
  <c r="AR4" i="1"/>
  <c r="AU5" i="1"/>
  <c r="AT5" i="1"/>
  <c r="H5" i="1"/>
  <c r="G5" i="1"/>
  <c r="AL5" i="1"/>
  <c r="AO5" i="1"/>
  <c r="AN5" i="1"/>
  <c r="AV5" i="1"/>
  <c r="AR5" i="1"/>
  <c r="AU6" i="1"/>
  <c r="AT6" i="1"/>
  <c r="H6" i="1"/>
  <c r="G6" i="1"/>
  <c r="AL6" i="1"/>
  <c r="AO6" i="1"/>
  <c r="AN6" i="1"/>
  <c r="AV6" i="1"/>
  <c r="AR6" i="1"/>
  <c r="AU7" i="1"/>
  <c r="AT7" i="1"/>
  <c r="H7" i="1"/>
  <c r="G7" i="1"/>
  <c r="AL7" i="1"/>
  <c r="AO7" i="1"/>
  <c r="AN7" i="1"/>
  <c r="AV7" i="1"/>
  <c r="AR7" i="1"/>
  <c r="AU8" i="1"/>
  <c r="AT8" i="1"/>
  <c r="H8" i="1"/>
  <c r="G8" i="1"/>
  <c r="AL8" i="1"/>
  <c r="AO8" i="1"/>
  <c r="AN8" i="1"/>
  <c r="AV8" i="1"/>
  <c r="AR8" i="1"/>
  <c r="AU9" i="1"/>
  <c r="AT9" i="1"/>
  <c r="H9" i="1"/>
  <c r="G9" i="1"/>
  <c r="AL9" i="1"/>
  <c r="AO9" i="1"/>
  <c r="AN9" i="1"/>
  <c r="AV9" i="1"/>
  <c r="AR9" i="1"/>
  <c r="AU10" i="1"/>
  <c r="AT10" i="1"/>
  <c r="H10" i="1"/>
  <c r="G10" i="1"/>
  <c r="AL10" i="1"/>
  <c r="AO10" i="1"/>
  <c r="AN10" i="1"/>
  <c r="AV10" i="1"/>
  <c r="AR10" i="1"/>
  <c r="AU11" i="1"/>
  <c r="AT11" i="1"/>
  <c r="H11" i="1"/>
  <c r="G11" i="1"/>
  <c r="AL11" i="1"/>
  <c r="AO11" i="1"/>
  <c r="AN11" i="1"/>
  <c r="AV11" i="1"/>
  <c r="AR11" i="1"/>
  <c r="AU12" i="1"/>
  <c r="AT12" i="1"/>
  <c r="H12" i="1"/>
  <c r="G12" i="1"/>
  <c r="AL12" i="1"/>
  <c r="AO12" i="1"/>
  <c r="AN12" i="1"/>
  <c r="AV12" i="1"/>
  <c r="AR12" i="1"/>
  <c r="AU13" i="1"/>
  <c r="AT13" i="1"/>
  <c r="H13" i="1"/>
  <c r="G13" i="1"/>
  <c r="AL13" i="1"/>
  <c r="AO13" i="1"/>
  <c r="AN13" i="1"/>
  <c r="AV13" i="1"/>
  <c r="AR13" i="1"/>
  <c r="AU14" i="1"/>
  <c r="AT14" i="1"/>
  <c r="H14" i="1"/>
  <c r="G14" i="1"/>
  <c r="AL14" i="1"/>
  <c r="AO14" i="1"/>
  <c r="AN14" i="1"/>
  <c r="AV14" i="1"/>
  <c r="AR14" i="1"/>
  <c r="AU15" i="1"/>
  <c r="AT15" i="1"/>
  <c r="H15" i="1"/>
  <c r="G15" i="1"/>
  <c r="AL15" i="1"/>
  <c r="AO15" i="1"/>
  <c r="AN15" i="1"/>
  <c r="AV15" i="1"/>
  <c r="AR15" i="1"/>
  <c r="AU16" i="1"/>
  <c r="AT16" i="1"/>
  <c r="H16" i="1"/>
  <c r="G16" i="1"/>
  <c r="AL16" i="1"/>
  <c r="AO16" i="1"/>
  <c r="AN16" i="1"/>
  <c r="AV16" i="1"/>
  <c r="AR16" i="1"/>
  <c r="AU17" i="1"/>
  <c r="AT17" i="1"/>
  <c r="H17" i="1"/>
  <c r="G17" i="1"/>
  <c r="AL17" i="1"/>
  <c r="AO17" i="1"/>
  <c r="AN17" i="1"/>
  <c r="AV17" i="1"/>
  <c r="AR17" i="1"/>
  <c r="AU18" i="1"/>
  <c r="AT18" i="1"/>
  <c r="H18" i="1"/>
  <c r="G18" i="1"/>
  <c r="AL18" i="1"/>
  <c r="AO18" i="1"/>
  <c r="AN18" i="1"/>
  <c r="AV18" i="1"/>
  <c r="AR18" i="1"/>
  <c r="AU19" i="1"/>
  <c r="AT19" i="1"/>
  <c r="H19" i="1"/>
  <c r="G19" i="1"/>
  <c r="AL19" i="1"/>
  <c r="AO19" i="1"/>
  <c r="AN19" i="1"/>
  <c r="AV19" i="1"/>
  <c r="AR19" i="1"/>
  <c r="AU20" i="1"/>
  <c r="AT20" i="1"/>
  <c r="H20" i="1"/>
  <c r="G20" i="1"/>
  <c r="AL20" i="1"/>
  <c r="AO20" i="1"/>
  <c r="AN20" i="1"/>
  <c r="AV20" i="1"/>
  <c r="AR20" i="1"/>
  <c r="AU21" i="1"/>
  <c r="AT21" i="1"/>
  <c r="H21" i="1"/>
  <c r="G21" i="1"/>
  <c r="AL21" i="1"/>
  <c r="AO21" i="1"/>
  <c r="AN21" i="1"/>
  <c r="AV21" i="1"/>
  <c r="AR21" i="1"/>
  <c r="AU22" i="1"/>
  <c r="AT22" i="1"/>
  <c r="H22" i="1"/>
  <c r="G22" i="1"/>
  <c r="AL22" i="1"/>
  <c r="AO22" i="1"/>
  <c r="AN22" i="1"/>
  <c r="AV22" i="1"/>
  <c r="AR22" i="1"/>
  <c r="AU23" i="1"/>
  <c r="AT23" i="1"/>
  <c r="H23" i="1"/>
  <c r="G23" i="1"/>
  <c r="AL23" i="1"/>
  <c r="AO23" i="1"/>
  <c r="AN23" i="1"/>
  <c r="AV23" i="1"/>
  <c r="AR23" i="1"/>
  <c r="AU24" i="1"/>
  <c r="AT24" i="1"/>
  <c r="H24" i="1"/>
  <c r="G24" i="1"/>
  <c r="AL24" i="1"/>
  <c r="AO24" i="1"/>
  <c r="AN24" i="1"/>
  <c r="AV24" i="1"/>
  <c r="AR24" i="1"/>
  <c r="AU25" i="1"/>
  <c r="AT25" i="1"/>
  <c r="H25" i="1"/>
  <c r="G25" i="1"/>
  <c r="AL25" i="1"/>
  <c r="AO25" i="1"/>
  <c r="AN25" i="1"/>
  <c r="AV25" i="1"/>
  <c r="AR25" i="1"/>
  <c r="AU26" i="1"/>
  <c r="AT26" i="1"/>
  <c r="H26" i="1"/>
  <c r="G26" i="1"/>
  <c r="AL26" i="1"/>
  <c r="AO26" i="1"/>
  <c r="AN26" i="1"/>
  <c r="AV26" i="1"/>
  <c r="AR26" i="1"/>
  <c r="AU27" i="1"/>
  <c r="AT27" i="1"/>
  <c r="H27" i="1"/>
  <c r="G27" i="1"/>
  <c r="AL27" i="1"/>
  <c r="AO27" i="1"/>
  <c r="AN27" i="1"/>
  <c r="AV27" i="1"/>
  <c r="AR27" i="1"/>
  <c r="AU28" i="1"/>
  <c r="AT28" i="1"/>
  <c r="H28" i="1"/>
  <c r="G28" i="1"/>
  <c r="AL28" i="1"/>
  <c r="AO28" i="1"/>
  <c r="AN28" i="1"/>
  <c r="AV28" i="1"/>
  <c r="AR28" i="1"/>
  <c r="AU29" i="1"/>
  <c r="AT29" i="1"/>
  <c r="H29" i="1"/>
  <c r="G29" i="1"/>
  <c r="AL29" i="1"/>
  <c r="AO29" i="1"/>
  <c r="AN29" i="1"/>
  <c r="AV29" i="1"/>
  <c r="AR29" i="1"/>
  <c r="AU30" i="1"/>
  <c r="AT30" i="1"/>
  <c r="H30" i="1"/>
  <c r="G30" i="1"/>
  <c r="AL30" i="1"/>
  <c r="AO30" i="1"/>
  <c r="AN30" i="1"/>
  <c r="AV30" i="1"/>
  <c r="AR30" i="1"/>
  <c r="AU31" i="1"/>
  <c r="AT31" i="1"/>
  <c r="H31" i="1"/>
  <c r="G31" i="1"/>
  <c r="AL31" i="1"/>
  <c r="AO31" i="1"/>
  <c r="AN31" i="1"/>
  <c r="AV31" i="1"/>
  <c r="AR31" i="1"/>
  <c r="AU32" i="1"/>
  <c r="AT32" i="1"/>
  <c r="H32" i="1"/>
  <c r="G32" i="1"/>
  <c r="AL32" i="1"/>
  <c r="AO32" i="1"/>
  <c r="AN32" i="1"/>
  <c r="AV32" i="1"/>
  <c r="AR32" i="1"/>
  <c r="AU33" i="1"/>
  <c r="AT33" i="1"/>
  <c r="H33" i="1"/>
  <c r="G33" i="1"/>
  <c r="AL33" i="1"/>
  <c r="AO33" i="1"/>
  <c r="AN33" i="1"/>
  <c r="AV33" i="1"/>
  <c r="AR33" i="1"/>
  <c r="AU34" i="1"/>
  <c r="AT34" i="1"/>
  <c r="H34" i="1"/>
  <c r="G34" i="1"/>
  <c r="AL34" i="1"/>
  <c r="AO34" i="1"/>
  <c r="AN34" i="1"/>
  <c r="AV34" i="1"/>
  <c r="AR34" i="1"/>
  <c r="AU35" i="1"/>
  <c r="AT35" i="1"/>
  <c r="H35" i="1"/>
  <c r="G35" i="1"/>
  <c r="AL35" i="1"/>
  <c r="AO35" i="1"/>
  <c r="AN35" i="1"/>
  <c r="AV35" i="1"/>
  <c r="AR35" i="1"/>
  <c r="AU36" i="1"/>
  <c r="AT36" i="1"/>
  <c r="H36" i="1"/>
  <c r="G36" i="1"/>
  <c r="AL36" i="1"/>
  <c r="AO36" i="1"/>
  <c r="AN36" i="1"/>
  <c r="AV36" i="1"/>
  <c r="AR36" i="1"/>
  <c r="AU37" i="1"/>
  <c r="AT37" i="1"/>
  <c r="H37" i="1"/>
  <c r="G37" i="1"/>
  <c r="AL37" i="1"/>
  <c r="AO37" i="1"/>
  <c r="AN37" i="1"/>
  <c r="AV37" i="1"/>
  <c r="AR37" i="1"/>
  <c r="AU38" i="1"/>
  <c r="AT38" i="1"/>
  <c r="H38" i="1"/>
  <c r="G38" i="1"/>
  <c r="AL38" i="1"/>
  <c r="AO38" i="1"/>
  <c r="AN38" i="1"/>
  <c r="AV38" i="1"/>
  <c r="AR38" i="1"/>
  <c r="AU39" i="1"/>
  <c r="AT39" i="1"/>
  <c r="H39" i="1"/>
  <c r="G39" i="1"/>
  <c r="AL39" i="1"/>
  <c r="AO39" i="1"/>
  <c r="AN39" i="1"/>
  <c r="AV39" i="1"/>
  <c r="AR39" i="1"/>
  <c r="AU40" i="1"/>
  <c r="AT40" i="1"/>
  <c r="H40" i="1"/>
  <c r="G40" i="1"/>
  <c r="AL40" i="1"/>
  <c r="AO40" i="1"/>
  <c r="AN40" i="1"/>
  <c r="AV40" i="1"/>
  <c r="AR40" i="1"/>
  <c r="AU41" i="1"/>
  <c r="AT41" i="1"/>
  <c r="H41" i="1"/>
  <c r="G41" i="1"/>
  <c r="AL41" i="1"/>
  <c r="AO41" i="1"/>
  <c r="AN41" i="1"/>
  <c r="AV41" i="1"/>
  <c r="AR41" i="1"/>
  <c r="AU42" i="1"/>
  <c r="AT42" i="1"/>
  <c r="H42" i="1"/>
  <c r="G42" i="1"/>
  <c r="AL42" i="1"/>
  <c r="AO42" i="1"/>
  <c r="AN42" i="1"/>
  <c r="AV42" i="1"/>
  <c r="AR42" i="1"/>
  <c r="AU43" i="1"/>
  <c r="AT43" i="1"/>
  <c r="H43" i="1"/>
  <c r="G43" i="1"/>
  <c r="AL43" i="1"/>
  <c r="AO43" i="1"/>
  <c r="AN43" i="1"/>
  <c r="AV43" i="1"/>
  <c r="AR43" i="1"/>
  <c r="AU44" i="1"/>
  <c r="AT44" i="1"/>
  <c r="H44" i="1"/>
  <c r="G44" i="1"/>
  <c r="AL44" i="1"/>
  <c r="AO44" i="1"/>
  <c r="AN44" i="1"/>
  <c r="AV44" i="1"/>
  <c r="AR44" i="1"/>
  <c r="AU45" i="1"/>
  <c r="AT45" i="1"/>
  <c r="H45" i="1"/>
  <c r="G45" i="1"/>
  <c r="AL45" i="1"/>
  <c r="AO45" i="1"/>
  <c r="AN45" i="1"/>
  <c r="AV45" i="1"/>
  <c r="AR45" i="1"/>
  <c r="AU46" i="1"/>
  <c r="AT46" i="1"/>
  <c r="H46" i="1"/>
  <c r="G46" i="1"/>
  <c r="AL46" i="1"/>
  <c r="AO46" i="1"/>
  <c r="AN46" i="1"/>
  <c r="AV46" i="1"/>
  <c r="AR46" i="1"/>
  <c r="AU47" i="1"/>
  <c r="AT47" i="1"/>
  <c r="H47" i="1"/>
  <c r="G47" i="1"/>
  <c r="AL47" i="1"/>
  <c r="AO47" i="1"/>
  <c r="AN47" i="1"/>
  <c r="AV47" i="1"/>
  <c r="AR47" i="1"/>
  <c r="AU48" i="1"/>
  <c r="AT48" i="1"/>
  <c r="H48" i="1"/>
  <c r="G48" i="1"/>
  <c r="AL48" i="1"/>
  <c r="AO48" i="1"/>
  <c r="AN48" i="1"/>
  <c r="AV48" i="1"/>
  <c r="AR48" i="1"/>
  <c r="AU49" i="1"/>
  <c r="AT49" i="1"/>
  <c r="H49" i="1"/>
  <c r="G49" i="1"/>
  <c r="AL49" i="1"/>
  <c r="AO49" i="1"/>
  <c r="AN49" i="1"/>
  <c r="AV49" i="1"/>
  <c r="AR49" i="1"/>
  <c r="AU50" i="1"/>
  <c r="AT50" i="1"/>
  <c r="H50" i="1"/>
  <c r="G50" i="1"/>
  <c r="AL50" i="1"/>
  <c r="AO50" i="1"/>
  <c r="AN50" i="1"/>
  <c r="AV50" i="1"/>
  <c r="AR50" i="1"/>
  <c r="AU51" i="1"/>
  <c r="AT51" i="1"/>
  <c r="H51" i="1"/>
  <c r="G51" i="1"/>
  <c r="AL51" i="1"/>
  <c r="AO51" i="1"/>
  <c r="AN51" i="1"/>
  <c r="AV51" i="1"/>
  <c r="AR51" i="1"/>
  <c r="AU52" i="1"/>
  <c r="AT52" i="1"/>
  <c r="H52" i="1"/>
  <c r="G52" i="1"/>
  <c r="AL52" i="1"/>
  <c r="AO52" i="1"/>
  <c r="AN52" i="1"/>
  <c r="AV52" i="1"/>
  <c r="AR52" i="1"/>
  <c r="AU53" i="1"/>
  <c r="AT53" i="1"/>
  <c r="H53" i="1"/>
  <c r="G53" i="1"/>
  <c r="AL53" i="1"/>
  <c r="AO53" i="1"/>
  <c r="AN53" i="1"/>
  <c r="AV53" i="1"/>
  <c r="AR53" i="1"/>
  <c r="AU54" i="1"/>
  <c r="AT54" i="1"/>
  <c r="H54" i="1"/>
  <c r="G54" i="1"/>
  <c r="AL54" i="1"/>
  <c r="AO54" i="1"/>
  <c r="AN54" i="1"/>
  <c r="AV54" i="1"/>
  <c r="AR54" i="1"/>
  <c r="AU55" i="1"/>
  <c r="AT55" i="1"/>
  <c r="H55" i="1"/>
  <c r="G55" i="1"/>
  <c r="AL55" i="1"/>
  <c r="AO55" i="1"/>
  <c r="AN55" i="1"/>
  <c r="AV55" i="1"/>
  <c r="AR55" i="1"/>
  <c r="AU56" i="1"/>
  <c r="AT56" i="1"/>
  <c r="H56" i="1"/>
  <c r="G56" i="1"/>
  <c r="AL56" i="1"/>
  <c r="AO56" i="1"/>
  <c r="AN56" i="1"/>
  <c r="AV56" i="1"/>
  <c r="AR56" i="1"/>
  <c r="AU57" i="1"/>
  <c r="AT57" i="1"/>
  <c r="H57" i="1"/>
  <c r="G57" i="1"/>
  <c r="AL57" i="1"/>
  <c r="AO57" i="1"/>
  <c r="AN57" i="1"/>
  <c r="AV57" i="1"/>
  <c r="AR57" i="1"/>
  <c r="AU58" i="1"/>
  <c r="AT58" i="1"/>
  <c r="H58" i="1"/>
  <c r="G58" i="1"/>
  <c r="AL58" i="1"/>
  <c r="AO58" i="1"/>
  <c r="AN58" i="1"/>
  <c r="AV58" i="1"/>
  <c r="AR58" i="1"/>
  <c r="AU59" i="1"/>
  <c r="AT59" i="1"/>
  <c r="H59" i="1"/>
  <c r="G59" i="1"/>
  <c r="AL59" i="1"/>
  <c r="AO59" i="1"/>
  <c r="AN59" i="1"/>
  <c r="AV59" i="1"/>
  <c r="AR59" i="1"/>
  <c r="AU60" i="1"/>
  <c r="AT60" i="1"/>
  <c r="H60" i="1"/>
  <c r="G60" i="1"/>
  <c r="AL60" i="1"/>
  <c r="AO60" i="1"/>
  <c r="AN60" i="1"/>
  <c r="AV60" i="1"/>
  <c r="AR60" i="1"/>
  <c r="AU61" i="1"/>
  <c r="AT61" i="1"/>
  <c r="H61" i="1"/>
  <c r="G61" i="1"/>
  <c r="AL61" i="1"/>
  <c r="AO61" i="1"/>
  <c r="AN61" i="1"/>
  <c r="AV61" i="1"/>
  <c r="AR61" i="1"/>
  <c r="AU62" i="1"/>
  <c r="AT62" i="1"/>
  <c r="H62" i="1"/>
  <c r="G62" i="1"/>
  <c r="AL62" i="1"/>
  <c r="AO62" i="1"/>
  <c r="AN62" i="1"/>
  <c r="AV62" i="1"/>
  <c r="AR62" i="1"/>
  <c r="AU63" i="1"/>
  <c r="AT63" i="1"/>
  <c r="H63" i="1"/>
  <c r="G63" i="1"/>
  <c r="AL63" i="1"/>
  <c r="AO63" i="1"/>
  <c r="AN63" i="1"/>
  <c r="AV63" i="1"/>
  <c r="AR63" i="1"/>
  <c r="AU64" i="1"/>
  <c r="AT64" i="1"/>
  <c r="H64" i="1"/>
  <c r="G64" i="1"/>
  <c r="AL64" i="1"/>
  <c r="AO64" i="1"/>
  <c r="AN64" i="1"/>
  <c r="AV64" i="1"/>
  <c r="AR64" i="1"/>
  <c r="AU65" i="1"/>
  <c r="AT65" i="1"/>
  <c r="H65" i="1"/>
  <c r="G65" i="1"/>
  <c r="AL65" i="1"/>
  <c r="AO65" i="1"/>
  <c r="AN65" i="1"/>
  <c r="AV65" i="1"/>
  <c r="AR65" i="1"/>
  <c r="AU66" i="1"/>
  <c r="AT66" i="1"/>
  <c r="H66" i="1"/>
  <c r="G66" i="1"/>
  <c r="AL66" i="1"/>
  <c r="AO66" i="1"/>
  <c r="AN66" i="1"/>
  <c r="AV66" i="1"/>
  <c r="AR66" i="1"/>
  <c r="AU67" i="1"/>
  <c r="AT67" i="1"/>
  <c r="H67" i="1"/>
  <c r="G67" i="1"/>
  <c r="AL67" i="1"/>
  <c r="AO67" i="1"/>
  <c r="AN67" i="1"/>
  <c r="AV67" i="1"/>
  <c r="AR67" i="1"/>
  <c r="AU68" i="1"/>
  <c r="AT68" i="1"/>
  <c r="H68" i="1"/>
  <c r="G68" i="1"/>
  <c r="AL68" i="1"/>
  <c r="AO68" i="1"/>
  <c r="AN68" i="1"/>
  <c r="AV68" i="1"/>
  <c r="AR68" i="1"/>
  <c r="AU69" i="1"/>
  <c r="AT69" i="1"/>
  <c r="H69" i="1"/>
  <c r="G69" i="1"/>
  <c r="AL69" i="1"/>
  <c r="AO69" i="1"/>
  <c r="AN69" i="1"/>
  <c r="AV69" i="1"/>
  <c r="AR69" i="1"/>
  <c r="AU70" i="1"/>
  <c r="AT70" i="1"/>
  <c r="H70" i="1"/>
  <c r="G70" i="1"/>
  <c r="AL70" i="1"/>
  <c r="AO70" i="1"/>
  <c r="AN70" i="1"/>
  <c r="AV70" i="1"/>
  <c r="AR70" i="1"/>
  <c r="AU71" i="1"/>
  <c r="AT71" i="1"/>
  <c r="H71" i="1"/>
  <c r="G71" i="1"/>
  <c r="AL71" i="1"/>
  <c r="AO71" i="1"/>
  <c r="AN71" i="1"/>
  <c r="AV71" i="1"/>
  <c r="AR71" i="1"/>
  <c r="AU72" i="1"/>
  <c r="AT72" i="1"/>
  <c r="H72" i="1"/>
  <c r="G72" i="1"/>
  <c r="AL72" i="1"/>
  <c r="AO72" i="1"/>
  <c r="AN72" i="1"/>
  <c r="AV72" i="1"/>
  <c r="AR72" i="1"/>
  <c r="AU73" i="1"/>
  <c r="AT73" i="1"/>
  <c r="H73" i="1"/>
  <c r="G73" i="1"/>
  <c r="AL73" i="1"/>
  <c r="AO73" i="1"/>
  <c r="AN73" i="1"/>
  <c r="AV73" i="1"/>
  <c r="AR73" i="1"/>
  <c r="AU74" i="1"/>
  <c r="AT74" i="1"/>
  <c r="H74" i="1"/>
  <c r="G74" i="1"/>
  <c r="AL74" i="1"/>
  <c r="AO74" i="1"/>
  <c r="AN74" i="1"/>
  <c r="AV74" i="1"/>
  <c r="AR74" i="1"/>
  <c r="AU75" i="1"/>
  <c r="AT75" i="1"/>
  <c r="H75" i="1"/>
  <c r="G75" i="1"/>
  <c r="AL75" i="1"/>
  <c r="AO75" i="1"/>
  <c r="AN75" i="1"/>
  <c r="AV75" i="1"/>
  <c r="AR75" i="1"/>
  <c r="AU76" i="1"/>
  <c r="AT76" i="1"/>
  <c r="H76" i="1"/>
  <c r="G76" i="1"/>
  <c r="AL76" i="1"/>
  <c r="AO76" i="1"/>
  <c r="AN76" i="1"/>
  <c r="AV76" i="1"/>
  <c r="AR76" i="1"/>
  <c r="AU77" i="1"/>
  <c r="AT77" i="1"/>
  <c r="H77" i="1"/>
  <c r="G77" i="1"/>
  <c r="AL77" i="1"/>
  <c r="AO77" i="1"/>
  <c r="AN77" i="1"/>
  <c r="AV77" i="1"/>
  <c r="AR77" i="1"/>
  <c r="AU78" i="1"/>
  <c r="AT78" i="1"/>
  <c r="H78" i="1"/>
  <c r="G78" i="1"/>
  <c r="AL78" i="1"/>
  <c r="AO78" i="1"/>
  <c r="AN78" i="1"/>
  <c r="AV78" i="1"/>
  <c r="AR78" i="1"/>
  <c r="AU79" i="1"/>
  <c r="AT79" i="1"/>
  <c r="H79" i="1"/>
  <c r="G79" i="1"/>
  <c r="AL79" i="1"/>
  <c r="AO79" i="1"/>
  <c r="AN79" i="1"/>
  <c r="AV79" i="1"/>
  <c r="AR79" i="1"/>
  <c r="AU80" i="1"/>
  <c r="AT80" i="1"/>
  <c r="H80" i="1"/>
  <c r="G80" i="1"/>
  <c r="AL80" i="1"/>
  <c r="AO80" i="1"/>
  <c r="AN80" i="1"/>
  <c r="AV80" i="1"/>
  <c r="AR80" i="1"/>
  <c r="AU81" i="1"/>
  <c r="AT81" i="1"/>
  <c r="H81" i="1"/>
  <c r="G81" i="1"/>
  <c r="AL81" i="1"/>
  <c r="AO81" i="1"/>
  <c r="AN81" i="1"/>
  <c r="AV81" i="1"/>
  <c r="AR81" i="1"/>
  <c r="AU82" i="1"/>
  <c r="AT82" i="1"/>
  <c r="H82" i="1"/>
  <c r="G82" i="1"/>
  <c r="AL82" i="1"/>
  <c r="AO82" i="1"/>
  <c r="AN82" i="1"/>
  <c r="AV82" i="1"/>
  <c r="AR82" i="1"/>
  <c r="AU83" i="1"/>
  <c r="AT83" i="1"/>
  <c r="H83" i="1"/>
  <c r="G83" i="1"/>
  <c r="AL83" i="1"/>
  <c r="AO83" i="1"/>
  <c r="AN83" i="1"/>
  <c r="AV83" i="1"/>
  <c r="AR83" i="1"/>
  <c r="AU84" i="1"/>
  <c r="AT84" i="1"/>
  <c r="H84" i="1"/>
  <c r="G84" i="1"/>
  <c r="AL84" i="1"/>
  <c r="AO84" i="1"/>
  <c r="AN84" i="1"/>
  <c r="AV84" i="1"/>
  <c r="AR84" i="1"/>
  <c r="AU85" i="1"/>
  <c r="AT85" i="1"/>
  <c r="H85" i="1"/>
  <c r="G85" i="1"/>
  <c r="AL85" i="1"/>
  <c r="AO85" i="1"/>
  <c r="AN85" i="1"/>
  <c r="AV85" i="1"/>
  <c r="AR85" i="1"/>
  <c r="AU86" i="1"/>
  <c r="AT86" i="1"/>
  <c r="H86" i="1"/>
  <c r="G86" i="1"/>
  <c r="AL86" i="1"/>
  <c r="AO86" i="1"/>
  <c r="AN86" i="1"/>
  <c r="AV86" i="1"/>
  <c r="AR86" i="1"/>
  <c r="AU87" i="1"/>
  <c r="AT87" i="1"/>
  <c r="H87" i="1"/>
  <c r="G87" i="1"/>
  <c r="AL87" i="1"/>
  <c r="AO87" i="1"/>
  <c r="AN87" i="1"/>
  <c r="AV87" i="1"/>
  <c r="AR87" i="1"/>
  <c r="AU88" i="1"/>
  <c r="AT88" i="1"/>
  <c r="H88" i="1"/>
  <c r="G88" i="1"/>
  <c r="AL88" i="1"/>
  <c r="AO88" i="1"/>
  <c r="AN88" i="1"/>
  <c r="AV88" i="1"/>
  <c r="AR88" i="1"/>
  <c r="AU89" i="1"/>
  <c r="AT89" i="1"/>
  <c r="H89" i="1"/>
  <c r="G89" i="1"/>
  <c r="AL89" i="1"/>
  <c r="AO89" i="1"/>
  <c r="AN89" i="1"/>
  <c r="AV89" i="1"/>
  <c r="AR89" i="1"/>
  <c r="AU90" i="1"/>
  <c r="AT90" i="1"/>
  <c r="H90" i="1"/>
  <c r="G90" i="1"/>
  <c r="AL90" i="1"/>
  <c r="AO90" i="1"/>
  <c r="AN90" i="1"/>
  <c r="AV90" i="1"/>
  <c r="AR90" i="1"/>
  <c r="AU91" i="1"/>
  <c r="AT91" i="1"/>
  <c r="H91" i="1"/>
  <c r="G91" i="1"/>
  <c r="AL91" i="1"/>
  <c r="AO91" i="1"/>
  <c r="AN91" i="1"/>
  <c r="AV91" i="1"/>
  <c r="AR91" i="1"/>
  <c r="AU92" i="1"/>
  <c r="AT92" i="1"/>
  <c r="H92" i="1"/>
  <c r="G92" i="1"/>
  <c r="AL92" i="1"/>
  <c r="AO92" i="1"/>
  <c r="AN92" i="1"/>
  <c r="AV92" i="1"/>
  <c r="AR92" i="1"/>
  <c r="AU93" i="1"/>
  <c r="AT93" i="1"/>
  <c r="H93" i="1"/>
  <c r="G93" i="1"/>
  <c r="AL93" i="1"/>
  <c r="AO93" i="1"/>
  <c r="AN93" i="1"/>
  <c r="AV93" i="1"/>
  <c r="AR93" i="1"/>
  <c r="AU94" i="1"/>
  <c r="AT94" i="1"/>
  <c r="H94" i="1"/>
  <c r="G94" i="1"/>
  <c r="AL94" i="1"/>
  <c r="AO94" i="1"/>
  <c r="AN94" i="1"/>
  <c r="AV94" i="1"/>
  <c r="AR94" i="1"/>
  <c r="AU95" i="1"/>
  <c r="AT95" i="1"/>
  <c r="H95" i="1"/>
  <c r="G95" i="1"/>
  <c r="AL95" i="1"/>
  <c r="AO95" i="1"/>
  <c r="AN95" i="1"/>
  <c r="AV95" i="1"/>
  <c r="AR95" i="1"/>
  <c r="AU96" i="1"/>
  <c r="AT96" i="1"/>
  <c r="H96" i="1"/>
  <c r="G96" i="1"/>
  <c r="AL96" i="1"/>
  <c r="AO96" i="1"/>
  <c r="AN96" i="1"/>
  <c r="AV96" i="1"/>
  <c r="AR96" i="1"/>
  <c r="AU97" i="1"/>
  <c r="AT97" i="1"/>
  <c r="H97" i="1"/>
  <c r="G97" i="1"/>
  <c r="AL97" i="1"/>
  <c r="AO97" i="1"/>
  <c r="AN97" i="1"/>
  <c r="AV97" i="1"/>
  <c r="AR97" i="1"/>
  <c r="AU98" i="1"/>
  <c r="AT98" i="1"/>
  <c r="H98" i="1"/>
  <c r="G98" i="1"/>
  <c r="AL98" i="1"/>
  <c r="AO98" i="1"/>
  <c r="AN98" i="1"/>
  <c r="AV98" i="1"/>
  <c r="AR98" i="1"/>
  <c r="AU99" i="1"/>
  <c r="AT99" i="1"/>
  <c r="H99" i="1"/>
  <c r="G99" i="1"/>
  <c r="AL99" i="1"/>
  <c r="AO99" i="1"/>
  <c r="AN99" i="1"/>
  <c r="AV99" i="1"/>
  <c r="AR99" i="1"/>
  <c r="AU100" i="1"/>
  <c r="AT100" i="1"/>
  <c r="H100" i="1"/>
  <c r="G100" i="1"/>
  <c r="AL100" i="1"/>
  <c r="AO100" i="1"/>
  <c r="AN100" i="1"/>
  <c r="AV100" i="1"/>
  <c r="AR100" i="1"/>
  <c r="AU101" i="1"/>
  <c r="AT101" i="1"/>
  <c r="H101" i="1"/>
  <c r="G101" i="1"/>
  <c r="AL101" i="1"/>
  <c r="AO101" i="1"/>
  <c r="AN101" i="1"/>
  <c r="AV101" i="1"/>
  <c r="AR101" i="1"/>
  <c r="AU102" i="1"/>
  <c r="AT102" i="1"/>
  <c r="H102" i="1"/>
  <c r="G102" i="1"/>
  <c r="AL102" i="1"/>
  <c r="AO102" i="1"/>
  <c r="AN102" i="1"/>
  <c r="AV102" i="1"/>
  <c r="AR102" i="1"/>
  <c r="AU103" i="1"/>
  <c r="AT103" i="1"/>
  <c r="H103" i="1"/>
  <c r="G103" i="1"/>
  <c r="AL103" i="1"/>
  <c r="AO103" i="1"/>
  <c r="AN103" i="1"/>
  <c r="AV103" i="1"/>
  <c r="AR103" i="1"/>
  <c r="AU104" i="1"/>
  <c r="AT104" i="1"/>
  <c r="H104" i="1"/>
  <c r="G104" i="1"/>
  <c r="AL104" i="1"/>
  <c r="AO104" i="1"/>
  <c r="AN104" i="1"/>
  <c r="AV104" i="1"/>
  <c r="AR104" i="1"/>
  <c r="AU105" i="1"/>
  <c r="AT105" i="1"/>
  <c r="H105" i="1"/>
  <c r="G105" i="1"/>
  <c r="AL105" i="1"/>
  <c r="AO105" i="1"/>
  <c r="AN105" i="1"/>
  <c r="AV105" i="1"/>
  <c r="AR105" i="1"/>
  <c r="AU106" i="1"/>
  <c r="AT106" i="1"/>
  <c r="H106" i="1"/>
  <c r="G106" i="1"/>
  <c r="AL106" i="1"/>
  <c r="AO106" i="1"/>
  <c r="AN106" i="1"/>
  <c r="AV106" i="1"/>
  <c r="AR106" i="1"/>
  <c r="AU107" i="1"/>
  <c r="AT107" i="1"/>
  <c r="H107" i="1"/>
  <c r="G107" i="1"/>
  <c r="AL107" i="1"/>
  <c r="AO107" i="1"/>
  <c r="AN107" i="1"/>
  <c r="AV107" i="1"/>
  <c r="AR107" i="1"/>
  <c r="AU108" i="1"/>
  <c r="AT108" i="1"/>
  <c r="H108" i="1"/>
  <c r="G108" i="1"/>
  <c r="AL108" i="1"/>
  <c r="AO108" i="1"/>
  <c r="AN108" i="1"/>
  <c r="AV108" i="1"/>
  <c r="AR108" i="1"/>
  <c r="AU109" i="1"/>
  <c r="AT109" i="1"/>
  <c r="H109" i="1"/>
  <c r="G109" i="1"/>
  <c r="AL109" i="1"/>
  <c r="AO109" i="1"/>
  <c r="AN109" i="1"/>
  <c r="AV109" i="1"/>
  <c r="AR109" i="1"/>
  <c r="AU110" i="1"/>
  <c r="AT110" i="1"/>
  <c r="H110" i="1"/>
  <c r="G110" i="1"/>
  <c r="AL110" i="1"/>
  <c r="AO110" i="1"/>
  <c r="AN110" i="1"/>
  <c r="AV110" i="1"/>
  <c r="AR110" i="1"/>
  <c r="AU111" i="1"/>
  <c r="AT111" i="1"/>
  <c r="H111" i="1"/>
  <c r="G111" i="1"/>
  <c r="AL111" i="1"/>
  <c r="AO111" i="1"/>
  <c r="AN111" i="1"/>
  <c r="AV111" i="1"/>
  <c r="AR111" i="1"/>
  <c r="AU112" i="1"/>
  <c r="AT112" i="1"/>
  <c r="H112" i="1"/>
  <c r="G112" i="1"/>
  <c r="AL112" i="1"/>
  <c r="AO112" i="1"/>
  <c r="AN112" i="1"/>
  <c r="AV112" i="1"/>
  <c r="AR112" i="1"/>
  <c r="AU113" i="1"/>
  <c r="AT113" i="1"/>
  <c r="H113" i="1"/>
  <c r="G113" i="1"/>
  <c r="AL113" i="1"/>
  <c r="AO113" i="1"/>
  <c r="AN113" i="1"/>
  <c r="AV113" i="1"/>
  <c r="AR113" i="1"/>
  <c r="AU114" i="1"/>
  <c r="AT114" i="1"/>
  <c r="H114" i="1"/>
  <c r="G114" i="1"/>
  <c r="AL114" i="1"/>
  <c r="AO114" i="1"/>
  <c r="AN114" i="1"/>
  <c r="AV114" i="1"/>
  <c r="AR114" i="1"/>
  <c r="AU115" i="1"/>
  <c r="AT115" i="1"/>
  <c r="H115" i="1"/>
  <c r="G115" i="1"/>
  <c r="AL115" i="1"/>
  <c r="AO115" i="1"/>
  <c r="AN115" i="1"/>
  <c r="AV115" i="1"/>
  <c r="AR115" i="1"/>
  <c r="AU116" i="1"/>
  <c r="AT116" i="1"/>
  <c r="H116" i="1"/>
  <c r="G116" i="1"/>
  <c r="AL116" i="1"/>
  <c r="AO116" i="1"/>
  <c r="AN116" i="1"/>
  <c r="AV116" i="1"/>
  <c r="AR116" i="1"/>
  <c r="AU117" i="1"/>
  <c r="AT117" i="1"/>
  <c r="H117" i="1"/>
  <c r="G117" i="1"/>
  <c r="AL117" i="1"/>
  <c r="AO117" i="1"/>
  <c r="AN117" i="1"/>
  <c r="AV117" i="1"/>
  <c r="AR117" i="1"/>
  <c r="AU118" i="1"/>
  <c r="AT118" i="1"/>
  <c r="H118" i="1"/>
  <c r="G118" i="1"/>
  <c r="AL118" i="1"/>
  <c r="AO118" i="1"/>
  <c r="AN118" i="1"/>
  <c r="AV118" i="1"/>
  <c r="AR118" i="1"/>
  <c r="AU119" i="1"/>
  <c r="AT119" i="1"/>
  <c r="H119" i="1"/>
  <c r="G119" i="1"/>
  <c r="AL119" i="1"/>
  <c r="AO119" i="1"/>
  <c r="AN119" i="1"/>
  <c r="AV119" i="1"/>
  <c r="AR119" i="1"/>
  <c r="AU120" i="1"/>
  <c r="AT120" i="1"/>
  <c r="H120" i="1"/>
  <c r="G120" i="1"/>
  <c r="AL120" i="1"/>
  <c r="AO120" i="1"/>
  <c r="AN120" i="1"/>
  <c r="AV120" i="1"/>
  <c r="AR120" i="1"/>
  <c r="AU121" i="1"/>
  <c r="AT121" i="1"/>
  <c r="H121" i="1"/>
  <c r="G121" i="1"/>
  <c r="AL121" i="1"/>
  <c r="AO121" i="1"/>
  <c r="AN121" i="1"/>
  <c r="AV121" i="1"/>
  <c r="AR121" i="1"/>
  <c r="AU122" i="1"/>
  <c r="AT122" i="1"/>
  <c r="H122" i="1"/>
  <c r="G122" i="1"/>
  <c r="AL122" i="1"/>
  <c r="AO122" i="1"/>
  <c r="AN122" i="1"/>
  <c r="AV122" i="1"/>
  <c r="AR122" i="1"/>
  <c r="AU123" i="1"/>
  <c r="AT123" i="1"/>
  <c r="H123" i="1"/>
  <c r="G123" i="1"/>
  <c r="AL123" i="1"/>
  <c r="AO123" i="1"/>
  <c r="AN123" i="1"/>
  <c r="AV123" i="1"/>
  <c r="AR123" i="1"/>
  <c r="AU124" i="1"/>
  <c r="AT124" i="1"/>
  <c r="H124" i="1"/>
  <c r="G124" i="1"/>
  <c r="AL124" i="1"/>
  <c r="AO124" i="1"/>
  <c r="AN124" i="1"/>
  <c r="AV124" i="1"/>
  <c r="AR124" i="1"/>
  <c r="AU125" i="1"/>
  <c r="AT125" i="1"/>
  <c r="H125" i="1"/>
  <c r="G125" i="1"/>
  <c r="AL125" i="1"/>
  <c r="AO125" i="1"/>
  <c r="AN125" i="1"/>
  <c r="AV125" i="1"/>
  <c r="AR125" i="1"/>
  <c r="AU126" i="1"/>
  <c r="AT126" i="1"/>
  <c r="H126" i="1"/>
  <c r="G126" i="1"/>
  <c r="AL126" i="1"/>
  <c r="AO126" i="1"/>
  <c r="AN126" i="1"/>
  <c r="AV126" i="1"/>
  <c r="AR126" i="1"/>
  <c r="AU127" i="1"/>
  <c r="AT127" i="1"/>
  <c r="H127" i="1"/>
  <c r="G127" i="1"/>
  <c r="AL127" i="1"/>
  <c r="AO127" i="1"/>
  <c r="AN127" i="1"/>
  <c r="AV127" i="1"/>
  <c r="AR127" i="1"/>
  <c r="AU128" i="1"/>
  <c r="AT128" i="1"/>
  <c r="H128" i="1"/>
  <c r="G128" i="1"/>
  <c r="AL128" i="1"/>
  <c r="AO128" i="1"/>
  <c r="AN128" i="1"/>
  <c r="AV128" i="1"/>
  <c r="AR128" i="1"/>
  <c r="AU129" i="1"/>
  <c r="AT129" i="1"/>
  <c r="H129" i="1"/>
  <c r="G129" i="1"/>
  <c r="AL129" i="1"/>
  <c r="AO129" i="1"/>
  <c r="AN129" i="1"/>
  <c r="AV129" i="1"/>
  <c r="AR129" i="1"/>
  <c r="AU130" i="1"/>
  <c r="AT130" i="1"/>
  <c r="H130" i="1"/>
  <c r="G130" i="1"/>
  <c r="AL130" i="1"/>
  <c r="AO130" i="1"/>
  <c r="AN130" i="1"/>
  <c r="AV130" i="1"/>
  <c r="AR130" i="1"/>
  <c r="AU131" i="1"/>
  <c r="AT131" i="1"/>
  <c r="H131" i="1"/>
  <c r="G131" i="1"/>
  <c r="AL131" i="1"/>
  <c r="AO131" i="1"/>
  <c r="AN131" i="1"/>
  <c r="AV131" i="1"/>
  <c r="AR131" i="1"/>
  <c r="AU132" i="1"/>
  <c r="AT132" i="1"/>
  <c r="H132" i="1"/>
  <c r="G132" i="1"/>
  <c r="AL132" i="1"/>
  <c r="AO132" i="1"/>
  <c r="AN132" i="1"/>
  <c r="AV132" i="1"/>
  <c r="AR132" i="1"/>
  <c r="AU133" i="1"/>
  <c r="AT133" i="1"/>
  <c r="H133" i="1"/>
  <c r="G133" i="1"/>
  <c r="AL133" i="1"/>
  <c r="AO133" i="1"/>
  <c r="AN133" i="1"/>
  <c r="AV133" i="1"/>
  <c r="AR133" i="1"/>
  <c r="AU134" i="1"/>
  <c r="AT134" i="1"/>
  <c r="H134" i="1"/>
  <c r="G134" i="1"/>
  <c r="AL134" i="1"/>
  <c r="AO134" i="1"/>
  <c r="AN134" i="1"/>
  <c r="AV134" i="1"/>
  <c r="AR134" i="1"/>
  <c r="AU135" i="1"/>
  <c r="AT135" i="1"/>
  <c r="H135" i="1"/>
  <c r="G135" i="1"/>
  <c r="AL135" i="1"/>
  <c r="AO135" i="1"/>
  <c r="AN135" i="1"/>
  <c r="AV135" i="1"/>
  <c r="AR135" i="1"/>
  <c r="AU136" i="1"/>
  <c r="AT136" i="1"/>
  <c r="H136" i="1"/>
  <c r="G136" i="1"/>
  <c r="AL136" i="1"/>
  <c r="AO136" i="1"/>
  <c r="AN136" i="1"/>
  <c r="AV136" i="1"/>
  <c r="AR136" i="1"/>
  <c r="AU137" i="1"/>
  <c r="AT137" i="1"/>
  <c r="H137" i="1"/>
  <c r="G137" i="1"/>
  <c r="AL137" i="1"/>
  <c r="AO137" i="1"/>
  <c r="AN137" i="1"/>
  <c r="AV137" i="1"/>
  <c r="AR137" i="1"/>
  <c r="AU138" i="1"/>
  <c r="AT138" i="1"/>
  <c r="H138" i="1"/>
  <c r="G138" i="1"/>
  <c r="AL138" i="1"/>
  <c r="AO138" i="1"/>
  <c r="AN138" i="1"/>
  <c r="AV138" i="1"/>
  <c r="AR138" i="1"/>
  <c r="AU139" i="1"/>
  <c r="AT139" i="1"/>
  <c r="H139" i="1"/>
  <c r="G139" i="1"/>
  <c r="AL139" i="1"/>
  <c r="AO139" i="1"/>
  <c r="AN139" i="1"/>
  <c r="AV139" i="1"/>
  <c r="AR139" i="1"/>
  <c r="AU140" i="1"/>
  <c r="AT140" i="1"/>
  <c r="H140" i="1"/>
  <c r="G140" i="1"/>
  <c r="AL140" i="1"/>
  <c r="AO140" i="1"/>
  <c r="AN140" i="1"/>
  <c r="AV140" i="1"/>
  <c r="AR140" i="1"/>
  <c r="AU141" i="1"/>
  <c r="AT141" i="1"/>
  <c r="H141" i="1"/>
  <c r="G141" i="1"/>
  <c r="AL141" i="1"/>
  <c r="AO141" i="1"/>
  <c r="AN141" i="1"/>
  <c r="AV141" i="1"/>
  <c r="AR141" i="1"/>
  <c r="AU142" i="1"/>
  <c r="AT142" i="1"/>
  <c r="H142" i="1"/>
  <c r="G142" i="1"/>
  <c r="AL142" i="1"/>
  <c r="AO142" i="1"/>
  <c r="AN142" i="1"/>
  <c r="AV142" i="1"/>
  <c r="AR142" i="1"/>
  <c r="AU143" i="1"/>
  <c r="AT143" i="1"/>
  <c r="H143" i="1"/>
  <c r="G143" i="1"/>
  <c r="AL143" i="1"/>
  <c r="AO143" i="1"/>
  <c r="AN143" i="1"/>
  <c r="AV143" i="1"/>
  <c r="AR143" i="1"/>
  <c r="AU144" i="1"/>
  <c r="AT144" i="1"/>
  <c r="H144" i="1"/>
  <c r="G144" i="1"/>
  <c r="AL144" i="1"/>
  <c r="AO144" i="1"/>
  <c r="AN144" i="1"/>
  <c r="AV144" i="1"/>
  <c r="AR144" i="1"/>
  <c r="AU145" i="1"/>
  <c r="AT145" i="1"/>
  <c r="H145" i="1"/>
  <c r="G145" i="1"/>
  <c r="AL145" i="1"/>
  <c r="AO145" i="1"/>
  <c r="AN145" i="1"/>
  <c r="AV145" i="1"/>
  <c r="AR145" i="1"/>
  <c r="AU146" i="1"/>
  <c r="AT146" i="1"/>
  <c r="H146" i="1"/>
  <c r="G146" i="1"/>
  <c r="AL146" i="1"/>
  <c r="AO146" i="1"/>
  <c r="AN146" i="1"/>
  <c r="AV146" i="1"/>
  <c r="AR146" i="1"/>
  <c r="AU147" i="1"/>
  <c r="AT147" i="1"/>
  <c r="H147" i="1"/>
  <c r="G147" i="1"/>
  <c r="AL147" i="1"/>
  <c r="AO147" i="1"/>
  <c r="AN147" i="1"/>
  <c r="AV147" i="1"/>
  <c r="AR147" i="1"/>
  <c r="AU148" i="1"/>
  <c r="AT148" i="1"/>
  <c r="H148" i="1"/>
  <c r="G148" i="1"/>
  <c r="AL148" i="1"/>
  <c r="AO148" i="1"/>
  <c r="AN148" i="1"/>
  <c r="AV148" i="1"/>
  <c r="AR148" i="1"/>
  <c r="AU149" i="1"/>
  <c r="AT149" i="1"/>
  <c r="H149" i="1"/>
  <c r="G149" i="1"/>
  <c r="AL149" i="1"/>
  <c r="AO149" i="1"/>
  <c r="AN149" i="1"/>
  <c r="AV149" i="1"/>
  <c r="AR149" i="1"/>
  <c r="AU150" i="1"/>
  <c r="AT150" i="1"/>
  <c r="H150" i="1"/>
  <c r="G150" i="1"/>
  <c r="AL150" i="1"/>
  <c r="AO150" i="1"/>
  <c r="AN150" i="1"/>
  <c r="AV150" i="1"/>
  <c r="AR150" i="1"/>
  <c r="AU151" i="1"/>
  <c r="AT151" i="1"/>
  <c r="H151" i="1"/>
  <c r="G151" i="1"/>
  <c r="AL151" i="1"/>
  <c r="AO151" i="1"/>
  <c r="AN151" i="1"/>
  <c r="AV151" i="1"/>
  <c r="AR151" i="1"/>
  <c r="AU152" i="1"/>
  <c r="AT152" i="1"/>
  <c r="H152" i="1"/>
  <c r="G152" i="1"/>
  <c r="AL152" i="1"/>
  <c r="AO152" i="1"/>
  <c r="AN152" i="1"/>
  <c r="AV152" i="1"/>
  <c r="AR152" i="1"/>
  <c r="AU153" i="1"/>
  <c r="AT153" i="1"/>
  <c r="H153" i="1"/>
  <c r="G153" i="1"/>
  <c r="AL153" i="1"/>
  <c r="AO153" i="1"/>
  <c r="AN153" i="1"/>
  <c r="AV153" i="1"/>
  <c r="AR153" i="1"/>
  <c r="AU154" i="1"/>
  <c r="AT154" i="1"/>
  <c r="H154" i="1"/>
  <c r="G154" i="1"/>
  <c r="AL154" i="1"/>
  <c r="AO154" i="1"/>
  <c r="AN154" i="1"/>
  <c r="AV154" i="1"/>
  <c r="AR154" i="1"/>
  <c r="AU155" i="1"/>
  <c r="AT155" i="1"/>
  <c r="H155" i="1"/>
  <c r="G155" i="1"/>
  <c r="AL155" i="1"/>
  <c r="AO155" i="1"/>
  <c r="AN155" i="1"/>
  <c r="AV155" i="1"/>
  <c r="AR155" i="1"/>
  <c r="AU156" i="1"/>
  <c r="AT156" i="1"/>
  <c r="H156" i="1"/>
  <c r="G156" i="1"/>
  <c r="AL156" i="1"/>
  <c r="AO156" i="1"/>
  <c r="AN156" i="1"/>
  <c r="AV156" i="1"/>
  <c r="AR156" i="1"/>
  <c r="AU157" i="1"/>
  <c r="AT157" i="1"/>
  <c r="H157" i="1"/>
  <c r="G157" i="1"/>
  <c r="AL157" i="1"/>
  <c r="AO157" i="1"/>
  <c r="AN157" i="1"/>
  <c r="AV157" i="1"/>
  <c r="AR157" i="1"/>
  <c r="AU158" i="1"/>
  <c r="AT158" i="1"/>
  <c r="H158" i="1"/>
  <c r="G158" i="1"/>
  <c r="AL158" i="1"/>
  <c r="AO158" i="1"/>
  <c r="AN158" i="1"/>
  <c r="AV158" i="1"/>
  <c r="AR158" i="1"/>
  <c r="AU159" i="1"/>
  <c r="AT159" i="1"/>
  <c r="H159" i="1"/>
  <c r="G159" i="1"/>
  <c r="AL159" i="1"/>
  <c r="AO159" i="1"/>
  <c r="AN159" i="1"/>
  <c r="AV159" i="1"/>
  <c r="AR159" i="1"/>
  <c r="AU160" i="1"/>
  <c r="AT160" i="1"/>
  <c r="H160" i="1"/>
  <c r="G160" i="1"/>
  <c r="AL160" i="1"/>
  <c r="AO160" i="1"/>
  <c r="AN160" i="1"/>
  <c r="AV160" i="1"/>
  <c r="AR160" i="1"/>
  <c r="AU161" i="1"/>
  <c r="AT161" i="1"/>
  <c r="H161" i="1"/>
  <c r="G161" i="1"/>
  <c r="AL161" i="1"/>
  <c r="AO161" i="1"/>
  <c r="AN161" i="1"/>
  <c r="AV161" i="1"/>
  <c r="AR161" i="1"/>
  <c r="AU162" i="1"/>
  <c r="AT162" i="1"/>
  <c r="H162" i="1"/>
  <c r="G162" i="1"/>
  <c r="AL162" i="1"/>
  <c r="AO162" i="1"/>
  <c r="AN162" i="1"/>
  <c r="AV162" i="1"/>
  <c r="AR162" i="1"/>
  <c r="AU163" i="1"/>
  <c r="AT163" i="1"/>
  <c r="H163" i="1"/>
  <c r="G163" i="1"/>
  <c r="AL163" i="1"/>
  <c r="AO163" i="1"/>
  <c r="AN163" i="1"/>
  <c r="AV163" i="1"/>
  <c r="AR163" i="1"/>
  <c r="AU164" i="1"/>
  <c r="AT164" i="1"/>
  <c r="H164" i="1"/>
  <c r="G164" i="1"/>
  <c r="AL164" i="1"/>
  <c r="AO164" i="1"/>
  <c r="AN164" i="1"/>
  <c r="AV164" i="1"/>
  <c r="AR164" i="1"/>
  <c r="AU165" i="1"/>
  <c r="AT165" i="1"/>
  <c r="H165" i="1"/>
  <c r="G165" i="1"/>
  <c r="AL165" i="1"/>
  <c r="AO165" i="1"/>
  <c r="AN165" i="1"/>
  <c r="AV165" i="1"/>
  <c r="AR165" i="1"/>
  <c r="AU166" i="1"/>
  <c r="AT166" i="1"/>
  <c r="H166" i="1"/>
  <c r="G166" i="1"/>
  <c r="AL166" i="1"/>
  <c r="AO166" i="1"/>
  <c r="AN166" i="1"/>
  <c r="AV166" i="1"/>
  <c r="AR166" i="1"/>
  <c r="AU167" i="1"/>
  <c r="AT167" i="1"/>
  <c r="H167" i="1"/>
  <c r="G167" i="1"/>
  <c r="AL167" i="1"/>
  <c r="AO167" i="1"/>
  <c r="AN167" i="1"/>
  <c r="AV167" i="1"/>
  <c r="AR167" i="1"/>
  <c r="AU168" i="1"/>
  <c r="AT168" i="1"/>
  <c r="H168" i="1"/>
  <c r="G168" i="1"/>
  <c r="AL168" i="1"/>
  <c r="AO168" i="1"/>
  <c r="AN168" i="1"/>
  <c r="AV168" i="1"/>
  <c r="AR168" i="1"/>
  <c r="AU169" i="1"/>
  <c r="AT169" i="1"/>
  <c r="H169" i="1"/>
  <c r="G169" i="1"/>
  <c r="AL169" i="1"/>
  <c r="AO169" i="1"/>
  <c r="AN169" i="1"/>
  <c r="AV169" i="1"/>
  <c r="AR169" i="1"/>
  <c r="AU170" i="1"/>
  <c r="AT170" i="1"/>
  <c r="H170" i="1"/>
  <c r="G170" i="1"/>
  <c r="AL170" i="1"/>
  <c r="AO170" i="1"/>
  <c r="AN170" i="1"/>
  <c r="AV170" i="1"/>
  <c r="AR170" i="1"/>
  <c r="AU171" i="1"/>
  <c r="AT171" i="1"/>
  <c r="H171" i="1"/>
  <c r="G171" i="1"/>
  <c r="AL171" i="1"/>
  <c r="AO171" i="1"/>
  <c r="AN171" i="1"/>
  <c r="AV171" i="1"/>
  <c r="AR171" i="1"/>
  <c r="AU172" i="1"/>
  <c r="AT172" i="1"/>
  <c r="H172" i="1"/>
  <c r="G172" i="1"/>
  <c r="AL172" i="1"/>
  <c r="AO172" i="1"/>
  <c r="AN172" i="1"/>
  <c r="AV172" i="1"/>
  <c r="AR172" i="1"/>
  <c r="AU173" i="1"/>
  <c r="AT173" i="1"/>
  <c r="H173" i="1"/>
  <c r="G173" i="1"/>
  <c r="AL173" i="1"/>
  <c r="AO173" i="1"/>
  <c r="AN173" i="1"/>
  <c r="AV173" i="1"/>
  <c r="AR173" i="1"/>
  <c r="AU174" i="1"/>
  <c r="AT174" i="1"/>
  <c r="H174" i="1"/>
  <c r="G174" i="1"/>
  <c r="AL174" i="1"/>
  <c r="AO174" i="1"/>
  <c r="AN174" i="1"/>
  <c r="AV174" i="1"/>
  <c r="AR174" i="1"/>
  <c r="AU175" i="1"/>
  <c r="AT175" i="1"/>
  <c r="H175" i="1"/>
  <c r="G175" i="1"/>
  <c r="AL175" i="1"/>
  <c r="AO175" i="1"/>
  <c r="AN175" i="1"/>
  <c r="AV175" i="1"/>
  <c r="AR175" i="1"/>
  <c r="AU176" i="1"/>
  <c r="AT176" i="1"/>
  <c r="H176" i="1"/>
  <c r="G176" i="1"/>
  <c r="AL176" i="1"/>
  <c r="AO176" i="1"/>
  <c r="AN176" i="1"/>
  <c r="AV176" i="1"/>
  <c r="AR176" i="1"/>
  <c r="AU177" i="1"/>
  <c r="AT177" i="1"/>
  <c r="H177" i="1"/>
  <c r="G177" i="1"/>
  <c r="AL177" i="1"/>
  <c r="AO177" i="1"/>
  <c r="AN177" i="1"/>
  <c r="AV177" i="1"/>
  <c r="AR177" i="1"/>
  <c r="AU178" i="1"/>
  <c r="AT178" i="1"/>
  <c r="H178" i="1"/>
  <c r="G178" i="1"/>
  <c r="AL178" i="1"/>
  <c r="AO178" i="1"/>
  <c r="AN178" i="1"/>
  <c r="AV178" i="1"/>
  <c r="AR178" i="1"/>
  <c r="AU179" i="1"/>
  <c r="AT179" i="1"/>
  <c r="H179" i="1"/>
  <c r="G179" i="1"/>
  <c r="AL179" i="1"/>
  <c r="AO179" i="1"/>
  <c r="AN179" i="1"/>
  <c r="AV179" i="1"/>
  <c r="AR179" i="1"/>
  <c r="AU180" i="1"/>
  <c r="AT180" i="1"/>
  <c r="H180" i="1"/>
  <c r="G180" i="1"/>
  <c r="AL180" i="1"/>
  <c r="AO180" i="1"/>
  <c r="AN180" i="1"/>
  <c r="AV180" i="1"/>
  <c r="AR180" i="1"/>
  <c r="AU181" i="1"/>
  <c r="AT181" i="1"/>
  <c r="H181" i="1"/>
  <c r="G181" i="1"/>
  <c r="AL181" i="1"/>
  <c r="AO181" i="1"/>
  <c r="AN181" i="1"/>
  <c r="AV181" i="1"/>
  <c r="AR181" i="1"/>
  <c r="AU182" i="1"/>
  <c r="AT182" i="1"/>
  <c r="H182" i="1"/>
  <c r="G182" i="1"/>
  <c r="AL182" i="1"/>
  <c r="AO182" i="1"/>
  <c r="AN182" i="1"/>
  <c r="AV182" i="1"/>
  <c r="AR182" i="1"/>
  <c r="AU183" i="1"/>
  <c r="AT183" i="1"/>
  <c r="H183" i="1"/>
  <c r="G183" i="1"/>
  <c r="AL183" i="1"/>
  <c r="AO183" i="1"/>
  <c r="AN183" i="1"/>
  <c r="AV183" i="1"/>
  <c r="AR183" i="1"/>
  <c r="AU184" i="1"/>
  <c r="AT184" i="1"/>
  <c r="H184" i="1"/>
  <c r="G184" i="1"/>
  <c r="AL184" i="1"/>
  <c r="AO184" i="1"/>
  <c r="AN184" i="1"/>
  <c r="AV184" i="1"/>
  <c r="AR184" i="1"/>
  <c r="AU185" i="1"/>
  <c r="AT185" i="1"/>
  <c r="H185" i="1"/>
  <c r="G185" i="1"/>
  <c r="AL185" i="1"/>
  <c r="AO185" i="1"/>
  <c r="AN185" i="1"/>
  <c r="AV185" i="1"/>
  <c r="AR185" i="1"/>
  <c r="AU186" i="1"/>
  <c r="AT186" i="1"/>
  <c r="H186" i="1"/>
  <c r="G186" i="1"/>
  <c r="AL186" i="1"/>
  <c r="AO186" i="1"/>
  <c r="AN186" i="1"/>
  <c r="AV186" i="1"/>
  <c r="AR186" i="1"/>
  <c r="AU187" i="1"/>
  <c r="AT187" i="1"/>
  <c r="H187" i="1"/>
  <c r="G187" i="1"/>
  <c r="AL187" i="1"/>
  <c r="AO187" i="1"/>
  <c r="AN187" i="1"/>
  <c r="AV187" i="1"/>
  <c r="AR187" i="1"/>
  <c r="AU188" i="1"/>
  <c r="AT188" i="1"/>
  <c r="H188" i="1"/>
  <c r="G188" i="1"/>
  <c r="AL188" i="1"/>
  <c r="AO188" i="1"/>
  <c r="AN188" i="1"/>
  <c r="AV188" i="1"/>
  <c r="AR188" i="1"/>
  <c r="AU189" i="1"/>
  <c r="AT189" i="1"/>
  <c r="H189" i="1"/>
  <c r="G189" i="1"/>
  <c r="AL189" i="1"/>
  <c r="AO189" i="1"/>
  <c r="AN189" i="1"/>
  <c r="AV189" i="1"/>
  <c r="AR189" i="1"/>
  <c r="AU190" i="1"/>
  <c r="AT190" i="1"/>
  <c r="H190" i="1"/>
  <c r="G190" i="1"/>
  <c r="AL190" i="1"/>
  <c r="AO190" i="1"/>
  <c r="AN190" i="1"/>
  <c r="AV190" i="1"/>
  <c r="AR190" i="1"/>
  <c r="AU191" i="1"/>
  <c r="AT191" i="1"/>
  <c r="H191" i="1"/>
  <c r="G191" i="1"/>
  <c r="AL191" i="1"/>
  <c r="AO191" i="1"/>
  <c r="AN191" i="1"/>
  <c r="AV191" i="1"/>
  <c r="AR191" i="1"/>
  <c r="AU192" i="1"/>
  <c r="AT192" i="1"/>
  <c r="H192" i="1"/>
  <c r="G192" i="1"/>
  <c r="AL192" i="1"/>
  <c r="AO192" i="1"/>
  <c r="AN192" i="1"/>
  <c r="AV192" i="1"/>
  <c r="AR192" i="1"/>
  <c r="AU193" i="1"/>
  <c r="AT193" i="1"/>
  <c r="H193" i="1"/>
  <c r="G193" i="1"/>
  <c r="AL193" i="1"/>
  <c r="AO193" i="1"/>
  <c r="AN193" i="1"/>
  <c r="AV193" i="1"/>
  <c r="AR193" i="1"/>
  <c r="AU194" i="1"/>
  <c r="AT194" i="1"/>
  <c r="H194" i="1"/>
  <c r="G194" i="1"/>
  <c r="AL194" i="1"/>
  <c r="AO194" i="1"/>
  <c r="AN194" i="1"/>
  <c r="AV194" i="1"/>
  <c r="AR194" i="1"/>
  <c r="AU195" i="1"/>
  <c r="AT195" i="1"/>
  <c r="H195" i="1"/>
  <c r="G195" i="1"/>
  <c r="AL195" i="1"/>
  <c r="AO195" i="1"/>
  <c r="AN195" i="1"/>
  <c r="AV195" i="1"/>
  <c r="AR195" i="1"/>
  <c r="AU196" i="1"/>
  <c r="AT196" i="1"/>
  <c r="H196" i="1"/>
  <c r="G196" i="1"/>
  <c r="AL196" i="1"/>
  <c r="AO196" i="1"/>
  <c r="AN196" i="1"/>
  <c r="AV196" i="1"/>
  <c r="AR196" i="1"/>
  <c r="AU197" i="1"/>
  <c r="AT197" i="1"/>
  <c r="H197" i="1"/>
  <c r="G197" i="1"/>
  <c r="AL197" i="1"/>
  <c r="AO197" i="1"/>
  <c r="AN197" i="1"/>
  <c r="AV197" i="1"/>
  <c r="AR197" i="1"/>
  <c r="AU198" i="1"/>
  <c r="AT198" i="1"/>
  <c r="H198" i="1"/>
  <c r="G198" i="1"/>
  <c r="AL198" i="1"/>
  <c r="AO198" i="1"/>
  <c r="AN198" i="1"/>
  <c r="AV198" i="1"/>
  <c r="AR198" i="1"/>
  <c r="AU199" i="1"/>
  <c r="AT199" i="1"/>
  <c r="H199" i="1"/>
  <c r="G199" i="1"/>
  <c r="AL199" i="1"/>
  <c r="AO199" i="1"/>
  <c r="AN199" i="1"/>
  <c r="AV199" i="1"/>
  <c r="AR199" i="1"/>
  <c r="AU200" i="1"/>
  <c r="AT200" i="1"/>
  <c r="H200" i="1"/>
  <c r="G200" i="1"/>
  <c r="AL200" i="1"/>
  <c r="AO200" i="1"/>
  <c r="AN200" i="1"/>
  <c r="AV200" i="1"/>
  <c r="AR200" i="1"/>
  <c r="AU201" i="1"/>
  <c r="AT201" i="1"/>
  <c r="H201" i="1"/>
  <c r="G201" i="1"/>
  <c r="AL201" i="1"/>
  <c r="AO201" i="1"/>
  <c r="AN201" i="1"/>
  <c r="AV201" i="1"/>
  <c r="AR201" i="1"/>
  <c r="AU202" i="1"/>
  <c r="AT202" i="1"/>
  <c r="H202" i="1"/>
  <c r="G202" i="1"/>
  <c r="AL202" i="1"/>
  <c r="AO202" i="1"/>
  <c r="AN202" i="1"/>
  <c r="AV202" i="1"/>
  <c r="AR202" i="1"/>
  <c r="AU203" i="1"/>
  <c r="AT203" i="1"/>
  <c r="H203" i="1"/>
  <c r="G203" i="1"/>
  <c r="AL203" i="1"/>
  <c r="AO203" i="1"/>
  <c r="AN203" i="1"/>
  <c r="AV203" i="1"/>
  <c r="AR203" i="1"/>
  <c r="AU204" i="1"/>
  <c r="AT204" i="1"/>
  <c r="H204" i="1"/>
  <c r="G204" i="1"/>
  <c r="AL204" i="1"/>
  <c r="AO204" i="1"/>
  <c r="AN204" i="1"/>
  <c r="AV204" i="1"/>
  <c r="AR204" i="1"/>
  <c r="AU205" i="1"/>
  <c r="AT205" i="1"/>
  <c r="H205" i="1"/>
  <c r="G205" i="1"/>
  <c r="AL205" i="1"/>
  <c r="AO205" i="1"/>
  <c r="AN205" i="1"/>
  <c r="AV205" i="1"/>
  <c r="AR205" i="1"/>
  <c r="AU206" i="1"/>
  <c r="AT206" i="1"/>
  <c r="H206" i="1"/>
  <c r="G206" i="1"/>
  <c r="AL206" i="1"/>
  <c r="AO206" i="1"/>
  <c r="AN206" i="1"/>
  <c r="AV206" i="1"/>
  <c r="AR206" i="1"/>
  <c r="AU207" i="1"/>
  <c r="AT207" i="1"/>
  <c r="H207" i="1"/>
  <c r="G207" i="1"/>
  <c r="AL207" i="1"/>
  <c r="AO207" i="1"/>
  <c r="AN207" i="1"/>
  <c r="AV207" i="1"/>
  <c r="AR207" i="1"/>
  <c r="AU208" i="1"/>
  <c r="AT208" i="1"/>
  <c r="H208" i="1"/>
  <c r="G208" i="1"/>
  <c r="AL208" i="1"/>
  <c r="AO208" i="1"/>
  <c r="AN208" i="1"/>
  <c r="AV208" i="1"/>
  <c r="AR208" i="1"/>
  <c r="AU209" i="1"/>
  <c r="AT209" i="1"/>
  <c r="H209" i="1"/>
  <c r="G209" i="1"/>
  <c r="AL209" i="1"/>
  <c r="AO209" i="1"/>
  <c r="AN209" i="1"/>
  <c r="AV209" i="1"/>
  <c r="AR209" i="1"/>
  <c r="AU210" i="1"/>
  <c r="AT210" i="1"/>
  <c r="H210" i="1"/>
  <c r="G210" i="1"/>
  <c r="AL210" i="1"/>
  <c r="AO210" i="1"/>
  <c r="AN210" i="1"/>
  <c r="AV210" i="1"/>
  <c r="AR210" i="1"/>
  <c r="AU211" i="1"/>
  <c r="AT211" i="1"/>
  <c r="H211" i="1"/>
  <c r="G211" i="1"/>
  <c r="AL211" i="1"/>
  <c r="AO211" i="1"/>
  <c r="AN211" i="1"/>
  <c r="AV211" i="1"/>
  <c r="AR211" i="1"/>
  <c r="AU212" i="1"/>
  <c r="AT212" i="1"/>
  <c r="H212" i="1"/>
  <c r="G212" i="1"/>
  <c r="AL212" i="1"/>
  <c r="AO212" i="1"/>
  <c r="AN212" i="1"/>
  <c r="AV212" i="1"/>
  <c r="AR212" i="1"/>
  <c r="AU213" i="1"/>
  <c r="AT213" i="1"/>
  <c r="H213" i="1"/>
  <c r="G213" i="1"/>
  <c r="AL213" i="1"/>
  <c r="AO213" i="1"/>
  <c r="AN213" i="1"/>
  <c r="AV213" i="1"/>
  <c r="AR213" i="1"/>
  <c r="AU214" i="1"/>
  <c r="AT214" i="1"/>
  <c r="H214" i="1"/>
  <c r="G214" i="1"/>
  <c r="AL214" i="1"/>
  <c r="AO214" i="1"/>
  <c r="AN214" i="1"/>
  <c r="AV214" i="1"/>
  <c r="AR214" i="1"/>
  <c r="AU215" i="1"/>
  <c r="AT215" i="1"/>
  <c r="H215" i="1"/>
  <c r="G215" i="1"/>
  <c r="AL215" i="1"/>
  <c r="AO215" i="1"/>
  <c r="AN215" i="1"/>
  <c r="AV215" i="1"/>
  <c r="AR215" i="1"/>
  <c r="AU216" i="1"/>
  <c r="AT216" i="1"/>
  <c r="H216" i="1"/>
  <c r="G216" i="1"/>
  <c r="AL216" i="1"/>
  <c r="AO216" i="1"/>
  <c r="AN216" i="1"/>
  <c r="AV216" i="1"/>
  <c r="AR216" i="1"/>
  <c r="AU217" i="1"/>
  <c r="AT217" i="1"/>
  <c r="H217" i="1"/>
  <c r="G217" i="1"/>
  <c r="AL217" i="1"/>
  <c r="AO217" i="1"/>
  <c r="AN217" i="1"/>
  <c r="AV217" i="1"/>
  <c r="AR217" i="1"/>
  <c r="AU218" i="1"/>
  <c r="AT218" i="1"/>
  <c r="H218" i="1"/>
  <c r="G218" i="1"/>
  <c r="AL218" i="1"/>
  <c r="AO218" i="1"/>
  <c r="AN218" i="1"/>
  <c r="AV218" i="1"/>
  <c r="AR218" i="1"/>
  <c r="AU219" i="1"/>
  <c r="AT219" i="1"/>
  <c r="H219" i="1"/>
  <c r="G219" i="1"/>
  <c r="AL219" i="1"/>
  <c r="AO219" i="1"/>
  <c r="AN219" i="1"/>
  <c r="AV219" i="1"/>
  <c r="AR219" i="1"/>
  <c r="AU220" i="1"/>
  <c r="AT220" i="1"/>
  <c r="H220" i="1"/>
  <c r="G220" i="1"/>
  <c r="AL220" i="1"/>
  <c r="AO220" i="1"/>
  <c r="AN220" i="1"/>
  <c r="AV220" i="1"/>
  <c r="AR220" i="1"/>
  <c r="AU221" i="1"/>
  <c r="AT221" i="1"/>
  <c r="H221" i="1"/>
  <c r="G221" i="1"/>
  <c r="AL221" i="1"/>
  <c r="AO221" i="1"/>
  <c r="AN221" i="1"/>
  <c r="AV221" i="1"/>
  <c r="AR221" i="1"/>
  <c r="AU222" i="1"/>
  <c r="AT222" i="1"/>
  <c r="H222" i="1"/>
  <c r="G222" i="1"/>
  <c r="AL222" i="1"/>
  <c r="AO222" i="1"/>
  <c r="AN222" i="1"/>
  <c r="AV222" i="1"/>
  <c r="AR222" i="1"/>
  <c r="AU223" i="1"/>
  <c r="AT223" i="1"/>
  <c r="H223" i="1"/>
  <c r="G223" i="1"/>
  <c r="AL223" i="1"/>
  <c r="AO223" i="1"/>
  <c r="AN223" i="1"/>
  <c r="AV223" i="1"/>
  <c r="AR223" i="1"/>
  <c r="AU224" i="1"/>
  <c r="AT224" i="1"/>
  <c r="H224" i="1"/>
  <c r="G224" i="1"/>
  <c r="AL224" i="1"/>
  <c r="AO224" i="1"/>
  <c r="AN224" i="1"/>
  <c r="AV224" i="1"/>
  <c r="AR224" i="1"/>
  <c r="AU225" i="1"/>
  <c r="AT225" i="1"/>
  <c r="H225" i="1"/>
  <c r="G225" i="1"/>
  <c r="AL225" i="1"/>
  <c r="AO225" i="1"/>
  <c r="AN225" i="1"/>
  <c r="AV225" i="1"/>
  <c r="AR225" i="1"/>
  <c r="AU226" i="1"/>
  <c r="AT226" i="1"/>
  <c r="H226" i="1"/>
  <c r="G226" i="1"/>
  <c r="AL226" i="1"/>
  <c r="AO226" i="1"/>
  <c r="AN226" i="1"/>
  <c r="AV226" i="1"/>
  <c r="AR226" i="1"/>
  <c r="AU227" i="1"/>
  <c r="AT227" i="1"/>
  <c r="H227" i="1"/>
  <c r="G227" i="1"/>
  <c r="AL227" i="1"/>
  <c r="AO227" i="1"/>
  <c r="AN227" i="1"/>
  <c r="AV227" i="1"/>
  <c r="AR227" i="1"/>
  <c r="AU228" i="1"/>
  <c r="AT228" i="1"/>
  <c r="H228" i="1"/>
  <c r="G228" i="1"/>
  <c r="AL228" i="1"/>
  <c r="AO228" i="1"/>
  <c r="AN228" i="1"/>
  <c r="AV228" i="1"/>
  <c r="AR228" i="1"/>
  <c r="AU229" i="1"/>
  <c r="AT229" i="1"/>
  <c r="H229" i="1"/>
  <c r="G229" i="1"/>
  <c r="AL229" i="1"/>
  <c r="AO229" i="1"/>
  <c r="AN229" i="1"/>
  <c r="AV229" i="1"/>
  <c r="AR229" i="1"/>
  <c r="AU230" i="1"/>
  <c r="AT230" i="1"/>
  <c r="H230" i="1"/>
  <c r="G230" i="1"/>
  <c r="AL230" i="1"/>
  <c r="AO230" i="1"/>
  <c r="AN230" i="1"/>
  <c r="AV230" i="1"/>
  <c r="AR230" i="1"/>
  <c r="AU231" i="1"/>
  <c r="AT231" i="1"/>
  <c r="H231" i="1"/>
  <c r="G231" i="1"/>
  <c r="AL231" i="1"/>
  <c r="AO231" i="1"/>
  <c r="AN231" i="1"/>
  <c r="AV231" i="1"/>
  <c r="AR231" i="1"/>
  <c r="AU232" i="1"/>
  <c r="AT232" i="1"/>
  <c r="H232" i="1"/>
  <c r="G232" i="1"/>
  <c r="AL232" i="1"/>
  <c r="AO232" i="1"/>
  <c r="AN232" i="1"/>
  <c r="AV232" i="1"/>
  <c r="AR232" i="1"/>
  <c r="AU233" i="1"/>
  <c r="AT233" i="1"/>
  <c r="H233" i="1"/>
  <c r="G233" i="1"/>
  <c r="AL233" i="1"/>
  <c r="AO233" i="1"/>
  <c r="AN233" i="1"/>
  <c r="AV233" i="1"/>
  <c r="AR233" i="1"/>
  <c r="AU234" i="1"/>
  <c r="AT234" i="1"/>
  <c r="H234" i="1"/>
  <c r="G234" i="1"/>
  <c r="AL234" i="1"/>
  <c r="AO234" i="1"/>
  <c r="AN234" i="1"/>
  <c r="AV234" i="1"/>
  <c r="AR234" i="1"/>
  <c r="AU235" i="1"/>
  <c r="AT235" i="1"/>
  <c r="H235" i="1"/>
  <c r="G235" i="1"/>
  <c r="AL235" i="1"/>
  <c r="AO235" i="1"/>
  <c r="AN235" i="1"/>
  <c r="AV235" i="1"/>
  <c r="AR235" i="1"/>
  <c r="AU236" i="1"/>
  <c r="AT236" i="1"/>
  <c r="H236" i="1"/>
  <c r="G236" i="1"/>
  <c r="AL236" i="1"/>
  <c r="AO236" i="1"/>
  <c r="AN236" i="1"/>
  <c r="AV236" i="1"/>
  <c r="AR236" i="1"/>
  <c r="AU237" i="1"/>
  <c r="AT237" i="1"/>
  <c r="H237" i="1"/>
  <c r="G237" i="1"/>
  <c r="AL237" i="1"/>
  <c r="AO237" i="1"/>
  <c r="AN237" i="1"/>
  <c r="AV237" i="1"/>
  <c r="AR237" i="1"/>
  <c r="AU238" i="1"/>
  <c r="AT238" i="1"/>
  <c r="H238" i="1"/>
  <c r="G238" i="1"/>
  <c r="AL238" i="1"/>
  <c r="AO238" i="1"/>
  <c r="AN238" i="1"/>
  <c r="AV238" i="1"/>
  <c r="AR238" i="1"/>
  <c r="AU239" i="1"/>
  <c r="AT239" i="1"/>
  <c r="H239" i="1"/>
  <c r="G239" i="1"/>
  <c r="AL239" i="1"/>
  <c r="AO239" i="1"/>
  <c r="AN239" i="1"/>
  <c r="AV239" i="1"/>
  <c r="AR239" i="1"/>
  <c r="AU240" i="1"/>
  <c r="AT240" i="1"/>
  <c r="H240" i="1"/>
  <c r="G240" i="1"/>
  <c r="AL240" i="1"/>
  <c r="AO240" i="1"/>
  <c r="AN240" i="1"/>
  <c r="AV240" i="1"/>
  <c r="AR240" i="1"/>
  <c r="AU241" i="1"/>
  <c r="AT241" i="1"/>
  <c r="H241" i="1"/>
  <c r="G241" i="1"/>
  <c r="AL241" i="1"/>
  <c r="AO241" i="1"/>
  <c r="AN241" i="1"/>
  <c r="AV241" i="1"/>
  <c r="AR241" i="1"/>
  <c r="AU242" i="1"/>
  <c r="AT242" i="1"/>
  <c r="H242" i="1"/>
  <c r="G242" i="1"/>
  <c r="AL242" i="1"/>
  <c r="AO242" i="1"/>
  <c r="AN242" i="1"/>
  <c r="AV242" i="1"/>
  <c r="AR242" i="1"/>
  <c r="AU243" i="1"/>
  <c r="AT243" i="1"/>
  <c r="H243" i="1"/>
  <c r="G243" i="1"/>
  <c r="AL243" i="1"/>
  <c r="AO243" i="1"/>
  <c r="AN243" i="1"/>
  <c r="AV243" i="1"/>
  <c r="AR243" i="1"/>
  <c r="AU244" i="1"/>
  <c r="AT244" i="1"/>
  <c r="H244" i="1"/>
  <c r="G244" i="1"/>
  <c r="AL244" i="1"/>
  <c r="AO244" i="1"/>
  <c r="AN244" i="1"/>
  <c r="AV244" i="1"/>
  <c r="AR244" i="1"/>
  <c r="AU245" i="1"/>
  <c r="AT245" i="1"/>
  <c r="H245" i="1"/>
  <c r="G245" i="1"/>
  <c r="AL245" i="1"/>
  <c r="AO245" i="1"/>
  <c r="AN245" i="1"/>
  <c r="AV245" i="1"/>
  <c r="AR245" i="1"/>
  <c r="AU246" i="1"/>
  <c r="AT246" i="1"/>
  <c r="H246" i="1"/>
  <c r="G246" i="1"/>
  <c r="AL246" i="1"/>
  <c r="AO246" i="1"/>
  <c r="AN246" i="1"/>
  <c r="AV246" i="1"/>
  <c r="AR246" i="1"/>
  <c r="AU247" i="1"/>
  <c r="AT247" i="1"/>
  <c r="H247" i="1"/>
  <c r="G247" i="1"/>
  <c r="AL247" i="1"/>
  <c r="AO247" i="1"/>
  <c r="AN247" i="1"/>
  <c r="AV247" i="1"/>
  <c r="AR247" i="1"/>
  <c r="AU248" i="1"/>
  <c r="AT248" i="1"/>
  <c r="H248" i="1"/>
  <c r="G248" i="1"/>
  <c r="AL248" i="1"/>
  <c r="AO248" i="1"/>
  <c r="AN248" i="1"/>
  <c r="AV248" i="1"/>
  <c r="AR248" i="1"/>
  <c r="AU249" i="1"/>
  <c r="AT249" i="1"/>
  <c r="H249" i="1"/>
  <c r="G249" i="1"/>
  <c r="AL249" i="1"/>
  <c r="AO249" i="1"/>
  <c r="AN249" i="1"/>
  <c r="AV249" i="1"/>
  <c r="AR249" i="1"/>
  <c r="AU250" i="1"/>
  <c r="AT250" i="1"/>
  <c r="H250" i="1"/>
  <c r="G250" i="1"/>
  <c r="AL250" i="1"/>
  <c r="AO250" i="1"/>
  <c r="AN250" i="1"/>
  <c r="AV250" i="1"/>
  <c r="AR250" i="1"/>
  <c r="AU251" i="1"/>
  <c r="AT251" i="1"/>
  <c r="H251" i="1"/>
  <c r="G251" i="1"/>
  <c r="AL251" i="1"/>
  <c r="AO251" i="1"/>
  <c r="AN251" i="1"/>
  <c r="AV251" i="1"/>
  <c r="AR251" i="1"/>
  <c r="AU252" i="1"/>
  <c r="AT252" i="1"/>
  <c r="H252" i="1"/>
  <c r="G252" i="1"/>
  <c r="AL252" i="1"/>
  <c r="AO252" i="1"/>
  <c r="AN252" i="1"/>
  <c r="AV252" i="1"/>
  <c r="AR252" i="1"/>
  <c r="AU253" i="1"/>
  <c r="AT253" i="1"/>
  <c r="H253" i="1"/>
  <c r="G253" i="1"/>
  <c r="AL253" i="1"/>
  <c r="AO253" i="1"/>
  <c r="AN253" i="1"/>
  <c r="AV253" i="1"/>
  <c r="AR253" i="1"/>
  <c r="AU254" i="1"/>
  <c r="AT254" i="1"/>
  <c r="H254" i="1"/>
  <c r="G254" i="1"/>
  <c r="AL254" i="1"/>
  <c r="AO254" i="1"/>
  <c r="AN254" i="1"/>
  <c r="AV254" i="1"/>
  <c r="AR254" i="1"/>
  <c r="AU255" i="1"/>
  <c r="AT255" i="1"/>
  <c r="H255" i="1"/>
  <c r="G255" i="1"/>
  <c r="AL255" i="1"/>
  <c r="AO255" i="1"/>
  <c r="AN255" i="1"/>
  <c r="AV255" i="1"/>
  <c r="AR255" i="1"/>
  <c r="AU256" i="1"/>
  <c r="AT256" i="1"/>
  <c r="H256" i="1"/>
  <c r="G256" i="1"/>
  <c r="AL256" i="1"/>
  <c r="AO256" i="1"/>
  <c r="AN256" i="1"/>
  <c r="AV256" i="1"/>
  <c r="AR256" i="1"/>
  <c r="AU257" i="1"/>
  <c r="AT257" i="1"/>
  <c r="H257" i="1"/>
  <c r="G257" i="1"/>
  <c r="AL257" i="1"/>
  <c r="AO257" i="1"/>
  <c r="AN257" i="1"/>
  <c r="AV257" i="1"/>
  <c r="AR257" i="1"/>
  <c r="AU258" i="1"/>
  <c r="AT258" i="1"/>
  <c r="H258" i="1"/>
  <c r="G258" i="1"/>
  <c r="AL258" i="1"/>
  <c r="AO258" i="1"/>
  <c r="AN258" i="1"/>
  <c r="AV258" i="1"/>
  <c r="AR258" i="1"/>
  <c r="AU259" i="1"/>
  <c r="AT259" i="1"/>
  <c r="H259" i="1"/>
  <c r="G259" i="1"/>
  <c r="AL259" i="1"/>
  <c r="AO259" i="1"/>
  <c r="AN259" i="1"/>
  <c r="AV259" i="1"/>
  <c r="AR259" i="1"/>
  <c r="AU260" i="1"/>
  <c r="AT260" i="1"/>
  <c r="H260" i="1"/>
  <c r="G260" i="1"/>
  <c r="AL260" i="1"/>
  <c r="AO260" i="1"/>
  <c r="AN260" i="1"/>
  <c r="AV260" i="1"/>
  <c r="AR260" i="1"/>
  <c r="AU261" i="1"/>
  <c r="AT261" i="1"/>
  <c r="H261" i="1"/>
  <c r="G261" i="1"/>
  <c r="AL261" i="1"/>
  <c r="AO261" i="1"/>
  <c r="AN261" i="1"/>
  <c r="AV261" i="1"/>
  <c r="AR261" i="1"/>
  <c r="AU262" i="1"/>
  <c r="AT262" i="1"/>
  <c r="H262" i="1"/>
  <c r="G262" i="1"/>
  <c r="AL262" i="1"/>
  <c r="AO262" i="1"/>
  <c r="AN262" i="1"/>
  <c r="AV262" i="1"/>
  <c r="AR262" i="1"/>
  <c r="AU263" i="1"/>
  <c r="AT263" i="1"/>
  <c r="H263" i="1"/>
  <c r="G263" i="1"/>
  <c r="AL263" i="1"/>
  <c r="AO263" i="1"/>
  <c r="AN263" i="1"/>
  <c r="AV263" i="1"/>
  <c r="AR263" i="1"/>
  <c r="AU264" i="1"/>
  <c r="AT264" i="1"/>
  <c r="H264" i="1"/>
  <c r="G264" i="1"/>
  <c r="AL264" i="1"/>
  <c r="AO264" i="1"/>
  <c r="AN264" i="1"/>
  <c r="AV264" i="1"/>
  <c r="AR264" i="1"/>
  <c r="AU265" i="1"/>
  <c r="AT265" i="1"/>
  <c r="H265" i="1"/>
  <c r="G265" i="1"/>
  <c r="AL265" i="1"/>
  <c r="AO265" i="1"/>
  <c r="AN265" i="1"/>
  <c r="AV265" i="1"/>
  <c r="AR265" i="1"/>
  <c r="AU266" i="1"/>
  <c r="AT266" i="1"/>
  <c r="H266" i="1"/>
  <c r="G266" i="1"/>
  <c r="AL266" i="1"/>
  <c r="AO266" i="1"/>
  <c r="AN266" i="1"/>
  <c r="AV266" i="1"/>
  <c r="AR266" i="1"/>
  <c r="AU267" i="1"/>
  <c r="AT267" i="1"/>
  <c r="H267" i="1"/>
  <c r="G267" i="1"/>
  <c r="AL267" i="1"/>
  <c r="AO267" i="1"/>
  <c r="AN267" i="1"/>
  <c r="AV267" i="1"/>
  <c r="AR267" i="1"/>
  <c r="AU268" i="1"/>
  <c r="AT268" i="1"/>
  <c r="H268" i="1"/>
  <c r="G268" i="1"/>
  <c r="AL268" i="1"/>
  <c r="AO268" i="1"/>
  <c r="AN268" i="1"/>
  <c r="AV268" i="1"/>
  <c r="AR268" i="1"/>
  <c r="AU269" i="1"/>
  <c r="AT269" i="1"/>
  <c r="H269" i="1"/>
  <c r="G269" i="1"/>
  <c r="AL269" i="1"/>
  <c r="AO269" i="1"/>
  <c r="AN269" i="1"/>
  <c r="AV269" i="1"/>
  <c r="AR269" i="1"/>
  <c r="AU270" i="1"/>
  <c r="AT270" i="1"/>
  <c r="H270" i="1"/>
  <c r="G270" i="1"/>
  <c r="AL270" i="1"/>
  <c r="AO270" i="1"/>
  <c r="AN270" i="1"/>
  <c r="AV270" i="1"/>
  <c r="AR270" i="1"/>
  <c r="AU271" i="1"/>
  <c r="AT271" i="1"/>
  <c r="H271" i="1"/>
  <c r="G271" i="1"/>
  <c r="AL271" i="1"/>
  <c r="AO271" i="1"/>
  <c r="AN271" i="1"/>
  <c r="AV271" i="1"/>
  <c r="AR271" i="1"/>
  <c r="AU272" i="1"/>
  <c r="AT272" i="1"/>
  <c r="H272" i="1"/>
  <c r="G272" i="1"/>
  <c r="AL272" i="1"/>
  <c r="AO272" i="1"/>
  <c r="AN272" i="1"/>
  <c r="AV272" i="1"/>
  <c r="AR272" i="1"/>
  <c r="AU273" i="1"/>
  <c r="AT273" i="1"/>
  <c r="H273" i="1"/>
  <c r="G273" i="1"/>
  <c r="AL273" i="1"/>
  <c r="AO273" i="1"/>
  <c r="AN273" i="1"/>
  <c r="AV273" i="1"/>
  <c r="AR273" i="1"/>
  <c r="AU274" i="1"/>
  <c r="AT274" i="1"/>
  <c r="H274" i="1"/>
  <c r="G274" i="1"/>
  <c r="AL274" i="1"/>
  <c r="AO274" i="1"/>
  <c r="AN274" i="1"/>
  <c r="AV274" i="1"/>
  <c r="AR274" i="1"/>
  <c r="AU275" i="1"/>
  <c r="AT275" i="1"/>
  <c r="H275" i="1"/>
  <c r="G275" i="1"/>
  <c r="AL275" i="1"/>
  <c r="AO275" i="1"/>
  <c r="AN275" i="1"/>
  <c r="AV275" i="1"/>
  <c r="AR275" i="1"/>
  <c r="AU276" i="1"/>
  <c r="AT276" i="1"/>
  <c r="H276" i="1"/>
  <c r="G276" i="1"/>
  <c r="AL276" i="1"/>
  <c r="AO276" i="1"/>
  <c r="AN276" i="1"/>
  <c r="AV276" i="1"/>
  <c r="AR276" i="1"/>
  <c r="AU277" i="1"/>
  <c r="AT277" i="1"/>
  <c r="H277" i="1"/>
  <c r="G277" i="1"/>
  <c r="AL277" i="1"/>
  <c r="AO277" i="1"/>
  <c r="AN277" i="1"/>
  <c r="AV277" i="1"/>
  <c r="AR277" i="1"/>
  <c r="AU278" i="1"/>
  <c r="AT278" i="1"/>
  <c r="H278" i="1"/>
  <c r="G278" i="1"/>
  <c r="AL278" i="1"/>
  <c r="AO278" i="1"/>
  <c r="AN278" i="1"/>
  <c r="AV278" i="1"/>
  <c r="AR278" i="1"/>
  <c r="AU279" i="1"/>
  <c r="AT279" i="1"/>
  <c r="H279" i="1"/>
  <c r="G279" i="1"/>
  <c r="AL279" i="1"/>
  <c r="AO279" i="1"/>
  <c r="AN279" i="1"/>
  <c r="AV279" i="1"/>
  <c r="AR279" i="1"/>
  <c r="AU280" i="1"/>
  <c r="AT280" i="1"/>
  <c r="H280" i="1"/>
  <c r="G280" i="1"/>
  <c r="AL280" i="1"/>
  <c r="AO280" i="1"/>
  <c r="AN280" i="1"/>
  <c r="AV280" i="1"/>
  <c r="AR280" i="1"/>
  <c r="AU281" i="1"/>
  <c r="AT281" i="1"/>
  <c r="H281" i="1"/>
  <c r="G281" i="1"/>
  <c r="AL281" i="1"/>
  <c r="AO281" i="1"/>
  <c r="AN281" i="1"/>
  <c r="AV281" i="1"/>
  <c r="AR281" i="1"/>
  <c r="AU282" i="1"/>
  <c r="AT282" i="1"/>
  <c r="H282" i="1"/>
  <c r="G282" i="1"/>
  <c r="AL282" i="1"/>
  <c r="AO282" i="1"/>
  <c r="AN282" i="1"/>
  <c r="AV282" i="1"/>
  <c r="AR282" i="1"/>
  <c r="AU283" i="1"/>
  <c r="AT283" i="1"/>
  <c r="H283" i="1"/>
  <c r="G283" i="1"/>
  <c r="AL283" i="1"/>
  <c r="AO283" i="1"/>
  <c r="AN283" i="1"/>
  <c r="AV283" i="1"/>
  <c r="AR283" i="1"/>
  <c r="AU284" i="1"/>
  <c r="AT284" i="1"/>
  <c r="H284" i="1"/>
  <c r="G284" i="1"/>
  <c r="AL284" i="1"/>
  <c r="AO284" i="1"/>
  <c r="AN284" i="1"/>
  <c r="AV284" i="1"/>
  <c r="AR284" i="1"/>
  <c r="AU285" i="1"/>
  <c r="AT285" i="1"/>
  <c r="H285" i="1"/>
  <c r="G285" i="1"/>
  <c r="AL285" i="1"/>
  <c r="AO285" i="1"/>
  <c r="AN285" i="1"/>
  <c r="AV285" i="1"/>
  <c r="AR285" i="1"/>
  <c r="AU286" i="1"/>
  <c r="AT286" i="1"/>
  <c r="H286" i="1"/>
  <c r="G286" i="1"/>
  <c r="AL286" i="1"/>
  <c r="AO286" i="1"/>
  <c r="AN286" i="1"/>
  <c r="AV286" i="1"/>
  <c r="AR286" i="1"/>
  <c r="AU287" i="1"/>
  <c r="AT287" i="1"/>
  <c r="H287" i="1"/>
  <c r="G287" i="1"/>
  <c r="AL287" i="1"/>
  <c r="AO287" i="1"/>
  <c r="AN287" i="1"/>
  <c r="AV287" i="1"/>
  <c r="AR287" i="1"/>
  <c r="AU288" i="1"/>
  <c r="AT288" i="1"/>
  <c r="H288" i="1"/>
  <c r="G288" i="1"/>
  <c r="AL288" i="1"/>
  <c r="AO288" i="1"/>
  <c r="AN288" i="1"/>
  <c r="AV288" i="1"/>
  <c r="AR288" i="1"/>
  <c r="AU289" i="1"/>
  <c r="AT289" i="1"/>
  <c r="H289" i="1"/>
  <c r="G289" i="1"/>
  <c r="AL289" i="1"/>
  <c r="AO289" i="1"/>
  <c r="AN289" i="1"/>
  <c r="AV289" i="1"/>
  <c r="AR289" i="1"/>
  <c r="AU290" i="1"/>
  <c r="AT290" i="1"/>
  <c r="H290" i="1"/>
  <c r="G290" i="1"/>
  <c r="AL290" i="1"/>
  <c r="AO290" i="1"/>
  <c r="AN290" i="1"/>
  <c r="AV290" i="1"/>
  <c r="AR290" i="1"/>
  <c r="AU291" i="1"/>
  <c r="AT291" i="1"/>
  <c r="H291" i="1"/>
  <c r="G291" i="1"/>
  <c r="AL291" i="1"/>
  <c r="AO291" i="1"/>
  <c r="AN291" i="1"/>
  <c r="AV291" i="1"/>
  <c r="AR291" i="1"/>
  <c r="AU292" i="1"/>
  <c r="AT292" i="1"/>
  <c r="H292" i="1"/>
  <c r="G292" i="1"/>
  <c r="AL292" i="1"/>
  <c r="AO292" i="1"/>
  <c r="AN292" i="1"/>
  <c r="AV292" i="1"/>
  <c r="AR292" i="1"/>
  <c r="AU293" i="1"/>
  <c r="AT293" i="1"/>
  <c r="H293" i="1"/>
  <c r="G293" i="1"/>
  <c r="AL293" i="1"/>
  <c r="AO293" i="1"/>
  <c r="AN293" i="1"/>
  <c r="AV293" i="1"/>
  <c r="AR293" i="1"/>
  <c r="AU294" i="1"/>
  <c r="AT294" i="1"/>
  <c r="H294" i="1"/>
  <c r="G294" i="1"/>
  <c r="AL294" i="1"/>
  <c r="AO294" i="1"/>
  <c r="AN294" i="1"/>
  <c r="AV294" i="1"/>
  <c r="AR294" i="1"/>
  <c r="AU295" i="1"/>
  <c r="AT295" i="1"/>
  <c r="H295" i="1"/>
  <c r="G295" i="1"/>
  <c r="AL295" i="1"/>
  <c r="AO295" i="1"/>
  <c r="AN295" i="1"/>
  <c r="AV295" i="1"/>
  <c r="AR295" i="1"/>
  <c r="AU296" i="1"/>
  <c r="AT296" i="1"/>
  <c r="H296" i="1"/>
  <c r="G296" i="1"/>
  <c r="AL296" i="1"/>
  <c r="AO296" i="1"/>
  <c r="AN296" i="1"/>
  <c r="AV296" i="1"/>
  <c r="AR296" i="1"/>
  <c r="AU297" i="1"/>
  <c r="AT297" i="1"/>
  <c r="H297" i="1"/>
  <c r="G297" i="1"/>
  <c r="AL297" i="1"/>
  <c r="AO297" i="1"/>
  <c r="AN297" i="1"/>
  <c r="AV297" i="1"/>
  <c r="AR297" i="1"/>
  <c r="AU298" i="1"/>
  <c r="AT298" i="1"/>
  <c r="H298" i="1"/>
  <c r="G298" i="1"/>
  <c r="AL298" i="1"/>
  <c r="AO298" i="1"/>
  <c r="AN298" i="1"/>
  <c r="AV298" i="1"/>
  <c r="AR298" i="1"/>
  <c r="AU299" i="1"/>
  <c r="AT299" i="1"/>
  <c r="H299" i="1"/>
  <c r="G299" i="1"/>
  <c r="AL299" i="1"/>
  <c r="AO299" i="1"/>
  <c r="AN299" i="1"/>
  <c r="AV299" i="1"/>
  <c r="AR299" i="1"/>
  <c r="AU300" i="1"/>
  <c r="AT300" i="1"/>
  <c r="H300" i="1"/>
  <c r="G300" i="1"/>
  <c r="AL300" i="1"/>
  <c r="AO300" i="1"/>
  <c r="AN300" i="1"/>
  <c r="AV300" i="1"/>
  <c r="AR300" i="1"/>
  <c r="AU301" i="1"/>
  <c r="AT301" i="1"/>
  <c r="H301" i="1"/>
  <c r="G301" i="1"/>
  <c r="AL301" i="1"/>
  <c r="AO301" i="1"/>
  <c r="AN301" i="1"/>
  <c r="AV301" i="1"/>
  <c r="AR301" i="1"/>
  <c r="AU302" i="1"/>
  <c r="AT302" i="1"/>
  <c r="H302" i="1"/>
  <c r="G302" i="1"/>
  <c r="AL302" i="1"/>
  <c r="AO302" i="1"/>
  <c r="AN302" i="1"/>
  <c r="AV302" i="1"/>
  <c r="AR302" i="1"/>
  <c r="AU303" i="1"/>
  <c r="AT303" i="1"/>
  <c r="H303" i="1"/>
  <c r="G303" i="1"/>
  <c r="AL303" i="1"/>
  <c r="AO303" i="1"/>
  <c r="AN303" i="1"/>
  <c r="AV303" i="1"/>
  <c r="AR303" i="1"/>
  <c r="AU304" i="1"/>
  <c r="AT304" i="1"/>
  <c r="H304" i="1"/>
  <c r="G304" i="1"/>
  <c r="AL304" i="1"/>
  <c r="AO304" i="1"/>
  <c r="AN304" i="1"/>
  <c r="AV304" i="1"/>
  <c r="AR304" i="1"/>
  <c r="AU305" i="1"/>
  <c r="AT305" i="1"/>
  <c r="H305" i="1"/>
  <c r="G305" i="1"/>
  <c r="AL305" i="1"/>
  <c r="AO305" i="1"/>
  <c r="AN305" i="1"/>
  <c r="AV305" i="1"/>
  <c r="AR305" i="1"/>
  <c r="AU306" i="1"/>
  <c r="AT306" i="1"/>
  <c r="H306" i="1"/>
  <c r="G306" i="1"/>
  <c r="AL306" i="1"/>
  <c r="AO306" i="1"/>
  <c r="AN306" i="1"/>
  <c r="AV306" i="1"/>
  <c r="AR306" i="1"/>
  <c r="AU307" i="1"/>
  <c r="AT307" i="1"/>
  <c r="H307" i="1"/>
  <c r="G307" i="1"/>
  <c r="AL307" i="1"/>
  <c r="AO307" i="1"/>
  <c r="AN307" i="1"/>
  <c r="AV307" i="1"/>
  <c r="AR307" i="1"/>
  <c r="AU308" i="1"/>
  <c r="AT308" i="1"/>
  <c r="H308" i="1"/>
  <c r="G308" i="1"/>
  <c r="AL308" i="1"/>
  <c r="AO308" i="1"/>
  <c r="AN308" i="1"/>
  <c r="AV308" i="1"/>
  <c r="AR308" i="1"/>
  <c r="AU309" i="1"/>
  <c r="AT309" i="1"/>
  <c r="H309" i="1"/>
  <c r="G309" i="1"/>
  <c r="AL309" i="1"/>
  <c r="AO309" i="1"/>
  <c r="AN309" i="1"/>
  <c r="AV309" i="1"/>
  <c r="AR309" i="1"/>
  <c r="AU310" i="1"/>
  <c r="AT310" i="1"/>
  <c r="H310" i="1"/>
  <c r="G310" i="1"/>
  <c r="AL310" i="1"/>
  <c r="AO310" i="1"/>
  <c r="AN310" i="1"/>
  <c r="AV310" i="1"/>
  <c r="AR310" i="1"/>
  <c r="AU311" i="1"/>
  <c r="AT311" i="1"/>
  <c r="H311" i="1"/>
  <c r="G311" i="1"/>
  <c r="AL311" i="1"/>
  <c r="AO311" i="1"/>
  <c r="AN311" i="1"/>
  <c r="AV311" i="1"/>
  <c r="AR311" i="1"/>
  <c r="AU312" i="1"/>
  <c r="AT312" i="1"/>
  <c r="H312" i="1"/>
  <c r="G312" i="1"/>
  <c r="AL312" i="1"/>
  <c r="AO312" i="1"/>
  <c r="AN312" i="1"/>
  <c r="AV312" i="1"/>
  <c r="AR312" i="1"/>
  <c r="AU313" i="1"/>
  <c r="AT313" i="1"/>
  <c r="H313" i="1"/>
  <c r="G313" i="1"/>
  <c r="AL313" i="1"/>
  <c r="AO313" i="1"/>
  <c r="AN313" i="1"/>
  <c r="AV313" i="1"/>
  <c r="AR313" i="1"/>
  <c r="AU314" i="1"/>
  <c r="AT314" i="1"/>
  <c r="H314" i="1"/>
  <c r="G314" i="1"/>
  <c r="AL314" i="1"/>
  <c r="AO314" i="1"/>
  <c r="AN314" i="1"/>
  <c r="AV314" i="1"/>
  <c r="AR314" i="1"/>
  <c r="AU315" i="1"/>
  <c r="AT315" i="1"/>
  <c r="H315" i="1"/>
  <c r="G315" i="1"/>
  <c r="AL315" i="1"/>
  <c r="AO315" i="1"/>
  <c r="AN315" i="1"/>
  <c r="AV315" i="1"/>
  <c r="AR315" i="1"/>
  <c r="AU316" i="1"/>
  <c r="AT316" i="1"/>
  <c r="H316" i="1"/>
  <c r="G316" i="1"/>
  <c r="AL316" i="1"/>
  <c r="AO316" i="1"/>
  <c r="AN316" i="1"/>
  <c r="AV316" i="1"/>
  <c r="AR316" i="1"/>
  <c r="AU317" i="1"/>
  <c r="AT317" i="1"/>
  <c r="H317" i="1"/>
  <c r="G317" i="1"/>
  <c r="AL317" i="1"/>
  <c r="AO317" i="1"/>
  <c r="AN317" i="1"/>
  <c r="AV317" i="1"/>
  <c r="AR317" i="1"/>
  <c r="AU318" i="1"/>
  <c r="AT318" i="1"/>
  <c r="H318" i="1"/>
  <c r="G318" i="1"/>
  <c r="AL318" i="1"/>
  <c r="AO318" i="1"/>
  <c r="AN318" i="1"/>
  <c r="AV318" i="1"/>
  <c r="AR318" i="1"/>
  <c r="AU319" i="1"/>
  <c r="AT319" i="1"/>
  <c r="H319" i="1"/>
  <c r="G319" i="1"/>
  <c r="AL319" i="1"/>
  <c r="AO319" i="1"/>
  <c r="AN319" i="1"/>
  <c r="AV319" i="1"/>
  <c r="AR319" i="1"/>
  <c r="AU320" i="1"/>
  <c r="AT320" i="1"/>
  <c r="H320" i="1"/>
  <c r="G320" i="1"/>
  <c r="AL320" i="1"/>
  <c r="AO320" i="1"/>
  <c r="AN320" i="1"/>
  <c r="AV320" i="1"/>
  <c r="AR320" i="1"/>
  <c r="AU321" i="1"/>
  <c r="AT321" i="1"/>
  <c r="H321" i="1"/>
  <c r="G321" i="1"/>
  <c r="AL321" i="1"/>
  <c r="AO321" i="1"/>
  <c r="AN321" i="1"/>
  <c r="AV321" i="1"/>
  <c r="AR321" i="1"/>
  <c r="AU322" i="1"/>
  <c r="AT322" i="1"/>
  <c r="H322" i="1"/>
  <c r="G322" i="1"/>
  <c r="AL322" i="1"/>
  <c r="AO322" i="1"/>
  <c r="AN322" i="1"/>
  <c r="AV322" i="1"/>
  <c r="AR322" i="1"/>
  <c r="AU323" i="1"/>
  <c r="AT323" i="1"/>
  <c r="H323" i="1"/>
  <c r="G323" i="1"/>
  <c r="AL323" i="1"/>
  <c r="AO323" i="1"/>
  <c r="AN323" i="1"/>
  <c r="AV323" i="1"/>
  <c r="AR323" i="1"/>
  <c r="AU324" i="1"/>
  <c r="AT324" i="1"/>
  <c r="H324" i="1"/>
  <c r="G324" i="1"/>
  <c r="AL324" i="1"/>
  <c r="AO324" i="1"/>
  <c r="AN324" i="1"/>
  <c r="AV324" i="1"/>
  <c r="AR324" i="1"/>
  <c r="AU325" i="1"/>
  <c r="AT325" i="1"/>
  <c r="H325" i="1"/>
  <c r="G325" i="1"/>
  <c r="AL325" i="1"/>
  <c r="AO325" i="1"/>
  <c r="AN325" i="1"/>
  <c r="AV325" i="1"/>
  <c r="AR325" i="1"/>
  <c r="AU326" i="1"/>
  <c r="AT326" i="1"/>
  <c r="H326" i="1"/>
  <c r="G326" i="1"/>
  <c r="AL326" i="1"/>
  <c r="AO326" i="1"/>
  <c r="AN326" i="1"/>
  <c r="AV326" i="1"/>
  <c r="AR326" i="1"/>
  <c r="AU327" i="1"/>
  <c r="AT327" i="1"/>
  <c r="H327" i="1"/>
  <c r="G327" i="1"/>
  <c r="AL327" i="1"/>
  <c r="AO327" i="1"/>
  <c r="AN327" i="1"/>
  <c r="AV327" i="1"/>
  <c r="AR327" i="1"/>
  <c r="AU328" i="1"/>
  <c r="AT328" i="1"/>
  <c r="H328" i="1"/>
  <c r="G328" i="1"/>
  <c r="AL328" i="1"/>
  <c r="AO328" i="1"/>
  <c r="AN328" i="1"/>
  <c r="AV328" i="1"/>
  <c r="AR328" i="1"/>
  <c r="AU329" i="1"/>
  <c r="AT329" i="1"/>
  <c r="H329" i="1"/>
  <c r="G329" i="1"/>
  <c r="AL329" i="1"/>
  <c r="AO329" i="1"/>
  <c r="AN329" i="1"/>
  <c r="AV329" i="1"/>
  <c r="AR329" i="1"/>
  <c r="AU330" i="1"/>
  <c r="AT330" i="1"/>
  <c r="H330" i="1"/>
  <c r="G330" i="1"/>
  <c r="AL330" i="1"/>
  <c r="AO330" i="1"/>
  <c r="AN330" i="1"/>
  <c r="AV330" i="1"/>
  <c r="AR330" i="1"/>
  <c r="AU331" i="1"/>
  <c r="AT331" i="1"/>
  <c r="H331" i="1"/>
  <c r="G331" i="1"/>
  <c r="AL331" i="1"/>
  <c r="AO331" i="1"/>
  <c r="AN331" i="1"/>
  <c r="AV331" i="1"/>
  <c r="AR331" i="1"/>
  <c r="AU332" i="1"/>
  <c r="AT332" i="1"/>
  <c r="H332" i="1"/>
  <c r="G332" i="1"/>
  <c r="AL332" i="1"/>
  <c r="AO332" i="1"/>
  <c r="AN332" i="1"/>
  <c r="AV332" i="1"/>
  <c r="AR332" i="1"/>
  <c r="AU333" i="1"/>
  <c r="AT333" i="1"/>
  <c r="H333" i="1"/>
  <c r="G333" i="1"/>
  <c r="AL333" i="1"/>
  <c r="AO333" i="1"/>
  <c r="AN333" i="1"/>
  <c r="AV333" i="1"/>
  <c r="AR333" i="1"/>
  <c r="AU334" i="1"/>
  <c r="AT334" i="1"/>
  <c r="H334" i="1"/>
  <c r="G334" i="1"/>
  <c r="AL334" i="1"/>
  <c r="AO334" i="1"/>
  <c r="AN334" i="1"/>
  <c r="AV334" i="1"/>
  <c r="AR334" i="1"/>
  <c r="AU335" i="1"/>
  <c r="AT335" i="1"/>
  <c r="H335" i="1"/>
  <c r="G335" i="1"/>
  <c r="AL335" i="1"/>
  <c r="AO335" i="1"/>
  <c r="AN335" i="1"/>
  <c r="AV335" i="1"/>
  <c r="AR335" i="1"/>
  <c r="AU336" i="1"/>
  <c r="AT336" i="1"/>
  <c r="H336" i="1"/>
  <c r="G336" i="1"/>
  <c r="AL336" i="1"/>
  <c r="AO336" i="1"/>
  <c r="AN336" i="1"/>
  <c r="AV336" i="1"/>
  <c r="AR336" i="1"/>
  <c r="AU337" i="1"/>
  <c r="AT337" i="1"/>
  <c r="H337" i="1"/>
  <c r="G337" i="1"/>
  <c r="AL337" i="1"/>
  <c r="AO337" i="1"/>
  <c r="AN337" i="1"/>
  <c r="AV337" i="1"/>
  <c r="AR337" i="1"/>
  <c r="AU338" i="1"/>
  <c r="AT338" i="1"/>
  <c r="H338" i="1"/>
  <c r="G338" i="1"/>
  <c r="AL338" i="1"/>
  <c r="AO338" i="1"/>
  <c r="AN338" i="1"/>
  <c r="AV338" i="1"/>
  <c r="AR338" i="1"/>
  <c r="AU339" i="1"/>
  <c r="AT339" i="1"/>
  <c r="H339" i="1"/>
  <c r="G339" i="1"/>
  <c r="AL339" i="1"/>
  <c r="AO339" i="1"/>
  <c r="AN339" i="1"/>
  <c r="AV339" i="1"/>
  <c r="AR339" i="1"/>
  <c r="AU340" i="1"/>
  <c r="AT340" i="1"/>
  <c r="H340" i="1"/>
  <c r="G340" i="1"/>
  <c r="AL340" i="1"/>
  <c r="AO340" i="1"/>
  <c r="AN340" i="1"/>
  <c r="AV340" i="1"/>
  <c r="AR340" i="1"/>
  <c r="AU341" i="1"/>
  <c r="AT341" i="1"/>
  <c r="H341" i="1"/>
  <c r="G341" i="1"/>
  <c r="AL341" i="1"/>
  <c r="AO341" i="1"/>
  <c r="AN341" i="1"/>
  <c r="AV341" i="1"/>
  <c r="AR341" i="1"/>
  <c r="AU342" i="1"/>
  <c r="AT342" i="1"/>
  <c r="H342" i="1"/>
  <c r="G342" i="1"/>
  <c r="AL342" i="1"/>
  <c r="AO342" i="1"/>
  <c r="AN342" i="1"/>
  <c r="AV342" i="1"/>
  <c r="AR342" i="1"/>
  <c r="AU343" i="1"/>
  <c r="AT343" i="1"/>
  <c r="H343" i="1"/>
  <c r="G343" i="1"/>
  <c r="AL343" i="1"/>
  <c r="AO343" i="1"/>
  <c r="AN343" i="1"/>
  <c r="AV343" i="1"/>
  <c r="AR343" i="1"/>
  <c r="AU344" i="1"/>
  <c r="AT344" i="1"/>
  <c r="H344" i="1"/>
  <c r="G344" i="1"/>
  <c r="AL344" i="1"/>
  <c r="AO344" i="1"/>
  <c r="AN344" i="1"/>
  <c r="AV344" i="1"/>
  <c r="AR344" i="1"/>
  <c r="AU345" i="1"/>
  <c r="AT345" i="1"/>
  <c r="H345" i="1"/>
  <c r="G345" i="1"/>
  <c r="AL345" i="1"/>
  <c r="AO345" i="1"/>
  <c r="AN345" i="1"/>
  <c r="AV345" i="1"/>
  <c r="AR345" i="1"/>
  <c r="AU346" i="1"/>
  <c r="AT346" i="1"/>
  <c r="H346" i="1"/>
  <c r="G346" i="1"/>
  <c r="AL346" i="1"/>
  <c r="AO346" i="1"/>
  <c r="AN346" i="1"/>
  <c r="AV346" i="1"/>
  <c r="AR346" i="1"/>
  <c r="AU347" i="1"/>
  <c r="AT347" i="1"/>
  <c r="H347" i="1"/>
  <c r="G347" i="1"/>
  <c r="AL347" i="1"/>
  <c r="AO347" i="1"/>
  <c r="AN347" i="1"/>
  <c r="AV347" i="1"/>
  <c r="AR347" i="1"/>
  <c r="AU348" i="1"/>
  <c r="AT348" i="1"/>
  <c r="H348" i="1"/>
  <c r="G348" i="1"/>
  <c r="AL348" i="1"/>
  <c r="AO348" i="1"/>
  <c r="AN348" i="1"/>
  <c r="AV348" i="1"/>
  <c r="AR348" i="1"/>
  <c r="AU349" i="1"/>
  <c r="AT349" i="1"/>
  <c r="H349" i="1"/>
  <c r="G349" i="1"/>
  <c r="AL349" i="1"/>
  <c r="AO349" i="1"/>
  <c r="AN349" i="1"/>
  <c r="AV349" i="1"/>
  <c r="AR349" i="1"/>
  <c r="AU350" i="1"/>
  <c r="AT350" i="1"/>
  <c r="H350" i="1"/>
  <c r="G350" i="1"/>
  <c r="AL350" i="1"/>
  <c r="AO350" i="1"/>
  <c r="AN350" i="1"/>
  <c r="AV350" i="1"/>
  <c r="AR350" i="1"/>
  <c r="AU351" i="1"/>
  <c r="AT351" i="1"/>
  <c r="H351" i="1"/>
  <c r="G351" i="1"/>
  <c r="AL351" i="1"/>
  <c r="AO351" i="1"/>
  <c r="AN351" i="1"/>
  <c r="AV351" i="1"/>
  <c r="AR351" i="1"/>
  <c r="AU352" i="1"/>
  <c r="AT352" i="1"/>
  <c r="H352" i="1"/>
  <c r="G352" i="1"/>
  <c r="AL352" i="1"/>
  <c r="AO352" i="1"/>
  <c r="AN352" i="1"/>
  <c r="AV352" i="1"/>
  <c r="AR352" i="1"/>
  <c r="AU353" i="1"/>
  <c r="AT353" i="1"/>
  <c r="H353" i="1"/>
  <c r="G353" i="1"/>
  <c r="AL353" i="1"/>
  <c r="AO353" i="1"/>
  <c r="AN353" i="1"/>
  <c r="AV353" i="1"/>
  <c r="AR353" i="1"/>
  <c r="AU354" i="1"/>
  <c r="AT354" i="1"/>
  <c r="H354" i="1"/>
  <c r="G354" i="1"/>
  <c r="AL354" i="1"/>
  <c r="AO354" i="1"/>
  <c r="AN354" i="1"/>
  <c r="AV354" i="1"/>
  <c r="AR354" i="1"/>
  <c r="AU355" i="1"/>
  <c r="AT355" i="1"/>
  <c r="H355" i="1"/>
  <c r="G355" i="1"/>
  <c r="AL355" i="1"/>
  <c r="AO355" i="1"/>
  <c r="AN355" i="1"/>
  <c r="AV355" i="1"/>
  <c r="AR355" i="1"/>
  <c r="AU356" i="1"/>
  <c r="AT356" i="1"/>
  <c r="H356" i="1"/>
  <c r="G356" i="1"/>
  <c r="AL356" i="1"/>
  <c r="AO356" i="1"/>
  <c r="AN356" i="1"/>
  <c r="AV356" i="1"/>
  <c r="AR356" i="1"/>
  <c r="AU357" i="1"/>
  <c r="AT357" i="1"/>
  <c r="H357" i="1"/>
  <c r="G357" i="1"/>
  <c r="AL357" i="1"/>
  <c r="AO357" i="1"/>
  <c r="AN357" i="1"/>
  <c r="AV357" i="1"/>
  <c r="AR357" i="1"/>
  <c r="AU358" i="1"/>
  <c r="AT358" i="1"/>
  <c r="H358" i="1"/>
  <c r="G358" i="1"/>
  <c r="AL358" i="1"/>
  <c r="AO358" i="1"/>
  <c r="AN358" i="1"/>
  <c r="AV358" i="1"/>
  <c r="AR358" i="1"/>
  <c r="AU359" i="1"/>
  <c r="AT359" i="1"/>
  <c r="H359" i="1"/>
  <c r="G359" i="1"/>
  <c r="AL359" i="1"/>
  <c r="AO359" i="1"/>
  <c r="AN359" i="1"/>
  <c r="AV359" i="1"/>
  <c r="AR359" i="1"/>
  <c r="AU360" i="1"/>
  <c r="AT360" i="1"/>
  <c r="H360" i="1"/>
  <c r="G360" i="1"/>
  <c r="AL360" i="1"/>
  <c r="AO360" i="1"/>
  <c r="AN360" i="1"/>
  <c r="AV360" i="1"/>
  <c r="AR360" i="1"/>
  <c r="AU361" i="1"/>
  <c r="AT361" i="1"/>
  <c r="H361" i="1"/>
  <c r="G361" i="1"/>
  <c r="AL361" i="1"/>
  <c r="AO361" i="1"/>
  <c r="AN361" i="1"/>
  <c r="AV361" i="1"/>
  <c r="AR361" i="1"/>
  <c r="AU362" i="1"/>
  <c r="AT362" i="1"/>
  <c r="H362" i="1"/>
  <c r="G362" i="1"/>
  <c r="AL362" i="1"/>
  <c r="AO362" i="1"/>
  <c r="AN362" i="1"/>
  <c r="AV362" i="1"/>
  <c r="AR362" i="1"/>
  <c r="AU363" i="1"/>
  <c r="AT363" i="1"/>
  <c r="H363" i="1"/>
  <c r="G363" i="1"/>
  <c r="AL363" i="1"/>
  <c r="AO363" i="1"/>
  <c r="AN363" i="1"/>
  <c r="AV363" i="1"/>
  <c r="AR363" i="1"/>
  <c r="AU364" i="1"/>
  <c r="AT364" i="1"/>
  <c r="H364" i="1"/>
  <c r="G364" i="1"/>
  <c r="AL364" i="1"/>
  <c r="AO364" i="1"/>
  <c r="AN364" i="1"/>
  <c r="AV364" i="1"/>
  <c r="AR364" i="1"/>
  <c r="AU365" i="1"/>
  <c r="AT365" i="1"/>
  <c r="H365" i="1"/>
  <c r="G365" i="1"/>
  <c r="AL365" i="1"/>
  <c r="AO365" i="1"/>
  <c r="AN365" i="1"/>
  <c r="AV365" i="1"/>
  <c r="AR365" i="1"/>
  <c r="AU366" i="1"/>
  <c r="AT366" i="1"/>
  <c r="H366" i="1"/>
  <c r="G366" i="1"/>
  <c r="AL366" i="1"/>
  <c r="AO366" i="1"/>
  <c r="AN366" i="1"/>
  <c r="AV366" i="1"/>
  <c r="AR366" i="1"/>
  <c r="AU367" i="1"/>
  <c r="AT367" i="1"/>
  <c r="H367" i="1"/>
  <c r="G367" i="1"/>
  <c r="AL367" i="1"/>
  <c r="AO367" i="1"/>
  <c r="AN367" i="1"/>
  <c r="AV367" i="1"/>
  <c r="AR367" i="1"/>
  <c r="AU368" i="1"/>
  <c r="AT368" i="1"/>
  <c r="H368" i="1"/>
  <c r="G368" i="1"/>
  <c r="AL368" i="1"/>
  <c r="AO368" i="1"/>
  <c r="AN368" i="1"/>
  <c r="AV368" i="1"/>
  <c r="AR368" i="1"/>
  <c r="AU369" i="1"/>
  <c r="AT369" i="1"/>
  <c r="H369" i="1"/>
  <c r="G369" i="1"/>
  <c r="AL369" i="1"/>
  <c r="AO369" i="1"/>
  <c r="AN369" i="1"/>
  <c r="AV369" i="1"/>
  <c r="AR369" i="1"/>
  <c r="AU370" i="1"/>
  <c r="AT370" i="1"/>
  <c r="H370" i="1"/>
  <c r="G370" i="1"/>
  <c r="AL370" i="1"/>
  <c r="AO370" i="1"/>
  <c r="AN370" i="1"/>
  <c r="AV370" i="1"/>
  <c r="AR370" i="1"/>
  <c r="AU371" i="1"/>
  <c r="AT371" i="1"/>
  <c r="H371" i="1"/>
  <c r="G371" i="1"/>
  <c r="AL371" i="1"/>
  <c r="AO371" i="1"/>
  <c r="AN371" i="1"/>
  <c r="AV371" i="1"/>
  <c r="AR371" i="1"/>
  <c r="AU372" i="1"/>
  <c r="AT372" i="1"/>
  <c r="H372" i="1"/>
  <c r="G372" i="1"/>
  <c r="AL372" i="1"/>
  <c r="AO372" i="1"/>
  <c r="AN372" i="1"/>
  <c r="AV372" i="1"/>
  <c r="AR372" i="1"/>
  <c r="AU373" i="1"/>
  <c r="AT373" i="1"/>
  <c r="H373" i="1"/>
  <c r="G373" i="1"/>
  <c r="AL373" i="1"/>
  <c r="AO373" i="1"/>
  <c r="AN373" i="1"/>
  <c r="AV373" i="1"/>
  <c r="AR373" i="1"/>
  <c r="AU374" i="1"/>
  <c r="AT374" i="1"/>
  <c r="H374" i="1"/>
  <c r="G374" i="1"/>
  <c r="AL374" i="1"/>
  <c r="AO374" i="1"/>
  <c r="AN374" i="1"/>
  <c r="AV374" i="1"/>
  <c r="AR374" i="1"/>
  <c r="AU375" i="1"/>
  <c r="AT375" i="1"/>
  <c r="H375" i="1"/>
  <c r="G375" i="1"/>
  <c r="AL375" i="1"/>
  <c r="AO375" i="1"/>
  <c r="AN375" i="1"/>
  <c r="AV375" i="1"/>
  <c r="AR375" i="1"/>
  <c r="AU376" i="1"/>
  <c r="AT376" i="1"/>
  <c r="H376" i="1"/>
  <c r="G376" i="1"/>
  <c r="AL376" i="1"/>
  <c r="AO376" i="1"/>
  <c r="AN376" i="1"/>
  <c r="AV376" i="1"/>
  <c r="AR376" i="1"/>
  <c r="AU377" i="1"/>
  <c r="AT377" i="1"/>
  <c r="H377" i="1"/>
  <c r="G377" i="1"/>
  <c r="AL377" i="1"/>
  <c r="AO377" i="1"/>
  <c r="AN377" i="1"/>
  <c r="AV377" i="1"/>
  <c r="AR377" i="1"/>
  <c r="AU378" i="1"/>
  <c r="AT378" i="1"/>
  <c r="H378" i="1"/>
  <c r="G378" i="1"/>
  <c r="AL378" i="1"/>
  <c r="AO378" i="1"/>
  <c r="AN378" i="1"/>
  <c r="AV378" i="1"/>
  <c r="AR378" i="1"/>
  <c r="AU379" i="1"/>
  <c r="AT379" i="1"/>
  <c r="H379" i="1"/>
  <c r="G379" i="1"/>
  <c r="AL379" i="1"/>
  <c r="AO379" i="1"/>
  <c r="AN379" i="1"/>
  <c r="AV379" i="1"/>
  <c r="AR379" i="1"/>
  <c r="AU380" i="1"/>
  <c r="AT380" i="1"/>
  <c r="H380" i="1"/>
  <c r="G380" i="1"/>
  <c r="AL380" i="1"/>
  <c r="AO380" i="1"/>
  <c r="AN380" i="1"/>
  <c r="AV380" i="1"/>
  <c r="AR380" i="1"/>
  <c r="AU381" i="1"/>
  <c r="AT381" i="1"/>
  <c r="H381" i="1"/>
  <c r="G381" i="1"/>
  <c r="AL381" i="1"/>
  <c r="AO381" i="1"/>
  <c r="AN381" i="1"/>
  <c r="AV381" i="1"/>
  <c r="AR381" i="1"/>
  <c r="AU382" i="1"/>
  <c r="AT382" i="1"/>
  <c r="H382" i="1"/>
  <c r="G382" i="1"/>
  <c r="AL382" i="1"/>
  <c r="AO382" i="1"/>
  <c r="AN382" i="1"/>
  <c r="AV382" i="1"/>
  <c r="AR382" i="1"/>
  <c r="AU383" i="1"/>
  <c r="AT383" i="1"/>
  <c r="H383" i="1"/>
  <c r="G383" i="1"/>
  <c r="AL383" i="1"/>
  <c r="AO383" i="1"/>
  <c r="AN383" i="1"/>
  <c r="AV383" i="1"/>
  <c r="AR383" i="1"/>
  <c r="AU384" i="1"/>
  <c r="AT384" i="1"/>
  <c r="H384" i="1"/>
  <c r="G384" i="1"/>
  <c r="AL384" i="1"/>
  <c r="AO384" i="1"/>
  <c r="AN384" i="1"/>
  <c r="AV384" i="1"/>
  <c r="AR384" i="1"/>
  <c r="AU385" i="1"/>
  <c r="AT385" i="1"/>
  <c r="H385" i="1"/>
  <c r="G385" i="1"/>
  <c r="AL385" i="1"/>
  <c r="AO385" i="1"/>
  <c r="AN385" i="1"/>
  <c r="AV385" i="1"/>
  <c r="AR385" i="1"/>
  <c r="AU386" i="1"/>
  <c r="AT386" i="1"/>
  <c r="H386" i="1"/>
  <c r="G386" i="1"/>
  <c r="AL386" i="1"/>
  <c r="AO386" i="1"/>
  <c r="AN386" i="1"/>
  <c r="AV386" i="1"/>
  <c r="AR386" i="1"/>
  <c r="AU387" i="1"/>
  <c r="AT387" i="1"/>
  <c r="H387" i="1"/>
  <c r="G387" i="1"/>
  <c r="AL387" i="1"/>
  <c r="AO387" i="1"/>
  <c r="AN387" i="1"/>
  <c r="AV387" i="1"/>
  <c r="AR387" i="1"/>
  <c r="AU388" i="1"/>
  <c r="AT388" i="1"/>
  <c r="H388" i="1"/>
  <c r="G388" i="1"/>
  <c r="AL388" i="1"/>
  <c r="AO388" i="1"/>
  <c r="AN388" i="1"/>
  <c r="AV388" i="1"/>
  <c r="AR388" i="1"/>
  <c r="AU389" i="1"/>
  <c r="AT389" i="1"/>
  <c r="H389" i="1"/>
  <c r="G389" i="1"/>
  <c r="AL389" i="1"/>
  <c r="AO389" i="1"/>
  <c r="AN389" i="1"/>
  <c r="AV389" i="1"/>
  <c r="AR389" i="1"/>
  <c r="AU390" i="1"/>
  <c r="AT390" i="1"/>
  <c r="H390" i="1"/>
  <c r="G390" i="1"/>
  <c r="AL390" i="1"/>
  <c r="AO390" i="1"/>
  <c r="AN390" i="1"/>
  <c r="AV390" i="1"/>
  <c r="AR390" i="1"/>
  <c r="AU391" i="1"/>
  <c r="AT391" i="1"/>
  <c r="H391" i="1"/>
  <c r="G391" i="1"/>
  <c r="AL391" i="1"/>
  <c r="AO391" i="1"/>
  <c r="AN391" i="1"/>
  <c r="AV391" i="1"/>
  <c r="AR391" i="1"/>
  <c r="AU392" i="1"/>
  <c r="AT392" i="1"/>
  <c r="H392" i="1"/>
  <c r="G392" i="1"/>
  <c r="AL392" i="1"/>
  <c r="AO392" i="1"/>
  <c r="AN392" i="1"/>
  <c r="AV392" i="1"/>
  <c r="AR392" i="1"/>
  <c r="AU393" i="1"/>
  <c r="AT393" i="1"/>
  <c r="H393" i="1"/>
  <c r="G393" i="1"/>
  <c r="AL393" i="1"/>
  <c r="AO393" i="1"/>
  <c r="AN393" i="1"/>
  <c r="AV393" i="1"/>
  <c r="AR393" i="1"/>
  <c r="AU394" i="1"/>
  <c r="AT394" i="1"/>
  <c r="H394" i="1"/>
  <c r="G394" i="1"/>
  <c r="AL394" i="1"/>
  <c r="AO394" i="1"/>
  <c r="AN394" i="1"/>
  <c r="AV394" i="1"/>
  <c r="AR394" i="1"/>
  <c r="AU395" i="1"/>
  <c r="AT395" i="1"/>
  <c r="H395" i="1"/>
  <c r="G395" i="1"/>
  <c r="AL395" i="1"/>
  <c r="AO395" i="1"/>
  <c r="AN395" i="1"/>
  <c r="AV395" i="1"/>
  <c r="AR395" i="1"/>
  <c r="AU396" i="1"/>
  <c r="AT396" i="1"/>
  <c r="H396" i="1"/>
  <c r="G396" i="1"/>
  <c r="AL396" i="1"/>
  <c r="AO396" i="1"/>
  <c r="AN396" i="1"/>
  <c r="AV396" i="1"/>
  <c r="AR396" i="1"/>
  <c r="AU397" i="1"/>
  <c r="AT397" i="1"/>
  <c r="H397" i="1"/>
  <c r="G397" i="1"/>
  <c r="AL397" i="1"/>
  <c r="AO397" i="1"/>
  <c r="AN397" i="1"/>
  <c r="AV397" i="1"/>
  <c r="AR397" i="1"/>
  <c r="AU398" i="1"/>
  <c r="AT398" i="1"/>
  <c r="H398" i="1"/>
  <c r="G398" i="1"/>
  <c r="AL398" i="1"/>
  <c r="AO398" i="1"/>
  <c r="AN398" i="1"/>
  <c r="AV398" i="1"/>
  <c r="AR398" i="1"/>
  <c r="AU399" i="1"/>
  <c r="AT399" i="1"/>
  <c r="H399" i="1"/>
  <c r="G399" i="1"/>
  <c r="AL399" i="1"/>
  <c r="AO399" i="1"/>
  <c r="AN399" i="1"/>
  <c r="AV399" i="1"/>
  <c r="AR399" i="1"/>
  <c r="AU400" i="1"/>
  <c r="AT400" i="1"/>
  <c r="H400" i="1"/>
  <c r="G400" i="1"/>
  <c r="AL400" i="1"/>
  <c r="AO400" i="1"/>
  <c r="AN400" i="1"/>
  <c r="AV400" i="1"/>
  <c r="AR400" i="1"/>
  <c r="AU401" i="1"/>
  <c r="AT401" i="1"/>
  <c r="H401" i="1"/>
  <c r="G401" i="1"/>
  <c r="AL401" i="1"/>
  <c r="AO401" i="1"/>
  <c r="AN401" i="1"/>
  <c r="AV401" i="1"/>
  <c r="AR401" i="1"/>
  <c r="AU402" i="1"/>
  <c r="AT402" i="1"/>
  <c r="H402" i="1"/>
  <c r="G402" i="1"/>
  <c r="AL402" i="1"/>
  <c r="AO402" i="1"/>
  <c r="AN402" i="1"/>
  <c r="AV402" i="1"/>
  <c r="AR402" i="1"/>
  <c r="AU403" i="1"/>
  <c r="AT403" i="1"/>
  <c r="H403" i="1"/>
  <c r="G403" i="1"/>
  <c r="AL403" i="1"/>
  <c r="AO403" i="1"/>
  <c r="AN403" i="1"/>
  <c r="AV403" i="1"/>
  <c r="AR403" i="1"/>
  <c r="AU404" i="1"/>
  <c r="AT404" i="1"/>
  <c r="H404" i="1"/>
  <c r="G404" i="1"/>
  <c r="AL404" i="1"/>
  <c r="AO404" i="1"/>
  <c r="AN404" i="1"/>
  <c r="AV404" i="1"/>
  <c r="AR404" i="1"/>
  <c r="AU405" i="1"/>
  <c r="AT405" i="1"/>
  <c r="H405" i="1"/>
  <c r="G405" i="1"/>
  <c r="AL405" i="1"/>
  <c r="AO405" i="1"/>
  <c r="AN405" i="1"/>
  <c r="AV405" i="1"/>
  <c r="AR405" i="1"/>
  <c r="AU406" i="1"/>
  <c r="AT406" i="1"/>
  <c r="H406" i="1"/>
  <c r="G406" i="1"/>
  <c r="AL406" i="1"/>
  <c r="AO406" i="1"/>
  <c r="AN406" i="1"/>
  <c r="AV406" i="1"/>
  <c r="AR406" i="1"/>
  <c r="AU407" i="1"/>
  <c r="AT407" i="1"/>
  <c r="H407" i="1"/>
  <c r="G407" i="1"/>
  <c r="AL407" i="1"/>
  <c r="AO407" i="1"/>
  <c r="AN407" i="1"/>
  <c r="AV407" i="1"/>
  <c r="AR407" i="1"/>
  <c r="AU408" i="1"/>
  <c r="AT408" i="1"/>
  <c r="H408" i="1"/>
  <c r="G408" i="1"/>
  <c r="AL408" i="1"/>
  <c r="AO408" i="1"/>
  <c r="AN408" i="1"/>
  <c r="AV408" i="1"/>
  <c r="AR408" i="1"/>
  <c r="AU409" i="1"/>
  <c r="AT409" i="1"/>
  <c r="H409" i="1"/>
  <c r="G409" i="1"/>
  <c r="AL409" i="1"/>
  <c r="AO409" i="1"/>
  <c r="AN409" i="1"/>
  <c r="AV409" i="1"/>
  <c r="AR409" i="1"/>
  <c r="AU410" i="1"/>
  <c r="AT410" i="1"/>
  <c r="H410" i="1"/>
  <c r="G410" i="1"/>
  <c r="AL410" i="1"/>
  <c r="AO410" i="1"/>
  <c r="AN410" i="1"/>
  <c r="AV410" i="1"/>
  <c r="AR410" i="1"/>
  <c r="AU411" i="1"/>
  <c r="AT411" i="1"/>
  <c r="H411" i="1"/>
  <c r="G411" i="1"/>
  <c r="AL411" i="1"/>
  <c r="AO411" i="1"/>
  <c r="AN411" i="1"/>
  <c r="AV411" i="1"/>
  <c r="AR411" i="1"/>
  <c r="AU412" i="1"/>
  <c r="AT412" i="1"/>
  <c r="H412" i="1"/>
  <c r="G412" i="1"/>
  <c r="AL412" i="1"/>
  <c r="AO412" i="1"/>
  <c r="AN412" i="1"/>
  <c r="AV412" i="1"/>
  <c r="AR412" i="1"/>
  <c r="AU413" i="1"/>
  <c r="AT413" i="1"/>
  <c r="H413" i="1"/>
  <c r="G413" i="1"/>
  <c r="AL413" i="1"/>
  <c r="AO413" i="1"/>
  <c r="AN413" i="1"/>
  <c r="AV413" i="1"/>
  <c r="AR413" i="1"/>
  <c r="AU414" i="1"/>
  <c r="AT414" i="1"/>
  <c r="H414" i="1"/>
  <c r="G414" i="1"/>
  <c r="AL414" i="1"/>
  <c r="AO414" i="1"/>
  <c r="AN414" i="1"/>
  <c r="AV414" i="1"/>
  <c r="AR414" i="1"/>
  <c r="AU415" i="1"/>
  <c r="AT415" i="1"/>
  <c r="H415" i="1"/>
  <c r="G415" i="1"/>
  <c r="AL415" i="1"/>
  <c r="AO415" i="1"/>
  <c r="AN415" i="1"/>
  <c r="AV415" i="1"/>
  <c r="AR415" i="1"/>
  <c r="AU416" i="1"/>
  <c r="AT416" i="1"/>
  <c r="H416" i="1"/>
  <c r="G416" i="1"/>
  <c r="AL416" i="1"/>
  <c r="AO416" i="1"/>
  <c r="AN416" i="1"/>
  <c r="AV416" i="1"/>
  <c r="AR416" i="1"/>
  <c r="AU417" i="1"/>
  <c r="AT417" i="1"/>
  <c r="H417" i="1"/>
  <c r="G417" i="1"/>
  <c r="AL417" i="1"/>
  <c r="AO417" i="1"/>
  <c r="AN417" i="1"/>
  <c r="AV417" i="1"/>
  <c r="AR417" i="1"/>
  <c r="AU418" i="1"/>
  <c r="AT418" i="1"/>
  <c r="H418" i="1"/>
  <c r="G418" i="1"/>
  <c r="AL418" i="1"/>
  <c r="AO418" i="1"/>
  <c r="AN418" i="1"/>
  <c r="AV418" i="1"/>
  <c r="AR418" i="1"/>
  <c r="AU419" i="1"/>
  <c r="AT419" i="1"/>
  <c r="H419" i="1"/>
  <c r="G419" i="1"/>
  <c r="AL419" i="1"/>
  <c r="AO419" i="1"/>
  <c r="AN419" i="1"/>
  <c r="AV419" i="1"/>
  <c r="AR419" i="1"/>
  <c r="AU420" i="1"/>
  <c r="AT420" i="1"/>
  <c r="H420" i="1"/>
  <c r="G420" i="1"/>
  <c r="AL420" i="1"/>
  <c r="AO420" i="1"/>
  <c r="AN420" i="1"/>
  <c r="AV420" i="1"/>
  <c r="AR420" i="1"/>
  <c r="AU421" i="1"/>
  <c r="AT421" i="1"/>
  <c r="H421" i="1"/>
  <c r="G421" i="1"/>
  <c r="AL421" i="1"/>
  <c r="AO421" i="1"/>
  <c r="AN421" i="1"/>
  <c r="AV421" i="1"/>
  <c r="AR421" i="1"/>
  <c r="AU422" i="1"/>
  <c r="AT422" i="1"/>
  <c r="H422" i="1"/>
  <c r="G422" i="1"/>
  <c r="AL422" i="1"/>
  <c r="AO422" i="1"/>
  <c r="AN422" i="1"/>
  <c r="AV422" i="1"/>
  <c r="AR422" i="1"/>
  <c r="AU423" i="1"/>
  <c r="AT423" i="1"/>
  <c r="H423" i="1"/>
  <c r="G423" i="1"/>
  <c r="AL423" i="1"/>
  <c r="AO423" i="1"/>
  <c r="AN423" i="1"/>
  <c r="AV423" i="1"/>
  <c r="AR423" i="1"/>
  <c r="AU424" i="1"/>
  <c r="AT424" i="1"/>
  <c r="H424" i="1"/>
  <c r="G424" i="1"/>
  <c r="AL424" i="1"/>
  <c r="AO424" i="1"/>
  <c r="AN424" i="1"/>
  <c r="AV424" i="1"/>
  <c r="AR424" i="1"/>
  <c r="AU425" i="1"/>
  <c r="AT425" i="1"/>
  <c r="H425" i="1"/>
  <c r="G425" i="1"/>
  <c r="AL425" i="1"/>
  <c r="AO425" i="1"/>
  <c r="AN425" i="1"/>
  <c r="AV425" i="1"/>
  <c r="AR425" i="1"/>
  <c r="AU426" i="1"/>
  <c r="AT426" i="1"/>
  <c r="H426" i="1"/>
  <c r="G426" i="1"/>
  <c r="AL426" i="1"/>
  <c r="AO426" i="1"/>
  <c r="AN426" i="1"/>
  <c r="AV426" i="1"/>
  <c r="AR426" i="1"/>
  <c r="AU427" i="1"/>
  <c r="AT427" i="1"/>
  <c r="H427" i="1"/>
  <c r="G427" i="1"/>
  <c r="AL427" i="1"/>
  <c r="AO427" i="1"/>
  <c r="AN427" i="1"/>
  <c r="AV427" i="1"/>
  <c r="AR427" i="1"/>
  <c r="AU428" i="1"/>
  <c r="AT428" i="1"/>
  <c r="H428" i="1"/>
  <c r="G428" i="1"/>
  <c r="AL428" i="1"/>
  <c r="AO428" i="1"/>
  <c r="AN428" i="1"/>
  <c r="AV428" i="1"/>
  <c r="AR428" i="1"/>
  <c r="AU429" i="1"/>
  <c r="AT429" i="1"/>
  <c r="H429" i="1"/>
  <c r="G429" i="1"/>
  <c r="AL429" i="1"/>
  <c r="AO429" i="1"/>
  <c r="AN429" i="1"/>
  <c r="AV429" i="1"/>
  <c r="AR429" i="1"/>
  <c r="AU430" i="1"/>
  <c r="AT430" i="1"/>
  <c r="H430" i="1"/>
  <c r="G430" i="1"/>
  <c r="AL430" i="1"/>
  <c r="AO430" i="1"/>
  <c r="AN430" i="1"/>
  <c r="AV430" i="1"/>
  <c r="AR430" i="1"/>
  <c r="AU431" i="1"/>
  <c r="AT431" i="1"/>
  <c r="H431" i="1"/>
  <c r="G431" i="1"/>
  <c r="AL431" i="1"/>
  <c r="AO431" i="1"/>
  <c r="AN431" i="1"/>
  <c r="AV431" i="1"/>
  <c r="AR431" i="1"/>
  <c r="AU432" i="1"/>
  <c r="AT432" i="1"/>
  <c r="H432" i="1"/>
  <c r="G432" i="1"/>
  <c r="AL432" i="1"/>
  <c r="AO432" i="1"/>
  <c r="AN432" i="1"/>
  <c r="AV432" i="1"/>
  <c r="AR432" i="1"/>
  <c r="AU433" i="1"/>
  <c r="AT433" i="1"/>
  <c r="H433" i="1"/>
  <c r="G433" i="1"/>
  <c r="AL433" i="1"/>
  <c r="AO433" i="1"/>
  <c r="AN433" i="1"/>
  <c r="AV433" i="1"/>
  <c r="AR433" i="1"/>
  <c r="AU434" i="1"/>
  <c r="AT434" i="1"/>
  <c r="H434" i="1"/>
  <c r="G434" i="1"/>
  <c r="AL434" i="1"/>
  <c r="AO434" i="1"/>
  <c r="AN434" i="1"/>
  <c r="AV434" i="1"/>
  <c r="AR434" i="1"/>
  <c r="AU435" i="1"/>
  <c r="AT435" i="1"/>
  <c r="H435" i="1"/>
  <c r="G435" i="1"/>
  <c r="AL435" i="1"/>
  <c r="AO435" i="1"/>
  <c r="AN435" i="1"/>
  <c r="AV435" i="1"/>
  <c r="AR435" i="1"/>
  <c r="AU436" i="1"/>
  <c r="AT436" i="1"/>
  <c r="H436" i="1"/>
  <c r="G436" i="1"/>
  <c r="AL436" i="1"/>
  <c r="AO436" i="1"/>
  <c r="AN436" i="1"/>
  <c r="AV436" i="1"/>
  <c r="AR436" i="1"/>
  <c r="AU437" i="1"/>
  <c r="AT437" i="1"/>
  <c r="H437" i="1"/>
  <c r="G437" i="1"/>
  <c r="AL437" i="1"/>
  <c r="AO437" i="1"/>
  <c r="AN437" i="1"/>
  <c r="AV437" i="1"/>
  <c r="AR437" i="1"/>
  <c r="AU438" i="1"/>
  <c r="AT438" i="1"/>
  <c r="H438" i="1"/>
  <c r="G438" i="1"/>
  <c r="AL438" i="1"/>
  <c r="AO438" i="1"/>
  <c r="AN438" i="1"/>
  <c r="AV438" i="1"/>
  <c r="AR438" i="1"/>
  <c r="AU439" i="1"/>
  <c r="AT439" i="1"/>
  <c r="H439" i="1"/>
  <c r="G439" i="1"/>
  <c r="AL439" i="1"/>
  <c r="AO439" i="1"/>
  <c r="AN439" i="1"/>
  <c r="AV439" i="1"/>
  <c r="AR439" i="1"/>
  <c r="AU440" i="1"/>
  <c r="AT440" i="1"/>
  <c r="H440" i="1"/>
  <c r="G440" i="1"/>
  <c r="AL440" i="1"/>
  <c r="AO440" i="1"/>
  <c r="AN440" i="1"/>
  <c r="AV440" i="1"/>
  <c r="AR440" i="1"/>
  <c r="AU441" i="1"/>
  <c r="AT441" i="1"/>
  <c r="H441" i="1"/>
  <c r="G441" i="1"/>
  <c r="AL441" i="1"/>
  <c r="AO441" i="1"/>
  <c r="AN441" i="1"/>
  <c r="AV441" i="1"/>
  <c r="AR441" i="1"/>
  <c r="AU442" i="1"/>
  <c r="AT442" i="1"/>
  <c r="H442" i="1"/>
  <c r="G442" i="1"/>
  <c r="AL442" i="1"/>
  <c r="AO442" i="1"/>
  <c r="AN442" i="1"/>
  <c r="AV442" i="1"/>
  <c r="AR442" i="1"/>
  <c r="AU443" i="1"/>
  <c r="AT443" i="1"/>
  <c r="H443" i="1"/>
  <c r="G443" i="1"/>
  <c r="AL443" i="1"/>
  <c r="AO443" i="1"/>
  <c r="AN443" i="1"/>
  <c r="AV443" i="1"/>
  <c r="AR443" i="1"/>
  <c r="AU444" i="1"/>
  <c r="AT444" i="1"/>
  <c r="H444" i="1"/>
  <c r="G444" i="1"/>
  <c r="AL444" i="1"/>
  <c r="AO444" i="1"/>
  <c r="AN444" i="1"/>
  <c r="AV444" i="1"/>
  <c r="AR444" i="1"/>
  <c r="AU445" i="1"/>
  <c r="AT445" i="1"/>
  <c r="H445" i="1"/>
  <c r="G445" i="1"/>
  <c r="AL445" i="1"/>
  <c r="AO445" i="1"/>
  <c r="AN445" i="1"/>
  <c r="AV445" i="1"/>
  <c r="AR445" i="1"/>
  <c r="AU446" i="1"/>
  <c r="AT446" i="1"/>
  <c r="H446" i="1"/>
  <c r="G446" i="1"/>
  <c r="AL446" i="1"/>
  <c r="AO446" i="1"/>
  <c r="AN446" i="1"/>
  <c r="AV446" i="1"/>
  <c r="AR446" i="1"/>
  <c r="AU447" i="1"/>
  <c r="AT447" i="1"/>
  <c r="H447" i="1"/>
  <c r="G447" i="1"/>
  <c r="AL447" i="1"/>
  <c r="AO447" i="1"/>
  <c r="AN447" i="1"/>
  <c r="AV447" i="1"/>
  <c r="AR447" i="1"/>
  <c r="AU448" i="1"/>
  <c r="AT448" i="1"/>
  <c r="H448" i="1"/>
  <c r="G448" i="1"/>
  <c r="AL448" i="1"/>
  <c r="AO448" i="1"/>
  <c r="AN448" i="1"/>
  <c r="AV448" i="1"/>
  <c r="AR448" i="1"/>
  <c r="AU449" i="1"/>
  <c r="AT449" i="1"/>
  <c r="H449" i="1"/>
  <c r="G449" i="1"/>
  <c r="AL449" i="1"/>
  <c r="AO449" i="1"/>
  <c r="AN449" i="1"/>
  <c r="AV449" i="1"/>
  <c r="AR449" i="1"/>
  <c r="AU450" i="1"/>
  <c r="AT450" i="1"/>
  <c r="H450" i="1"/>
  <c r="G450" i="1"/>
  <c r="AL450" i="1"/>
  <c r="AO450" i="1"/>
  <c r="AN450" i="1"/>
  <c r="AV450" i="1"/>
  <c r="AR450" i="1"/>
  <c r="AU451" i="1"/>
  <c r="AT451" i="1"/>
  <c r="H451" i="1"/>
  <c r="G451" i="1"/>
  <c r="AL451" i="1"/>
  <c r="AO451" i="1"/>
  <c r="AN451" i="1"/>
  <c r="AV451" i="1"/>
  <c r="AR451" i="1"/>
  <c r="AU452" i="1"/>
  <c r="AT452" i="1"/>
  <c r="H452" i="1"/>
  <c r="G452" i="1"/>
  <c r="AL452" i="1"/>
  <c r="AO452" i="1"/>
  <c r="AN452" i="1"/>
  <c r="AV452" i="1"/>
  <c r="AR452" i="1"/>
  <c r="AU453" i="1"/>
  <c r="AT453" i="1"/>
  <c r="H453" i="1"/>
  <c r="G453" i="1"/>
  <c r="AL453" i="1"/>
  <c r="AO453" i="1"/>
  <c r="AN453" i="1"/>
  <c r="AV453" i="1"/>
  <c r="AR453" i="1"/>
  <c r="AU454" i="1"/>
  <c r="AT454" i="1"/>
  <c r="H454" i="1"/>
  <c r="G454" i="1"/>
  <c r="AL454" i="1"/>
  <c r="AO454" i="1"/>
  <c r="AN454" i="1"/>
  <c r="AV454" i="1"/>
  <c r="AR454" i="1"/>
  <c r="AU455" i="1"/>
  <c r="AT455" i="1"/>
  <c r="H455" i="1"/>
  <c r="G455" i="1"/>
  <c r="AL455" i="1"/>
  <c r="AO455" i="1"/>
  <c r="AN455" i="1"/>
  <c r="AV455" i="1"/>
  <c r="AR455" i="1"/>
  <c r="AU456" i="1"/>
  <c r="AT456" i="1"/>
  <c r="H456" i="1"/>
  <c r="G456" i="1"/>
  <c r="AL456" i="1"/>
  <c r="AO456" i="1"/>
  <c r="AN456" i="1"/>
  <c r="AV456" i="1"/>
  <c r="AR456" i="1"/>
  <c r="AU457" i="1"/>
  <c r="AT457" i="1"/>
  <c r="H457" i="1"/>
  <c r="G457" i="1"/>
  <c r="AL457" i="1"/>
  <c r="AO457" i="1"/>
  <c r="AN457" i="1"/>
  <c r="AV457" i="1"/>
  <c r="AR457" i="1"/>
  <c r="AU458" i="1"/>
  <c r="AT458" i="1"/>
  <c r="H458" i="1"/>
  <c r="G458" i="1"/>
  <c r="AL458" i="1"/>
  <c r="AO458" i="1"/>
  <c r="AN458" i="1"/>
  <c r="AV458" i="1"/>
  <c r="AR458" i="1"/>
  <c r="AU459" i="1"/>
  <c r="AT459" i="1"/>
  <c r="H459" i="1"/>
  <c r="G459" i="1"/>
  <c r="AL459" i="1"/>
  <c r="AO459" i="1"/>
  <c r="AN459" i="1"/>
  <c r="AV459" i="1"/>
  <c r="AR459" i="1"/>
  <c r="AU460" i="1"/>
  <c r="AT460" i="1"/>
  <c r="H460" i="1"/>
  <c r="G460" i="1"/>
  <c r="AL460" i="1"/>
  <c r="AO460" i="1"/>
  <c r="AN460" i="1"/>
  <c r="AV460" i="1"/>
  <c r="AR460" i="1"/>
  <c r="AU461" i="1"/>
  <c r="AT461" i="1"/>
  <c r="H461" i="1"/>
  <c r="G461" i="1"/>
  <c r="AL461" i="1"/>
  <c r="AO461" i="1"/>
  <c r="AN461" i="1"/>
  <c r="AV461" i="1"/>
  <c r="AR461" i="1"/>
  <c r="AU462" i="1"/>
  <c r="AT462" i="1"/>
  <c r="H462" i="1"/>
  <c r="G462" i="1"/>
  <c r="AL462" i="1"/>
  <c r="AO462" i="1"/>
  <c r="AN462" i="1"/>
  <c r="AV462" i="1"/>
  <c r="AR462" i="1"/>
  <c r="AU463" i="1"/>
  <c r="AT463" i="1"/>
  <c r="H463" i="1"/>
  <c r="G463" i="1"/>
  <c r="AL463" i="1"/>
  <c r="AO463" i="1"/>
  <c r="AN463" i="1"/>
  <c r="AV463" i="1"/>
  <c r="AR463" i="1"/>
  <c r="AU464" i="1"/>
  <c r="AT464" i="1"/>
  <c r="H464" i="1"/>
  <c r="G464" i="1"/>
  <c r="AL464" i="1"/>
  <c r="AO464" i="1"/>
  <c r="AN464" i="1"/>
  <c r="AV464" i="1"/>
  <c r="AR464" i="1"/>
  <c r="AU465" i="1"/>
  <c r="AT465" i="1"/>
  <c r="H465" i="1"/>
  <c r="G465" i="1"/>
  <c r="AL465" i="1"/>
  <c r="AO465" i="1"/>
  <c r="AN465" i="1"/>
  <c r="AV465" i="1"/>
  <c r="AR465" i="1"/>
  <c r="AU466" i="1"/>
  <c r="AT466" i="1"/>
  <c r="H466" i="1"/>
  <c r="G466" i="1"/>
  <c r="AL466" i="1"/>
  <c r="AO466" i="1"/>
  <c r="AN466" i="1"/>
  <c r="AV466" i="1"/>
  <c r="AR466" i="1"/>
  <c r="AU467" i="1"/>
  <c r="AT467" i="1"/>
  <c r="H467" i="1"/>
  <c r="G467" i="1"/>
  <c r="AL467" i="1"/>
  <c r="AO467" i="1"/>
  <c r="AN467" i="1"/>
  <c r="AV467" i="1"/>
  <c r="AR467" i="1"/>
  <c r="AU468" i="1"/>
  <c r="AT468" i="1"/>
  <c r="H468" i="1"/>
  <c r="G468" i="1"/>
  <c r="AL468" i="1"/>
  <c r="AO468" i="1"/>
  <c r="AN468" i="1"/>
  <c r="AV468" i="1"/>
  <c r="AR468" i="1"/>
  <c r="AU469" i="1"/>
  <c r="AT469" i="1"/>
  <c r="H469" i="1"/>
  <c r="G469" i="1"/>
  <c r="AL469" i="1"/>
  <c r="AO469" i="1"/>
  <c r="AN469" i="1"/>
  <c r="AV469" i="1"/>
  <c r="AR469" i="1"/>
  <c r="AU470" i="1"/>
  <c r="AT470" i="1"/>
  <c r="H470" i="1"/>
  <c r="G470" i="1"/>
  <c r="AL470" i="1"/>
  <c r="AO470" i="1"/>
  <c r="AN470" i="1"/>
  <c r="AV470" i="1"/>
  <c r="AR470" i="1"/>
  <c r="AU471" i="1"/>
  <c r="AT471" i="1"/>
  <c r="H471" i="1"/>
  <c r="G471" i="1"/>
  <c r="AL471" i="1"/>
  <c r="AO471" i="1"/>
  <c r="AN471" i="1"/>
  <c r="AV471" i="1"/>
  <c r="AR471" i="1"/>
  <c r="AU472" i="1"/>
  <c r="AT472" i="1"/>
  <c r="H472" i="1"/>
  <c r="G472" i="1"/>
  <c r="AL472" i="1"/>
  <c r="AO472" i="1"/>
  <c r="AN472" i="1"/>
  <c r="AV472" i="1"/>
  <c r="AR472" i="1"/>
  <c r="AU473" i="1"/>
  <c r="AT473" i="1"/>
  <c r="H473" i="1"/>
  <c r="G473" i="1"/>
  <c r="AL473" i="1"/>
  <c r="AO473" i="1"/>
  <c r="AN473" i="1"/>
  <c r="AV473" i="1"/>
  <c r="AR473" i="1"/>
  <c r="AU474" i="1"/>
  <c r="AT474" i="1"/>
  <c r="H474" i="1"/>
  <c r="G474" i="1"/>
  <c r="AL474" i="1"/>
  <c r="AO474" i="1"/>
  <c r="AN474" i="1"/>
  <c r="AV474" i="1"/>
  <c r="AR474" i="1"/>
  <c r="AU475" i="1"/>
  <c r="AT475" i="1"/>
  <c r="H475" i="1"/>
  <c r="G475" i="1"/>
  <c r="AL475" i="1"/>
  <c r="AO475" i="1"/>
  <c r="AN475" i="1"/>
  <c r="AV475" i="1"/>
  <c r="AR475" i="1"/>
  <c r="AU476" i="1"/>
  <c r="AT476" i="1"/>
  <c r="H476" i="1"/>
  <c r="G476" i="1"/>
  <c r="AL476" i="1"/>
  <c r="AO476" i="1"/>
  <c r="AN476" i="1"/>
  <c r="AV476" i="1"/>
  <c r="AR476" i="1"/>
  <c r="AU477" i="1"/>
  <c r="AT477" i="1"/>
  <c r="H477" i="1"/>
  <c r="G477" i="1"/>
  <c r="AL477" i="1"/>
  <c r="AO477" i="1"/>
  <c r="AN477" i="1"/>
  <c r="AV477" i="1"/>
  <c r="AR477" i="1"/>
  <c r="AU478" i="1"/>
  <c r="AT478" i="1"/>
  <c r="H478" i="1"/>
  <c r="G478" i="1"/>
  <c r="AL478" i="1"/>
  <c r="AO478" i="1"/>
  <c r="AN478" i="1"/>
  <c r="AV478" i="1"/>
  <c r="AR478" i="1"/>
  <c r="AU479" i="1"/>
  <c r="AT479" i="1"/>
  <c r="H479" i="1"/>
  <c r="G479" i="1"/>
  <c r="AL479" i="1"/>
  <c r="AO479" i="1"/>
  <c r="AN479" i="1"/>
  <c r="AV479" i="1"/>
  <c r="AR479" i="1"/>
  <c r="AU480" i="1"/>
  <c r="AT480" i="1"/>
  <c r="H480" i="1"/>
  <c r="G480" i="1"/>
  <c r="AL480" i="1"/>
  <c r="AO480" i="1"/>
  <c r="AN480" i="1"/>
  <c r="AV480" i="1"/>
  <c r="AR480" i="1"/>
  <c r="AU481" i="1"/>
  <c r="AT481" i="1"/>
  <c r="H481" i="1"/>
  <c r="G481" i="1"/>
  <c r="AL481" i="1"/>
  <c r="AO481" i="1"/>
  <c r="AN481" i="1"/>
  <c r="AV481" i="1"/>
  <c r="AR481" i="1"/>
  <c r="AU482" i="1"/>
  <c r="AT482" i="1"/>
  <c r="H482" i="1"/>
  <c r="G482" i="1"/>
  <c r="AL482" i="1"/>
  <c r="AO482" i="1"/>
  <c r="AN482" i="1"/>
  <c r="AV482" i="1"/>
  <c r="AR482" i="1"/>
  <c r="AU483" i="1"/>
  <c r="AT483" i="1"/>
  <c r="H483" i="1"/>
  <c r="G483" i="1"/>
  <c r="AL483" i="1"/>
  <c r="AO483" i="1"/>
  <c r="AN483" i="1"/>
  <c r="AV483" i="1"/>
  <c r="AR483" i="1"/>
  <c r="AU484" i="1"/>
  <c r="AT484" i="1"/>
  <c r="H484" i="1"/>
  <c r="G484" i="1"/>
  <c r="AL484" i="1"/>
  <c r="AO484" i="1"/>
  <c r="AN484" i="1"/>
  <c r="AV484" i="1"/>
  <c r="AR484" i="1"/>
  <c r="AU485" i="1"/>
  <c r="AT485" i="1"/>
  <c r="H485" i="1"/>
  <c r="G485" i="1"/>
  <c r="AL485" i="1"/>
  <c r="AO485" i="1"/>
  <c r="AN485" i="1"/>
  <c r="AV485" i="1"/>
  <c r="AR485" i="1"/>
  <c r="AU486" i="1"/>
  <c r="AT486" i="1"/>
  <c r="H486" i="1"/>
  <c r="G486" i="1"/>
  <c r="AL486" i="1"/>
  <c r="AO486" i="1"/>
  <c r="AN486" i="1"/>
  <c r="AV486" i="1"/>
  <c r="AR486" i="1"/>
  <c r="AU487" i="1"/>
  <c r="AT487" i="1"/>
  <c r="H487" i="1"/>
  <c r="G487" i="1"/>
  <c r="AL487" i="1"/>
  <c r="AO487" i="1"/>
  <c r="AN487" i="1"/>
  <c r="AV487" i="1"/>
  <c r="AR487" i="1"/>
  <c r="AU488" i="1"/>
  <c r="AT488" i="1"/>
  <c r="H488" i="1"/>
  <c r="G488" i="1"/>
  <c r="AL488" i="1"/>
  <c r="AO488" i="1"/>
  <c r="AN488" i="1"/>
  <c r="AV488" i="1"/>
  <c r="AR488" i="1"/>
  <c r="AU489" i="1"/>
  <c r="AT489" i="1"/>
  <c r="H489" i="1"/>
  <c r="G489" i="1"/>
  <c r="AL489" i="1"/>
  <c r="AO489" i="1"/>
  <c r="AN489" i="1"/>
  <c r="AV489" i="1"/>
  <c r="AR489" i="1"/>
  <c r="AU490" i="1"/>
  <c r="AT490" i="1"/>
  <c r="H490" i="1"/>
  <c r="G490" i="1"/>
  <c r="AL490" i="1"/>
  <c r="AO490" i="1"/>
  <c r="AN490" i="1"/>
  <c r="AV490" i="1"/>
  <c r="AR490" i="1"/>
  <c r="AU491" i="1"/>
  <c r="AT491" i="1"/>
  <c r="H491" i="1"/>
  <c r="G491" i="1"/>
  <c r="AL491" i="1"/>
  <c r="AO491" i="1"/>
  <c r="AN491" i="1"/>
  <c r="AV491" i="1"/>
  <c r="AR491" i="1"/>
  <c r="AU492" i="1"/>
  <c r="AT492" i="1"/>
  <c r="H492" i="1"/>
  <c r="G492" i="1"/>
  <c r="AL492" i="1"/>
  <c r="AO492" i="1"/>
  <c r="AN492" i="1"/>
  <c r="AV492" i="1"/>
  <c r="AR492" i="1"/>
  <c r="AU493" i="1"/>
  <c r="AT493" i="1"/>
  <c r="H493" i="1"/>
  <c r="G493" i="1"/>
  <c r="AL493" i="1"/>
  <c r="AO493" i="1"/>
  <c r="AN493" i="1"/>
  <c r="AV493" i="1"/>
  <c r="AR493" i="1"/>
  <c r="AU494" i="1"/>
  <c r="AT494" i="1"/>
  <c r="H494" i="1"/>
  <c r="G494" i="1"/>
  <c r="AL494" i="1"/>
  <c r="AO494" i="1"/>
  <c r="AN494" i="1"/>
  <c r="AV494" i="1"/>
  <c r="AR494" i="1"/>
  <c r="AU495" i="1"/>
  <c r="AT495" i="1"/>
  <c r="H495" i="1"/>
  <c r="G495" i="1"/>
  <c r="AL495" i="1"/>
  <c r="AO495" i="1"/>
  <c r="AN495" i="1"/>
  <c r="AV495" i="1"/>
  <c r="AR495" i="1"/>
  <c r="AU496" i="1"/>
  <c r="AT496" i="1"/>
  <c r="H496" i="1"/>
  <c r="G496" i="1"/>
  <c r="AL496" i="1"/>
  <c r="AO496" i="1"/>
  <c r="AN496" i="1"/>
  <c r="AV496" i="1"/>
  <c r="AR496" i="1"/>
  <c r="AU497" i="1"/>
  <c r="AT497" i="1"/>
  <c r="H497" i="1"/>
  <c r="G497" i="1"/>
  <c r="AL497" i="1"/>
  <c r="AO497" i="1"/>
  <c r="AN497" i="1"/>
  <c r="AV497" i="1"/>
  <c r="AR497" i="1"/>
  <c r="AU498" i="1"/>
  <c r="AT498" i="1"/>
  <c r="H498" i="1"/>
  <c r="G498" i="1"/>
  <c r="AL498" i="1"/>
  <c r="AO498" i="1"/>
  <c r="AN498" i="1"/>
  <c r="AV498" i="1"/>
  <c r="AR498" i="1"/>
  <c r="AU499" i="1"/>
  <c r="AT499" i="1"/>
  <c r="H499" i="1"/>
  <c r="G499" i="1"/>
  <c r="AL499" i="1"/>
  <c r="AO499" i="1"/>
  <c r="AN499" i="1"/>
  <c r="AV499" i="1"/>
  <c r="AR499" i="1"/>
  <c r="AU500" i="1"/>
  <c r="AT500" i="1"/>
  <c r="H500" i="1"/>
  <c r="G500" i="1"/>
  <c r="AL500" i="1"/>
  <c r="AO500" i="1"/>
  <c r="AN500" i="1"/>
  <c r="AV500" i="1"/>
  <c r="AR500" i="1"/>
  <c r="AU501" i="1"/>
  <c r="AT501" i="1"/>
  <c r="H501" i="1"/>
  <c r="G501" i="1"/>
  <c r="AL501" i="1"/>
  <c r="AO501" i="1"/>
  <c r="AN501" i="1"/>
  <c r="AV501" i="1"/>
  <c r="AR501" i="1"/>
  <c r="AU502" i="1"/>
  <c r="AT502" i="1"/>
  <c r="H502" i="1"/>
  <c r="G502" i="1"/>
  <c r="AL502" i="1"/>
  <c r="AO502" i="1"/>
  <c r="AN502" i="1"/>
  <c r="AV502" i="1"/>
  <c r="AR502" i="1"/>
  <c r="AU503" i="1"/>
  <c r="AT503" i="1"/>
  <c r="H503" i="1"/>
  <c r="G503" i="1"/>
  <c r="AL503" i="1"/>
  <c r="AO503" i="1"/>
  <c r="AN503" i="1"/>
  <c r="AV503" i="1"/>
  <c r="AR503" i="1"/>
  <c r="AU504" i="1"/>
  <c r="AT504" i="1"/>
  <c r="H504" i="1"/>
  <c r="G504" i="1"/>
  <c r="AL504" i="1"/>
  <c r="AO504" i="1"/>
  <c r="AN504" i="1"/>
  <c r="AV504" i="1"/>
  <c r="AR504" i="1"/>
  <c r="AU505" i="1"/>
  <c r="AT505" i="1"/>
  <c r="H505" i="1"/>
  <c r="G505" i="1"/>
  <c r="AL505" i="1"/>
  <c r="AO505" i="1"/>
  <c r="AN505" i="1"/>
  <c r="AV505" i="1"/>
  <c r="AR505" i="1"/>
  <c r="AU506" i="1"/>
  <c r="AT506" i="1"/>
  <c r="H506" i="1"/>
  <c r="G506" i="1"/>
  <c r="AL506" i="1"/>
  <c r="AO506" i="1"/>
  <c r="AN506" i="1"/>
  <c r="AV506" i="1"/>
  <c r="AR506" i="1"/>
  <c r="AU507" i="1"/>
  <c r="AT507" i="1"/>
  <c r="H507" i="1"/>
  <c r="G507" i="1"/>
  <c r="AL507" i="1"/>
  <c r="AO507" i="1"/>
  <c r="AN507" i="1"/>
  <c r="AV507" i="1"/>
  <c r="AR507" i="1"/>
  <c r="AU508" i="1"/>
  <c r="AT508" i="1"/>
  <c r="H508" i="1"/>
  <c r="G508" i="1"/>
  <c r="AL508" i="1"/>
  <c r="AO508" i="1"/>
  <c r="AN508" i="1"/>
  <c r="AV508" i="1"/>
  <c r="AR508" i="1"/>
  <c r="AU509" i="1"/>
  <c r="AT509" i="1"/>
  <c r="H509" i="1"/>
  <c r="G509" i="1"/>
  <c r="AL509" i="1"/>
  <c r="AO509" i="1"/>
  <c r="AN509" i="1"/>
  <c r="AV509" i="1"/>
  <c r="AR509" i="1"/>
  <c r="AU510" i="1"/>
  <c r="AT510" i="1"/>
  <c r="H510" i="1"/>
  <c r="G510" i="1"/>
  <c r="AL510" i="1"/>
  <c r="AO510" i="1"/>
  <c r="AN510" i="1"/>
  <c r="AV510" i="1"/>
  <c r="AR510" i="1"/>
  <c r="AU511" i="1"/>
  <c r="AT511" i="1"/>
  <c r="H511" i="1"/>
  <c r="G511" i="1"/>
  <c r="AL511" i="1"/>
  <c r="AO511" i="1"/>
  <c r="AN511" i="1"/>
  <c r="AV511" i="1"/>
  <c r="AR511" i="1"/>
  <c r="AU512" i="1"/>
  <c r="AT512" i="1"/>
  <c r="H512" i="1"/>
  <c r="G512" i="1"/>
  <c r="AL512" i="1"/>
  <c r="AO512" i="1"/>
  <c r="AN512" i="1"/>
  <c r="AV512" i="1"/>
  <c r="AR512" i="1"/>
  <c r="AU513" i="1"/>
  <c r="AT513" i="1"/>
  <c r="H513" i="1"/>
  <c r="G513" i="1"/>
  <c r="AL513" i="1"/>
  <c r="AO513" i="1"/>
  <c r="AN513" i="1"/>
  <c r="AV513" i="1"/>
  <c r="AR513" i="1"/>
  <c r="AU514" i="1"/>
  <c r="AT514" i="1"/>
  <c r="H514" i="1"/>
  <c r="G514" i="1"/>
  <c r="AL514" i="1"/>
  <c r="AO514" i="1"/>
  <c r="AN514" i="1"/>
  <c r="AV514" i="1"/>
  <c r="AR514" i="1"/>
  <c r="AU515" i="1"/>
  <c r="AT515" i="1"/>
  <c r="H515" i="1"/>
  <c r="G515" i="1"/>
  <c r="AL515" i="1"/>
  <c r="AO515" i="1"/>
  <c r="AN515" i="1"/>
  <c r="AV515" i="1"/>
  <c r="AR515" i="1"/>
  <c r="AU516" i="1"/>
  <c r="AT516" i="1"/>
  <c r="H516" i="1"/>
  <c r="G516" i="1"/>
  <c r="AL516" i="1"/>
  <c r="AO516" i="1"/>
  <c r="AN516" i="1"/>
  <c r="AV516" i="1"/>
  <c r="AR516" i="1"/>
  <c r="AU517" i="1"/>
  <c r="AT517" i="1"/>
  <c r="H517" i="1"/>
  <c r="G517" i="1"/>
  <c r="AL517" i="1"/>
  <c r="AO517" i="1"/>
  <c r="AN517" i="1"/>
  <c r="AV517" i="1"/>
  <c r="AR517" i="1"/>
  <c r="AU518" i="1"/>
  <c r="AT518" i="1"/>
  <c r="H518" i="1"/>
  <c r="G518" i="1"/>
  <c r="AL518" i="1"/>
  <c r="AO518" i="1"/>
  <c r="AN518" i="1"/>
  <c r="AV518" i="1"/>
  <c r="AR518" i="1"/>
  <c r="AU519" i="1"/>
  <c r="AT519" i="1"/>
  <c r="H519" i="1"/>
  <c r="G519" i="1"/>
  <c r="AL519" i="1"/>
  <c r="AO519" i="1"/>
  <c r="AN519" i="1"/>
  <c r="AV519" i="1"/>
  <c r="AR519" i="1"/>
  <c r="AU520" i="1"/>
  <c r="AT520" i="1"/>
  <c r="H520" i="1"/>
  <c r="G520" i="1"/>
  <c r="AL520" i="1"/>
  <c r="AO520" i="1"/>
  <c r="AN520" i="1"/>
  <c r="AV520" i="1"/>
  <c r="AR520" i="1"/>
  <c r="AU521" i="1"/>
  <c r="AT521" i="1"/>
  <c r="H521" i="1"/>
  <c r="G521" i="1"/>
  <c r="AL521" i="1"/>
  <c r="AO521" i="1"/>
  <c r="AN521" i="1"/>
  <c r="AV521" i="1"/>
  <c r="AR521" i="1"/>
  <c r="AU522" i="1"/>
  <c r="AT522" i="1"/>
  <c r="H522" i="1"/>
  <c r="G522" i="1"/>
  <c r="AL522" i="1"/>
  <c r="AO522" i="1"/>
  <c r="AN522" i="1"/>
  <c r="AV522" i="1"/>
  <c r="AR522" i="1"/>
  <c r="AU523" i="1"/>
  <c r="AT523" i="1"/>
  <c r="H523" i="1"/>
  <c r="G523" i="1"/>
  <c r="AL523" i="1"/>
  <c r="AO523" i="1"/>
  <c r="AN523" i="1"/>
  <c r="AV523" i="1"/>
  <c r="AR523" i="1"/>
  <c r="AU524" i="1"/>
  <c r="AT524" i="1"/>
  <c r="H524" i="1"/>
  <c r="G524" i="1"/>
  <c r="AL524" i="1"/>
  <c r="AO524" i="1"/>
  <c r="AN524" i="1"/>
  <c r="AV524" i="1"/>
  <c r="AR524" i="1"/>
  <c r="AU525" i="1"/>
  <c r="AT525" i="1"/>
  <c r="H525" i="1"/>
  <c r="G525" i="1"/>
  <c r="AL525" i="1"/>
  <c r="AO525" i="1"/>
  <c r="AN525" i="1"/>
  <c r="AV525" i="1"/>
  <c r="AR525" i="1"/>
  <c r="AU526" i="1"/>
  <c r="AT526" i="1"/>
  <c r="H526" i="1"/>
  <c r="G526" i="1"/>
  <c r="AL526" i="1"/>
  <c r="AO526" i="1"/>
  <c r="AN526" i="1"/>
  <c r="AV526" i="1"/>
  <c r="AR526" i="1"/>
  <c r="AU527" i="1"/>
  <c r="AT527" i="1"/>
  <c r="H527" i="1"/>
  <c r="G527" i="1"/>
  <c r="AL527" i="1"/>
  <c r="AO527" i="1"/>
  <c r="AN527" i="1"/>
  <c r="AV527" i="1"/>
  <c r="AR527" i="1"/>
  <c r="AU528" i="1"/>
  <c r="AT528" i="1"/>
  <c r="H528" i="1"/>
  <c r="G528" i="1"/>
  <c r="AL528" i="1"/>
  <c r="AO528" i="1"/>
  <c r="AN528" i="1"/>
  <c r="AV528" i="1"/>
  <c r="AR528" i="1"/>
  <c r="AU529" i="1"/>
  <c r="AT529" i="1"/>
  <c r="H529" i="1"/>
  <c r="G529" i="1"/>
  <c r="AL529" i="1"/>
  <c r="AO529" i="1"/>
  <c r="AN529" i="1"/>
  <c r="AV529" i="1"/>
  <c r="AR529" i="1"/>
  <c r="AU530" i="1"/>
  <c r="AT530" i="1"/>
  <c r="H530" i="1"/>
  <c r="G530" i="1"/>
  <c r="AL530" i="1"/>
  <c r="AO530" i="1"/>
  <c r="AN530" i="1"/>
  <c r="AV530" i="1"/>
  <c r="AR530" i="1"/>
  <c r="AU531" i="1"/>
  <c r="AT531" i="1"/>
  <c r="H531" i="1"/>
  <c r="G531" i="1"/>
  <c r="AL531" i="1"/>
  <c r="AO531" i="1"/>
  <c r="AN531" i="1"/>
  <c r="AV531" i="1"/>
  <c r="AR531" i="1"/>
  <c r="AU532" i="1"/>
  <c r="AT532" i="1"/>
  <c r="H532" i="1"/>
  <c r="G532" i="1"/>
  <c r="AL532" i="1"/>
  <c r="AO532" i="1"/>
  <c r="AN532" i="1"/>
  <c r="AV532" i="1"/>
  <c r="AR532" i="1"/>
  <c r="AU533" i="1"/>
  <c r="AT533" i="1"/>
  <c r="H533" i="1"/>
  <c r="G533" i="1"/>
  <c r="AL533" i="1"/>
  <c r="AO533" i="1"/>
  <c r="AN533" i="1"/>
  <c r="AV533" i="1"/>
  <c r="AR533" i="1"/>
  <c r="AU534" i="1"/>
  <c r="AT534" i="1"/>
  <c r="H534" i="1"/>
  <c r="G534" i="1"/>
  <c r="AL534" i="1"/>
  <c r="AO534" i="1"/>
  <c r="AN534" i="1"/>
  <c r="AV534" i="1"/>
  <c r="AR534" i="1"/>
  <c r="AU535" i="1"/>
  <c r="AT535" i="1"/>
  <c r="H535" i="1"/>
  <c r="G535" i="1"/>
  <c r="AL535" i="1"/>
  <c r="AO535" i="1"/>
  <c r="AN535" i="1"/>
  <c r="AV535" i="1"/>
  <c r="AR535" i="1"/>
  <c r="AU536" i="1"/>
  <c r="AT536" i="1"/>
  <c r="H536" i="1"/>
  <c r="G536" i="1"/>
  <c r="AL536" i="1"/>
  <c r="AO536" i="1"/>
  <c r="AN536" i="1"/>
  <c r="AV536" i="1"/>
  <c r="AR536" i="1"/>
  <c r="AU537" i="1"/>
  <c r="AT537" i="1"/>
  <c r="H537" i="1"/>
  <c r="G537" i="1"/>
  <c r="AL537" i="1"/>
  <c r="AO537" i="1"/>
  <c r="AN537" i="1"/>
  <c r="AV537" i="1"/>
  <c r="AR537" i="1"/>
  <c r="AU538" i="1"/>
  <c r="AT538" i="1"/>
  <c r="H538" i="1"/>
  <c r="G538" i="1"/>
  <c r="AL538" i="1"/>
  <c r="AO538" i="1"/>
  <c r="AN538" i="1"/>
  <c r="AV538" i="1"/>
  <c r="AR538" i="1"/>
  <c r="AU539" i="1"/>
  <c r="AT539" i="1"/>
  <c r="H539" i="1"/>
  <c r="G539" i="1"/>
  <c r="AL539" i="1"/>
  <c r="AO539" i="1"/>
  <c r="AN539" i="1"/>
  <c r="AV539" i="1"/>
  <c r="AR539" i="1"/>
  <c r="AU540" i="1"/>
  <c r="AT540" i="1"/>
  <c r="H540" i="1"/>
  <c r="G540" i="1"/>
  <c r="AL540" i="1"/>
  <c r="AO540" i="1"/>
  <c r="AN540" i="1"/>
  <c r="AV540" i="1"/>
  <c r="AR540" i="1"/>
  <c r="AU541" i="1"/>
  <c r="AT541" i="1"/>
  <c r="H541" i="1"/>
  <c r="G541" i="1"/>
  <c r="AL541" i="1"/>
  <c r="AO541" i="1"/>
  <c r="AN541" i="1"/>
  <c r="AV541" i="1"/>
  <c r="AR541" i="1"/>
  <c r="AU542" i="1"/>
  <c r="AT542" i="1"/>
  <c r="H542" i="1"/>
  <c r="G542" i="1"/>
  <c r="AL542" i="1"/>
  <c r="AO542" i="1"/>
  <c r="AN542" i="1"/>
  <c r="AV542" i="1"/>
  <c r="AR542" i="1"/>
  <c r="AU543" i="1"/>
  <c r="AT543" i="1"/>
  <c r="H543" i="1"/>
  <c r="G543" i="1"/>
  <c r="AL543" i="1"/>
  <c r="AO543" i="1"/>
  <c r="AN543" i="1"/>
  <c r="AV543" i="1"/>
  <c r="AR543" i="1"/>
  <c r="AU544" i="1"/>
  <c r="AT544" i="1"/>
  <c r="H544" i="1"/>
  <c r="G544" i="1"/>
  <c r="AL544" i="1"/>
  <c r="AO544" i="1"/>
  <c r="AN544" i="1"/>
  <c r="AV544" i="1"/>
  <c r="AR544" i="1"/>
  <c r="AU545" i="1"/>
  <c r="AT545" i="1"/>
  <c r="H545" i="1"/>
  <c r="G545" i="1"/>
  <c r="AL545" i="1"/>
  <c r="AO545" i="1"/>
  <c r="AN545" i="1"/>
  <c r="AV545" i="1"/>
  <c r="AR545" i="1"/>
  <c r="AU546" i="1"/>
  <c r="AT546" i="1"/>
  <c r="H546" i="1"/>
  <c r="G546" i="1"/>
  <c r="AL546" i="1"/>
  <c r="AO546" i="1"/>
  <c r="AN546" i="1"/>
  <c r="AV546" i="1"/>
  <c r="AR546" i="1"/>
  <c r="AU547" i="1"/>
  <c r="AT547" i="1"/>
  <c r="H547" i="1"/>
  <c r="G547" i="1"/>
  <c r="AL547" i="1"/>
  <c r="AO547" i="1"/>
  <c r="AN547" i="1"/>
  <c r="AV547" i="1"/>
  <c r="AR547" i="1"/>
  <c r="AU548" i="1"/>
  <c r="AT548" i="1"/>
  <c r="H548" i="1"/>
  <c r="G548" i="1"/>
  <c r="AL548" i="1"/>
  <c r="AO548" i="1"/>
  <c r="AN548" i="1"/>
  <c r="AV548" i="1"/>
  <c r="AR548" i="1"/>
  <c r="AU549" i="1"/>
  <c r="AT549" i="1"/>
  <c r="H549" i="1"/>
  <c r="G549" i="1"/>
  <c r="AL549" i="1"/>
  <c r="AO549" i="1"/>
  <c r="AN549" i="1"/>
  <c r="AV549" i="1"/>
  <c r="AR549" i="1"/>
  <c r="AU550" i="1"/>
  <c r="AT550" i="1"/>
  <c r="H550" i="1"/>
  <c r="G550" i="1"/>
  <c r="AL550" i="1"/>
  <c r="AO550" i="1"/>
  <c r="AN550" i="1"/>
  <c r="AV550" i="1"/>
  <c r="AR550" i="1"/>
  <c r="AU551" i="1"/>
  <c r="AT551" i="1"/>
  <c r="H551" i="1"/>
  <c r="G551" i="1"/>
  <c r="AL551" i="1"/>
  <c r="AO551" i="1"/>
  <c r="AN551" i="1"/>
  <c r="AV551" i="1"/>
  <c r="AR551" i="1"/>
  <c r="AU552" i="1"/>
  <c r="AT552" i="1"/>
  <c r="H552" i="1"/>
  <c r="G552" i="1"/>
  <c r="AL552" i="1"/>
  <c r="AO552" i="1"/>
  <c r="AN552" i="1"/>
  <c r="AV552" i="1"/>
  <c r="AR552" i="1"/>
  <c r="AU553" i="1"/>
  <c r="AT553" i="1"/>
  <c r="H553" i="1"/>
  <c r="G553" i="1"/>
  <c r="AL553" i="1"/>
  <c r="AO553" i="1"/>
  <c r="AN553" i="1"/>
  <c r="AV553" i="1"/>
  <c r="AR553" i="1"/>
  <c r="AU554" i="1"/>
  <c r="AT554" i="1"/>
  <c r="H554" i="1"/>
  <c r="G554" i="1"/>
  <c r="AL554" i="1"/>
  <c r="AO554" i="1"/>
  <c r="AN554" i="1"/>
  <c r="AV554" i="1"/>
  <c r="AR554" i="1"/>
  <c r="AU555" i="1"/>
  <c r="AT555" i="1"/>
  <c r="H555" i="1"/>
  <c r="G555" i="1"/>
  <c r="AL555" i="1"/>
  <c r="AO555" i="1"/>
  <c r="AN555" i="1"/>
  <c r="AV555" i="1"/>
  <c r="AR555" i="1"/>
  <c r="AU556" i="1"/>
  <c r="AT556" i="1"/>
  <c r="H556" i="1"/>
  <c r="G556" i="1"/>
  <c r="AL556" i="1"/>
  <c r="AO556" i="1"/>
  <c r="AN556" i="1"/>
  <c r="AV556" i="1"/>
  <c r="AR556" i="1"/>
  <c r="AU557" i="1"/>
  <c r="AT557" i="1"/>
  <c r="H557" i="1"/>
  <c r="G557" i="1"/>
  <c r="AL557" i="1"/>
  <c r="AO557" i="1"/>
  <c r="AN557" i="1"/>
  <c r="AV557" i="1"/>
  <c r="AR557" i="1"/>
  <c r="AU558" i="1"/>
  <c r="AT558" i="1"/>
  <c r="H558" i="1"/>
  <c r="G558" i="1"/>
  <c r="AL558" i="1"/>
  <c r="AO558" i="1"/>
  <c r="AN558" i="1"/>
  <c r="AV558" i="1"/>
  <c r="AR558" i="1"/>
  <c r="AU559" i="1"/>
  <c r="AT559" i="1"/>
  <c r="H559" i="1"/>
  <c r="G559" i="1"/>
  <c r="AL559" i="1"/>
  <c r="AO559" i="1"/>
  <c r="AN559" i="1"/>
  <c r="AV559" i="1"/>
  <c r="AR559" i="1"/>
  <c r="AU560" i="1"/>
  <c r="AT560" i="1"/>
  <c r="H560" i="1"/>
  <c r="G560" i="1"/>
  <c r="AL560" i="1"/>
  <c r="AO560" i="1"/>
  <c r="AN560" i="1"/>
  <c r="AV560" i="1"/>
  <c r="AR560" i="1"/>
  <c r="AU561" i="1"/>
  <c r="AT561" i="1"/>
  <c r="H561" i="1"/>
  <c r="G561" i="1"/>
  <c r="AL561" i="1"/>
  <c r="AO561" i="1"/>
  <c r="AN561" i="1"/>
  <c r="AV561" i="1"/>
  <c r="AR561" i="1"/>
  <c r="AU562" i="1"/>
  <c r="AT562" i="1"/>
  <c r="H562" i="1"/>
  <c r="G562" i="1"/>
  <c r="AL562" i="1"/>
  <c r="AO562" i="1"/>
  <c r="AN562" i="1"/>
  <c r="AV562" i="1"/>
  <c r="AR562" i="1"/>
  <c r="AU563" i="1"/>
  <c r="AT563" i="1"/>
  <c r="H563" i="1"/>
  <c r="G563" i="1"/>
  <c r="AL563" i="1"/>
  <c r="AO563" i="1"/>
  <c r="AN563" i="1"/>
  <c r="AV563" i="1"/>
  <c r="AR563" i="1"/>
  <c r="AU564" i="1"/>
  <c r="AT564" i="1"/>
  <c r="H564" i="1"/>
  <c r="G564" i="1"/>
  <c r="AL564" i="1"/>
  <c r="AO564" i="1"/>
  <c r="AN564" i="1"/>
  <c r="AV564" i="1"/>
  <c r="AR564" i="1"/>
  <c r="AU565" i="1"/>
  <c r="AT565" i="1"/>
  <c r="H565" i="1"/>
  <c r="G565" i="1"/>
  <c r="AL565" i="1"/>
  <c r="AO565" i="1"/>
  <c r="AN565" i="1"/>
  <c r="AV565" i="1"/>
  <c r="AR565" i="1"/>
  <c r="AU566" i="1"/>
  <c r="AT566" i="1"/>
  <c r="H566" i="1"/>
  <c r="G566" i="1"/>
  <c r="AL566" i="1"/>
  <c r="AO566" i="1"/>
  <c r="AN566" i="1"/>
  <c r="AV566" i="1"/>
  <c r="AR566" i="1"/>
  <c r="AU567" i="1"/>
  <c r="AT567" i="1"/>
  <c r="H567" i="1"/>
  <c r="G567" i="1"/>
  <c r="AL567" i="1"/>
  <c r="AO567" i="1"/>
  <c r="AN567" i="1"/>
  <c r="AV567" i="1"/>
  <c r="AR567" i="1"/>
  <c r="AU568" i="1"/>
  <c r="AT568" i="1"/>
  <c r="H568" i="1"/>
  <c r="G568" i="1"/>
  <c r="AL568" i="1"/>
  <c r="AO568" i="1"/>
  <c r="AN568" i="1"/>
  <c r="AV568" i="1"/>
  <c r="AR568" i="1"/>
  <c r="AU569" i="1"/>
  <c r="AT569" i="1"/>
  <c r="H569" i="1"/>
  <c r="G569" i="1"/>
  <c r="AL569" i="1"/>
  <c r="AO569" i="1"/>
  <c r="AN569" i="1"/>
  <c r="AV569" i="1"/>
  <c r="AR569" i="1"/>
  <c r="AU570" i="1"/>
  <c r="AT570" i="1"/>
  <c r="H570" i="1"/>
  <c r="G570" i="1"/>
  <c r="AL570" i="1"/>
  <c r="AO570" i="1"/>
  <c r="AN570" i="1"/>
  <c r="AV570" i="1"/>
  <c r="AR570" i="1"/>
  <c r="AU571" i="1"/>
  <c r="AT571" i="1"/>
  <c r="H571" i="1"/>
  <c r="G571" i="1"/>
  <c r="AL571" i="1"/>
  <c r="AO571" i="1"/>
  <c r="AN571" i="1"/>
  <c r="AV571" i="1"/>
  <c r="AR571" i="1"/>
  <c r="AU572" i="1"/>
  <c r="AT572" i="1"/>
  <c r="H572" i="1"/>
  <c r="G572" i="1"/>
  <c r="AL572" i="1"/>
  <c r="AO572" i="1"/>
  <c r="AN572" i="1"/>
  <c r="AV572" i="1"/>
  <c r="AR572" i="1"/>
  <c r="AU573" i="1"/>
  <c r="AT573" i="1"/>
  <c r="H573" i="1"/>
  <c r="G573" i="1"/>
  <c r="AL573" i="1"/>
  <c r="AO573" i="1"/>
  <c r="AN573" i="1"/>
  <c r="AV573" i="1"/>
  <c r="AR573" i="1"/>
  <c r="AU574" i="1"/>
  <c r="AT574" i="1"/>
  <c r="H574" i="1"/>
  <c r="G574" i="1"/>
  <c r="AL574" i="1"/>
  <c r="AO574" i="1"/>
  <c r="AN574" i="1"/>
  <c r="AV574" i="1"/>
  <c r="AR574" i="1"/>
  <c r="AU575" i="1"/>
  <c r="AT575" i="1"/>
  <c r="H575" i="1"/>
  <c r="G575" i="1"/>
  <c r="AL575" i="1"/>
  <c r="AO575" i="1"/>
  <c r="AN575" i="1"/>
  <c r="AV575" i="1"/>
  <c r="AR575" i="1"/>
  <c r="AU576" i="1"/>
  <c r="AT576" i="1"/>
  <c r="H576" i="1"/>
  <c r="G576" i="1"/>
  <c r="AL576" i="1"/>
  <c r="AO576" i="1"/>
  <c r="AN576" i="1"/>
  <c r="AV576" i="1"/>
  <c r="AR576" i="1"/>
  <c r="AU577" i="1"/>
  <c r="AT577" i="1"/>
  <c r="H577" i="1"/>
  <c r="G577" i="1"/>
  <c r="AL577" i="1"/>
  <c r="AO577" i="1"/>
  <c r="AN577" i="1"/>
  <c r="AV577" i="1"/>
  <c r="AR577" i="1"/>
  <c r="AU578" i="1"/>
  <c r="AT578" i="1"/>
  <c r="H578" i="1"/>
  <c r="G578" i="1"/>
  <c r="AL578" i="1"/>
  <c r="AO578" i="1"/>
  <c r="AN578" i="1"/>
  <c r="AV578" i="1"/>
  <c r="AR578" i="1"/>
  <c r="AU579" i="1"/>
  <c r="AT579" i="1"/>
  <c r="H579" i="1"/>
  <c r="G579" i="1"/>
  <c r="AL579" i="1"/>
  <c r="AO579" i="1"/>
  <c r="AN579" i="1"/>
  <c r="AV579" i="1"/>
  <c r="AR579" i="1"/>
  <c r="AU580" i="1"/>
  <c r="AT580" i="1"/>
  <c r="H580" i="1"/>
  <c r="G580" i="1"/>
  <c r="AL580" i="1"/>
  <c r="AO580" i="1"/>
  <c r="AN580" i="1"/>
  <c r="AV580" i="1"/>
  <c r="AR580" i="1"/>
  <c r="AU581" i="1"/>
  <c r="AT581" i="1"/>
  <c r="H581" i="1"/>
  <c r="G581" i="1"/>
  <c r="AL581" i="1"/>
  <c r="AO581" i="1"/>
  <c r="AN581" i="1"/>
  <c r="AV581" i="1"/>
  <c r="AR581" i="1"/>
  <c r="AU582" i="1"/>
  <c r="AT582" i="1"/>
  <c r="H582" i="1"/>
  <c r="G582" i="1"/>
  <c r="AL582" i="1"/>
  <c r="AO582" i="1"/>
  <c r="AN582" i="1"/>
  <c r="AV582" i="1"/>
  <c r="AR582" i="1"/>
  <c r="AU583" i="1"/>
  <c r="AT583" i="1"/>
  <c r="H583" i="1"/>
  <c r="G583" i="1"/>
  <c r="AL583" i="1"/>
  <c r="AO583" i="1"/>
  <c r="AN583" i="1"/>
  <c r="AV583" i="1"/>
  <c r="AR583" i="1"/>
  <c r="AU584" i="1"/>
  <c r="AT584" i="1"/>
  <c r="H584" i="1"/>
  <c r="G584" i="1"/>
  <c r="AL584" i="1"/>
  <c r="AO584" i="1"/>
  <c r="AN584" i="1"/>
  <c r="AV584" i="1"/>
  <c r="AR584" i="1"/>
  <c r="AU585" i="1"/>
  <c r="AT585" i="1"/>
  <c r="H585" i="1"/>
  <c r="G585" i="1"/>
  <c r="AL585" i="1"/>
  <c r="AO585" i="1"/>
  <c r="AN585" i="1"/>
  <c r="AV585" i="1"/>
  <c r="AR585" i="1"/>
  <c r="AU586" i="1"/>
  <c r="AT586" i="1"/>
  <c r="H586" i="1"/>
  <c r="G586" i="1"/>
  <c r="AL586" i="1"/>
  <c r="AO586" i="1"/>
  <c r="AN586" i="1"/>
  <c r="AV586" i="1"/>
  <c r="AR586" i="1"/>
  <c r="AU587" i="1"/>
  <c r="AT587" i="1"/>
  <c r="H587" i="1"/>
  <c r="G587" i="1"/>
  <c r="AL587" i="1"/>
  <c r="AO587" i="1"/>
  <c r="AN587" i="1"/>
  <c r="AV587" i="1"/>
  <c r="AR587" i="1"/>
  <c r="AU588" i="1"/>
  <c r="AT588" i="1"/>
  <c r="H588" i="1"/>
  <c r="G588" i="1"/>
  <c r="AL588" i="1"/>
  <c r="AO588" i="1"/>
  <c r="AN588" i="1"/>
  <c r="AV588" i="1"/>
  <c r="AR588" i="1"/>
  <c r="AU589" i="1"/>
  <c r="AT589" i="1"/>
  <c r="H589" i="1"/>
  <c r="G589" i="1"/>
  <c r="AL589" i="1"/>
  <c r="AO589" i="1"/>
  <c r="AN589" i="1"/>
  <c r="AV589" i="1"/>
  <c r="AR589" i="1"/>
  <c r="AU590" i="1"/>
  <c r="AT590" i="1"/>
  <c r="H590" i="1"/>
  <c r="G590" i="1"/>
  <c r="AL590" i="1"/>
  <c r="AO590" i="1"/>
  <c r="AN590" i="1"/>
  <c r="AV590" i="1"/>
  <c r="AR590" i="1"/>
  <c r="AU591" i="1"/>
  <c r="AT591" i="1"/>
  <c r="H591" i="1"/>
  <c r="G591" i="1"/>
  <c r="AL591" i="1"/>
  <c r="AO591" i="1"/>
  <c r="AN591" i="1"/>
  <c r="AV591" i="1"/>
  <c r="AR591" i="1"/>
  <c r="AU592" i="1"/>
  <c r="AT592" i="1"/>
  <c r="H592" i="1"/>
  <c r="G592" i="1"/>
  <c r="AL592" i="1"/>
  <c r="AO592" i="1"/>
  <c r="AN592" i="1"/>
  <c r="AV592" i="1"/>
  <c r="AR592" i="1"/>
  <c r="AU593" i="1"/>
  <c r="AT593" i="1"/>
  <c r="H593" i="1"/>
  <c r="G593" i="1"/>
  <c r="AL593" i="1"/>
  <c r="AO593" i="1"/>
  <c r="AN593" i="1"/>
  <c r="AV593" i="1"/>
  <c r="AR593" i="1"/>
  <c r="AU594" i="1"/>
  <c r="AT594" i="1"/>
  <c r="H594" i="1"/>
  <c r="G594" i="1"/>
  <c r="AL594" i="1"/>
  <c r="AO594" i="1"/>
  <c r="AN594" i="1"/>
  <c r="AV594" i="1"/>
  <c r="AR594" i="1"/>
  <c r="AU595" i="1"/>
  <c r="AT595" i="1"/>
  <c r="H595" i="1"/>
  <c r="G595" i="1"/>
  <c r="AL595" i="1"/>
  <c r="AO595" i="1"/>
  <c r="AN595" i="1"/>
  <c r="AV595" i="1"/>
  <c r="AR595" i="1"/>
  <c r="AU596" i="1"/>
  <c r="AT596" i="1"/>
  <c r="H596" i="1"/>
  <c r="G596" i="1"/>
  <c r="AL596" i="1"/>
  <c r="AO596" i="1"/>
  <c r="AN596" i="1"/>
  <c r="AV596" i="1"/>
  <c r="AR596" i="1"/>
  <c r="AU597" i="1"/>
  <c r="AT597" i="1"/>
  <c r="H597" i="1"/>
  <c r="G597" i="1"/>
  <c r="AL597" i="1"/>
  <c r="AO597" i="1"/>
  <c r="AN597" i="1"/>
  <c r="AV597" i="1"/>
  <c r="AR597" i="1"/>
  <c r="AU598" i="1"/>
  <c r="AT598" i="1"/>
  <c r="H598" i="1"/>
  <c r="G598" i="1"/>
  <c r="AL598" i="1"/>
  <c r="AO598" i="1"/>
  <c r="AN598" i="1"/>
  <c r="AV598" i="1"/>
  <c r="AR598" i="1"/>
  <c r="AU599" i="1"/>
  <c r="AT599" i="1"/>
  <c r="H599" i="1"/>
  <c r="G599" i="1"/>
  <c r="AL599" i="1"/>
  <c r="AO599" i="1"/>
  <c r="AN599" i="1"/>
  <c r="AV599" i="1"/>
  <c r="AR599" i="1"/>
  <c r="AU600" i="1"/>
  <c r="AT600" i="1"/>
  <c r="H600" i="1"/>
  <c r="G600" i="1"/>
  <c r="AL600" i="1"/>
  <c r="AO600" i="1"/>
  <c r="AN600" i="1"/>
  <c r="AV600" i="1"/>
  <c r="AR600" i="1"/>
  <c r="AU601" i="1"/>
  <c r="AT601" i="1"/>
  <c r="H601" i="1"/>
  <c r="G601" i="1"/>
  <c r="AL601" i="1"/>
  <c r="AO601" i="1"/>
  <c r="AN601" i="1"/>
  <c r="AV601" i="1"/>
  <c r="AR601" i="1"/>
  <c r="AU602" i="1"/>
  <c r="AT602" i="1"/>
  <c r="H602" i="1"/>
  <c r="G602" i="1"/>
  <c r="AL602" i="1"/>
  <c r="AO602" i="1"/>
  <c r="AN602" i="1"/>
  <c r="AV602" i="1"/>
  <c r="AR602" i="1"/>
  <c r="AU603" i="1"/>
  <c r="AT603" i="1"/>
  <c r="H603" i="1"/>
  <c r="G603" i="1"/>
  <c r="AL603" i="1"/>
  <c r="AO603" i="1"/>
  <c r="AN603" i="1"/>
  <c r="AV603" i="1"/>
  <c r="AR603" i="1"/>
  <c r="AU604" i="1"/>
  <c r="AT604" i="1"/>
  <c r="H604" i="1"/>
  <c r="G604" i="1"/>
  <c r="AL604" i="1"/>
  <c r="AO604" i="1"/>
  <c r="AN604" i="1"/>
  <c r="AV604" i="1"/>
  <c r="AR604" i="1"/>
  <c r="AU605" i="1"/>
  <c r="AT605" i="1"/>
  <c r="H605" i="1"/>
  <c r="G605" i="1"/>
  <c r="AL605" i="1"/>
  <c r="AO605" i="1"/>
  <c r="AN605" i="1"/>
  <c r="AV605" i="1"/>
  <c r="AR605" i="1"/>
  <c r="AU606" i="1"/>
  <c r="AT606" i="1"/>
  <c r="H606" i="1"/>
  <c r="G606" i="1"/>
  <c r="AL606" i="1"/>
  <c r="AO606" i="1"/>
  <c r="AN606" i="1"/>
  <c r="AV606" i="1"/>
  <c r="AR606" i="1"/>
  <c r="AU607" i="1"/>
  <c r="AT607" i="1"/>
  <c r="H607" i="1"/>
  <c r="G607" i="1"/>
  <c r="AL607" i="1"/>
  <c r="AO607" i="1"/>
  <c r="AN607" i="1"/>
  <c r="AV607" i="1"/>
  <c r="AR607" i="1"/>
  <c r="AU608" i="1"/>
  <c r="AT608" i="1"/>
  <c r="H608" i="1"/>
  <c r="G608" i="1"/>
  <c r="AL608" i="1"/>
  <c r="AO608" i="1"/>
  <c r="AN608" i="1"/>
  <c r="AV608" i="1"/>
  <c r="AR608" i="1"/>
  <c r="AU609" i="1"/>
  <c r="AT609" i="1"/>
  <c r="H609" i="1"/>
  <c r="G609" i="1"/>
  <c r="AL609" i="1"/>
  <c r="AO609" i="1"/>
  <c r="AN609" i="1"/>
  <c r="AV609" i="1"/>
  <c r="AR609" i="1"/>
  <c r="AU610" i="1"/>
  <c r="AT610" i="1"/>
  <c r="H610" i="1"/>
  <c r="G610" i="1"/>
  <c r="AL610" i="1"/>
  <c r="AO610" i="1"/>
  <c r="AN610" i="1"/>
  <c r="AV610" i="1"/>
  <c r="AR610" i="1"/>
  <c r="AU611" i="1"/>
  <c r="AT611" i="1"/>
  <c r="H611" i="1"/>
  <c r="G611" i="1"/>
  <c r="AL611" i="1"/>
  <c r="AO611" i="1"/>
  <c r="AN611" i="1"/>
  <c r="AV611" i="1"/>
  <c r="AR611" i="1"/>
  <c r="AU612" i="1"/>
  <c r="AT612" i="1"/>
  <c r="H612" i="1"/>
  <c r="G612" i="1"/>
  <c r="AL612" i="1"/>
  <c r="AO612" i="1"/>
  <c r="AN612" i="1"/>
  <c r="AV612" i="1"/>
  <c r="AR612" i="1"/>
  <c r="AU613" i="1"/>
  <c r="AT613" i="1"/>
  <c r="H613" i="1"/>
  <c r="G613" i="1"/>
  <c r="AL613" i="1"/>
  <c r="AO613" i="1"/>
  <c r="AN613" i="1"/>
  <c r="AV613" i="1"/>
  <c r="AR613" i="1"/>
  <c r="AU614" i="1"/>
  <c r="AT614" i="1"/>
  <c r="H614" i="1"/>
  <c r="G614" i="1"/>
  <c r="AL614" i="1"/>
  <c r="AO614" i="1"/>
  <c r="AN614" i="1"/>
  <c r="AV614" i="1"/>
  <c r="AR614" i="1"/>
  <c r="AU615" i="1"/>
  <c r="AT615" i="1"/>
  <c r="H615" i="1"/>
  <c r="G615" i="1"/>
  <c r="AL615" i="1"/>
  <c r="AO615" i="1"/>
  <c r="AN615" i="1"/>
  <c r="AV615" i="1"/>
  <c r="AR615" i="1"/>
  <c r="AU616" i="1"/>
  <c r="AT616" i="1"/>
  <c r="H616" i="1"/>
  <c r="G616" i="1"/>
  <c r="AL616" i="1"/>
  <c r="AO616" i="1"/>
  <c r="AN616" i="1"/>
  <c r="AV616" i="1"/>
  <c r="AR616" i="1"/>
  <c r="AU617" i="1"/>
  <c r="AT617" i="1"/>
  <c r="H617" i="1"/>
  <c r="G617" i="1"/>
  <c r="AL617" i="1"/>
  <c r="AO617" i="1"/>
  <c r="AN617" i="1"/>
  <c r="AV617" i="1"/>
  <c r="AR617" i="1"/>
  <c r="AU618" i="1"/>
  <c r="AT618" i="1"/>
  <c r="H618" i="1"/>
  <c r="G618" i="1"/>
  <c r="AL618" i="1"/>
  <c r="AO618" i="1"/>
  <c r="AN618" i="1"/>
  <c r="AV618" i="1"/>
  <c r="AR618" i="1"/>
  <c r="AU619" i="1"/>
  <c r="AT619" i="1"/>
  <c r="H619" i="1"/>
  <c r="G619" i="1"/>
  <c r="AL619" i="1"/>
  <c r="AO619" i="1"/>
  <c r="AN619" i="1"/>
  <c r="AV619" i="1"/>
  <c r="AR619" i="1"/>
  <c r="AU620" i="1"/>
  <c r="AT620" i="1"/>
  <c r="H620" i="1"/>
  <c r="G620" i="1"/>
  <c r="AL620" i="1"/>
  <c r="AO620" i="1"/>
  <c r="AN620" i="1"/>
  <c r="AV620" i="1"/>
  <c r="AR620" i="1"/>
  <c r="AU621" i="1"/>
  <c r="AT621" i="1"/>
  <c r="H621" i="1"/>
  <c r="G621" i="1"/>
  <c r="AL621" i="1"/>
  <c r="AO621" i="1"/>
  <c r="AN621" i="1"/>
  <c r="AV621" i="1"/>
  <c r="AR621" i="1"/>
  <c r="AU622" i="1"/>
  <c r="AT622" i="1"/>
  <c r="H622" i="1"/>
  <c r="G622" i="1"/>
  <c r="AL622" i="1"/>
  <c r="AO622" i="1"/>
  <c r="AN622" i="1"/>
  <c r="AV622" i="1"/>
  <c r="AR622" i="1"/>
  <c r="AU623" i="1"/>
  <c r="AT623" i="1"/>
  <c r="H623" i="1"/>
  <c r="G623" i="1"/>
  <c r="AL623" i="1"/>
  <c r="AO623" i="1"/>
  <c r="AN623" i="1"/>
  <c r="AV623" i="1"/>
  <c r="AR623" i="1"/>
  <c r="AU624" i="1"/>
  <c r="AT624" i="1"/>
  <c r="H624" i="1"/>
  <c r="G624" i="1"/>
  <c r="AL624" i="1"/>
  <c r="AO624" i="1"/>
  <c r="AN624" i="1"/>
  <c r="AV624" i="1"/>
  <c r="AR624" i="1"/>
  <c r="AU625" i="1"/>
  <c r="AT625" i="1"/>
  <c r="H625" i="1"/>
  <c r="G625" i="1"/>
  <c r="AL625" i="1"/>
  <c r="AO625" i="1"/>
  <c r="AN625" i="1"/>
  <c r="AV625" i="1"/>
  <c r="AR625" i="1"/>
  <c r="AU626" i="1"/>
  <c r="AT626" i="1"/>
  <c r="H626" i="1"/>
  <c r="G626" i="1"/>
  <c r="AL626" i="1"/>
  <c r="AO626" i="1"/>
  <c r="AN626" i="1"/>
  <c r="AV626" i="1"/>
  <c r="AR626" i="1"/>
  <c r="AU627" i="1"/>
  <c r="AT627" i="1"/>
  <c r="H627" i="1"/>
  <c r="G627" i="1"/>
  <c r="AL627" i="1"/>
  <c r="AO627" i="1"/>
  <c r="AN627" i="1"/>
  <c r="AV627" i="1"/>
  <c r="AR627" i="1"/>
  <c r="AU628" i="1"/>
  <c r="AT628" i="1"/>
  <c r="H628" i="1"/>
  <c r="G628" i="1"/>
  <c r="AL628" i="1"/>
  <c r="AO628" i="1"/>
  <c r="AN628" i="1"/>
  <c r="AV628" i="1"/>
  <c r="AR628" i="1"/>
  <c r="AU629" i="1"/>
  <c r="AT629" i="1"/>
  <c r="H629" i="1"/>
  <c r="G629" i="1"/>
  <c r="AL629" i="1"/>
  <c r="AO629" i="1"/>
  <c r="AN629" i="1"/>
  <c r="AV629" i="1"/>
  <c r="AR629" i="1"/>
  <c r="AU630" i="1"/>
  <c r="AT630" i="1"/>
  <c r="H630" i="1"/>
  <c r="G630" i="1"/>
  <c r="AL630" i="1"/>
  <c r="AO630" i="1"/>
  <c r="AN630" i="1"/>
  <c r="AV630" i="1"/>
  <c r="AR630" i="1"/>
  <c r="AU631" i="1"/>
  <c r="AT631" i="1"/>
  <c r="H631" i="1"/>
  <c r="G631" i="1"/>
  <c r="AL631" i="1"/>
  <c r="AO631" i="1"/>
  <c r="AN631" i="1"/>
  <c r="AV631" i="1"/>
  <c r="AR631" i="1"/>
  <c r="AU632" i="1"/>
  <c r="AT632" i="1"/>
  <c r="H632" i="1"/>
  <c r="G632" i="1"/>
  <c r="AL632" i="1"/>
  <c r="AO632" i="1"/>
  <c r="AN632" i="1"/>
  <c r="AV632" i="1"/>
  <c r="AR632" i="1"/>
  <c r="AU633" i="1"/>
  <c r="AT633" i="1"/>
  <c r="H633" i="1"/>
  <c r="G633" i="1"/>
  <c r="AL633" i="1"/>
  <c r="AO633" i="1"/>
  <c r="AN633" i="1"/>
  <c r="AV633" i="1"/>
  <c r="AR633" i="1"/>
  <c r="AU634" i="1"/>
  <c r="AT634" i="1"/>
  <c r="H634" i="1"/>
  <c r="G634" i="1"/>
  <c r="AL634" i="1"/>
  <c r="AO634" i="1"/>
  <c r="AN634" i="1"/>
  <c r="AV634" i="1"/>
  <c r="AR634" i="1"/>
  <c r="AU635" i="1"/>
  <c r="AT635" i="1"/>
  <c r="H635" i="1"/>
  <c r="G635" i="1"/>
  <c r="AL635" i="1"/>
  <c r="AO635" i="1"/>
  <c r="AN635" i="1"/>
  <c r="AV635" i="1"/>
  <c r="AR635" i="1"/>
  <c r="AU636" i="1"/>
  <c r="AT636" i="1"/>
  <c r="H636" i="1"/>
  <c r="G636" i="1"/>
  <c r="AL636" i="1"/>
  <c r="AO636" i="1"/>
  <c r="AN636" i="1"/>
  <c r="AV636" i="1"/>
  <c r="AR636" i="1"/>
  <c r="AU637" i="1"/>
  <c r="AT637" i="1"/>
  <c r="H637" i="1"/>
  <c r="G637" i="1"/>
  <c r="AL637" i="1"/>
  <c r="AO637" i="1"/>
  <c r="AN637" i="1"/>
  <c r="AV637" i="1"/>
  <c r="AR637" i="1"/>
  <c r="AU638" i="1"/>
  <c r="AT638" i="1"/>
  <c r="H638" i="1"/>
  <c r="G638" i="1"/>
  <c r="AL638" i="1"/>
  <c r="AO638" i="1"/>
  <c r="AN638" i="1"/>
  <c r="AV638" i="1"/>
  <c r="AR638" i="1"/>
  <c r="AU639" i="1"/>
  <c r="AT639" i="1"/>
  <c r="H639" i="1"/>
  <c r="G639" i="1"/>
  <c r="AL639" i="1"/>
  <c r="AO639" i="1"/>
  <c r="AN639" i="1"/>
  <c r="AV639" i="1"/>
  <c r="AR639" i="1"/>
  <c r="AU640" i="1"/>
  <c r="AT640" i="1"/>
  <c r="H640" i="1"/>
  <c r="G640" i="1"/>
  <c r="AL640" i="1"/>
  <c r="AO640" i="1"/>
  <c r="AN640" i="1"/>
  <c r="AV640" i="1"/>
  <c r="AR640" i="1"/>
  <c r="AU641" i="1"/>
  <c r="AT641" i="1"/>
  <c r="H641" i="1"/>
  <c r="G641" i="1"/>
  <c r="AL641" i="1"/>
  <c r="AO641" i="1"/>
  <c r="AN641" i="1"/>
  <c r="AV641" i="1"/>
  <c r="AR641" i="1"/>
  <c r="AU642" i="1"/>
  <c r="AT642" i="1"/>
  <c r="H642" i="1"/>
  <c r="G642" i="1"/>
  <c r="AL642" i="1"/>
  <c r="AO642" i="1"/>
  <c r="AN642" i="1"/>
  <c r="AV642" i="1"/>
  <c r="AR642" i="1"/>
  <c r="AU643" i="1"/>
  <c r="AT643" i="1"/>
  <c r="H643" i="1"/>
  <c r="G643" i="1"/>
  <c r="AL643" i="1"/>
  <c r="AO643" i="1"/>
  <c r="AN643" i="1"/>
  <c r="AV643" i="1"/>
  <c r="AR643" i="1"/>
  <c r="AU644" i="1"/>
  <c r="AT644" i="1"/>
  <c r="H644" i="1"/>
  <c r="G644" i="1"/>
  <c r="AL644" i="1"/>
  <c r="AO644" i="1"/>
  <c r="AN644" i="1"/>
  <c r="AV644" i="1"/>
  <c r="AR644" i="1"/>
  <c r="AU645" i="1"/>
  <c r="AT645" i="1"/>
  <c r="H645" i="1"/>
  <c r="G645" i="1"/>
  <c r="AL645" i="1"/>
  <c r="AO645" i="1"/>
  <c r="AN645" i="1"/>
  <c r="AV645" i="1"/>
  <c r="AR645" i="1"/>
  <c r="AU646" i="1"/>
  <c r="AT646" i="1"/>
  <c r="H646" i="1"/>
  <c r="G646" i="1"/>
  <c r="AL646" i="1"/>
  <c r="AO646" i="1"/>
  <c r="AN646" i="1"/>
  <c r="AV646" i="1"/>
  <c r="AR646" i="1"/>
  <c r="AU647" i="1"/>
  <c r="AT647" i="1"/>
  <c r="H647" i="1"/>
  <c r="G647" i="1"/>
  <c r="AL647" i="1"/>
  <c r="AO647" i="1"/>
  <c r="AN647" i="1"/>
  <c r="AV647" i="1"/>
  <c r="AR647" i="1"/>
  <c r="AU648" i="1"/>
  <c r="AT648" i="1"/>
  <c r="H648" i="1"/>
  <c r="G648" i="1"/>
  <c r="AL648" i="1"/>
  <c r="AO648" i="1"/>
  <c r="AN648" i="1"/>
  <c r="AV648" i="1"/>
  <c r="AR648" i="1"/>
  <c r="AU649" i="1"/>
  <c r="AT649" i="1"/>
  <c r="H649" i="1"/>
  <c r="G649" i="1"/>
  <c r="AL649" i="1"/>
  <c r="AO649" i="1"/>
  <c r="AN649" i="1"/>
  <c r="AV649" i="1"/>
  <c r="AR649" i="1"/>
  <c r="AU650" i="1"/>
  <c r="AT650" i="1"/>
  <c r="H650" i="1"/>
  <c r="G650" i="1"/>
  <c r="AL650" i="1"/>
  <c r="AO650" i="1"/>
  <c r="AN650" i="1"/>
  <c r="AV650" i="1"/>
  <c r="AR650" i="1"/>
  <c r="AU651" i="1"/>
  <c r="AT651" i="1"/>
  <c r="H651" i="1"/>
  <c r="G651" i="1"/>
  <c r="AL651" i="1"/>
  <c r="AO651" i="1"/>
  <c r="AN651" i="1"/>
  <c r="AV651" i="1"/>
  <c r="AR651" i="1"/>
  <c r="AU652" i="1"/>
  <c r="AT652" i="1"/>
  <c r="H652" i="1"/>
  <c r="G652" i="1"/>
  <c r="AL652" i="1"/>
  <c r="AO652" i="1"/>
  <c r="AN652" i="1"/>
  <c r="AV652" i="1"/>
  <c r="AR652" i="1"/>
  <c r="AU653" i="1"/>
  <c r="AT653" i="1"/>
  <c r="H653" i="1"/>
  <c r="G653" i="1"/>
  <c r="AL653" i="1"/>
  <c r="AO653" i="1"/>
  <c r="AN653" i="1"/>
  <c r="AV653" i="1"/>
  <c r="AR653" i="1"/>
  <c r="AU654" i="1"/>
  <c r="AT654" i="1"/>
  <c r="H654" i="1"/>
  <c r="G654" i="1"/>
  <c r="AL654" i="1"/>
  <c r="AO654" i="1"/>
  <c r="AN654" i="1"/>
  <c r="AV654" i="1"/>
  <c r="AR654" i="1"/>
  <c r="AU655" i="1"/>
  <c r="AT655" i="1"/>
  <c r="H655" i="1"/>
  <c r="G655" i="1"/>
  <c r="AL655" i="1"/>
  <c r="AO655" i="1"/>
  <c r="AN655" i="1"/>
  <c r="AV655" i="1"/>
  <c r="AR655" i="1"/>
  <c r="AU656" i="1"/>
  <c r="AT656" i="1"/>
  <c r="H656" i="1"/>
  <c r="G656" i="1"/>
  <c r="AL656" i="1"/>
  <c r="AO656" i="1"/>
  <c r="AN656" i="1"/>
  <c r="AV656" i="1"/>
  <c r="AR656" i="1"/>
  <c r="AU657" i="1"/>
  <c r="AT657" i="1"/>
  <c r="H657" i="1"/>
  <c r="G657" i="1"/>
  <c r="AL657" i="1"/>
  <c r="AO657" i="1"/>
  <c r="AN657" i="1"/>
  <c r="AV657" i="1"/>
  <c r="AR657" i="1"/>
  <c r="AU658" i="1"/>
  <c r="AT658" i="1"/>
  <c r="H658" i="1"/>
  <c r="G658" i="1"/>
  <c r="AL658" i="1"/>
  <c r="AO658" i="1"/>
  <c r="AN658" i="1"/>
  <c r="AV658" i="1"/>
  <c r="AR658" i="1"/>
  <c r="AU659" i="1"/>
  <c r="AT659" i="1"/>
  <c r="H659" i="1"/>
  <c r="G659" i="1"/>
  <c r="AL659" i="1"/>
  <c r="AO659" i="1"/>
  <c r="AN659" i="1"/>
  <c r="AV659" i="1"/>
  <c r="AR659" i="1"/>
  <c r="AU660" i="1"/>
  <c r="AT660" i="1"/>
  <c r="H660" i="1"/>
  <c r="G660" i="1"/>
  <c r="AL660" i="1"/>
  <c r="AO660" i="1"/>
  <c r="AN660" i="1"/>
  <c r="AV660" i="1"/>
  <c r="AR660" i="1"/>
  <c r="AU661" i="1"/>
  <c r="AT661" i="1"/>
  <c r="H661" i="1"/>
  <c r="G661" i="1"/>
  <c r="AL661" i="1"/>
  <c r="AO661" i="1"/>
  <c r="AN661" i="1"/>
  <c r="AV661" i="1"/>
  <c r="AR661" i="1"/>
  <c r="AU662" i="1"/>
  <c r="AT662" i="1"/>
  <c r="H662" i="1"/>
  <c r="G662" i="1"/>
  <c r="AL662" i="1"/>
  <c r="AO662" i="1"/>
  <c r="AN662" i="1"/>
  <c r="AV662" i="1"/>
  <c r="AR662" i="1"/>
  <c r="AU663" i="1"/>
  <c r="AT663" i="1"/>
  <c r="H663" i="1"/>
  <c r="G663" i="1"/>
  <c r="AL663" i="1"/>
  <c r="AO663" i="1"/>
  <c r="AN663" i="1"/>
  <c r="AV663" i="1"/>
  <c r="AR663" i="1"/>
  <c r="AU664" i="1"/>
  <c r="AT664" i="1"/>
  <c r="H664" i="1"/>
  <c r="G664" i="1"/>
  <c r="AL664" i="1"/>
  <c r="AO664" i="1"/>
  <c r="AN664" i="1"/>
  <c r="AV664" i="1"/>
  <c r="AR664" i="1"/>
  <c r="AU665" i="1"/>
  <c r="AT665" i="1"/>
  <c r="H665" i="1"/>
  <c r="G665" i="1"/>
  <c r="AL665" i="1"/>
  <c r="AO665" i="1"/>
  <c r="AN665" i="1"/>
  <c r="AV665" i="1"/>
  <c r="AR665" i="1"/>
  <c r="AU666" i="1"/>
  <c r="AT666" i="1"/>
  <c r="H666" i="1"/>
  <c r="G666" i="1"/>
  <c r="AL666" i="1"/>
  <c r="AO666" i="1"/>
  <c r="AN666" i="1"/>
  <c r="AV666" i="1"/>
  <c r="AR666" i="1"/>
  <c r="AU667" i="1"/>
  <c r="AT667" i="1"/>
  <c r="H667" i="1"/>
  <c r="G667" i="1"/>
  <c r="AL667" i="1"/>
  <c r="AO667" i="1"/>
  <c r="AN667" i="1"/>
  <c r="AV667" i="1"/>
  <c r="AR667" i="1"/>
  <c r="AU668" i="1"/>
  <c r="AT668" i="1"/>
  <c r="H668" i="1"/>
  <c r="G668" i="1"/>
  <c r="AL668" i="1"/>
  <c r="AO668" i="1"/>
  <c r="AN668" i="1"/>
  <c r="AV668" i="1"/>
  <c r="AR668" i="1"/>
  <c r="AU669" i="1"/>
  <c r="AT669" i="1"/>
  <c r="H669" i="1"/>
  <c r="G669" i="1"/>
  <c r="AL669" i="1"/>
  <c r="AO669" i="1"/>
  <c r="AN669" i="1"/>
  <c r="AV669" i="1"/>
  <c r="AR669" i="1"/>
  <c r="AU670" i="1"/>
  <c r="AT670" i="1"/>
  <c r="H670" i="1"/>
  <c r="G670" i="1"/>
  <c r="AL670" i="1"/>
  <c r="AO670" i="1"/>
  <c r="AN670" i="1"/>
  <c r="AV670" i="1"/>
  <c r="AR670" i="1"/>
  <c r="AU671" i="1"/>
  <c r="AT671" i="1"/>
  <c r="H671" i="1"/>
  <c r="G671" i="1"/>
  <c r="AL671" i="1"/>
  <c r="AO671" i="1"/>
  <c r="AN671" i="1"/>
  <c r="AV671" i="1"/>
  <c r="AR671" i="1"/>
  <c r="AU672" i="1"/>
  <c r="AT672" i="1"/>
  <c r="H672" i="1"/>
  <c r="G672" i="1"/>
  <c r="AL672" i="1"/>
  <c r="AO672" i="1"/>
  <c r="AN672" i="1"/>
  <c r="AV672" i="1"/>
  <c r="AR672" i="1"/>
  <c r="AU673" i="1"/>
  <c r="AT673" i="1"/>
  <c r="H673" i="1"/>
  <c r="G673" i="1"/>
  <c r="AL673" i="1"/>
  <c r="AO673" i="1"/>
  <c r="AN673" i="1"/>
  <c r="AV673" i="1"/>
  <c r="AR673" i="1"/>
  <c r="AU674" i="1"/>
  <c r="AT674" i="1"/>
  <c r="H674" i="1"/>
  <c r="G674" i="1"/>
  <c r="AL674" i="1"/>
  <c r="AO674" i="1"/>
  <c r="AN674" i="1"/>
  <c r="AV674" i="1"/>
  <c r="AR674" i="1"/>
  <c r="AU675" i="1"/>
  <c r="AT675" i="1"/>
  <c r="H675" i="1"/>
  <c r="G675" i="1"/>
  <c r="AL675" i="1"/>
  <c r="AO675" i="1"/>
  <c r="AN675" i="1"/>
  <c r="AV675" i="1"/>
  <c r="AR675" i="1"/>
  <c r="AU676" i="1"/>
  <c r="AT676" i="1"/>
  <c r="H676" i="1"/>
  <c r="G676" i="1"/>
  <c r="AL676" i="1"/>
  <c r="AO676" i="1"/>
  <c r="AN676" i="1"/>
  <c r="AV676" i="1"/>
  <c r="AR676" i="1"/>
  <c r="AU677" i="1"/>
  <c r="AT677" i="1"/>
  <c r="H677" i="1"/>
  <c r="G677" i="1"/>
  <c r="AL677" i="1"/>
  <c r="AO677" i="1"/>
  <c r="AN677" i="1"/>
  <c r="AV677" i="1"/>
  <c r="AR677" i="1"/>
  <c r="AU678" i="1"/>
  <c r="AT678" i="1"/>
  <c r="H678" i="1"/>
  <c r="G678" i="1"/>
  <c r="AL678" i="1"/>
  <c r="AO678" i="1"/>
  <c r="AN678" i="1"/>
  <c r="AV678" i="1"/>
  <c r="AR678" i="1"/>
  <c r="AU679" i="1"/>
  <c r="AT679" i="1"/>
  <c r="H679" i="1"/>
  <c r="G679" i="1"/>
  <c r="AL679" i="1"/>
  <c r="AO679" i="1"/>
  <c r="AN679" i="1"/>
  <c r="AV679" i="1"/>
  <c r="AR679" i="1"/>
  <c r="AU680" i="1"/>
  <c r="AT680" i="1"/>
  <c r="H680" i="1"/>
  <c r="G680" i="1"/>
  <c r="AL680" i="1"/>
  <c r="AO680" i="1"/>
  <c r="AN680" i="1"/>
  <c r="AV680" i="1"/>
  <c r="AR680" i="1"/>
  <c r="AU681" i="1"/>
  <c r="AT681" i="1"/>
  <c r="H681" i="1"/>
  <c r="G681" i="1"/>
  <c r="AL681" i="1"/>
  <c r="AO681" i="1"/>
  <c r="AN681" i="1"/>
  <c r="AV681" i="1"/>
  <c r="AR681" i="1"/>
  <c r="AU682" i="1"/>
  <c r="AT682" i="1"/>
  <c r="H682" i="1"/>
  <c r="G682" i="1"/>
  <c r="AL682" i="1"/>
  <c r="AO682" i="1"/>
  <c r="AN682" i="1"/>
  <c r="AV682" i="1"/>
  <c r="AR682" i="1"/>
  <c r="AU683" i="1"/>
  <c r="AT683" i="1"/>
  <c r="H683" i="1"/>
  <c r="G683" i="1"/>
  <c r="AL683" i="1"/>
  <c r="AO683" i="1"/>
  <c r="AN683" i="1"/>
  <c r="AV683" i="1"/>
  <c r="AR683" i="1"/>
  <c r="AU684" i="1"/>
  <c r="AT684" i="1"/>
  <c r="H684" i="1"/>
  <c r="G684" i="1"/>
  <c r="AL684" i="1"/>
  <c r="AO684" i="1"/>
  <c r="AN684" i="1"/>
  <c r="AV684" i="1"/>
  <c r="AR684" i="1"/>
  <c r="AU685" i="1"/>
  <c r="AT685" i="1"/>
  <c r="H685" i="1"/>
  <c r="G685" i="1"/>
  <c r="AL685" i="1"/>
  <c r="AO685" i="1"/>
  <c r="AN685" i="1"/>
  <c r="AV685" i="1"/>
  <c r="AR685" i="1"/>
  <c r="AU686" i="1"/>
  <c r="AT686" i="1"/>
  <c r="H686" i="1"/>
  <c r="G686" i="1"/>
  <c r="AL686" i="1"/>
  <c r="AO686" i="1"/>
  <c r="AN686" i="1"/>
  <c r="AV686" i="1"/>
  <c r="AR686" i="1"/>
  <c r="AU687" i="1"/>
  <c r="AT687" i="1"/>
  <c r="H687" i="1"/>
  <c r="G687" i="1"/>
  <c r="AL687" i="1"/>
  <c r="AO687" i="1"/>
  <c r="AN687" i="1"/>
  <c r="AV687" i="1"/>
  <c r="AR687" i="1"/>
  <c r="AU688" i="1"/>
  <c r="AT688" i="1"/>
  <c r="H688" i="1"/>
  <c r="G688" i="1"/>
  <c r="AL688" i="1"/>
  <c r="AO688" i="1"/>
  <c r="AN688" i="1"/>
  <c r="AV688" i="1"/>
  <c r="AR688" i="1"/>
  <c r="AU689" i="1"/>
  <c r="AT689" i="1"/>
  <c r="H689" i="1"/>
  <c r="G689" i="1"/>
  <c r="AL689" i="1"/>
  <c r="AO689" i="1"/>
  <c r="AN689" i="1"/>
  <c r="AV689" i="1"/>
  <c r="AR689" i="1"/>
  <c r="AU690" i="1"/>
  <c r="AT690" i="1"/>
  <c r="H690" i="1"/>
  <c r="G690" i="1"/>
  <c r="AL690" i="1"/>
  <c r="AO690" i="1"/>
  <c r="AN690" i="1"/>
  <c r="AV690" i="1"/>
  <c r="AR690" i="1"/>
  <c r="AU691" i="1"/>
  <c r="AT691" i="1"/>
  <c r="H691" i="1"/>
  <c r="G691" i="1"/>
  <c r="AL691" i="1"/>
  <c r="AO691" i="1"/>
  <c r="AN691" i="1"/>
  <c r="AV691" i="1"/>
  <c r="AR691" i="1"/>
  <c r="AU692" i="1"/>
  <c r="AT692" i="1"/>
  <c r="H692" i="1"/>
  <c r="G692" i="1"/>
  <c r="AL692" i="1"/>
  <c r="AO692" i="1"/>
  <c r="AN692" i="1"/>
  <c r="AV692" i="1"/>
  <c r="AR692" i="1"/>
  <c r="AU693" i="1"/>
  <c r="AT693" i="1"/>
  <c r="H693" i="1"/>
  <c r="G693" i="1"/>
  <c r="AL693" i="1"/>
  <c r="AO693" i="1"/>
  <c r="AN693" i="1"/>
  <c r="AV693" i="1"/>
  <c r="AR693" i="1"/>
  <c r="AU694" i="1"/>
  <c r="AT694" i="1"/>
  <c r="H694" i="1"/>
  <c r="G694" i="1"/>
  <c r="AL694" i="1"/>
  <c r="AO694" i="1"/>
  <c r="AN694" i="1"/>
  <c r="AV694" i="1"/>
  <c r="AR694" i="1"/>
  <c r="AU695" i="1"/>
  <c r="AT695" i="1"/>
  <c r="H695" i="1"/>
  <c r="G695" i="1"/>
  <c r="AL695" i="1"/>
  <c r="AO695" i="1"/>
  <c r="AN695" i="1"/>
  <c r="AV695" i="1"/>
  <c r="AR695" i="1"/>
  <c r="AU696" i="1"/>
  <c r="AT696" i="1"/>
  <c r="H696" i="1"/>
  <c r="G696" i="1"/>
  <c r="AL696" i="1"/>
  <c r="AO696" i="1"/>
  <c r="AN696" i="1"/>
  <c r="AV696" i="1"/>
  <c r="AR696" i="1"/>
  <c r="AU697" i="1"/>
  <c r="AT697" i="1"/>
  <c r="H697" i="1"/>
  <c r="G697" i="1"/>
  <c r="AL697" i="1"/>
  <c r="AO697" i="1"/>
  <c r="AN697" i="1"/>
  <c r="AV697" i="1"/>
  <c r="AR697" i="1"/>
  <c r="AU698" i="1"/>
  <c r="AT698" i="1"/>
  <c r="H698" i="1"/>
  <c r="G698" i="1"/>
  <c r="AL698" i="1"/>
  <c r="AO698" i="1"/>
  <c r="AN698" i="1"/>
  <c r="AV698" i="1"/>
  <c r="AR698" i="1"/>
  <c r="AU699" i="1"/>
  <c r="AT699" i="1"/>
  <c r="H699" i="1"/>
  <c r="G699" i="1"/>
  <c r="AL699" i="1"/>
  <c r="AO699" i="1"/>
  <c r="AN699" i="1"/>
  <c r="AV699" i="1"/>
  <c r="AR699" i="1"/>
  <c r="AU700" i="1"/>
  <c r="AT700" i="1"/>
  <c r="H700" i="1"/>
  <c r="G700" i="1"/>
  <c r="AL700" i="1"/>
  <c r="AO700" i="1"/>
  <c r="AN700" i="1"/>
  <c r="AV700" i="1"/>
  <c r="AR700" i="1"/>
  <c r="AU701" i="1"/>
  <c r="AT701" i="1"/>
  <c r="H701" i="1"/>
  <c r="G701" i="1"/>
  <c r="AL701" i="1"/>
  <c r="AO701" i="1"/>
  <c r="AN701" i="1"/>
  <c r="AV701" i="1"/>
  <c r="AR701" i="1"/>
  <c r="AU702" i="1"/>
  <c r="AT702" i="1"/>
  <c r="H702" i="1"/>
  <c r="G702" i="1"/>
  <c r="AL702" i="1"/>
  <c r="AO702" i="1"/>
  <c r="AN702" i="1"/>
  <c r="AV702" i="1"/>
  <c r="AR702" i="1"/>
  <c r="AU703" i="1"/>
  <c r="AT703" i="1"/>
  <c r="H703" i="1"/>
  <c r="G703" i="1"/>
  <c r="AL703" i="1"/>
  <c r="AO703" i="1"/>
  <c r="AN703" i="1"/>
  <c r="AV703" i="1"/>
  <c r="AR703" i="1"/>
  <c r="AU704" i="1"/>
  <c r="AT704" i="1"/>
  <c r="H704" i="1"/>
  <c r="G704" i="1"/>
  <c r="AL704" i="1"/>
  <c r="AO704" i="1"/>
  <c r="AN704" i="1"/>
  <c r="AV704" i="1"/>
  <c r="AR704" i="1"/>
  <c r="AU705" i="1"/>
  <c r="AT705" i="1"/>
  <c r="H705" i="1"/>
  <c r="G705" i="1"/>
  <c r="AL705" i="1"/>
  <c r="AO705" i="1"/>
  <c r="AN705" i="1"/>
  <c r="AV705" i="1"/>
  <c r="AR705" i="1"/>
  <c r="AU706" i="1"/>
  <c r="AT706" i="1"/>
  <c r="H706" i="1"/>
  <c r="G706" i="1"/>
  <c r="AL706" i="1"/>
  <c r="AO706" i="1"/>
  <c r="AN706" i="1"/>
  <c r="AV706" i="1"/>
  <c r="AR706" i="1"/>
  <c r="AU707" i="1"/>
  <c r="AT707" i="1"/>
  <c r="H707" i="1"/>
  <c r="G707" i="1"/>
  <c r="AL707" i="1"/>
  <c r="AO707" i="1"/>
  <c r="AN707" i="1"/>
  <c r="AV707" i="1"/>
  <c r="AR707" i="1"/>
  <c r="AU708" i="1"/>
  <c r="AT708" i="1"/>
  <c r="H708" i="1"/>
  <c r="G708" i="1"/>
  <c r="AL708" i="1"/>
  <c r="AO708" i="1"/>
  <c r="AN708" i="1"/>
  <c r="AV708" i="1"/>
  <c r="AR708" i="1"/>
  <c r="AU709" i="1"/>
  <c r="AT709" i="1"/>
  <c r="H709" i="1"/>
  <c r="G709" i="1"/>
  <c r="AL709" i="1"/>
  <c r="AO709" i="1"/>
  <c r="AN709" i="1"/>
  <c r="AV709" i="1"/>
  <c r="AR709" i="1"/>
  <c r="AU710" i="1"/>
  <c r="AT710" i="1"/>
  <c r="H710" i="1"/>
  <c r="G710" i="1"/>
  <c r="AL710" i="1"/>
  <c r="AO710" i="1"/>
  <c r="AN710" i="1"/>
  <c r="AV710" i="1"/>
  <c r="AR710" i="1"/>
  <c r="AU711" i="1"/>
  <c r="AT711" i="1"/>
  <c r="H711" i="1"/>
  <c r="G711" i="1"/>
  <c r="AL711" i="1"/>
  <c r="AO711" i="1"/>
  <c r="AN711" i="1"/>
  <c r="AV711" i="1"/>
  <c r="AR711" i="1"/>
  <c r="AU712" i="1"/>
  <c r="AT712" i="1"/>
  <c r="H712" i="1"/>
  <c r="G712" i="1"/>
  <c r="AL712" i="1"/>
  <c r="AO712" i="1"/>
  <c r="AN712" i="1"/>
  <c r="AV712" i="1"/>
  <c r="AR712" i="1"/>
  <c r="AU713" i="1"/>
  <c r="AT713" i="1"/>
  <c r="H713" i="1"/>
  <c r="G713" i="1"/>
  <c r="AL713" i="1"/>
  <c r="AO713" i="1"/>
  <c r="AN713" i="1"/>
  <c r="AV713" i="1"/>
  <c r="AR713" i="1"/>
  <c r="AU714" i="1"/>
  <c r="AT714" i="1"/>
  <c r="H714" i="1"/>
  <c r="G714" i="1"/>
  <c r="AL714" i="1"/>
  <c r="AO714" i="1"/>
  <c r="AN714" i="1"/>
  <c r="AV714" i="1"/>
  <c r="AR714" i="1"/>
  <c r="AU715" i="1"/>
  <c r="AT715" i="1"/>
  <c r="H715" i="1"/>
  <c r="G715" i="1"/>
  <c r="AL715" i="1"/>
  <c r="AO715" i="1"/>
  <c r="AN715" i="1"/>
  <c r="AV715" i="1"/>
  <c r="AR715" i="1"/>
  <c r="AU716" i="1"/>
  <c r="AT716" i="1"/>
  <c r="H716" i="1"/>
  <c r="G716" i="1"/>
  <c r="AL716" i="1"/>
  <c r="AO716" i="1"/>
  <c r="AN716" i="1"/>
  <c r="AV716" i="1"/>
  <c r="AR716" i="1"/>
  <c r="AU717" i="1"/>
  <c r="AT717" i="1"/>
  <c r="H717" i="1"/>
  <c r="G717" i="1"/>
  <c r="AL717" i="1"/>
  <c r="AO717" i="1"/>
  <c r="AN717" i="1"/>
  <c r="AV717" i="1"/>
  <c r="AR717" i="1"/>
  <c r="AU718" i="1"/>
  <c r="AT718" i="1"/>
  <c r="H718" i="1"/>
  <c r="G718" i="1"/>
  <c r="AL718" i="1"/>
  <c r="AO718" i="1"/>
  <c r="AN718" i="1"/>
  <c r="AV718" i="1"/>
  <c r="AR718" i="1"/>
  <c r="AU719" i="1"/>
  <c r="AT719" i="1"/>
  <c r="H719" i="1"/>
  <c r="G719" i="1"/>
  <c r="AL719" i="1"/>
  <c r="AO719" i="1"/>
  <c r="AN719" i="1"/>
  <c r="AV719" i="1"/>
  <c r="AR719" i="1"/>
  <c r="AU720" i="1"/>
  <c r="AT720" i="1"/>
  <c r="H720" i="1"/>
  <c r="G720" i="1"/>
  <c r="AL720" i="1"/>
  <c r="AO720" i="1"/>
  <c r="AN720" i="1"/>
  <c r="AV720" i="1"/>
  <c r="AR720" i="1"/>
  <c r="AU721" i="1"/>
  <c r="AT721" i="1"/>
  <c r="H721" i="1"/>
  <c r="G721" i="1"/>
  <c r="AL721" i="1"/>
  <c r="AO721" i="1"/>
  <c r="AN721" i="1"/>
  <c r="AV721" i="1"/>
  <c r="AR721" i="1"/>
  <c r="AU722" i="1"/>
  <c r="AT722" i="1"/>
  <c r="H722" i="1"/>
  <c r="G722" i="1"/>
  <c r="AL722" i="1"/>
  <c r="AO722" i="1"/>
  <c r="AN722" i="1"/>
  <c r="AV722" i="1"/>
  <c r="AR722" i="1"/>
  <c r="AU723" i="1"/>
  <c r="AT723" i="1"/>
  <c r="H723" i="1"/>
  <c r="G723" i="1"/>
  <c r="AL723" i="1"/>
  <c r="AO723" i="1"/>
  <c r="AN723" i="1"/>
  <c r="AV723" i="1"/>
  <c r="AR723" i="1"/>
  <c r="AU724" i="1"/>
  <c r="AT724" i="1"/>
  <c r="H724" i="1"/>
  <c r="G724" i="1"/>
  <c r="AL724" i="1"/>
  <c r="AO724" i="1"/>
  <c r="AN724" i="1"/>
  <c r="AV724" i="1"/>
  <c r="AR724" i="1"/>
  <c r="AU725" i="1"/>
  <c r="AT725" i="1"/>
  <c r="H725" i="1"/>
  <c r="G725" i="1"/>
  <c r="AL725" i="1"/>
  <c r="AO725" i="1"/>
  <c r="AN725" i="1"/>
  <c r="AV725" i="1"/>
  <c r="AR725" i="1"/>
  <c r="AU726" i="1"/>
  <c r="AT726" i="1"/>
  <c r="H726" i="1"/>
  <c r="G726" i="1"/>
  <c r="AL726" i="1"/>
  <c r="AO726" i="1"/>
  <c r="AN726" i="1"/>
  <c r="AV726" i="1"/>
  <c r="AR726" i="1"/>
  <c r="AU727" i="1"/>
  <c r="AT727" i="1"/>
  <c r="H727" i="1"/>
  <c r="G727" i="1"/>
  <c r="AL727" i="1"/>
  <c r="AO727" i="1"/>
  <c r="AN727" i="1"/>
  <c r="AV727" i="1"/>
  <c r="AR727" i="1"/>
  <c r="AU728" i="1"/>
  <c r="AT728" i="1"/>
  <c r="H728" i="1"/>
  <c r="G728" i="1"/>
  <c r="AL728" i="1"/>
  <c r="AO728" i="1"/>
  <c r="AN728" i="1"/>
  <c r="AV728" i="1"/>
  <c r="AR728" i="1"/>
  <c r="AU729" i="1"/>
  <c r="AT729" i="1"/>
  <c r="H729" i="1"/>
  <c r="G729" i="1"/>
  <c r="AL729" i="1"/>
  <c r="AO729" i="1"/>
  <c r="AN729" i="1"/>
  <c r="AV729" i="1"/>
  <c r="AR729" i="1"/>
  <c r="AU730" i="1"/>
  <c r="AT730" i="1"/>
  <c r="H730" i="1"/>
  <c r="G730" i="1"/>
  <c r="AL730" i="1"/>
  <c r="AO730" i="1"/>
  <c r="AN730" i="1"/>
  <c r="AV730" i="1"/>
  <c r="AR730" i="1"/>
  <c r="AU731" i="1"/>
  <c r="AT731" i="1"/>
  <c r="H731" i="1"/>
  <c r="G731" i="1"/>
  <c r="AL731" i="1"/>
  <c r="AO731" i="1"/>
  <c r="AN731" i="1"/>
  <c r="AV731" i="1"/>
  <c r="AR731" i="1"/>
  <c r="AU732" i="1"/>
  <c r="AT732" i="1"/>
  <c r="H732" i="1"/>
  <c r="G732" i="1"/>
  <c r="AL732" i="1"/>
  <c r="AO732" i="1"/>
  <c r="AN732" i="1"/>
  <c r="AV732" i="1"/>
  <c r="AR732" i="1"/>
  <c r="AU733" i="1"/>
  <c r="AT733" i="1"/>
  <c r="H733" i="1"/>
  <c r="G733" i="1"/>
  <c r="AL733" i="1"/>
  <c r="AO733" i="1"/>
  <c r="AN733" i="1"/>
  <c r="AV733" i="1"/>
  <c r="AR733" i="1"/>
  <c r="AU734" i="1"/>
  <c r="AT734" i="1"/>
  <c r="H734" i="1"/>
  <c r="G734" i="1"/>
  <c r="AL734" i="1"/>
  <c r="AO734" i="1"/>
  <c r="AN734" i="1"/>
  <c r="AV734" i="1"/>
  <c r="AR734" i="1"/>
  <c r="AU735" i="1"/>
  <c r="AT735" i="1"/>
  <c r="H735" i="1"/>
  <c r="G735" i="1"/>
  <c r="AL735" i="1"/>
  <c r="AO735" i="1"/>
  <c r="AN735" i="1"/>
  <c r="AV735" i="1"/>
  <c r="AR735" i="1"/>
  <c r="AU736" i="1"/>
  <c r="AT736" i="1"/>
  <c r="H736" i="1"/>
  <c r="G736" i="1"/>
  <c r="AL736" i="1"/>
  <c r="AO736" i="1"/>
  <c r="AN736" i="1"/>
  <c r="AV736" i="1"/>
  <c r="AR736" i="1"/>
  <c r="AU737" i="1"/>
  <c r="AT737" i="1"/>
  <c r="H737" i="1"/>
  <c r="G737" i="1"/>
  <c r="AL737" i="1"/>
  <c r="AO737" i="1"/>
  <c r="AN737" i="1"/>
  <c r="AV737" i="1"/>
  <c r="AR737" i="1"/>
  <c r="AU738" i="1"/>
  <c r="AT738" i="1"/>
  <c r="H738" i="1"/>
  <c r="G738" i="1"/>
  <c r="AL738" i="1"/>
  <c r="AO738" i="1"/>
  <c r="AN738" i="1"/>
  <c r="AV738" i="1"/>
  <c r="AR738" i="1"/>
  <c r="AU739" i="1"/>
  <c r="AT739" i="1"/>
  <c r="H739" i="1"/>
  <c r="G739" i="1"/>
  <c r="AL739" i="1"/>
  <c r="AO739" i="1"/>
  <c r="AN739" i="1"/>
  <c r="AV739" i="1"/>
  <c r="AR739" i="1"/>
  <c r="AU740" i="1"/>
  <c r="AT740" i="1"/>
  <c r="H740" i="1"/>
  <c r="G740" i="1"/>
  <c r="AL740" i="1"/>
  <c r="AO740" i="1"/>
  <c r="AN740" i="1"/>
  <c r="AV740" i="1"/>
  <c r="AR740" i="1"/>
  <c r="AU741" i="1"/>
  <c r="AT741" i="1"/>
  <c r="H741" i="1"/>
  <c r="G741" i="1"/>
  <c r="AL741" i="1"/>
  <c r="AO741" i="1"/>
  <c r="AN741" i="1"/>
  <c r="AV741" i="1"/>
  <c r="AR741" i="1"/>
  <c r="AU742" i="1"/>
  <c r="AT742" i="1"/>
  <c r="H742" i="1"/>
  <c r="G742" i="1"/>
  <c r="AL742" i="1"/>
  <c r="AO742" i="1"/>
  <c r="AN742" i="1"/>
  <c r="AV742" i="1"/>
  <c r="AR742" i="1"/>
  <c r="AU743" i="1"/>
  <c r="AT743" i="1"/>
  <c r="H743" i="1"/>
  <c r="G743" i="1"/>
  <c r="AL743" i="1"/>
  <c r="AO743" i="1"/>
  <c r="AN743" i="1"/>
  <c r="AV743" i="1"/>
  <c r="AR743" i="1"/>
  <c r="AU744" i="1"/>
  <c r="AT744" i="1"/>
  <c r="H744" i="1"/>
  <c r="G744" i="1"/>
  <c r="AL744" i="1"/>
  <c r="AO744" i="1"/>
  <c r="AN744" i="1"/>
  <c r="AV744" i="1"/>
  <c r="AR744" i="1"/>
  <c r="AU745" i="1"/>
  <c r="AT745" i="1"/>
  <c r="H745" i="1"/>
  <c r="G745" i="1"/>
  <c r="AL745" i="1"/>
  <c r="AO745" i="1"/>
  <c r="AN745" i="1"/>
  <c r="AV745" i="1"/>
  <c r="AR745" i="1"/>
  <c r="AU746" i="1"/>
  <c r="AT746" i="1"/>
  <c r="H746" i="1"/>
  <c r="G746" i="1"/>
  <c r="AL746" i="1"/>
  <c r="AO746" i="1"/>
  <c r="AN746" i="1"/>
  <c r="AV746" i="1"/>
  <c r="AR746" i="1"/>
  <c r="AU747" i="1"/>
  <c r="AT747" i="1"/>
  <c r="H747" i="1"/>
  <c r="G747" i="1"/>
  <c r="AL747" i="1"/>
  <c r="AO747" i="1"/>
  <c r="AN747" i="1"/>
  <c r="AV747" i="1"/>
  <c r="AR747" i="1"/>
  <c r="AU748" i="1"/>
  <c r="AT748" i="1"/>
  <c r="H748" i="1"/>
  <c r="G748" i="1"/>
  <c r="AL748" i="1"/>
  <c r="AO748" i="1"/>
  <c r="AN748" i="1"/>
  <c r="AV748" i="1"/>
  <c r="AR748" i="1"/>
  <c r="AU749" i="1"/>
  <c r="AT749" i="1"/>
  <c r="H749" i="1"/>
  <c r="G749" i="1"/>
  <c r="AL749" i="1"/>
  <c r="AO749" i="1"/>
  <c r="AN749" i="1"/>
  <c r="AV749" i="1"/>
  <c r="AR749" i="1"/>
  <c r="AU750" i="1"/>
  <c r="AT750" i="1"/>
  <c r="H750" i="1"/>
  <c r="G750" i="1"/>
  <c r="AL750" i="1"/>
  <c r="AO750" i="1"/>
  <c r="AN750" i="1"/>
  <c r="AV750" i="1"/>
  <c r="AR750" i="1"/>
  <c r="AU751" i="1"/>
  <c r="AT751" i="1"/>
  <c r="H751" i="1"/>
  <c r="G751" i="1"/>
  <c r="AL751" i="1"/>
  <c r="AO751" i="1"/>
  <c r="AN751" i="1"/>
  <c r="AV751" i="1"/>
  <c r="AR751" i="1"/>
  <c r="AU752" i="1"/>
  <c r="AT752" i="1"/>
  <c r="H752" i="1"/>
  <c r="G752" i="1"/>
  <c r="AL752" i="1"/>
  <c r="AO752" i="1"/>
  <c r="AN752" i="1"/>
  <c r="AV752" i="1"/>
  <c r="AR752" i="1"/>
  <c r="AU753" i="1"/>
  <c r="AT753" i="1"/>
  <c r="H753" i="1"/>
  <c r="G753" i="1"/>
  <c r="AL753" i="1"/>
  <c r="AO753" i="1"/>
  <c r="AN753" i="1"/>
  <c r="AV753" i="1"/>
  <c r="AR753" i="1"/>
  <c r="AU754" i="1"/>
  <c r="AT754" i="1"/>
  <c r="H754" i="1"/>
  <c r="G754" i="1"/>
  <c r="AL754" i="1"/>
  <c r="AO754" i="1"/>
  <c r="AN754" i="1"/>
  <c r="AV754" i="1"/>
  <c r="AR754" i="1"/>
  <c r="AU755" i="1"/>
  <c r="AT755" i="1"/>
  <c r="H755" i="1"/>
  <c r="G755" i="1"/>
  <c r="AL755" i="1"/>
  <c r="AO755" i="1"/>
  <c r="AN755" i="1"/>
  <c r="AV755" i="1"/>
  <c r="AR755" i="1"/>
  <c r="AU756" i="1"/>
  <c r="AT756" i="1"/>
  <c r="H756" i="1"/>
  <c r="G756" i="1"/>
  <c r="AL756" i="1"/>
  <c r="AO756" i="1"/>
  <c r="AN756" i="1"/>
  <c r="AV756" i="1"/>
  <c r="AR756" i="1"/>
  <c r="AU757" i="1"/>
  <c r="AT757" i="1"/>
  <c r="H757" i="1"/>
  <c r="G757" i="1"/>
  <c r="AL757" i="1"/>
  <c r="AO757" i="1"/>
  <c r="AN757" i="1"/>
  <c r="AV757" i="1"/>
  <c r="AR757" i="1"/>
  <c r="AU758" i="1"/>
  <c r="AT758" i="1"/>
  <c r="H758" i="1"/>
  <c r="G758" i="1"/>
  <c r="AL758" i="1"/>
  <c r="AO758" i="1"/>
  <c r="AN758" i="1"/>
  <c r="AV758" i="1"/>
  <c r="AR758" i="1"/>
  <c r="AU759" i="1"/>
  <c r="AT759" i="1"/>
  <c r="H759" i="1"/>
  <c r="G759" i="1"/>
  <c r="AL759" i="1"/>
  <c r="AO759" i="1"/>
  <c r="AN759" i="1"/>
  <c r="AV759" i="1"/>
  <c r="AR759" i="1"/>
  <c r="AU760" i="1"/>
  <c r="AT760" i="1"/>
  <c r="H760" i="1"/>
  <c r="G760" i="1"/>
  <c r="AL760" i="1"/>
  <c r="AO760" i="1"/>
  <c r="AN760" i="1"/>
  <c r="AV760" i="1"/>
  <c r="AR760" i="1"/>
  <c r="AU761" i="1"/>
  <c r="AT761" i="1"/>
  <c r="H761" i="1"/>
  <c r="G761" i="1"/>
  <c r="AL761" i="1"/>
  <c r="AO761" i="1"/>
  <c r="AN761" i="1"/>
  <c r="AV761" i="1"/>
  <c r="AR761" i="1"/>
  <c r="AU762" i="1"/>
  <c r="AT762" i="1"/>
  <c r="H762" i="1"/>
  <c r="G762" i="1"/>
  <c r="AL762" i="1"/>
  <c r="AO762" i="1"/>
  <c r="AN762" i="1"/>
  <c r="AV762" i="1"/>
  <c r="AR762" i="1"/>
  <c r="AU763" i="1"/>
  <c r="AT763" i="1"/>
  <c r="H763" i="1"/>
  <c r="G763" i="1"/>
  <c r="AL763" i="1"/>
  <c r="AO763" i="1"/>
  <c r="AN763" i="1"/>
  <c r="AV763" i="1"/>
  <c r="AR763" i="1"/>
  <c r="AU764" i="1"/>
  <c r="AT764" i="1"/>
  <c r="H764" i="1"/>
  <c r="G764" i="1"/>
  <c r="AL764" i="1"/>
  <c r="AO764" i="1"/>
  <c r="AN764" i="1"/>
  <c r="AV764" i="1"/>
  <c r="AR764" i="1"/>
  <c r="AU765" i="1"/>
  <c r="AT765" i="1"/>
  <c r="H765" i="1"/>
  <c r="G765" i="1"/>
  <c r="AL765" i="1"/>
  <c r="AO765" i="1"/>
  <c r="AN765" i="1"/>
  <c r="AV765" i="1"/>
  <c r="AR765" i="1"/>
  <c r="AU766" i="1"/>
  <c r="AT766" i="1"/>
  <c r="H766" i="1"/>
  <c r="G766" i="1"/>
  <c r="AL766" i="1"/>
  <c r="AO766" i="1"/>
  <c r="AN766" i="1"/>
  <c r="AV766" i="1"/>
  <c r="AR766" i="1"/>
  <c r="AU767" i="1"/>
  <c r="AT767" i="1"/>
  <c r="H767" i="1"/>
  <c r="G767" i="1"/>
  <c r="AL767" i="1"/>
  <c r="AO767" i="1"/>
  <c r="AN767" i="1"/>
  <c r="AV767" i="1"/>
  <c r="AR767" i="1"/>
  <c r="AU768" i="1"/>
  <c r="AT768" i="1"/>
  <c r="H768" i="1"/>
  <c r="G768" i="1"/>
  <c r="AL768" i="1"/>
  <c r="AO768" i="1"/>
  <c r="AN768" i="1"/>
  <c r="AV768" i="1"/>
  <c r="AR768" i="1"/>
  <c r="AU769" i="1"/>
  <c r="AT769" i="1"/>
  <c r="H769" i="1"/>
  <c r="G769" i="1"/>
  <c r="AL769" i="1"/>
  <c r="AO769" i="1"/>
  <c r="AN769" i="1"/>
  <c r="AV769" i="1"/>
  <c r="AR769" i="1"/>
  <c r="AU770" i="1"/>
  <c r="AT770" i="1"/>
  <c r="H770" i="1"/>
  <c r="G770" i="1"/>
  <c r="AL770" i="1"/>
  <c r="AO770" i="1"/>
  <c r="AN770" i="1"/>
  <c r="AV770" i="1"/>
  <c r="AR770" i="1"/>
  <c r="AU771" i="1"/>
  <c r="AT771" i="1"/>
  <c r="H771" i="1"/>
  <c r="G771" i="1"/>
  <c r="AL771" i="1"/>
  <c r="AO771" i="1"/>
  <c r="AN771" i="1"/>
  <c r="AV771" i="1"/>
  <c r="AR771" i="1"/>
  <c r="AU772" i="1"/>
  <c r="AT772" i="1"/>
  <c r="H772" i="1"/>
  <c r="G772" i="1"/>
  <c r="AL772" i="1"/>
  <c r="AO772" i="1"/>
  <c r="AN772" i="1"/>
  <c r="AV772" i="1"/>
  <c r="AR772" i="1"/>
  <c r="AU773" i="1"/>
  <c r="AT773" i="1"/>
  <c r="H773" i="1"/>
  <c r="G773" i="1"/>
  <c r="AL773" i="1"/>
  <c r="AO773" i="1"/>
  <c r="AN773" i="1"/>
  <c r="AV773" i="1"/>
  <c r="AR773" i="1"/>
  <c r="AU774" i="1"/>
  <c r="AT774" i="1"/>
  <c r="H774" i="1"/>
  <c r="G774" i="1"/>
  <c r="AL774" i="1"/>
  <c r="AO774" i="1"/>
  <c r="AN774" i="1"/>
  <c r="AV774" i="1"/>
  <c r="AR774" i="1"/>
  <c r="AU775" i="1"/>
  <c r="AT775" i="1"/>
  <c r="H775" i="1"/>
  <c r="G775" i="1"/>
  <c r="AL775" i="1"/>
  <c r="AO775" i="1"/>
  <c r="AN775" i="1"/>
  <c r="AV775" i="1"/>
  <c r="AR775" i="1"/>
  <c r="AU776" i="1"/>
  <c r="AT776" i="1"/>
  <c r="H776" i="1"/>
  <c r="G776" i="1"/>
  <c r="AL776" i="1"/>
  <c r="AO776" i="1"/>
  <c r="AN776" i="1"/>
  <c r="AV776" i="1"/>
  <c r="AR776" i="1"/>
  <c r="AU777" i="1"/>
  <c r="AT777" i="1"/>
  <c r="H777" i="1"/>
  <c r="G777" i="1"/>
  <c r="AL777" i="1"/>
  <c r="AO777" i="1"/>
  <c r="AN777" i="1"/>
  <c r="AV777" i="1"/>
  <c r="AR777" i="1"/>
  <c r="AU778" i="1"/>
  <c r="AT778" i="1"/>
  <c r="H778" i="1"/>
  <c r="G778" i="1"/>
  <c r="AL778" i="1"/>
  <c r="AO778" i="1"/>
  <c r="AN778" i="1"/>
  <c r="AV778" i="1"/>
  <c r="AR778" i="1"/>
  <c r="AU779" i="1"/>
  <c r="AT779" i="1"/>
  <c r="H779" i="1"/>
  <c r="G779" i="1"/>
  <c r="AL779" i="1"/>
  <c r="AO779" i="1"/>
  <c r="AN779" i="1"/>
  <c r="AV779" i="1"/>
  <c r="AR779" i="1"/>
  <c r="AU780" i="1"/>
  <c r="AT780" i="1"/>
  <c r="H780" i="1"/>
  <c r="G780" i="1"/>
  <c r="AL780" i="1"/>
  <c r="AO780" i="1"/>
  <c r="AN780" i="1"/>
  <c r="AV780" i="1"/>
  <c r="AR780" i="1"/>
  <c r="AU781" i="1"/>
  <c r="AT781" i="1"/>
  <c r="H781" i="1"/>
  <c r="G781" i="1"/>
  <c r="AL781" i="1"/>
  <c r="AO781" i="1"/>
  <c r="AN781" i="1"/>
  <c r="AV781" i="1"/>
  <c r="AR781" i="1"/>
  <c r="AU782" i="1"/>
  <c r="AT782" i="1"/>
  <c r="H782" i="1"/>
  <c r="G782" i="1"/>
  <c r="AL782" i="1"/>
  <c r="AO782" i="1"/>
  <c r="AN782" i="1"/>
  <c r="AV782" i="1"/>
  <c r="AR782" i="1"/>
  <c r="AU783" i="1"/>
  <c r="AT783" i="1"/>
  <c r="H783" i="1"/>
  <c r="G783" i="1"/>
  <c r="AL783" i="1"/>
  <c r="AO783" i="1"/>
  <c r="AN783" i="1"/>
  <c r="AV783" i="1"/>
  <c r="AR783" i="1"/>
  <c r="AU784" i="1"/>
  <c r="AT784" i="1"/>
  <c r="H784" i="1"/>
  <c r="G784" i="1"/>
  <c r="AL784" i="1"/>
  <c r="AO784" i="1"/>
  <c r="AN784" i="1"/>
  <c r="AV784" i="1"/>
  <c r="AR784" i="1"/>
  <c r="AU785" i="1"/>
  <c r="AT785" i="1"/>
  <c r="H785" i="1"/>
  <c r="G785" i="1"/>
  <c r="AL785" i="1"/>
  <c r="AO785" i="1"/>
  <c r="AN785" i="1"/>
  <c r="AV785" i="1"/>
  <c r="AR785" i="1"/>
  <c r="AU786" i="1"/>
  <c r="AT786" i="1"/>
  <c r="H786" i="1"/>
  <c r="G786" i="1"/>
  <c r="AL786" i="1"/>
  <c r="AO786" i="1"/>
  <c r="AN786" i="1"/>
  <c r="AV786" i="1"/>
  <c r="AR786" i="1"/>
  <c r="AU787" i="1"/>
  <c r="AT787" i="1"/>
  <c r="H787" i="1"/>
  <c r="G787" i="1"/>
  <c r="AL787" i="1"/>
  <c r="AO787" i="1"/>
  <c r="AN787" i="1"/>
  <c r="AV787" i="1"/>
  <c r="AR787" i="1"/>
  <c r="AU788" i="1"/>
  <c r="AT788" i="1"/>
  <c r="H788" i="1"/>
  <c r="G788" i="1"/>
  <c r="AL788" i="1"/>
  <c r="AO788" i="1"/>
  <c r="AN788" i="1"/>
  <c r="AV788" i="1"/>
  <c r="AR788" i="1"/>
  <c r="AU789" i="1"/>
  <c r="AT789" i="1"/>
  <c r="H789" i="1"/>
  <c r="G789" i="1"/>
  <c r="AL789" i="1"/>
  <c r="AO789" i="1"/>
  <c r="AN789" i="1"/>
  <c r="AV789" i="1"/>
  <c r="AR789" i="1"/>
  <c r="AU790" i="1"/>
  <c r="AT790" i="1"/>
  <c r="H790" i="1"/>
  <c r="G790" i="1"/>
  <c r="AL790" i="1"/>
  <c r="AO790" i="1"/>
  <c r="AN790" i="1"/>
  <c r="AV790" i="1"/>
  <c r="AR790" i="1"/>
  <c r="AU791" i="1"/>
  <c r="AT791" i="1"/>
  <c r="H791" i="1"/>
  <c r="G791" i="1"/>
  <c r="AL791" i="1"/>
  <c r="AO791" i="1"/>
  <c r="AN791" i="1"/>
  <c r="AV791" i="1"/>
  <c r="AR791" i="1"/>
  <c r="AU792" i="1"/>
  <c r="AT792" i="1"/>
  <c r="H792" i="1"/>
  <c r="G792" i="1"/>
  <c r="AL792" i="1"/>
  <c r="AO792" i="1"/>
  <c r="AN792" i="1"/>
  <c r="AV792" i="1"/>
  <c r="AR792" i="1"/>
  <c r="AU793" i="1"/>
  <c r="AT793" i="1"/>
  <c r="H793" i="1"/>
  <c r="G793" i="1"/>
  <c r="AL793" i="1"/>
  <c r="AO793" i="1"/>
  <c r="AN793" i="1"/>
  <c r="AV793" i="1"/>
  <c r="AR793" i="1"/>
  <c r="AU794" i="1"/>
  <c r="AT794" i="1"/>
  <c r="H794" i="1"/>
  <c r="G794" i="1"/>
  <c r="AL794" i="1"/>
  <c r="AO794" i="1"/>
  <c r="AN794" i="1"/>
  <c r="AV794" i="1"/>
  <c r="AR794" i="1"/>
  <c r="AU795" i="1"/>
  <c r="AT795" i="1"/>
  <c r="H795" i="1"/>
  <c r="G795" i="1"/>
  <c r="AL795" i="1"/>
  <c r="AO795" i="1"/>
  <c r="AN795" i="1"/>
  <c r="AV795" i="1"/>
  <c r="AR795" i="1"/>
  <c r="AU796" i="1"/>
  <c r="AT796" i="1"/>
  <c r="H796" i="1"/>
  <c r="G796" i="1"/>
  <c r="AL796" i="1"/>
  <c r="AO796" i="1"/>
  <c r="AN796" i="1"/>
  <c r="AV796" i="1"/>
  <c r="AR796" i="1"/>
  <c r="AU797" i="1"/>
  <c r="AT797" i="1"/>
  <c r="H797" i="1"/>
  <c r="G797" i="1"/>
  <c r="AL797" i="1"/>
  <c r="AO797" i="1"/>
  <c r="AN797" i="1"/>
  <c r="AV797" i="1"/>
  <c r="AR797" i="1"/>
  <c r="AU798" i="1"/>
  <c r="AT798" i="1"/>
  <c r="H798" i="1"/>
  <c r="G798" i="1"/>
  <c r="AL798" i="1"/>
  <c r="AO798" i="1"/>
  <c r="AN798" i="1"/>
  <c r="AV798" i="1"/>
  <c r="AR798" i="1"/>
  <c r="AU799" i="1"/>
  <c r="AT799" i="1"/>
  <c r="H799" i="1"/>
  <c r="G799" i="1"/>
  <c r="AL799" i="1"/>
  <c r="AO799" i="1"/>
  <c r="AN799" i="1"/>
  <c r="AV799" i="1"/>
  <c r="AR799" i="1"/>
  <c r="AU800" i="1"/>
  <c r="AT800" i="1"/>
  <c r="H800" i="1"/>
  <c r="G800" i="1"/>
  <c r="AL800" i="1"/>
  <c r="AO800" i="1"/>
  <c r="AN800" i="1"/>
  <c r="AV800" i="1"/>
  <c r="AR800" i="1"/>
  <c r="AU801" i="1"/>
  <c r="AT801" i="1"/>
  <c r="H801" i="1"/>
  <c r="G801" i="1"/>
  <c r="AL801" i="1"/>
  <c r="AO801" i="1"/>
  <c r="AN801" i="1"/>
  <c r="AV801" i="1"/>
  <c r="AR801" i="1"/>
  <c r="AU802" i="1"/>
  <c r="AT802" i="1"/>
  <c r="H802" i="1"/>
  <c r="G802" i="1"/>
  <c r="AL802" i="1"/>
  <c r="AO802" i="1"/>
  <c r="AN802" i="1"/>
  <c r="AV802" i="1"/>
  <c r="AR802" i="1"/>
  <c r="AU803" i="1"/>
  <c r="AT803" i="1"/>
  <c r="H803" i="1"/>
  <c r="G803" i="1"/>
  <c r="AL803" i="1"/>
  <c r="AO803" i="1"/>
  <c r="AN803" i="1"/>
  <c r="AV803" i="1"/>
  <c r="AR803" i="1"/>
  <c r="AU804" i="1"/>
  <c r="AT804" i="1"/>
  <c r="H804" i="1"/>
  <c r="G804" i="1"/>
  <c r="AL804" i="1"/>
  <c r="AO804" i="1"/>
  <c r="AN804" i="1"/>
  <c r="AV804" i="1"/>
  <c r="AR804" i="1"/>
  <c r="AU805" i="1"/>
  <c r="AT805" i="1"/>
  <c r="H805" i="1"/>
  <c r="G805" i="1"/>
  <c r="AL805" i="1"/>
  <c r="AO805" i="1"/>
  <c r="AN805" i="1"/>
  <c r="AV805" i="1"/>
  <c r="AR805" i="1"/>
  <c r="AU806" i="1"/>
  <c r="AT806" i="1"/>
  <c r="H806" i="1"/>
  <c r="G806" i="1"/>
  <c r="AL806" i="1"/>
  <c r="AO806" i="1"/>
  <c r="AN806" i="1"/>
  <c r="AV806" i="1"/>
  <c r="AR806" i="1"/>
  <c r="AU807" i="1"/>
  <c r="AT807" i="1"/>
  <c r="H807" i="1"/>
  <c r="G807" i="1"/>
  <c r="AL807" i="1"/>
  <c r="AO807" i="1"/>
  <c r="AN807" i="1"/>
  <c r="AV807" i="1"/>
  <c r="AR807" i="1"/>
  <c r="AU808" i="1"/>
  <c r="AT808" i="1"/>
  <c r="H808" i="1"/>
  <c r="G808" i="1"/>
  <c r="AL808" i="1"/>
  <c r="AO808" i="1"/>
  <c r="AN808" i="1"/>
  <c r="AV808" i="1"/>
  <c r="AR808" i="1"/>
  <c r="AU809" i="1"/>
  <c r="AT809" i="1"/>
  <c r="H809" i="1"/>
  <c r="G809" i="1"/>
  <c r="AL809" i="1"/>
  <c r="AO809" i="1"/>
  <c r="AN809" i="1"/>
  <c r="AV809" i="1"/>
  <c r="AR809" i="1"/>
  <c r="AU810" i="1"/>
  <c r="AT810" i="1"/>
  <c r="H810" i="1"/>
  <c r="G810" i="1"/>
  <c r="AL810" i="1"/>
  <c r="AO810" i="1"/>
  <c r="AN810" i="1"/>
  <c r="AV810" i="1"/>
  <c r="AR810" i="1"/>
  <c r="AU811" i="1"/>
  <c r="AT811" i="1"/>
  <c r="H811" i="1"/>
  <c r="G811" i="1"/>
  <c r="AL811" i="1"/>
  <c r="AO811" i="1"/>
  <c r="AN811" i="1"/>
  <c r="AV811" i="1"/>
  <c r="AR811" i="1"/>
  <c r="AU812" i="1"/>
  <c r="AT812" i="1"/>
  <c r="H812" i="1"/>
  <c r="G812" i="1"/>
  <c r="AL812" i="1"/>
  <c r="AO812" i="1"/>
  <c r="AN812" i="1"/>
  <c r="AV812" i="1"/>
  <c r="AR812" i="1"/>
  <c r="AU813" i="1"/>
  <c r="AT813" i="1"/>
  <c r="H813" i="1"/>
  <c r="G813" i="1"/>
  <c r="AL813" i="1"/>
  <c r="AO813" i="1"/>
  <c r="AN813" i="1"/>
  <c r="AV813" i="1"/>
  <c r="AR813" i="1"/>
  <c r="AU814" i="1"/>
  <c r="AT814" i="1"/>
  <c r="H814" i="1"/>
  <c r="G814" i="1"/>
  <c r="AL814" i="1"/>
  <c r="AO814" i="1"/>
  <c r="AN814" i="1"/>
  <c r="AV814" i="1"/>
  <c r="AR814" i="1"/>
  <c r="AU815" i="1"/>
  <c r="AT815" i="1"/>
  <c r="H815" i="1"/>
  <c r="G815" i="1"/>
  <c r="AL815" i="1"/>
  <c r="AO815" i="1"/>
  <c r="AN815" i="1"/>
  <c r="AV815" i="1"/>
  <c r="AR815" i="1"/>
  <c r="AU816" i="1"/>
  <c r="AT816" i="1"/>
  <c r="H816" i="1"/>
  <c r="G816" i="1"/>
  <c r="AL816" i="1"/>
  <c r="AO816" i="1"/>
  <c r="AN816" i="1"/>
  <c r="AV816" i="1"/>
  <c r="AR816" i="1"/>
  <c r="AU817" i="1"/>
  <c r="AT817" i="1"/>
  <c r="H817" i="1"/>
  <c r="G817" i="1"/>
  <c r="AL817" i="1"/>
  <c r="AO817" i="1"/>
  <c r="AN817" i="1"/>
  <c r="AV817" i="1"/>
  <c r="AR817" i="1"/>
  <c r="AU818" i="1"/>
  <c r="AT818" i="1"/>
  <c r="H818" i="1"/>
  <c r="G818" i="1"/>
  <c r="AL818" i="1"/>
  <c r="AO818" i="1"/>
  <c r="AN818" i="1"/>
  <c r="AV818" i="1"/>
  <c r="AR818" i="1"/>
  <c r="AU819" i="1"/>
  <c r="AT819" i="1"/>
  <c r="H819" i="1"/>
  <c r="G819" i="1"/>
  <c r="AL819" i="1"/>
  <c r="AO819" i="1"/>
  <c r="AN819" i="1"/>
  <c r="AV819" i="1"/>
  <c r="AR819" i="1"/>
  <c r="AU820" i="1"/>
  <c r="AT820" i="1"/>
  <c r="H820" i="1"/>
  <c r="G820" i="1"/>
  <c r="AL820" i="1"/>
  <c r="AO820" i="1"/>
  <c r="AN820" i="1"/>
  <c r="AV820" i="1"/>
  <c r="AR820" i="1"/>
  <c r="AU821" i="1"/>
  <c r="AT821" i="1"/>
  <c r="H821" i="1"/>
  <c r="G821" i="1"/>
  <c r="AL821" i="1"/>
  <c r="AO821" i="1"/>
  <c r="AN821" i="1"/>
  <c r="AV821" i="1"/>
  <c r="AR821" i="1"/>
  <c r="AU822" i="1"/>
  <c r="AT822" i="1"/>
  <c r="H822" i="1"/>
  <c r="G822" i="1"/>
  <c r="AL822" i="1"/>
  <c r="AO822" i="1"/>
  <c r="AN822" i="1"/>
  <c r="AV822" i="1"/>
  <c r="AR822" i="1"/>
  <c r="AU823" i="1"/>
  <c r="AT823" i="1"/>
  <c r="H823" i="1"/>
  <c r="G823" i="1"/>
  <c r="AL823" i="1"/>
  <c r="AO823" i="1"/>
  <c r="AN823" i="1"/>
  <c r="AV823" i="1"/>
  <c r="AR823" i="1"/>
  <c r="AU824" i="1"/>
  <c r="AT824" i="1"/>
  <c r="H824" i="1"/>
  <c r="G824" i="1"/>
  <c r="AL824" i="1"/>
  <c r="AO824" i="1"/>
  <c r="AN824" i="1"/>
  <c r="AV824" i="1"/>
  <c r="AR824" i="1"/>
  <c r="AU825" i="1"/>
  <c r="AT825" i="1"/>
  <c r="H825" i="1"/>
  <c r="G825" i="1"/>
  <c r="AL825" i="1"/>
  <c r="AO825" i="1"/>
  <c r="AN825" i="1"/>
  <c r="AV825" i="1"/>
  <c r="AR825" i="1"/>
  <c r="AU826" i="1"/>
  <c r="AT826" i="1"/>
  <c r="H826" i="1"/>
  <c r="G826" i="1"/>
  <c r="AL826" i="1"/>
  <c r="AO826" i="1"/>
  <c r="AN826" i="1"/>
  <c r="AV826" i="1"/>
  <c r="AR826" i="1"/>
  <c r="AU827" i="1"/>
  <c r="AT827" i="1"/>
  <c r="H827" i="1"/>
  <c r="G827" i="1"/>
  <c r="AL827" i="1"/>
  <c r="AO827" i="1"/>
  <c r="AN827" i="1"/>
  <c r="AV827" i="1"/>
  <c r="AR827" i="1"/>
  <c r="AU828" i="1"/>
  <c r="AT828" i="1"/>
  <c r="H828" i="1"/>
  <c r="G828" i="1"/>
  <c r="AL828" i="1"/>
  <c r="AO828" i="1"/>
  <c r="AN828" i="1"/>
  <c r="AV828" i="1"/>
  <c r="AR828" i="1"/>
  <c r="AU829" i="1"/>
  <c r="AT829" i="1"/>
  <c r="H829" i="1"/>
  <c r="G829" i="1"/>
  <c r="AL829" i="1"/>
  <c r="AO829" i="1"/>
  <c r="AN829" i="1"/>
  <c r="AV829" i="1"/>
  <c r="AR829" i="1"/>
  <c r="AU830" i="1"/>
  <c r="AT830" i="1"/>
  <c r="H830" i="1"/>
  <c r="G830" i="1"/>
  <c r="AL830" i="1"/>
  <c r="AO830" i="1"/>
  <c r="AN830" i="1"/>
  <c r="AV830" i="1"/>
  <c r="AR830" i="1"/>
  <c r="AU831" i="1"/>
  <c r="AT831" i="1"/>
  <c r="H831" i="1"/>
  <c r="G831" i="1"/>
  <c r="AL831" i="1"/>
  <c r="AO831" i="1"/>
  <c r="AN831" i="1"/>
  <c r="AV831" i="1"/>
  <c r="AR831" i="1"/>
  <c r="AU832" i="1"/>
  <c r="AT832" i="1"/>
  <c r="H832" i="1"/>
  <c r="G832" i="1"/>
  <c r="AL832" i="1"/>
  <c r="AO832" i="1"/>
  <c r="AN832" i="1"/>
  <c r="AV832" i="1"/>
  <c r="AR832" i="1"/>
  <c r="AU833" i="1"/>
  <c r="AT833" i="1"/>
  <c r="H833" i="1"/>
  <c r="G833" i="1"/>
  <c r="AL833" i="1"/>
  <c r="AO833" i="1"/>
  <c r="AN833" i="1"/>
  <c r="AV833" i="1"/>
  <c r="AR833" i="1"/>
  <c r="AU834" i="1"/>
  <c r="AT834" i="1"/>
  <c r="H834" i="1"/>
  <c r="G834" i="1"/>
  <c r="AL834" i="1"/>
  <c r="AO834" i="1"/>
  <c r="AN834" i="1"/>
  <c r="AV834" i="1"/>
  <c r="AR834" i="1"/>
  <c r="AU835" i="1"/>
  <c r="AT835" i="1"/>
  <c r="H835" i="1"/>
  <c r="G835" i="1"/>
  <c r="AL835" i="1"/>
  <c r="AO835" i="1"/>
  <c r="AN835" i="1"/>
  <c r="AV835" i="1"/>
  <c r="AR835" i="1"/>
  <c r="AU836" i="1"/>
  <c r="AT836" i="1"/>
  <c r="H836" i="1"/>
  <c r="G836" i="1"/>
  <c r="AL836" i="1"/>
  <c r="AO836" i="1"/>
  <c r="AN836" i="1"/>
  <c r="AV836" i="1"/>
  <c r="AR836" i="1"/>
  <c r="AU837" i="1"/>
  <c r="AT837" i="1"/>
  <c r="H837" i="1"/>
  <c r="G837" i="1"/>
  <c r="AL837" i="1"/>
  <c r="AO837" i="1"/>
  <c r="AN837" i="1"/>
  <c r="AV837" i="1"/>
  <c r="AR837" i="1"/>
  <c r="AU838" i="1"/>
  <c r="AT838" i="1"/>
  <c r="H838" i="1"/>
  <c r="G838" i="1"/>
  <c r="AL838" i="1"/>
  <c r="AO838" i="1"/>
  <c r="AN838" i="1"/>
  <c r="AV838" i="1"/>
  <c r="AR838" i="1"/>
  <c r="AU839" i="1"/>
  <c r="AT839" i="1"/>
  <c r="H839" i="1"/>
  <c r="G839" i="1"/>
  <c r="AL839" i="1"/>
  <c r="AO839" i="1"/>
  <c r="AN839" i="1"/>
  <c r="AV839" i="1"/>
  <c r="AR839" i="1"/>
  <c r="AU840" i="1"/>
  <c r="AT840" i="1"/>
  <c r="H840" i="1"/>
  <c r="G840" i="1"/>
  <c r="AL840" i="1"/>
  <c r="AO840" i="1"/>
  <c r="AN840" i="1"/>
  <c r="AV840" i="1"/>
  <c r="AR840" i="1"/>
  <c r="AU841" i="1"/>
  <c r="AT841" i="1"/>
  <c r="H841" i="1"/>
  <c r="G841" i="1"/>
  <c r="AL841" i="1"/>
  <c r="AO841" i="1"/>
  <c r="AN841" i="1"/>
  <c r="AV841" i="1"/>
  <c r="AR841" i="1"/>
  <c r="AU842" i="1"/>
  <c r="AT842" i="1"/>
  <c r="H842" i="1"/>
  <c r="G842" i="1"/>
  <c r="AL842" i="1"/>
  <c r="AO842" i="1"/>
  <c r="AN842" i="1"/>
  <c r="AV842" i="1"/>
  <c r="AR842" i="1"/>
  <c r="AU843" i="1"/>
  <c r="AT843" i="1"/>
  <c r="H843" i="1"/>
  <c r="G843" i="1"/>
  <c r="AL843" i="1"/>
  <c r="AO843" i="1"/>
  <c r="AN843" i="1"/>
  <c r="AV843" i="1"/>
  <c r="AR843" i="1"/>
  <c r="AU844" i="1"/>
  <c r="AT844" i="1"/>
  <c r="H844" i="1"/>
  <c r="G844" i="1"/>
  <c r="AL844" i="1"/>
  <c r="AO844" i="1"/>
  <c r="AN844" i="1"/>
  <c r="AV844" i="1"/>
  <c r="AR844" i="1"/>
  <c r="AU845" i="1"/>
  <c r="AT845" i="1"/>
  <c r="H845" i="1"/>
  <c r="G845" i="1"/>
  <c r="AL845" i="1"/>
  <c r="AO845" i="1"/>
  <c r="AN845" i="1"/>
  <c r="AV845" i="1"/>
  <c r="AR845" i="1"/>
  <c r="AU846" i="1"/>
  <c r="AT846" i="1"/>
  <c r="H846" i="1"/>
  <c r="G846" i="1"/>
  <c r="AL846" i="1"/>
  <c r="AO846" i="1"/>
  <c r="AN846" i="1"/>
  <c r="AV846" i="1"/>
  <c r="AR846" i="1"/>
  <c r="AU847" i="1"/>
  <c r="AT847" i="1"/>
  <c r="H847" i="1"/>
  <c r="G847" i="1"/>
  <c r="AL847" i="1"/>
  <c r="AO847" i="1"/>
  <c r="AN847" i="1"/>
  <c r="AV847" i="1"/>
  <c r="AR847" i="1"/>
  <c r="AU848" i="1"/>
  <c r="AT848" i="1"/>
  <c r="H848" i="1"/>
  <c r="G848" i="1"/>
  <c r="AL848" i="1"/>
  <c r="AO848" i="1"/>
  <c r="AN848" i="1"/>
  <c r="AV848" i="1"/>
  <c r="AR848" i="1"/>
  <c r="AU849" i="1"/>
  <c r="AT849" i="1"/>
  <c r="H849" i="1"/>
  <c r="G849" i="1"/>
  <c r="AL849" i="1"/>
  <c r="AO849" i="1"/>
  <c r="AN849" i="1"/>
  <c r="AV849" i="1"/>
  <c r="AR849" i="1"/>
  <c r="AU850" i="1"/>
  <c r="AT850" i="1"/>
  <c r="H850" i="1"/>
  <c r="G850" i="1"/>
  <c r="AL850" i="1"/>
  <c r="AO850" i="1"/>
  <c r="AN850" i="1"/>
  <c r="AV850" i="1"/>
  <c r="AR850" i="1"/>
  <c r="AU851" i="1"/>
  <c r="AT851" i="1"/>
  <c r="H851" i="1"/>
  <c r="G851" i="1"/>
  <c r="AL851" i="1"/>
  <c r="AO851" i="1"/>
  <c r="AN851" i="1"/>
  <c r="AV851" i="1"/>
  <c r="AR851" i="1"/>
  <c r="AU852" i="1"/>
  <c r="AT852" i="1"/>
  <c r="H852" i="1"/>
  <c r="G852" i="1"/>
  <c r="AL852" i="1"/>
  <c r="AO852" i="1"/>
  <c r="AN852" i="1"/>
  <c r="AV852" i="1"/>
  <c r="AR852" i="1"/>
  <c r="AU853" i="1"/>
  <c r="AT853" i="1"/>
  <c r="H853" i="1"/>
  <c r="G853" i="1"/>
  <c r="AL853" i="1"/>
  <c r="AO853" i="1"/>
  <c r="AN853" i="1"/>
  <c r="AV853" i="1"/>
  <c r="AR853" i="1"/>
  <c r="AU854" i="1"/>
  <c r="AT854" i="1"/>
  <c r="H854" i="1"/>
  <c r="G854" i="1"/>
  <c r="AL854" i="1"/>
  <c r="AO854" i="1"/>
  <c r="AN854" i="1"/>
  <c r="AV854" i="1"/>
  <c r="AR854" i="1"/>
  <c r="AU855" i="1"/>
  <c r="AT855" i="1"/>
  <c r="H855" i="1"/>
  <c r="G855" i="1"/>
  <c r="AL855" i="1"/>
  <c r="AO855" i="1"/>
  <c r="AN855" i="1"/>
  <c r="AV855" i="1"/>
  <c r="AR855" i="1"/>
  <c r="AU856" i="1"/>
  <c r="AT856" i="1"/>
  <c r="H856" i="1"/>
  <c r="G856" i="1"/>
  <c r="AL856" i="1"/>
  <c r="AO856" i="1"/>
  <c r="AN856" i="1"/>
  <c r="AV856" i="1"/>
  <c r="AR856" i="1"/>
  <c r="AU857" i="1"/>
  <c r="AT857" i="1"/>
  <c r="H857" i="1"/>
  <c r="G857" i="1"/>
  <c r="AL857" i="1"/>
  <c r="AO857" i="1"/>
  <c r="AN857" i="1"/>
  <c r="AV857" i="1"/>
  <c r="AR857" i="1"/>
  <c r="AU858" i="1"/>
  <c r="AT858" i="1"/>
  <c r="H858" i="1"/>
  <c r="G858" i="1"/>
  <c r="AL858" i="1"/>
  <c r="AO858" i="1"/>
  <c r="AN858" i="1"/>
  <c r="AV858" i="1"/>
  <c r="AR858" i="1"/>
  <c r="AU859" i="1"/>
  <c r="AT859" i="1"/>
  <c r="H859" i="1"/>
  <c r="G859" i="1"/>
  <c r="AL859" i="1"/>
  <c r="AO859" i="1"/>
  <c r="AN859" i="1"/>
  <c r="AV859" i="1"/>
  <c r="AR859" i="1"/>
  <c r="AU860" i="1"/>
  <c r="AT860" i="1"/>
  <c r="H860" i="1"/>
  <c r="G860" i="1"/>
  <c r="AL860" i="1"/>
  <c r="AO860" i="1"/>
  <c r="AN860" i="1"/>
  <c r="AV860" i="1"/>
  <c r="AR860" i="1"/>
  <c r="AU861" i="1"/>
  <c r="AT861" i="1"/>
  <c r="H861" i="1"/>
  <c r="G861" i="1"/>
  <c r="AL861" i="1"/>
  <c r="AO861" i="1"/>
  <c r="AN861" i="1"/>
  <c r="AV861" i="1"/>
  <c r="AR861" i="1"/>
  <c r="AU862" i="1"/>
  <c r="AT862" i="1"/>
  <c r="H862" i="1"/>
  <c r="G862" i="1"/>
  <c r="AL862" i="1"/>
  <c r="AO862" i="1"/>
  <c r="AN862" i="1"/>
  <c r="AV862" i="1"/>
  <c r="AR862" i="1"/>
  <c r="AU863" i="1"/>
  <c r="AT863" i="1"/>
  <c r="H863" i="1"/>
  <c r="G863" i="1"/>
  <c r="AL863" i="1"/>
  <c r="AO863" i="1"/>
  <c r="AN863" i="1"/>
  <c r="AV863" i="1"/>
  <c r="AR863" i="1"/>
  <c r="AU864" i="1"/>
  <c r="AT864" i="1"/>
  <c r="H864" i="1"/>
  <c r="G864" i="1"/>
  <c r="AL864" i="1"/>
  <c r="AO864" i="1"/>
  <c r="AN864" i="1"/>
  <c r="AV864" i="1"/>
  <c r="AR864" i="1"/>
  <c r="AU865" i="1"/>
  <c r="AT865" i="1"/>
  <c r="H865" i="1"/>
  <c r="G865" i="1"/>
  <c r="AL865" i="1"/>
  <c r="AO865" i="1"/>
  <c r="AN865" i="1"/>
  <c r="AV865" i="1"/>
  <c r="AR865" i="1"/>
  <c r="AU866" i="1"/>
  <c r="AT866" i="1"/>
  <c r="H866" i="1"/>
  <c r="G866" i="1"/>
  <c r="AL866" i="1"/>
  <c r="AO866" i="1"/>
  <c r="AN866" i="1"/>
  <c r="AV866" i="1"/>
  <c r="AR866" i="1"/>
  <c r="AU867" i="1"/>
  <c r="AT867" i="1"/>
  <c r="H867" i="1"/>
  <c r="G867" i="1"/>
  <c r="AL867" i="1"/>
  <c r="AO867" i="1"/>
  <c r="AN867" i="1"/>
  <c r="AV867" i="1"/>
  <c r="AR867" i="1"/>
  <c r="AU868" i="1"/>
  <c r="AT868" i="1"/>
  <c r="H868" i="1"/>
  <c r="G868" i="1"/>
  <c r="AL868" i="1"/>
  <c r="AO868" i="1"/>
  <c r="AN868" i="1"/>
  <c r="AV868" i="1"/>
  <c r="AR868" i="1"/>
  <c r="AU869" i="1"/>
  <c r="AT869" i="1"/>
  <c r="H869" i="1"/>
  <c r="G869" i="1"/>
  <c r="AL869" i="1"/>
  <c r="AO869" i="1"/>
  <c r="AN869" i="1"/>
  <c r="AV869" i="1"/>
  <c r="AR869" i="1"/>
  <c r="AU870" i="1"/>
  <c r="AT870" i="1"/>
  <c r="H870" i="1"/>
  <c r="G870" i="1"/>
  <c r="AL870" i="1"/>
  <c r="AO870" i="1"/>
  <c r="AN870" i="1"/>
  <c r="AV870" i="1"/>
  <c r="AR870" i="1"/>
  <c r="AU871" i="1"/>
  <c r="AT871" i="1"/>
  <c r="H871" i="1"/>
  <c r="G871" i="1"/>
  <c r="AL871" i="1"/>
  <c r="AO871" i="1"/>
  <c r="AN871" i="1"/>
  <c r="AV871" i="1"/>
  <c r="AR871" i="1"/>
  <c r="AU872" i="1"/>
  <c r="AT872" i="1"/>
  <c r="H872" i="1"/>
  <c r="G872" i="1"/>
  <c r="AL872" i="1"/>
  <c r="AO872" i="1"/>
  <c r="AN872" i="1"/>
  <c r="AV872" i="1"/>
  <c r="AR872" i="1"/>
  <c r="AU873" i="1"/>
  <c r="AT873" i="1"/>
  <c r="H873" i="1"/>
  <c r="G873" i="1"/>
  <c r="AL873" i="1"/>
  <c r="AO873" i="1"/>
  <c r="AN873" i="1"/>
  <c r="AV873" i="1"/>
  <c r="AR873" i="1"/>
  <c r="AU874" i="1"/>
  <c r="AT874" i="1"/>
  <c r="H874" i="1"/>
  <c r="G874" i="1"/>
  <c r="AL874" i="1"/>
  <c r="AO874" i="1"/>
  <c r="AN874" i="1"/>
  <c r="AV874" i="1"/>
  <c r="AR874" i="1"/>
  <c r="AU875" i="1"/>
  <c r="AT875" i="1"/>
  <c r="H875" i="1"/>
  <c r="G875" i="1"/>
  <c r="AL875" i="1"/>
  <c r="AO875" i="1"/>
  <c r="AN875" i="1"/>
  <c r="AV875" i="1"/>
  <c r="AR875" i="1"/>
  <c r="AU876" i="1"/>
  <c r="AT876" i="1"/>
  <c r="H876" i="1"/>
  <c r="G876" i="1"/>
  <c r="AL876" i="1"/>
  <c r="AO876" i="1"/>
  <c r="AN876" i="1"/>
  <c r="AV876" i="1"/>
  <c r="AR876" i="1"/>
  <c r="AU877" i="1"/>
  <c r="AT877" i="1"/>
  <c r="H877" i="1"/>
  <c r="G877" i="1"/>
  <c r="AL877" i="1"/>
  <c r="AO877" i="1"/>
  <c r="AN877" i="1"/>
  <c r="AV877" i="1"/>
  <c r="AR877" i="1"/>
  <c r="AU878" i="1"/>
  <c r="AT878" i="1"/>
  <c r="H878" i="1"/>
  <c r="G878" i="1"/>
  <c r="AL878" i="1"/>
  <c r="AO878" i="1"/>
  <c r="AN878" i="1"/>
  <c r="AV878" i="1"/>
  <c r="AR878" i="1"/>
  <c r="AU879" i="1"/>
  <c r="AT879" i="1"/>
  <c r="H879" i="1"/>
  <c r="G879" i="1"/>
  <c r="AL879" i="1"/>
  <c r="AO879" i="1"/>
  <c r="AN879" i="1"/>
  <c r="AV879" i="1"/>
  <c r="AR879" i="1"/>
  <c r="AU880" i="1"/>
  <c r="AT880" i="1"/>
  <c r="H880" i="1"/>
  <c r="G880" i="1"/>
  <c r="AL880" i="1"/>
  <c r="AO880" i="1"/>
  <c r="AN880" i="1"/>
  <c r="AV880" i="1"/>
  <c r="AR880" i="1"/>
  <c r="AU881" i="1"/>
  <c r="AT881" i="1"/>
  <c r="H881" i="1"/>
  <c r="G881" i="1"/>
  <c r="AL881" i="1"/>
  <c r="AO881" i="1"/>
  <c r="AN881" i="1"/>
  <c r="AV881" i="1"/>
  <c r="AR881" i="1"/>
  <c r="AU882" i="1"/>
  <c r="AT882" i="1"/>
  <c r="H882" i="1"/>
  <c r="G882" i="1"/>
  <c r="AL882" i="1"/>
  <c r="AO882" i="1"/>
  <c r="AN882" i="1"/>
  <c r="AV882" i="1"/>
  <c r="AR882" i="1"/>
  <c r="AU883" i="1"/>
  <c r="AT883" i="1"/>
  <c r="H883" i="1"/>
  <c r="G883" i="1"/>
  <c r="AL883" i="1"/>
  <c r="AO883" i="1"/>
  <c r="AN883" i="1"/>
  <c r="AV883" i="1"/>
  <c r="AR883" i="1"/>
  <c r="AU884" i="1"/>
  <c r="AT884" i="1"/>
  <c r="H884" i="1"/>
  <c r="G884" i="1"/>
  <c r="AL884" i="1"/>
  <c r="AO884" i="1"/>
  <c r="AN884" i="1"/>
  <c r="AV884" i="1"/>
  <c r="AR884" i="1"/>
  <c r="AU885" i="1"/>
  <c r="AT885" i="1"/>
  <c r="H885" i="1"/>
  <c r="G885" i="1"/>
  <c r="AL885" i="1"/>
  <c r="AO885" i="1"/>
  <c r="AN885" i="1"/>
  <c r="AV885" i="1"/>
  <c r="AR885" i="1"/>
  <c r="AU886" i="1"/>
  <c r="AT886" i="1"/>
  <c r="H886" i="1"/>
  <c r="G886" i="1"/>
  <c r="AL886" i="1"/>
  <c r="AO886" i="1"/>
  <c r="AN886" i="1"/>
  <c r="AV886" i="1"/>
  <c r="AR886" i="1"/>
  <c r="AU887" i="1"/>
  <c r="AT887" i="1"/>
  <c r="H887" i="1"/>
  <c r="G887" i="1"/>
  <c r="AL887" i="1"/>
  <c r="AO887" i="1"/>
  <c r="AN887" i="1"/>
  <c r="AV887" i="1"/>
  <c r="AR887" i="1"/>
  <c r="AU888" i="1"/>
  <c r="AT888" i="1"/>
  <c r="H888" i="1"/>
  <c r="G888" i="1"/>
  <c r="AL888" i="1"/>
  <c r="AO888" i="1"/>
  <c r="AN888" i="1"/>
  <c r="AV888" i="1"/>
  <c r="AR888" i="1"/>
  <c r="AU889" i="1"/>
  <c r="AT889" i="1"/>
  <c r="H889" i="1"/>
  <c r="G889" i="1"/>
  <c r="AL889" i="1"/>
  <c r="AO889" i="1"/>
  <c r="AN889" i="1"/>
  <c r="AV889" i="1"/>
  <c r="AR889" i="1"/>
  <c r="AU890" i="1"/>
  <c r="AT890" i="1"/>
  <c r="H890" i="1"/>
  <c r="G890" i="1"/>
  <c r="AL890" i="1"/>
  <c r="AO890" i="1"/>
  <c r="AN890" i="1"/>
  <c r="AV890" i="1"/>
  <c r="AR890" i="1"/>
  <c r="AU891" i="1"/>
  <c r="AT891" i="1"/>
  <c r="H891" i="1"/>
  <c r="G891" i="1"/>
  <c r="AL891" i="1"/>
  <c r="AO891" i="1"/>
  <c r="AN891" i="1"/>
  <c r="AV891" i="1"/>
  <c r="AR891" i="1"/>
  <c r="AU892" i="1"/>
  <c r="AT892" i="1"/>
  <c r="H892" i="1"/>
  <c r="G892" i="1"/>
  <c r="AL892" i="1"/>
  <c r="AO892" i="1"/>
  <c r="AN892" i="1"/>
  <c r="AV892" i="1"/>
  <c r="AR892" i="1"/>
  <c r="AU893" i="1"/>
  <c r="AT893" i="1"/>
  <c r="H893" i="1"/>
  <c r="G893" i="1"/>
  <c r="AL893" i="1"/>
  <c r="AO893" i="1"/>
  <c r="AN893" i="1"/>
  <c r="AV893" i="1"/>
  <c r="AR893" i="1"/>
  <c r="AU894" i="1"/>
  <c r="AT894" i="1"/>
  <c r="H894" i="1"/>
  <c r="G894" i="1"/>
  <c r="AL894" i="1"/>
  <c r="AO894" i="1"/>
  <c r="AN894" i="1"/>
  <c r="AV894" i="1"/>
  <c r="AR894" i="1"/>
  <c r="AU895" i="1"/>
  <c r="AT895" i="1"/>
  <c r="H895" i="1"/>
  <c r="G895" i="1"/>
  <c r="AL895" i="1"/>
  <c r="AO895" i="1"/>
  <c r="AN895" i="1"/>
  <c r="AV895" i="1"/>
  <c r="AR895" i="1"/>
  <c r="AU896" i="1"/>
  <c r="AT896" i="1"/>
  <c r="H896" i="1"/>
  <c r="G896" i="1"/>
  <c r="AL896" i="1"/>
  <c r="AO896" i="1"/>
  <c r="AN896" i="1"/>
  <c r="AV896" i="1"/>
  <c r="AR896" i="1"/>
  <c r="AU897" i="1"/>
  <c r="AT897" i="1"/>
  <c r="H897" i="1"/>
  <c r="G897" i="1"/>
  <c r="AL897" i="1"/>
  <c r="AO897" i="1"/>
  <c r="AN897" i="1"/>
  <c r="AV897" i="1"/>
  <c r="AR897" i="1"/>
  <c r="AU898" i="1"/>
  <c r="AT898" i="1"/>
  <c r="H898" i="1"/>
  <c r="G898" i="1"/>
  <c r="AL898" i="1"/>
  <c r="AO898" i="1"/>
  <c r="AN898" i="1"/>
  <c r="AV898" i="1"/>
  <c r="AR898" i="1"/>
  <c r="AU899" i="1"/>
  <c r="AT899" i="1"/>
  <c r="H899" i="1"/>
  <c r="G899" i="1"/>
  <c r="AL899" i="1"/>
  <c r="AO899" i="1"/>
  <c r="AN899" i="1"/>
  <c r="AV899" i="1"/>
  <c r="AR899" i="1"/>
  <c r="AU900" i="1"/>
  <c r="AT900" i="1"/>
  <c r="H900" i="1"/>
  <c r="G900" i="1"/>
  <c r="AL900" i="1"/>
  <c r="AO900" i="1"/>
  <c r="AN900" i="1"/>
  <c r="AV900" i="1"/>
  <c r="AR900" i="1"/>
  <c r="AU901" i="1"/>
  <c r="AT901" i="1"/>
  <c r="H901" i="1"/>
  <c r="G901" i="1"/>
  <c r="AL901" i="1"/>
  <c r="AO901" i="1"/>
  <c r="AN901" i="1"/>
  <c r="AV901" i="1"/>
  <c r="AR901" i="1"/>
  <c r="AU902" i="1"/>
  <c r="AT902" i="1"/>
  <c r="H902" i="1"/>
  <c r="G902" i="1"/>
  <c r="AL902" i="1"/>
  <c r="AO902" i="1"/>
  <c r="AN902" i="1"/>
  <c r="AV902" i="1"/>
  <c r="AR902" i="1"/>
  <c r="AU903" i="1"/>
  <c r="AT903" i="1"/>
  <c r="H903" i="1"/>
  <c r="G903" i="1"/>
  <c r="AL903" i="1"/>
  <c r="AO903" i="1"/>
  <c r="AN903" i="1"/>
  <c r="AV903" i="1"/>
  <c r="AR903" i="1"/>
  <c r="AU904" i="1"/>
  <c r="AT904" i="1"/>
  <c r="H904" i="1"/>
  <c r="G904" i="1"/>
  <c r="AL904" i="1"/>
  <c r="AO904" i="1"/>
  <c r="AN904" i="1"/>
  <c r="AV904" i="1"/>
  <c r="AR904" i="1"/>
  <c r="AU905" i="1"/>
  <c r="AT905" i="1"/>
  <c r="H905" i="1"/>
  <c r="G905" i="1"/>
  <c r="AL905" i="1"/>
  <c r="AO905" i="1"/>
  <c r="AN905" i="1"/>
  <c r="AV905" i="1"/>
  <c r="AR905" i="1"/>
  <c r="AU906" i="1"/>
  <c r="AT906" i="1"/>
  <c r="H906" i="1"/>
  <c r="G906" i="1"/>
  <c r="AL906" i="1"/>
  <c r="AO906" i="1"/>
  <c r="AN906" i="1"/>
  <c r="AV906" i="1"/>
  <c r="AR906" i="1"/>
  <c r="AU907" i="1"/>
  <c r="AT907" i="1"/>
  <c r="H907" i="1"/>
  <c r="G907" i="1"/>
  <c r="AL907" i="1"/>
  <c r="AO907" i="1"/>
  <c r="AN907" i="1"/>
  <c r="AV907" i="1"/>
  <c r="AR907" i="1"/>
  <c r="AU908" i="1"/>
  <c r="AT908" i="1"/>
  <c r="H908" i="1"/>
  <c r="G908" i="1"/>
  <c r="AL908" i="1"/>
  <c r="AO908" i="1"/>
  <c r="AN908" i="1"/>
  <c r="AV908" i="1"/>
  <c r="AR908" i="1"/>
  <c r="AU909" i="1"/>
  <c r="AT909" i="1"/>
  <c r="H909" i="1"/>
  <c r="G909" i="1"/>
  <c r="AL909" i="1"/>
  <c r="AO909" i="1"/>
  <c r="AN909" i="1"/>
  <c r="AV909" i="1"/>
  <c r="AR909" i="1"/>
  <c r="AU910" i="1"/>
  <c r="AT910" i="1"/>
  <c r="H910" i="1"/>
  <c r="G910" i="1"/>
  <c r="AL910" i="1"/>
  <c r="AO910" i="1"/>
  <c r="AN910" i="1"/>
  <c r="AV910" i="1"/>
  <c r="AR910" i="1"/>
  <c r="AU911" i="1"/>
  <c r="AT911" i="1"/>
  <c r="H911" i="1"/>
  <c r="G911" i="1"/>
  <c r="AL911" i="1"/>
  <c r="AO911" i="1"/>
  <c r="AN911" i="1"/>
  <c r="AV911" i="1"/>
  <c r="AR911" i="1"/>
  <c r="AU912" i="1"/>
  <c r="AT912" i="1"/>
  <c r="H912" i="1"/>
  <c r="G912" i="1"/>
  <c r="AL912" i="1"/>
  <c r="AO912" i="1"/>
  <c r="AN912" i="1"/>
  <c r="AV912" i="1"/>
  <c r="AR912" i="1"/>
  <c r="AU913" i="1"/>
  <c r="AT913" i="1"/>
  <c r="H913" i="1"/>
  <c r="G913" i="1"/>
  <c r="AL913" i="1"/>
  <c r="AO913" i="1"/>
  <c r="AN913" i="1"/>
  <c r="AV913" i="1"/>
  <c r="AR913" i="1"/>
  <c r="AW913" i="1" l="1"/>
  <c r="AY913" i="1" s="1"/>
  <c r="AS913" i="1"/>
  <c r="AZ913" i="1"/>
  <c r="AX913" i="1" s="1"/>
  <c r="AW912" i="1"/>
  <c r="AY912" i="1" s="1"/>
  <c r="AS912" i="1"/>
  <c r="AZ912" i="1"/>
  <c r="AX912" i="1" s="1"/>
  <c r="AW911" i="1"/>
  <c r="AY911" i="1" s="1"/>
  <c r="AS911" i="1"/>
  <c r="AZ911" i="1"/>
  <c r="AX911" i="1" s="1"/>
  <c r="AW910" i="1"/>
  <c r="AY910" i="1" s="1"/>
  <c r="AS910" i="1"/>
  <c r="AZ910" i="1"/>
  <c r="AX910" i="1" s="1"/>
  <c r="AW909" i="1"/>
  <c r="AY909" i="1" s="1"/>
  <c r="AS909" i="1"/>
  <c r="AZ909" i="1"/>
  <c r="AX909" i="1" s="1"/>
  <c r="AW908" i="1"/>
  <c r="AY908" i="1" s="1"/>
  <c r="AS908" i="1"/>
  <c r="AZ908" i="1"/>
  <c r="AX908" i="1" s="1"/>
  <c r="AW907" i="1"/>
  <c r="AY907" i="1" s="1"/>
  <c r="AS907" i="1"/>
  <c r="AZ907" i="1"/>
  <c r="AX907" i="1" s="1"/>
  <c r="AW906" i="1"/>
  <c r="AY906" i="1" s="1"/>
  <c r="AS906" i="1"/>
  <c r="AZ906" i="1"/>
  <c r="AX906" i="1" s="1"/>
  <c r="AW905" i="1"/>
  <c r="AY905" i="1" s="1"/>
  <c r="AS905" i="1"/>
  <c r="AZ905" i="1"/>
  <c r="AX905" i="1" s="1"/>
  <c r="AW904" i="1"/>
  <c r="AY904" i="1" s="1"/>
  <c r="AS904" i="1"/>
  <c r="AZ904" i="1"/>
  <c r="AX904" i="1" s="1"/>
  <c r="AW903" i="1"/>
  <c r="AY903" i="1" s="1"/>
  <c r="AS903" i="1"/>
  <c r="AZ903" i="1"/>
  <c r="AX903" i="1" s="1"/>
  <c r="AW902" i="1"/>
  <c r="AY902" i="1" s="1"/>
  <c r="AS902" i="1"/>
  <c r="AZ902" i="1"/>
  <c r="AX902" i="1" s="1"/>
  <c r="AW901" i="1"/>
  <c r="AY901" i="1" s="1"/>
  <c r="AS901" i="1"/>
  <c r="AZ901" i="1"/>
  <c r="AX901" i="1" s="1"/>
  <c r="AW900" i="1"/>
  <c r="AY900" i="1" s="1"/>
  <c r="AS900" i="1"/>
  <c r="AZ900" i="1"/>
  <c r="AX900" i="1" s="1"/>
  <c r="AW899" i="1"/>
  <c r="AY899" i="1" s="1"/>
  <c r="AS899" i="1"/>
  <c r="AZ899" i="1"/>
  <c r="AX899" i="1" s="1"/>
  <c r="AW898" i="1"/>
  <c r="AY898" i="1" s="1"/>
  <c r="AS898" i="1"/>
  <c r="AZ898" i="1"/>
  <c r="AX898" i="1" s="1"/>
  <c r="AW897" i="1"/>
  <c r="AY897" i="1" s="1"/>
  <c r="AS897" i="1"/>
  <c r="AZ897" i="1"/>
  <c r="AX897" i="1" s="1"/>
  <c r="AW896" i="1"/>
  <c r="AY896" i="1" s="1"/>
  <c r="AS896" i="1"/>
  <c r="AZ896" i="1"/>
  <c r="AX896" i="1" s="1"/>
  <c r="AW895" i="1"/>
  <c r="AY895" i="1" s="1"/>
  <c r="AS895" i="1"/>
  <c r="AZ895" i="1"/>
  <c r="AX895" i="1" s="1"/>
  <c r="AW894" i="1"/>
  <c r="AY894" i="1" s="1"/>
  <c r="AS894" i="1"/>
  <c r="AZ894" i="1"/>
  <c r="AX894" i="1" s="1"/>
  <c r="AW893" i="1"/>
  <c r="AY893" i="1" s="1"/>
  <c r="AS893" i="1"/>
  <c r="AZ893" i="1"/>
  <c r="AX893" i="1" s="1"/>
  <c r="AW892" i="1"/>
  <c r="AY892" i="1" s="1"/>
  <c r="AS892" i="1"/>
  <c r="AZ892" i="1"/>
  <c r="AX892" i="1" s="1"/>
  <c r="AW891" i="1"/>
  <c r="AY891" i="1" s="1"/>
  <c r="AS891" i="1"/>
  <c r="AZ891" i="1"/>
  <c r="AX891" i="1" s="1"/>
  <c r="AW890" i="1"/>
  <c r="AY890" i="1" s="1"/>
  <c r="AS890" i="1"/>
  <c r="AZ890" i="1"/>
  <c r="AX890" i="1" s="1"/>
  <c r="AW889" i="1"/>
  <c r="AY889" i="1" s="1"/>
  <c r="AS889" i="1"/>
  <c r="AZ889" i="1"/>
  <c r="AX889" i="1" s="1"/>
  <c r="AW888" i="1"/>
  <c r="AY888" i="1" s="1"/>
  <c r="AS888" i="1"/>
  <c r="AZ888" i="1"/>
  <c r="AX888" i="1" s="1"/>
  <c r="AW887" i="1"/>
  <c r="AY887" i="1" s="1"/>
  <c r="AS887" i="1"/>
  <c r="AZ887" i="1"/>
  <c r="AX887" i="1" s="1"/>
  <c r="AW886" i="1"/>
  <c r="AY886" i="1" s="1"/>
  <c r="AS886" i="1"/>
  <c r="AZ886" i="1"/>
  <c r="AX886" i="1" s="1"/>
  <c r="AW885" i="1"/>
  <c r="AY885" i="1" s="1"/>
  <c r="AS885" i="1"/>
  <c r="AZ885" i="1"/>
  <c r="AX885" i="1" s="1"/>
  <c r="AW884" i="1"/>
  <c r="AY884" i="1" s="1"/>
  <c r="AS884" i="1"/>
  <c r="AZ884" i="1"/>
  <c r="AX884" i="1" s="1"/>
  <c r="AW883" i="1"/>
  <c r="AY883" i="1" s="1"/>
  <c r="AS883" i="1"/>
  <c r="AZ883" i="1"/>
  <c r="AX883" i="1" s="1"/>
  <c r="AW882" i="1"/>
  <c r="AY882" i="1" s="1"/>
  <c r="AS882" i="1"/>
  <c r="AZ882" i="1"/>
  <c r="AX882" i="1" s="1"/>
  <c r="AW881" i="1"/>
  <c r="AY881" i="1" s="1"/>
  <c r="AS881" i="1"/>
  <c r="AZ881" i="1"/>
  <c r="AX881" i="1" s="1"/>
  <c r="AW880" i="1"/>
  <c r="AY880" i="1" s="1"/>
  <c r="AS880" i="1"/>
  <c r="AZ880" i="1"/>
  <c r="AX880" i="1" s="1"/>
  <c r="AW879" i="1"/>
  <c r="AY879" i="1" s="1"/>
  <c r="AS879" i="1"/>
  <c r="AZ879" i="1"/>
  <c r="AX879" i="1" s="1"/>
  <c r="AW878" i="1"/>
  <c r="AY878" i="1" s="1"/>
  <c r="AS878" i="1"/>
  <c r="AZ878" i="1"/>
  <c r="AX878" i="1" s="1"/>
  <c r="AW877" i="1"/>
  <c r="AY877" i="1" s="1"/>
  <c r="AS877" i="1"/>
  <c r="AZ877" i="1"/>
  <c r="AX877" i="1" s="1"/>
  <c r="AW876" i="1"/>
  <c r="AY876" i="1" s="1"/>
  <c r="AS876" i="1"/>
  <c r="AZ876" i="1"/>
  <c r="AX876" i="1" s="1"/>
  <c r="AW875" i="1"/>
  <c r="AY875" i="1" s="1"/>
  <c r="AS875" i="1"/>
  <c r="AZ875" i="1"/>
  <c r="AX875" i="1" s="1"/>
  <c r="AW874" i="1"/>
  <c r="AY874" i="1" s="1"/>
  <c r="AS874" i="1"/>
  <c r="AZ874" i="1"/>
  <c r="AX874" i="1" s="1"/>
  <c r="AW873" i="1"/>
  <c r="AY873" i="1" s="1"/>
  <c r="AS873" i="1"/>
  <c r="AZ873" i="1"/>
  <c r="AX873" i="1" s="1"/>
  <c r="AW872" i="1"/>
  <c r="AY872" i="1" s="1"/>
  <c r="AS872" i="1"/>
  <c r="AZ872" i="1"/>
  <c r="AX872" i="1" s="1"/>
  <c r="AW871" i="1"/>
  <c r="AY871" i="1" s="1"/>
  <c r="AS871" i="1"/>
  <c r="AZ871" i="1"/>
  <c r="AX871" i="1" s="1"/>
  <c r="AW870" i="1"/>
  <c r="AY870" i="1" s="1"/>
  <c r="AS870" i="1"/>
  <c r="AZ870" i="1"/>
  <c r="AX870" i="1" s="1"/>
  <c r="AW869" i="1"/>
  <c r="AY869" i="1" s="1"/>
  <c r="AS869" i="1"/>
  <c r="AZ869" i="1"/>
  <c r="AX869" i="1" s="1"/>
  <c r="AW868" i="1"/>
  <c r="AY868" i="1" s="1"/>
  <c r="AS868" i="1"/>
  <c r="AZ868" i="1"/>
  <c r="AX868" i="1" s="1"/>
  <c r="AW867" i="1"/>
  <c r="AY867" i="1" s="1"/>
  <c r="AS867" i="1"/>
  <c r="AZ867" i="1"/>
  <c r="AX867" i="1" s="1"/>
  <c r="AW866" i="1"/>
  <c r="AY866" i="1" s="1"/>
  <c r="AS866" i="1"/>
  <c r="AZ866" i="1"/>
  <c r="AX866" i="1" s="1"/>
  <c r="AW865" i="1"/>
  <c r="AY865" i="1" s="1"/>
  <c r="AS865" i="1"/>
  <c r="AZ865" i="1"/>
  <c r="AX865" i="1" s="1"/>
  <c r="AW864" i="1"/>
  <c r="AY864" i="1" s="1"/>
  <c r="AS864" i="1"/>
  <c r="AZ864" i="1"/>
  <c r="AX864" i="1" s="1"/>
  <c r="AW863" i="1"/>
  <c r="AY863" i="1" s="1"/>
  <c r="AS863" i="1"/>
  <c r="AZ863" i="1"/>
  <c r="AX863" i="1" s="1"/>
  <c r="AW862" i="1"/>
  <c r="AY862" i="1" s="1"/>
  <c r="AS862" i="1"/>
  <c r="AZ862" i="1"/>
  <c r="AX862" i="1" s="1"/>
  <c r="AW861" i="1"/>
  <c r="AY861" i="1" s="1"/>
  <c r="AS861" i="1"/>
  <c r="AZ861" i="1"/>
  <c r="AX861" i="1" s="1"/>
  <c r="AW860" i="1"/>
  <c r="AY860" i="1" s="1"/>
  <c r="AS860" i="1"/>
  <c r="AZ860" i="1"/>
  <c r="AX860" i="1" s="1"/>
  <c r="AW859" i="1"/>
  <c r="AY859" i="1" s="1"/>
  <c r="AS859" i="1"/>
  <c r="AZ859" i="1"/>
  <c r="AX859" i="1" s="1"/>
  <c r="AW858" i="1"/>
  <c r="AY858" i="1" s="1"/>
  <c r="AS858" i="1"/>
  <c r="AZ858" i="1"/>
  <c r="AX858" i="1" s="1"/>
  <c r="AW857" i="1"/>
  <c r="AY857" i="1" s="1"/>
  <c r="AS857" i="1"/>
  <c r="AZ857" i="1"/>
  <c r="AX857" i="1" s="1"/>
  <c r="AW856" i="1"/>
  <c r="AY856" i="1" s="1"/>
  <c r="AS856" i="1"/>
  <c r="AZ856" i="1"/>
  <c r="AX856" i="1" s="1"/>
  <c r="AW855" i="1"/>
  <c r="AY855" i="1" s="1"/>
  <c r="AS855" i="1"/>
  <c r="AZ855" i="1"/>
  <c r="AX855" i="1" s="1"/>
  <c r="AW854" i="1"/>
  <c r="AY854" i="1" s="1"/>
  <c r="AS854" i="1"/>
  <c r="AZ854" i="1"/>
  <c r="AX854" i="1" s="1"/>
  <c r="AW853" i="1"/>
  <c r="AY853" i="1" s="1"/>
  <c r="AS853" i="1"/>
  <c r="AZ853" i="1"/>
  <c r="AX853" i="1" s="1"/>
  <c r="AW852" i="1"/>
  <c r="AY852" i="1" s="1"/>
  <c r="AS852" i="1"/>
  <c r="AZ852" i="1"/>
  <c r="AX852" i="1" s="1"/>
  <c r="AW851" i="1"/>
  <c r="AY851" i="1" s="1"/>
  <c r="AS851" i="1"/>
  <c r="AZ851" i="1"/>
  <c r="AX851" i="1" s="1"/>
  <c r="AW850" i="1"/>
  <c r="AY850" i="1" s="1"/>
  <c r="AS850" i="1"/>
  <c r="AZ850" i="1"/>
  <c r="AX850" i="1" s="1"/>
  <c r="AW849" i="1"/>
  <c r="AY849" i="1" s="1"/>
  <c r="AS849" i="1"/>
  <c r="AZ849" i="1"/>
  <c r="AX849" i="1" s="1"/>
  <c r="AW848" i="1"/>
  <c r="AY848" i="1" s="1"/>
  <c r="AS848" i="1"/>
  <c r="AZ848" i="1"/>
  <c r="AX848" i="1" s="1"/>
  <c r="AW847" i="1"/>
  <c r="AY847" i="1" s="1"/>
  <c r="AS847" i="1"/>
  <c r="AZ847" i="1"/>
  <c r="AX847" i="1" s="1"/>
  <c r="AW846" i="1"/>
  <c r="AY846" i="1" s="1"/>
  <c r="AS846" i="1"/>
  <c r="AZ846" i="1"/>
  <c r="AX846" i="1" s="1"/>
  <c r="AW845" i="1"/>
  <c r="AY845" i="1" s="1"/>
  <c r="AS845" i="1"/>
  <c r="AZ845" i="1"/>
  <c r="AX845" i="1" s="1"/>
  <c r="AW844" i="1"/>
  <c r="AY844" i="1" s="1"/>
  <c r="AS844" i="1"/>
  <c r="AZ844" i="1"/>
  <c r="AX844" i="1" s="1"/>
  <c r="AW843" i="1"/>
  <c r="AY843" i="1" s="1"/>
  <c r="AS843" i="1"/>
  <c r="AZ843" i="1"/>
  <c r="AX843" i="1" s="1"/>
  <c r="AW842" i="1"/>
  <c r="AY842" i="1" s="1"/>
  <c r="AS842" i="1"/>
  <c r="AZ842" i="1"/>
  <c r="AX842" i="1" s="1"/>
  <c r="AW841" i="1"/>
  <c r="AY841" i="1" s="1"/>
  <c r="AS841" i="1"/>
  <c r="AZ841" i="1"/>
  <c r="AX841" i="1" s="1"/>
  <c r="AW840" i="1"/>
  <c r="AY840" i="1" s="1"/>
  <c r="AS840" i="1"/>
  <c r="AZ840" i="1"/>
  <c r="AX840" i="1" s="1"/>
  <c r="AW839" i="1"/>
  <c r="AY839" i="1" s="1"/>
  <c r="AS839" i="1"/>
  <c r="AZ839" i="1"/>
  <c r="AX839" i="1" s="1"/>
  <c r="AW838" i="1"/>
  <c r="AY838" i="1" s="1"/>
  <c r="AS838" i="1"/>
  <c r="AZ838" i="1"/>
  <c r="AX838" i="1" s="1"/>
  <c r="AW837" i="1"/>
  <c r="AY837" i="1" s="1"/>
  <c r="AS837" i="1"/>
  <c r="AZ837" i="1"/>
  <c r="AX837" i="1" s="1"/>
  <c r="AW836" i="1"/>
  <c r="AY836" i="1" s="1"/>
  <c r="AS836" i="1"/>
  <c r="AZ836" i="1"/>
  <c r="AX836" i="1" s="1"/>
  <c r="AW835" i="1"/>
  <c r="AY835" i="1" s="1"/>
  <c r="AS835" i="1"/>
  <c r="AZ835" i="1"/>
  <c r="AX835" i="1" s="1"/>
  <c r="AW834" i="1"/>
  <c r="AY834" i="1" s="1"/>
  <c r="AS834" i="1"/>
  <c r="AZ834" i="1"/>
  <c r="AX834" i="1" s="1"/>
  <c r="AW833" i="1"/>
  <c r="AY833" i="1" s="1"/>
  <c r="AS833" i="1"/>
  <c r="AZ833" i="1"/>
  <c r="AX833" i="1" s="1"/>
  <c r="AW832" i="1"/>
  <c r="AY832" i="1" s="1"/>
  <c r="AS832" i="1"/>
  <c r="AZ832" i="1"/>
  <c r="AX832" i="1" s="1"/>
  <c r="AW831" i="1"/>
  <c r="AY831" i="1" s="1"/>
  <c r="AS831" i="1"/>
  <c r="AZ831" i="1"/>
  <c r="AX831" i="1" s="1"/>
  <c r="AW830" i="1"/>
  <c r="AY830" i="1" s="1"/>
  <c r="AS830" i="1"/>
  <c r="AZ830" i="1"/>
  <c r="AX830" i="1" s="1"/>
  <c r="AW829" i="1"/>
  <c r="AY829" i="1" s="1"/>
  <c r="AS829" i="1"/>
  <c r="AZ829" i="1"/>
  <c r="AX829" i="1" s="1"/>
  <c r="AW828" i="1"/>
  <c r="AY828" i="1" s="1"/>
  <c r="AS828" i="1"/>
  <c r="AZ828" i="1"/>
  <c r="AX828" i="1" s="1"/>
  <c r="AW827" i="1"/>
  <c r="AY827" i="1" s="1"/>
  <c r="AS827" i="1"/>
  <c r="AZ827" i="1"/>
  <c r="AX827" i="1" s="1"/>
  <c r="AW826" i="1"/>
  <c r="AY826" i="1" s="1"/>
  <c r="AS826" i="1"/>
  <c r="AZ826" i="1"/>
  <c r="AX826" i="1" s="1"/>
  <c r="AW825" i="1"/>
  <c r="AY825" i="1" s="1"/>
  <c r="AS825" i="1"/>
  <c r="AZ825" i="1"/>
  <c r="AX825" i="1" s="1"/>
  <c r="AW824" i="1"/>
  <c r="AY824" i="1" s="1"/>
  <c r="AS824" i="1"/>
  <c r="AZ824" i="1"/>
  <c r="AX824" i="1" s="1"/>
  <c r="AW823" i="1"/>
  <c r="AY823" i="1" s="1"/>
  <c r="AS823" i="1"/>
  <c r="AZ823" i="1"/>
  <c r="AX823" i="1" s="1"/>
  <c r="AW822" i="1"/>
  <c r="AY822" i="1" s="1"/>
  <c r="AS822" i="1"/>
  <c r="AZ822" i="1"/>
  <c r="AX822" i="1" s="1"/>
  <c r="AW821" i="1"/>
  <c r="AY821" i="1" s="1"/>
  <c r="AS821" i="1"/>
  <c r="AZ821" i="1"/>
  <c r="AX821" i="1" s="1"/>
  <c r="AW820" i="1"/>
  <c r="AY820" i="1" s="1"/>
  <c r="AS820" i="1"/>
  <c r="AZ820" i="1"/>
  <c r="AX820" i="1" s="1"/>
  <c r="AW819" i="1"/>
  <c r="AY819" i="1" s="1"/>
  <c r="AS819" i="1"/>
  <c r="AZ819" i="1"/>
  <c r="AX819" i="1" s="1"/>
  <c r="AW818" i="1"/>
  <c r="AY818" i="1" s="1"/>
  <c r="AS818" i="1"/>
  <c r="AZ818" i="1"/>
  <c r="AX818" i="1" s="1"/>
  <c r="AW817" i="1"/>
  <c r="AY817" i="1" s="1"/>
  <c r="AS817" i="1"/>
  <c r="AZ817" i="1"/>
  <c r="AX817" i="1" s="1"/>
  <c r="AW816" i="1"/>
  <c r="AY816" i="1" s="1"/>
  <c r="AS816" i="1"/>
  <c r="AZ816" i="1"/>
  <c r="AX816" i="1" s="1"/>
  <c r="AW815" i="1"/>
  <c r="AY815" i="1" s="1"/>
  <c r="AS815" i="1"/>
  <c r="AZ815" i="1"/>
  <c r="AX815" i="1" s="1"/>
  <c r="AW814" i="1"/>
  <c r="AY814" i="1" s="1"/>
  <c r="AS814" i="1"/>
  <c r="AZ814" i="1"/>
  <c r="AX814" i="1" s="1"/>
  <c r="AW813" i="1"/>
  <c r="AY813" i="1" s="1"/>
  <c r="AS813" i="1"/>
  <c r="AZ813" i="1"/>
  <c r="AX813" i="1" s="1"/>
  <c r="AW812" i="1"/>
  <c r="AY812" i="1" s="1"/>
  <c r="AS812" i="1"/>
  <c r="AZ812" i="1"/>
  <c r="AX812" i="1" s="1"/>
  <c r="AW811" i="1"/>
  <c r="AY811" i="1" s="1"/>
  <c r="AS811" i="1"/>
  <c r="AZ811" i="1"/>
  <c r="AX811" i="1" s="1"/>
  <c r="AW810" i="1"/>
  <c r="AY810" i="1" s="1"/>
  <c r="AS810" i="1"/>
  <c r="AZ810" i="1"/>
  <c r="AX810" i="1" s="1"/>
  <c r="AW809" i="1"/>
  <c r="AY809" i="1" s="1"/>
  <c r="AS809" i="1"/>
  <c r="AZ809" i="1"/>
  <c r="AX809" i="1" s="1"/>
  <c r="AW808" i="1"/>
  <c r="AY808" i="1" s="1"/>
  <c r="AS808" i="1"/>
  <c r="AZ808" i="1"/>
  <c r="AX808" i="1" s="1"/>
  <c r="AW807" i="1"/>
  <c r="AY807" i="1" s="1"/>
  <c r="AS807" i="1"/>
  <c r="AZ807" i="1"/>
  <c r="AX807" i="1" s="1"/>
  <c r="AW806" i="1"/>
  <c r="AY806" i="1" s="1"/>
  <c r="AS806" i="1"/>
  <c r="AZ806" i="1"/>
  <c r="AX806" i="1" s="1"/>
  <c r="AW805" i="1"/>
  <c r="AY805" i="1" s="1"/>
  <c r="AS805" i="1"/>
  <c r="AZ805" i="1"/>
  <c r="AX805" i="1" s="1"/>
  <c r="AW804" i="1"/>
  <c r="AY804" i="1" s="1"/>
  <c r="AS804" i="1"/>
  <c r="AZ804" i="1"/>
  <c r="AX804" i="1" s="1"/>
  <c r="AW803" i="1"/>
  <c r="AY803" i="1" s="1"/>
  <c r="AS803" i="1"/>
  <c r="AZ803" i="1"/>
  <c r="AX803" i="1" s="1"/>
  <c r="AW802" i="1"/>
  <c r="AY802" i="1" s="1"/>
  <c r="AS802" i="1"/>
  <c r="AZ802" i="1"/>
  <c r="AX802" i="1" s="1"/>
  <c r="AW801" i="1"/>
  <c r="AY801" i="1" s="1"/>
  <c r="AS801" i="1"/>
  <c r="AZ801" i="1"/>
  <c r="AX801" i="1" s="1"/>
  <c r="AW800" i="1"/>
  <c r="AY800" i="1" s="1"/>
  <c r="AS800" i="1"/>
  <c r="AZ800" i="1"/>
  <c r="AX800" i="1" s="1"/>
  <c r="AW799" i="1"/>
  <c r="AY799" i="1" s="1"/>
  <c r="AS799" i="1"/>
  <c r="AZ799" i="1"/>
  <c r="AX799" i="1" s="1"/>
  <c r="AW798" i="1"/>
  <c r="AY798" i="1" s="1"/>
  <c r="AS798" i="1"/>
  <c r="AZ798" i="1"/>
  <c r="AX798" i="1" s="1"/>
  <c r="AW797" i="1"/>
  <c r="AY797" i="1" s="1"/>
  <c r="AS797" i="1"/>
  <c r="AZ797" i="1"/>
  <c r="AX797" i="1" s="1"/>
  <c r="AW796" i="1"/>
  <c r="AY796" i="1" s="1"/>
  <c r="AS796" i="1"/>
  <c r="AZ796" i="1"/>
  <c r="AX796" i="1" s="1"/>
  <c r="AW795" i="1"/>
  <c r="AY795" i="1" s="1"/>
  <c r="AS795" i="1"/>
  <c r="AZ795" i="1"/>
  <c r="AX795" i="1" s="1"/>
  <c r="AW794" i="1"/>
  <c r="AY794" i="1" s="1"/>
  <c r="AS794" i="1"/>
  <c r="AZ794" i="1"/>
  <c r="AX794" i="1" s="1"/>
  <c r="AW793" i="1"/>
  <c r="AY793" i="1" s="1"/>
  <c r="AS793" i="1"/>
  <c r="AZ793" i="1"/>
  <c r="AX793" i="1" s="1"/>
  <c r="AW792" i="1"/>
  <c r="AY792" i="1" s="1"/>
  <c r="AS792" i="1"/>
  <c r="AZ792" i="1"/>
  <c r="AX792" i="1" s="1"/>
  <c r="AW791" i="1"/>
  <c r="AY791" i="1" s="1"/>
  <c r="AS791" i="1"/>
  <c r="AZ791" i="1"/>
  <c r="AX791" i="1" s="1"/>
  <c r="AW790" i="1"/>
  <c r="AY790" i="1" s="1"/>
  <c r="AS790" i="1"/>
  <c r="AZ790" i="1"/>
  <c r="AX790" i="1" s="1"/>
  <c r="AW789" i="1"/>
  <c r="AY789" i="1" s="1"/>
  <c r="AS789" i="1"/>
  <c r="AZ789" i="1"/>
  <c r="AX789" i="1" s="1"/>
  <c r="AW788" i="1"/>
  <c r="AY788" i="1" s="1"/>
  <c r="AS788" i="1"/>
  <c r="AZ788" i="1"/>
  <c r="AX788" i="1" s="1"/>
  <c r="AW787" i="1"/>
  <c r="AY787" i="1" s="1"/>
  <c r="AS787" i="1"/>
  <c r="AZ787" i="1"/>
  <c r="AX787" i="1" s="1"/>
  <c r="AW786" i="1"/>
  <c r="AY786" i="1" s="1"/>
  <c r="AS786" i="1"/>
  <c r="AZ786" i="1"/>
  <c r="AX786" i="1" s="1"/>
  <c r="AW785" i="1"/>
  <c r="AY785" i="1" s="1"/>
  <c r="AS785" i="1"/>
  <c r="AZ785" i="1"/>
  <c r="AX785" i="1" s="1"/>
  <c r="AW784" i="1"/>
  <c r="AY784" i="1" s="1"/>
  <c r="AS784" i="1"/>
  <c r="AZ784" i="1"/>
  <c r="AX784" i="1" s="1"/>
  <c r="AW783" i="1"/>
  <c r="AY783" i="1" s="1"/>
  <c r="AS783" i="1"/>
  <c r="AZ783" i="1"/>
  <c r="AX783" i="1" s="1"/>
  <c r="AW782" i="1"/>
  <c r="AY782" i="1" s="1"/>
  <c r="AS782" i="1"/>
  <c r="AZ782" i="1"/>
  <c r="AX782" i="1" s="1"/>
  <c r="AW781" i="1"/>
  <c r="AY781" i="1" s="1"/>
  <c r="AS781" i="1"/>
  <c r="AZ781" i="1"/>
  <c r="AX781" i="1" s="1"/>
  <c r="AW780" i="1"/>
  <c r="AY780" i="1" s="1"/>
  <c r="AS780" i="1"/>
  <c r="AZ780" i="1"/>
  <c r="AX780" i="1" s="1"/>
  <c r="AW779" i="1"/>
  <c r="AY779" i="1" s="1"/>
  <c r="AS779" i="1"/>
  <c r="AZ779" i="1"/>
  <c r="AX779" i="1" s="1"/>
  <c r="AW778" i="1"/>
  <c r="AY778" i="1" s="1"/>
  <c r="AS778" i="1"/>
  <c r="AZ778" i="1"/>
  <c r="AX778" i="1" s="1"/>
  <c r="AW777" i="1"/>
  <c r="AY777" i="1" s="1"/>
  <c r="AS777" i="1"/>
  <c r="AZ777" i="1"/>
  <c r="AX777" i="1" s="1"/>
  <c r="AW776" i="1"/>
  <c r="AY776" i="1" s="1"/>
  <c r="AS776" i="1"/>
  <c r="AZ776" i="1"/>
  <c r="AX776" i="1" s="1"/>
  <c r="AW775" i="1"/>
  <c r="AY775" i="1" s="1"/>
  <c r="AS775" i="1"/>
  <c r="AZ775" i="1"/>
  <c r="AX775" i="1" s="1"/>
  <c r="AW774" i="1"/>
  <c r="AY774" i="1" s="1"/>
  <c r="AS774" i="1"/>
  <c r="AZ774" i="1"/>
  <c r="AX774" i="1" s="1"/>
  <c r="AW773" i="1"/>
  <c r="AY773" i="1" s="1"/>
  <c r="AS773" i="1"/>
  <c r="AZ773" i="1"/>
  <c r="AX773" i="1" s="1"/>
  <c r="AW772" i="1"/>
  <c r="AY772" i="1" s="1"/>
  <c r="AS772" i="1"/>
  <c r="AZ772" i="1"/>
  <c r="AX772" i="1" s="1"/>
  <c r="AW771" i="1"/>
  <c r="AY771" i="1" s="1"/>
  <c r="AS771" i="1"/>
  <c r="AZ771" i="1"/>
  <c r="AX771" i="1" s="1"/>
  <c r="AW770" i="1"/>
  <c r="AY770" i="1" s="1"/>
  <c r="AS770" i="1"/>
  <c r="AZ770" i="1"/>
  <c r="AX770" i="1" s="1"/>
  <c r="AW769" i="1"/>
  <c r="AY769" i="1" s="1"/>
  <c r="AS769" i="1"/>
  <c r="AZ769" i="1"/>
  <c r="AX769" i="1" s="1"/>
  <c r="AW768" i="1"/>
  <c r="AY768" i="1" s="1"/>
  <c r="AS768" i="1"/>
  <c r="AZ768" i="1"/>
  <c r="AX768" i="1" s="1"/>
  <c r="AW767" i="1"/>
  <c r="AY767" i="1" s="1"/>
  <c r="AS767" i="1"/>
  <c r="AZ767" i="1"/>
  <c r="AX767" i="1" s="1"/>
  <c r="AW766" i="1"/>
  <c r="AY766" i="1" s="1"/>
  <c r="AS766" i="1"/>
  <c r="AZ766" i="1"/>
  <c r="AX766" i="1" s="1"/>
  <c r="AW765" i="1"/>
  <c r="AY765" i="1" s="1"/>
  <c r="AS765" i="1"/>
  <c r="AZ765" i="1"/>
  <c r="AX765" i="1" s="1"/>
  <c r="AW764" i="1"/>
  <c r="AY764" i="1" s="1"/>
  <c r="AS764" i="1"/>
  <c r="AZ764" i="1"/>
  <c r="AX764" i="1" s="1"/>
  <c r="AW763" i="1"/>
  <c r="AY763" i="1" s="1"/>
  <c r="AS763" i="1"/>
  <c r="AZ763" i="1"/>
  <c r="AX763" i="1" s="1"/>
  <c r="AW762" i="1"/>
  <c r="AY762" i="1" s="1"/>
  <c r="AS762" i="1"/>
  <c r="AZ762" i="1"/>
  <c r="AX762" i="1" s="1"/>
  <c r="AW761" i="1"/>
  <c r="AY761" i="1" s="1"/>
  <c r="AS761" i="1"/>
  <c r="AZ761" i="1"/>
  <c r="AX761" i="1" s="1"/>
  <c r="AW760" i="1"/>
  <c r="AY760" i="1" s="1"/>
  <c r="AS760" i="1"/>
  <c r="AZ760" i="1"/>
  <c r="AX760" i="1" s="1"/>
  <c r="AW759" i="1"/>
  <c r="AY759" i="1" s="1"/>
  <c r="AS759" i="1"/>
  <c r="AZ759" i="1"/>
  <c r="AX759" i="1" s="1"/>
  <c r="AW758" i="1"/>
  <c r="AY758" i="1" s="1"/>
  <c r="AS758" i="1"/>
  <c r="AZ758" i="1"/>
  <c r="AX758" i="1" s="1"/>
  <c r="AW757" i="1"/>
  <c r="AY757" i="1" s="1"/>
  <c r="AS757" i="1"/>
  <c r="AZ757" i="1"/>
  <c r="AX757" i="1" s="1"/>
  <c r="AW756" i="1"/>
  <c r="AY756" i="1" s="1"/>
  <c r="AS756" i="1"/>
  <c r="AZ756" i="1"/>
  <c r="AX756" i="1" s="1"/>
  <c r="AW755" i="1"/>
  <c r="AY755" i="1" s="1"/>
  <c r="AS755" i="1"/>
  <c r="AZ755" i="1"/>
  <c r="AX755" i="1" s="1"/>
  <c r="AW754" i="1"/>
  <c r="AY754" i="1" s="1"/>
  <c r="AS754" i="1"/>
  <c r="AZ754" i="1"/>
  <c r="AX754" i="1" s="1"/>
  <c r="AW753" i="1"/>
  <c r="AY753" i="1" s="1"/>
  <c r="AS753" i="1"/>
  <c r="AZ753" i="1"/>
  <c r="AX753" i="1" s="1"/>
  <c r="AW752" i="1"/>
  <c r="AY752" i="1" s="1"/>
  <c r="AS752" i="1"/>
  <c r="AZ752" i="1"/>
  <c r="AX752" i="1" s="1"/>
  <c r="AW751" i="1"/>
  <c r="AY751" i="1" s="1"/>
  <c r="AS751" i="1"/>
  <c r="AZ751" i="1"/>
  <c r="AX751" i="1" s="1"/>
  <c r="AW750" i="1"/>
  <c r="AY750" i="1" s="1"/>
  <c r="AS750" i="1"/>
  <c r="AZ750" i="1"/>
  <c r="AX750" i="1" s="1"/>
  <c r="AW749" i="1"/>
  <c r="AY749" i="1" s="1"/>
  <c r="AS749" i="1"/>
  <c r="AZ749" i="1"/>
  <c r="AX749" i="1" s="1"/>
  <c r="AW748" i="1"/>
  <c r="AY748" i="1" s="1"/>
  <c r="AS748" i="1"/>
  <c r="AZ748" i="1"/>
  <c r="AX748" i="1" s="1"/>
  <c r="AW747" i="1"/>
  <c r="AY747" i="1" s="1"/>
  <c r="AS747" i="1"/>
  <c r="AZ747" i="1"/>
  <c r="AX747" i="1" s="1"/>
  <c r="AW746" i="1"/>
  <c r="AY746" i="1" s="1"/>
  <c r="AS746" i="1"/>
  <c r="AZ746" i="1"/>
  <c r="AX746" i="1" s="1"/>
  <c r="AW745" i="1"/>
  <c r="AY745" i="1" s="1"/>
  <c r="AS745" i="1"/>
  <c r="AZ745" i="1"/>
  <c r="AX745" i="1" s="1"/>
  <c r="AW744" i="1"/>
  <c r="AY744" i="1" s="1"/>
  <c r="AS744" i="1"/>
  <c r="AZ744" i="1"/>
  <c r="AX744" i="1" s="1"/>
  <c r="AW743" i="1"/>
  <c r="AY743" i="1" s="1"/>
  <c r="AS743" i="1"/>
  <c r="AZ743" i="1"/>
  <c r="AX743" i="1" s="1"/>
  <c r="AW742" i="1"/>
  <c r="AY742" i="1" s="1"/>
  <c r="AS742" i="1"/>
  <c r="AZ742" i="1"/>
  <c r="AX742" i="1" s="1"/>
  <c r="AW741" i="1"/>
  <c r="AY741" i="1" s="1"/>
  <c r="AS741" i="1"/>
  <c r="AZ741" i="1"/>
  <c r="AX741" i="1" s="1"/>
  <c r="AW740" i="1"/>
  <c r="AY740" i="1" s="1"/>
  <c r="AS740" i="1"/>
  <c r="AZ740" i="1"/>
  <c r="AX740" i="1" s="1"/>
  <c r="AW739" i="1"/>
  <c r="AY739" i="1" s="1"/>
  <c r="AS739" i="1"/>
  <c r="AZ739" i="1"/>
  <c r="AX739" i="1" s="1"/>
  <c r="AW738" i="1"/>
  <c r="AY738" i="1" s="1"/>
  <c r="AS738" i="1"/>
  <c r="AZ738" i="1"/>
  <c r="AX738" i="1" s="1"/>
  <c r="AW737" i="1"/>
  <c r="AY737" i="1" s="1"/>
  <c r="AS737" i="1"/>
  <c r="AZ737" i="1"/>
  <c r="AX737" i="1" s="1"/>
  <c r="AW736" i="1"/>
  <c r="AY736" i="1" s="1"/>
  <c r="AS736" i="1"/>
  <c r="AZ736" i="1"/>
  <c r="AX736" i="1" s="1"/>
  <c r="AW735" i="1"/>
  <c r="AY735" i="1" s="1"/>
  <c r="AS735" i="1"/>
  <c r="AZ735" i="1"/>
  <c r="AX735" i="1" s="1"/>
  <c r="AW734" i="1"/>
  <c r="AY734" i="1" s="1"/>
  <c r="AS734" i="1"/>
  <c r="AZ734" i="1"/>
  <c r="AX734" i="1" s="1"/>
  <c r="AW733" i="1"/>
  <c r="AY733" i="1" s="1"/>
  <c r="AS733" i="1"/>
  <c r="AZ733" i="1"/>
  <c r="AX733" i="1" s="1"/>
  <c r="AW732" i="1"/>
  <c r="AY732" i="1" s="1"/>
  <c r="AS732" i="1"/>
  <c r="AZ732" i="1"/>
  <c r="AX732" i="1" s="1"/>
  <c r="AW731" i="1"/>
  <c r="AY731" i="1" s="1"/>
  <c r="AS731" i="1"/>
  <c r="AZ731" i="1"/>
  <c r="AX731" i="1" s="1"/>
  <c r="AW730" i="1"/>
  <c r="AY730" i="1" s="1"/>
  <c r="AS730" i="1"/>
  <c r="AZ730" i="1"/>
  <c r="AX730" i="1" s="1"/>
  <c r="AW729" i="1"/>
  <c r="AY729" i="1" s="1"/>
  <c r="AS729" i="1"/>
  <c r="AZ729" i="1"/>
  <c r="AX729" i="1" s="1"/>
  <c r="AW728" i="1"/>
  <c r="AY728" i="1" s="1"/>
  <c r="AS728" i="1"/>
  <c r="AZ728" i="1"/>
  <c r="AX728" i="1" s="1"/>
  <c r="AW727" i="1"/>
  <c r="AY727" i="1" s="1"/>
  <c r="AS727" i="1"/>
  <c r="AZ727" i="1"/>
  <c r="AX727" i="1" s="1"/>
  <c r="AW726" i="1"/>
  <c r="AY726" i="1" s="1"/>
  <c r="AS726" i="1"/>
  <c r="AZ726" i="1"/>
  <c r="AX726" i="1" s="1"/>
  <c r="AW725" i="1"/>
  <c r="AY725" i="1" s="1"/>
  <c r="AS725" i="1"/>
  <c r="AZ725" i="1"/>
  <c r="AX725" i="1" s="1"/>
  <c r="AW724" i="1"/>
  <c r="AY724" i="1" s="1"/>
  <c r="AS724" i="1"/>
  <c r="AZ724" i="1"/>
  <c r="AX724" i="1" s="1"/>
  <c r="AW723" i="1"/>
  <c r="AY723" i="1" s="1"/>
  <c r="AS723" i="1"/>
  <c r="AZ723" i="1"/>
  <c r="AX723" i="1" s="1"/>
  <c r="AW722" i="1"/>
  <c r="AY722" i="1" s="1"/>
  <c r="AS722" i="1"/>
  <c r="AZ722" i="1"/>
  <c r="AX722" i="1" s="1"/>
  <c r="AW721" i="1"/>
  <c r="AY721" i="1" s="1"/>
  <c r="AS721" i="1"/>
  <c r="AZ721" i="1"/>
  <c r="AX721" i="1" s="1"/>
  <c r="AW720" i="1"/>
  <c r="AY720" i="1" s="1"/>
  <c r="AS720" i="1"/>
  <c r="AZ720" i="1"/>
  <c r="AX720" i="1" s="1"/>
  <c r="AW719" i="1"/>
  <c r="AY719" i="1" s="1"/>
  <c r="AS719" i="1"/>
  <c r="AZ719" i="1"/>
  <c r="AX719" i="1" s="1"/>
  <c r="AW718" i="1"/>
  <c r="AY718" i="1" s="1"/>
  <c r="AS718" i="1"/>
  <c r="AZ718" i="1"/>
  <c r="AX718" i="1" s="1"/>
  <c r="AW717" i="1"/>
  <c r="AY717" i="1" s="1"/>
  <c r="AS717" i="1"/>
  <c r="AZ717" i="1"/>
  <c r="AX717" i="1" s="1"/>
  <c r="AW716" i="1"/>
  <c r="AY716" i="1" s="1"/>
  <c r="AS716" i="1"/>
  <c r="AZ716" i="1"/>
  <c r="AX716" i="1" s="1"/>
  <c r="AW715" i="1"/>
  <c r="AY715" i="1" s="1"/>
  <c r="AS715" i="1"/>
  <c r="AZ715" i="1"/>
  <c r="AX715" i="1" s="1"/>
  <c r="AW714" i="1"/>
  <c r="AY714" i="1" s="1"/>
  <c r="AS714" i="1"/>
  <c r="AZ714" i="1"/>
  <c r="AX714" i="1" s="1"/>
  <c r="AW713" i="1"/>
  <c r="AY713" i="1" s="1"/>
  <c r="AS713" i="1"/>
  <c r="AZ713" i="1"/>
  <c r="AX713" i="1" s="1"/>
  <c r="AW712" i="1"/>
  <c r="AY712" i="1" s="1"/>
  <c r="AS712" i="1"/>
  <c r="AZ712" i="1"/>
  <c r="AX712" i="1" s="1"/>
  <c r="AW711" i="1"/>
  <c r="AY711" i="1" s="1"/>
  <c r="AS711" i="1"/>
  <c r="AZ711" i="1"/>
  <c r="AX711" i="1" s="1"/>
  <c r="AW710" i="1"/>
  <c r="AY710" i="1" s="1"/>
  <c r="AS710" i="1"/>
  <c r="AZ710" i="1"/>
  <c r="AX710" i="1" s="1"/>
  <c r="AW709" i="1"/>
  <c r="AY709" i="1" s="1"/>
  <c r="AS709" i="1"/>
  <c r="AZ709" i="1"/>
  <c r="AX709" i="1" s="1"/>
  <c r="AW708" i="1"/>
  <c r="AY708" i="1" s="1"/>
  <c r="AS708" i="1"/>
  <c r="AZ708" i="1"/>
  <c r="AX708" i="1" s="1"/>
  <c r="AW707" i="1"/>
  <c r="AY707" i="1" s="1"/>
  <c r="AS707" i="1"/>
  <c r="AZ707" i="1"/>
  <c r="AX707" i="1" s="1"/>
  <c r="AW706" i="1"/>
  <c r="AY706" i="1" s="1"/>
  <c r="AS706" i="1"/>
  <c r="AZ706" i="1"/>
  <c r="AX706" i="1" s="1"/>
  <c r="AW705" i="1"/>
  <c r="AY705" i="1" s="1"/>
  <c r="AS705" i="1"/>
  <c r="AZ705" i="1"/>
  <c r="AX705" i="1" s="1"/>
  <c r="AW704" i="1"/>
  <c r="AY704" i="1" s="1"/>
  <c r="AS704" i="1"/>
  <c r="AZ704" i="1"/>
  <c r="AX704" i="1" s="1"/>
  <c r="AW703" i="1"/>
  <c r="AY703" i="1" s="1"/>
  <c r="AS703" i="1"/>
  <c r="AZ703" i="1"/>
  <c r="AX703" i="1" s="1"/>
  <c r="AW702" i="1"/>
  <c r="AY702" i="1" s="1"/>
  <c r="AS702" i="1"/>
  <c r="AZ702" i="1"/>
  <c r="AX702" i="1" s="1"/>
  <c r="AW701" i="1"/>
  <c r="AY701" i="1" s="1"/>
  <c r="AS701" i="1"/>
  <c r="AZ701" i="1"/>
  <c r="AX701" i="1" s="1"/>
  <c r="AW700" i="1"/>
  <c r="AY700" i="1" s="1"/>
  <c r="AS700" i="1"/>
  <c r="AZ700" i="1"/>
  <c r="AX700" i="1" s="1"/>
  <c r="AW699" i="1"/>
  <c r="AY699" i="1" s="1"/>
  <c r="AS699" i="1"/>
  <c r="AZ699" i="1"/>
  <c r="AX699" i="1" s="1"/>
  <c r="AW698" i="1"/>
  <c r="AY698" i="1" s="1"/>
  <c r="AS698" i="1"/>
  <c r="AZ698" i="1"/>
  <c r="AX698" i="1" s="1"/>
  <c r="AW697" i="1"/>
  <c r="AY697" i="1" s="1"/>
  <c r="AS697" i="1"/>
  <c r="AZ697" i="1"/>
  <c r="AX697" i="1" s="1"/>
  <c r="AW696" i="1"/>
  <c r="AY696" i="1" s="1"/>
  <c r="AS696" i="1"/>
  <c r="AZ696" i="1"/>
  <c r="AX696" i="1" s="1"/>
  <c r="AW695" i="1"/>
  <c r="AY695" i="1" s="1"/>
  <c r="AS695" i="1"/>
  <c r="AZ695" i="1"/>
  <c r="AX695" i="1" s="1"/>
  <c r="AW694" i="1"/>
  <c r="AY694" i="1" s="1"/>
  <c r="AS694" i="1"/>
  <c r="AZ694" i="1"/>
  <c r="AX694" i="1" s="1"/>
  <c r="AW693" i="1"/>
  <c r="AY693" i="1" s="1"/>
  <c r="AS693" i="1"/>
  <c r="AZ693" i="1"/>
  <c r="AX693" i="1" s="1"/>
  <c r="AW692" i="1"/>
  <c r="AY692" i="1" s="1"/>
  <c r="AS692" i="1"/>
  <c r="AZ692" i="1"/>
  <c r="AX692" i="1" s="1"/>
  <c r="AW691" i="1"/>
  <c r="AY691" i="1" s="1"/>
  <c r="AS691" i="1"/>
  <c r="AZ691" i="1"/>
  <c r="AX691" i="1" s="1"/>
  <c r="AW690" i="1"/>
  <c r="AY690" i="1" s="1"/>
  <c r="AS690" i="1"/>
  <c r="AZ690" i="1"/>
  <c r="AX690" i="1" s="1"/>
  <c r="AW689" i="1"/>
  <c r="AY689" i="1" s="1"/>
  <c r="AS689" i="1"/>
  <c r="AZ689" i="1"/>
  <c r="AX689" i="1" s="1"/>
  <c r="AW688" i="1"/>
  <c r="AY688" i="1" s="1"/>
  <c r="AS688" i="1"/>
  <c r="AZ688" i="1"/>
  <c r="AX688" i="1" s="1"/>
  <c r="AW687" i="1"/>
  <c r="AY687" i="1" s="1"/>
  <c r="AS687" i="1"/>
  <c r="AZ687" i="1"/>
  <c r="AX687" i="1" s="1"/>
  <c r="AW686" i="1"/>
  <c r="AY686" i="1" s="1"/>
  <c r="AS686" i="1"/>
  <c r="AZ686" i="1"/>
  <c r="AX686" i="1" s="1"/>
  <c r="AW685" i="1"/>
  <c r="AY685" i="1" s="1"/>
  <c r="AS685" i="1"/>
  <c r="AZ685" i="1"/>
  <c r="AX685" i="1" s="1"/>
  <c r="AW684" i="1"/>
  <c r="AY684" i="1" s="1"/>
  <c r="AS684" i="1"/>
  <c r="AZ684" i="1"/>
  <c r="AX684" i="1" s="1"/>
  <c r="AW683" i="1"/>
  <c r="AY683" i="1" s="1"/>
  <c r="AS683" i="1"/>
  <c r="AZ683" i="1"/>
  <c r="AX683" i="1" s="1"/>
  <c r="AW682" i="1"/>
  <c r="AY682" i="1" s="1"/>
  <c r="AS682" i="1"/>
  <c r="AZ682" i="1"/>
  <c r="AX682" i="1" s="1"/>
  <c r="AW681" i="1"/>
  <c r="AY681" i="1" s="1"/>
  <c r="AS681" i="1"/>
  <c r="AZ681" i="1"/>
  <c r="AX681" i="1" s="1"/>
  <c r="AW680" i="1"/>
  <c r="AY680" i="1" s="1"/>
  <c r="AS680" i="1"/>
  <c r="AZ680" i="1"/>
  <c r="AX680" i="1" s="1"/>
  <c r="AW679" i="1"/>
  <c r="AY679" i="1" s="1"/>
  <c r="AS679" i="1"/>
  <c r="AZ679" i="1"/>
  <c r="AX679" i="1" s="1"/>
  <c r="AW678" i="1"/>
  <c r="AY678" i="1" s="1"/>
  <c r="AS678" i="1"/>
  <c r="AZ678" i="1"/>
  <c r="AX678" i="1" s="1"/>
  <c r="AW677" i="1"/>
  <c r="AY677" i="1" s="1"/>
  <c r="AS677" i="1"/>
  <c r="AZ677" i="1"/>
  <c r="AX677" i="1" s="1"/>
  <c r="AW676" i="1"/>
  <c r="AY676" i="1" s="1"/>
  <c r="AS676" i="1"/>
  <c r="AZ676" i="1"/>
  <c r="AX676" i="1" s="1"/>
  <c r="AW675" i="1"/>
  <c r="AY675" i="1" s="1"/>
  <c r="AS675" i="1"/>
  <c r="AZ675" i="1"/>
  <c r="AX675" i="1" s="1"/>
  <c r="AW674" i="1"/>
  <c r="AY674" i="1" s="1"/>
  <c r="AS674" i="1"/>
  <c r="AZ674" i="1"/>
  <c r="AX674" i="1" s="1"/>
  <c r="AW673" i="1"/>
  <c r="AY673" i="1" s="1"/>
  <c r="AS673" i="1"/>
  <c r="AZ673" i="1"/>
  <c r="AX673" i="1" s="1"/>
  <c r="AW672" i="1"/>
  <c r="AY672" i="1" s="1"/>
  <c r="AS672" i="1"/>
  <c r="AZ672" i="1"/>
  <c r="AX672" i="1" s="1"/>
  <c r="AW671" i="1"/>
  <c r="AY671" i="1" s="1"/>
  <c r="AS671" i="1"/>
  <c r="AZ671" i="1"/>
  <c r="AX671" i="1" s="1"/>
  <c r="AW670" i="1"/>
  <c r="AY670" i="1" s="1"/>
  <c r="AS670" i="1"/>
  <c r="AZ670" i="1"/>
  <c r="AX670" i="1" s="1"/>
  <c r="AW669" i="1"/>
  <c r="AY669" i="1" s="1"/>
  <c r="AS669" i="1"/>
  <c r="AZ669" i="1"/>
  <c r="AX669" i="1" s="1"/>
  <c r="AW668" i="1"/>
  <c r="AY668" i="1" s="1"/>
  <c r="AS668" i="1"/>
  <c r="AZ668" i="1"/>
  <c r="AX668" i="1" s="1"/>
  <c r="AW667" i="1"/>
  <c r="AY667" i="1" s="1"/>
  <c r="AS667" i="1"/>
  <c r="AZ667" i="1"/>
  <c r="AX667" i="1" s="1"/>
  <c r="AW666" i="1"/>
  <c r="AY666" i="1" s="1"/>
  <c r="AS666" i="1"/>
  <c r="AZ666" i="1"/>
  <c r="AX666" i="1" s="1"/>
  <c r="AW665" i="1"/>
  <c r="AY665" i="1" s="1"/>
  <c r="AS665" i="1"/>
  <c r="AZ665" i="1"/>
  <c r="AX665" i="1" s="1"/>
  <c r="AW664" i="1"/>
  <c r="AY664" i="1" s="1"/>
  <c r="AS664" i="1"/>
  <c r="AZ664" i="1"/>
  <c r="AX664" i="1" s="1"/>
  <c r="AW663" i="1"/>
  <c r="AY663" i="1" s="1"/>
  <c r="AS663" i="1"/>
  <c r="AZ663" i="1"/>
  <c r="AX663" i="1" s="1"/>
  <c r="AW662" i="1"/>
  <c r="AY662" i="1" s="1"/>
  <c r="AS662" i="1"/>
  <c r="AZ662" i="1"/>
  <c r="AX662" i="1" s="1"/>
  <c r="AW661" i="1"/>
  <c r="AY661" i="1" s="1"/>
  <c r="AS661" i="1"/>
  <c r="AZ661" i="1"/>
  <c r="AX661" i="1" s="1"/>
  <c r="AW660" i="1"/>
  <c r="AY660" i="1" s="1"/>
  <c r="AS660" i="1"/>
  <c r="AZ660" i="1"/>
  <c r="AX660" i="1" s="1"/>
  <c r="AW659" i="1"/>
  <c r="AY659" i="1" s="1"/>
  <c r="AS659" i="1"/>
  <c r="AZ659" i="1"/>
  <c r="AX659" i="1" s="1"/>
  <c r="AW658" i="1"/>
  <c r="AY658" i="1" s="1"/>
  <c r="AS658" i="1"/>
  <c r="AZ658" i="1"/>
  <c r="AX658" i="1" s="1"/>
  <c r="AW657" i="1"/>
  <c r="AY657" i="1" s="1"/>
  <c r="AS657" i="1"/>
  <c r="AZ657" i="1"/>
  <c r="AX657" i="1" s="1"/>
  <c r="AW656" i="1"/>
  <c r="AY656" i="1" s="1"/>
  <c r="AS656" i="1"/>
  <c r="AZ656" i="1"/>
  <c r="AX656" i="1" s="1"/>
  <c r="AW655" i="1"/>
  <c r="AY655" i="1" s="1"/>
  <c r="AS655" i="1"/>
  <c r="AZ655" i="1"/>
  <c r="AX655" i="1" s="1"/>
  <c r="AW654" i="1"/>
  <c r="AY654" i="1" s="1"/>
  <c r="AS654" i="1"/>
  <c r="AZ654" i="1"/>
  <c r="AX654" i="1" s="1"/>
  <c r="AW653" i="1"/>
  <c r="AY653" i="1" s="1"/>
  <c r="AS653" i="1"/>
  <c r="AZ653" i="1"/>
  <c r="AX653" i="1" s="1"/>
  <c r="AW652" i="1"/>
  <c r="AY652" i="1" s="1"/>
  <c r="AS652" i="1"/>
  <c r="AZ652" i="1"/>
  <c r="AX652" i="1" s="1"/>
  <c r="AW651" i="1"/>
  <c r="AY651" i="1" s="1"/>
  <c r="AS651" i="1"/>
  <c r="AZ651" i="1"/>
  <c r="AX651" i="1" s="1"/>
  <c r="AW650" i="1"/>
  <c r="AY650" i="1" s="1"/>
  <c r="AS650" i="1"/>
  <c r="AZ650" i="1"/>
  <c r="AX650" i="1" s="1"/>
  <c r="AW649" i="1"/>
  <c r="AY649" i="1" s="1"/>
  <c r="AS649" i="1"/>
  <c r="AZ649" i="1"/>
  <c r="AX649" i="1" s="1"/>
  <c r="AW648" i="1"/>
  <c r="AY648" i="1" s="1"/>
  <c r="AS648" i="1"/>
  <c r="AZ648" i="1"/>
  <c r="AX648" i="1" s="1"/>
  <c r="AW647" i="1"/>
  <c r="AY647" i="1" s="1"/>
  <c r="AS647" i="1"/>
  <c r="AZ647" i="1"/>
  <c r="AX647" i="1" s="1"/>
  <c r="AW646" i="1"/>
  <c r="AY646" i="1" s="1"/>
  <c r="AS646" i="1"/>
  <c r="AZ646" i="1"/>
  <c r="AX646" i="1" s="1"/>
  <c r="AW645" i="1"/>
  <c r="AY645" i="1" s="1"/>
  <c r="AS645" i="1"/>
  <c r="AZ645" i="1"/>
  <c r="AX645" i="1" s="1"/>
  <c r="AW644" i="1"/>
  <c r="AY644" i="1" s="1"/>
  <c r="AS644" i="1"/>
  <c r="AZ644" i="1"/>
  <c r="AX644" i="1" s="1"/>
  <c r="AW643" i="1"/>
  <c r="AY643" i="1" s="1"/>
  <c r="AS643" i="1"/>
  <c r="AZ643" i="1"/>
  <c r="AX643" i="1" s="1"/>
  <c r="AW642" i="1"/>
  <c r="AY642" i="1" s="1"/>
  <c r="AS642" i="1"/>
  <c r="AZ642" i="1"/>
  <c r="AX642" i="1" s="1"/>
  <c r="AW641" i="1"/>
  <c r="AY641" i="1" s="1"/>
  <c r="AS641" i="1"/>
  <c r="AZ641" i="1"/>
  <c r="AX641" i="1" s="1"/>
  <c r="AW640" i="1"/>
  <c r="AY640" i="1" s="1"/>
  <c r="AS640" i="1"/>
  <c r="AZ640" i="1"/>
  <c r="AX640" i="1" s="1"/>
  <c r="AW639" i="1"/>
  <c r="AY639" i="1" s="1"/>
  <c r="AS639" i="1"/>
  <c r="AZ639" i="1"/>
  <c r="AX639" i="1" s="1"/>
  <c r="AW638" i="1"/>
  <c r="AY638" i="1" s="1"/>
  <c r="AS638" i="1"/>
  <c r="AZ638" i="1"/>
  <c r="AX638" i="1" s="1"/>
  <c r="AW637" i="1"/>
  <c r="AY637" i="1" s="1"/>
  <c r="AS637" i="1"/>
  <c r="AZ637" i="1"/>
  <c r="AX637" i="1" s="1"/>
  <c r="AW636" i="1"/>
  <c r="AY636" i="1" s="1"/>
  <c r="AS636" i="1"/>
  <c r="AZ636" i="1"/>
  <c r="AX636" i="1" s="1"/>
  <c r="AW635" i="1"/>
  <c r="AY635" i="1" s="1"/>
  <c r="AS635" i="1"/>
  <c r="AZ635" i="1"/>
  <c r="AX635" i="1" s="1"/>
  <c r="AW634" i="1"/>
  <c r="AY634" i="1" s="1"/>
  <c r="AS634" i="1"/>
  <c r="AZ634" i="1"/>
  <c r="AX634" i="1" s="1"/>
  <c r="AW633" i="1"/>
  <c r="AY633" i="1" s="1"/>
  <c r="AS633" i="1"/>
  <c r="AZ633" i="1"/>
  <c r="AX633" i="1" s="1"/>
  <c r="AW632" i="1"/>
  <c r="AY632" i="1" s="1"/>
  <c r="AS632" i="1"/>
  <c r="AZ632" i="1"/>
  <c r="AX632" i="1" s="1"/>
  <c r="AW631" i="1"/>
  <c r="AY631" i="1" s="1"/>
  <c r="AS631" i="1"/>
  <c r="AZ631" i="1"/>
  <c r="AX631" i="1" s="1"/>
  <c r="AW630" i="1"/>
  <c r="AY630" i="1" s="1"/>
  <c r="AS630" i="1"/>
  <c r="AZ630" i="1"/>
  <c r="AX630" i="1" s="1"/>
  <c r="AW629" i="1"/>
  <c r="AY629" i="1" s="1"/>
  <c r="AS629" i="1"/>
  <c r="AZ629" i="1"/>
  <c r="AX629" i="1" s="1"/>
  <c r="AW628" i="1"/>
  <c r="AY628" i="1" s="1"/>
  <c r="AS628" i="1"/>
  <c r="AZ628" i="1"/>
  <c r="AX628" i="1" s="1"/>
  <c r="AW627" i="1"/>
  <c r="AY627" i="1" s="1"/>
  <c r="AS627" i="1"/>
  <c r="AZ627" i="1"/>
  <c r="AX627" i="1" s="1"/>
  <c r="AW626" i="1"/>
  <c r="AY626" i="1" s="1"/>
  <c r="AS626" i="1"/>
  <c r="AZ626" i="1"/>
  <c r="AX626" i="1" s="1"/>
  <c r="AW625" i="1"/>
  <c r="AY625" i="1" s="1"/>
  <c r="AS625" i="1"/>
  <c r="AZ625" i="1"/>
  <c r="AX625" i="1" s="1"/>
  <c r="AW624" i="1"/>
  <c r="AY624" i="1" s="1"/>
  <c r="AS624" i="1"/>
  <c r="AZ624" i="1"/>
  <c r="AX624" i="1" s="1"/>
  <c r="AW623" i="1"/>
  <c r="AY623" i="1" s="1"/>
  <c r="AS623" i="1"/>
  <c r="AZ623" i="1"/>
  <c r="AX623" i="1" s="1"/>
  <c r="AW622" i="1"/>
  <c r="AY622" i="1" s="1"/>
  <c r="AS622" i="1"/>
  <c r="AZ622" i="1"/>
  <c r="AX622" i="1" s="1"/>
  <c r="AW621" i="1"/>
  <c r="AY621" i="1" s="1"/>
  <c r="AS621" i="1"/>
  <c r="AZ621" i="1"/>
  <c r="AX621" i="1" s="1"/>
  <c r="AW620" i="1"/>
  <c r="AY620" i="1" s="1"/>
  <c r="AS620" i="1"/>
  <c r="AZ620" i="1"/>
  <c r="AX620" i="1" s="1"/>
  <c r="AW619" i="1"/>
  <c r="AY619" i="1" s="1"/>
  <c r="AS619" i="1"/>
  <c r="AZ619" i="1"/>
  <c r="AX619" i="1" s="1"/>
  <c r="AW618" i="1"/>
  <c r="AY618" i="1" s="1"/>
  <c r="AS618" i="1"/>
  <c r="AZ618" i="1"/>
  <c r="AX618" i="1" s="1"/>
  <c r="AW617" i="1"/>
  <c r="AY617" i="1" s="1"/>
  <c r="AS617" i="1"/>
  <c r="AZ617" i="1"/>
  <c r="AX617" i="1" s="1"/>
  <c r="AW616" i="1"/>
  <c r="AY616" i="1" s="1"/>
  <c r="AS616" i="1"/>
  <c r="AZ616" i="1"/>
  <c r="AX616" i="1" s="1"/>
  <c r="AW615" i="1"/>
  <c r="AY615" i="1" s="1"/>
  <c r="AS615" i="1"/>
  <c r="AZ615" i="1"/>
  <c r="AX615" i="1" s="1"/>
  <c r="AW614" i="1"/>
  <c r="AY614" i="1" s="1"/>
  <c r="AS614" i="1"/>
  <c r="AZ614" i="1"/>
  <c r="AX614" i="1" s="1"/>
  <c r="AW613" i="1"/>
  <c r="AY613" i="1" s="1"/>
  <c r="AS613" i="1"/>
  <c r="AZ613" i="1"/>
  <c r="AX613" i="1" s="1"/>
  <c r="AW612" i="1"/>
  <c r="AY612" i="1" s="1"/>
  <c r="AS612" i="1"/>
  <c r="AZ612" i="1"/>
  <c r="AX612" i="1" s="1"/>
  <c r="AW611" i="1"/>
  <c r="AY611" i="1" s="1"/>
  <c r="AS611" i="1"/>
  <c r="AZ611" i="1"/>
  <c r="AX611" i="1" s="1"/>
  <c r="AW610" i="1"/>
  <c r="AY610" i="1" s="1"/>
  <c r="AS610" i="1"/>
  <c r="AZ610" i="1"/>
  <c r="AX610" i="1" s="1"/>
  <c r="AW609" i="1"/>
  <c r="AY609" i="1" s="1"/>
  <c r="AS609" i="1"/>
  <c r="AZ609" i="1"/>
  <c r="AX609" i="1" s="1"/>
  <c r="AW608" i="1"/>
  <c r="AY608" i="1" s="1"/>
  <c r="AS608" i="1"/>
  <c r="AZ608" i="1"/>
  <c r="AX608" i="1" s="1"/>
  <c r="AW607" i="1"/>
  <c r="AY607" i="1" s="1"/>
  <c r="AS607" i="1"/>
  <c r="AZ607" i="1"/>
  <c r="AX607" i="1" s="1"/>
  <c r="AW606" i="1"/>
  <c r="AY606" i="1" s="1"/>
  <c r="AS606" i="1"/>
  <c r="AZ606" i="1"/>
  <c r="AX606" i="1" s="1"/>
  <c r="AW605" i="1"/>
  <c r="AY605" i="1" s="1"/>
  <c r="AS605" i="1"/>
  <c r="AZ605" i="1"/>
  <c r="AX605" i="1" s="1"/>
  <c r="AW604" i="1"/>
  <c r="AY604" i="1" s="1"/>
  <c r="AS604" i="1"/>
  <c r="AZ604" i="1"/>
  <c r="AX604" i="1" s="1"/>
  <c r="AW603" i="1"/>
  <c r="AY603" i="1" s="1"/>
  <c r="AS603" i="1"/>
  <c r="AZ603" i="1"/>
  <c r="AX603" i="1" s="1"/>
  <c r="AW602" i="1"/>
  <c r="AY602" i="1" s="1"/>
  <c r="AS602" i="1"/>
  <c r="AZ602" i="1"/>
  <c r="AX602" i="1" s="1"/>
  <c r="AW601" i="1"/>
  <c r="AY601" i="1" s="1"/>
  <c r="AS601" i="1"/>
  <c r="AZ601" i="1"/>
  <c r="AX601" i="1" s="1"/>
  <c r="AW600" i="1"/>
  <c r="AY600" i="1" s="1"/>
  <c r="AS600" i="1"/>
  <c r="AZ600" i="1"/>
  <c r="AX600" i="1" s="1"/>
  <c r="AW599" i="1"/>
  <c r="AY599" i="1" s="1"/>
  <c r="AS599" i="1"/>
  <c r="AZ599" i="1"/>
  <c r="AX599" i="1" s="1"/>
  <c r="AW598" i="1"/>
  <c r="AY598" i="1" s="1"/>
  <c r="AS598" i="1"/>
  <c r="AZ598" i="1"/>
  <c r="AX598" i="1" s="1"/>
  <c r="AW597" i="1"/>
  <c r="AY597" i="1" s="1"/>
  <c r="AS597" i="1"/>
  <c r="AZ597" i="1"/>
  <c r="AX597" i="1" s="1"/>
  <c r="AW596" i="1"/>
  <c r="AY596" i="1" s="1"/>
  <c r="AS596" i="1"/>
  <c r="AZ596" i="1"/>
  <c r="AX596" i="1" s="1"/>
  <c r="AW595" i="1"/>
  <c r="AY595" i="1" s="1"/>
  <c r="AS595" i="1"/>
  <c r="AZ595" i="1"/>
  <c r="AX595" i="1" s="1"/>
  <c r="AW594" i="1"/>
  <c r="AY594" i="1" s="1"/>
  <c r="AS594" i="1"/>
  <c r="AZ594" i="1"/>
  <c r="AX594" i="1" s="1"/>
  <c r="AW593" i="1"/>
  <c r="AY593" i="1" s="1"/>
  <c r="AS593" i="1"/>
  <c r="AZ593" i="1"/>
  <c r="AX593" i="1" s="1"/>
  <c r="AW592" i="1"/>
  <c r="AY592" i="1" s="1"/>
  <c r="AS592" i="1"/>
  <c r="AZ592" i="1"/>
  <c r="AX592" i="1" s="1"/>
  <c r="AW591" i="1"/>
  <c r="AY591" i="1" s="1"/>
  <c r="AS591" i="1"/>
  <c r="AZ591" i="1"/>
  <c r="AX591" i="1" s="1"/>
  <c r="AW590" i="1"/>
  <c r="AY590" i="1" s="1"/>
  <c r="AS590" i="1"/>
  <c r="AZ590" i="1"/>
  <c r="AX590" i="1" s="1"/>
  <c r="AW589" i="1"/>
  <c r="AY589" i="1" s="1"/>
  <c r="AS589" i="1"/>
  <c r="AZ589" i="1"/>
  <c r="AX589" i="1" s="1"/>
  <c r="AW588" i="1"/>
  <c r="AY588" i="1" s="1"/>
  <c r="AS588" i="1"/>
  <c r="AZ588" i="1"/>
  <c r="AX588" i="1" s="1"/>
  <c r="AW587" i="1"/>
  <c r="AY587" i="1" s="1"/>
  <c r="AS587" i="1"/>
  <c r="AZ587" i="1"/>
  <c r="AX587" i="1" s="1"/>
  <c r="AW586" i="1"/>
  <c r="AY586" i="1" s="1"/>
  <c r="AS586" i="1"/>
  <c r="AZ586" i="1"/>
  <c r="AX586" i="1" s="1"/>
  <c r="AW585" i="1"/>
  <c r="AY585" i="1" s="1"/>
  <c r="AS585" i="1"/>
  <c r="AZ585" i="1"/>
  <c r="AX585" i="1" s="1"/>
  <c r="AW584" i="1"/>
  <c r="AY584" i="1" s="1"/>
  <c r="AS584" i="1"/>
  <c r="AZ584" i="1"/>
  <c r="AX584" i="1" s="1"/>
  <c r="AW583" i="1"/>
  <c r="AY583" i="1" s="1"/>
  <c r="AS583" i="1"/>
  <c r="AZ583" i="1"/>
  <c r="AX583" i="1" s="1"/>
  <c r="AW582" i="1"/>
  <c r="AY582" i="1" s="1"/>
  <c r="AS582" i="1"/>
  <c r="AZ582" i="1"/>
  <c r="AX582" i="1" s="1"/>
  <c r="AW581" i="1"/>
  <c r="AY581" i="1" s="1"/>
  <c r="AS581" i="1"/>
  <c r="AZ581" i="1"/>
  <c r="AX581" i="1" s="1"/>
  <c r="AW580" i="1"/>
  <c r="AY580" i="1" s="1"/>
  <c r="AS580" i="1"/>
  <c r="AZ580" i="1"/>
  <c r="AX580" i="1" s="1"/>
  <c r="AW579" i="1"/>
  <c r="AY579" i="1" s="1"/>
  <c r="AS579" i="1"/>
  <c r="AZ579" i="1"/>
  <c r="AX579" i="1" s="1"/>
  <c r="AW578" i="1"/>
  <c r="AY578" i="1" s="1"/>
  <c r="AS578" i="1"/>
  <c r="AZ578" i="1"/>
  <c r="AX578" i="1" s="1"/>
  <c r="AW577" i="1"/>
  <c r="AY577" i="1" s="1"/>
  <c r="AS577" i="1"/>
  <c r="AZ577" i="1"/>
  <c r="AX577" i="1" s="1"/>
  <c r="AW576" i="1"/>
  <c r="AY576" i="1" s="1"/>
  <c r="AS576" i="1"/>
  <c r="AZ576" i="1"/>
  <c r="AX576" i="1" s="1"/>
  <c r="AW575" i="1"/>
  <c r="AY575" i="1" s="1"/>
  <c r="AS575" i="1"/>
  <c r="AZ575" i="1"/>
  <c r="AX575" i="1" s="1"/>
  <c r="AW574" i="1"/>
  <c r="AY574" i="1" s="1"/>
  <c r="AS574" i="1"/>
  <c r="AZ574" i="1"/>
  <c r="AX574" i="1" s="1"/>
  <c r="AW573" i="1"/>
  <c r="AY573" i="1" s="1"/>
  <c r="AS573" i="1"/>
  <c r="AZ573" i="1"/>
  <c r="AX573" i="1" s="1"/>
  <c r="AW572" i="1"/>
  <c r="AY572" i="1" s="1"/>
  <c r="AS572" i="1"/>
  <c r="AZ572" i="1"/>
  <c r="AX572" i="1" s="1"/>
  <c r="AW571" i="1"/>
  <c r="AY571" i="1" s="1"/>
  <c r="AS571" i="1"/>
  <c r="AZ571" i="1"/>
  <c r="AX571" i="1" s="1"/>
  <c r="AW570" i="1"/>
  <c r="AY570" i="1" s="1"/>
  <c r="AS570" i="1"/>
  <c r="AZ570" i="1"/>
  <c r="AX570" i="1" s="1"/>
  <c r="AW569" i="1"/>
  <c r="AY569" i="1" s="1"/>
  <c r="AS569" i="1"/>
  <c r="AZ569" i="1"/>
  <c r="AX569" i="1" s="1"/>
  <c r="AW568" i="1"/>
  <c r="AY568" i="1" s="1"/>
  <c r="AS568" i="1"/>
  <c r="AZ568" i="1"/>
  <c r="AX568" i="1" s="1"/>
  <c r="AW567" i="1"/>
  <c r="AY567" i="1" s="1"/>
  <c r="AS567" i="1"/>
  <c r="AZ567" i="1"/>
  <c r="AX567" i="1" s="1"/>
  <c r="AW566" i="1"/>
  <c r="AY566" i="1" s="1"/>
  <c r="AS566" i="1"/>
  <c r="AZ566" i="1"/>
  <c r="AX566" i="1" s="1"/>
  <c r="AW565" i="1"/>
  <c r="AY565" i="1" s="1"/>
  <c r="AS565" i="1"/>
  <c r="AZ565" i="1"/>
  <c r="AX565" i="1" s="1"/>
  <c r="AW564" i="1"/>
  <c r="AY564" i="1" s="1"/>
  <c r="AS564" i="1"/>
  <c r="AZ564" i="1"/>
  <c r="AX564" i="1" s="1"/>
  <c r="AW563" i="1"/>
  <c r="AY563" i="1" s="1"/>
  <c r="AS563" i="1"/>
  <c r="AZ563" i="1"/>
  <c r="AX563" i="1" s="1"/>
  <c r="AW562" i="1"/>
  <c r="AY562" i="1" s="1"/>
  <c r="AS562" i="1"/>
  <c r="AZ562" i="1"/>
  <c r="AX562" i="1" s="1"/>
  <c r="AW561" i="1"/>
  <c r="AY561" i="1" s="1"/>
  <c r="AS561" i="1"/>
  <c r="AZ561" i="1"/>
  <c r="AX561" i="1" s="1"/>
  <c r="AW560" i="1"/>
  <c r="AY560" i="1" s="1"/>
  <c r="AS560" i="1"/>
  <c r="AZ560" i="1"/>
  <c r="AX560" i="1" s="1"/>
  <c r="AW559" i="1"/>
  <c r="AY559" i="1" s="1"/>
  <c r="AS559" i="1"/>
  <c r="AZ559" i="1"/>
  <c r="AX559" i="1" s="1"/>
  <c r="AW558" i="1"/>
  <c r="AY558" i="1" s="1"/>
  <c r="AS558" i="1"/>
  <c r="AZ558" i="1"/>
  <c r="AX558" i="1" s="1"/>
  <c r="AW557" i="1"/>
  <c r="AY557" i="1" s="1"/>
  <c r="AS557" i="1"/>
  <c r="AZ557" i="1"/>
  <c r="AX557" i="1" s="1"/>
  <c r="AW556" i="1"/>
  <c r="AY556" i="1" s="1"/>
  <c r="AS556" i="1"/>
  <c r="AZ556" i="1"/>
  <c r="AX556" i="1" s="1"/>
  <c r="AW555" i="1"/>
  <c r="AY555" i="1" s="1"/>
  <c r="AS555" i="1"/>
  <c r="AZ555" i="1"/>
  <c r="AX555" i="1" s="1"/>
  <c r="AW554" i="1"/>
  <c r="AY554" i="1" s="1"/>
  <c r="AS554" i="1"/>
  <c r="AZ554" i="1"/>
  <c r="AX554" i="1" s="1"/>
  <c r="AW553" i="1"/>
  <c r="AY553" i="1" s="1"/>
  <c r="AS553" i="1"/>
  <c r="AZ553" i="1"/>
  <c r="AX553" i="1" s="1"/>
  <c r="AW552" i="1"/>
  <c r="AY552" i="1" s="1"/>
  <c r="AS552" i="1"/>
  <c r="AZ552" i="1"/>
  <c r="AX552" i="1" s="1"/>
  <c r="AW551" i="1"/>
  <c r="AY551" i="1" s="1"/>
  <c r="AS551" i="1"/>
  <c r="AZ551" i="1"/>
  <c r="AX551" i="1" s="1"/>
  <c r="AW550" i="1"/>
  <c r="AY550" i="1" s="1"/>
  <c r="AS550" i="1"/>
  <c r="AZ550" i="1"/>
  <c r="AX550" i="1" s="1"/>
  <c r="AW549" i="1"/>
  <c r="AY549" i="1" s="1"/>
  <c r="AS549" i="1"/>
  <c r="AZ549" i="1"/>
  <c r="AX549" i="1" s="1"/>
  <c r="AW548" i="1"/>
  <c r="AY548" i="1" s="1"/>
  <c r="AS548" i="1"/>
  <c r="AZ548" i="1"/>
  <c r="AX548" i="1" s="1"/>
  <c r="AW547" i="1"/>
  <c r="AY547" i="1" s="1"/>
  <c r="AS547" i="1"/>
  <c r="AZ547" i="1"/>
  <c r="AX547" i="1" s="1"/>
  <c r="AW546" i="1"/>
  <c r="AY546" i="1" s="1"/>
  <c r="AS546" i="1"/>
  <c r="AZ546" i="1"/>
  <c r="AX546" i="1" s="1"/>
  <c r="AW545" i="1"/>
  <c r="AY545" i="1" s="1"/>
  <c r="AS545" i="1"/>
  <c r="AZ545" i="1"/>
  <c r="AX545" i="1" s="1"/>
  <c r="AW544" i="1"/>
  <c r="AY544" i="1" s="1"/>
  <c r="AS544" i="1"/>
  <c r="AZ544" i="1"/>
  <c r="AX544" i="1" s="1"/>
  <c r="AW543" i="1"/>
  <c r="AY543" i="1" s="1"/>
  <c r="AS543" i="1"/>
  <c r="AZ543" i="1"/>
  <c r="AX543" i="1" s="1"/>
  <c r="AW542" i="1"/>
  <c r="AY542" i="1" s="1"/>
  <c r="AS542" i="1"/>
  <c r="AZ542" i="1"/>
  <c r="AX542" i="1" s="1"/>
  <c r="AW541" i="1"/>
  <c r="AY541" i="1" s="1"/>
  <c r="AS541" i="1"/>
  <c r="AZ541" i="1"/>
  <c r="AX541" i="1" s="1"/>
  <c r="AW540" i="1"/>
  <c r="AY540" i="1" s="1"/>
  <c r="AS540" i="1"/>
  <c r="AZ540" i="1"/>
  <c r="AX540" i="1" s="1"/>
  <c r="AW539" i="1"/>
  <c r="AY539" i="1" s="1"/>
  <c r="AS539" i="1"/>
  <c r="AZ539" i="1"/>
  <c r="AX539" i="1" s="1"/>
  <c r="AW538" i="1"/>
  <c r="AY538" i="1" s="1"/>
  <c r="AS538" i="1"/>
  <c r="AZ538" i="1"/>
  <c r="AX538" i="1" s="1"/>
  <c r="AW537" i="1"/>
  <c r="AY537" i="1" s="1"/>
  <c r="AS537" i="1"/>
  <c r="AZ537" i="1"/>
  <c r="AX537" i="1" s="1"/>
  <c r="AW536" i="1"/>
  <c r="AY536" i="1" s="1"/>
  <c r="AS536" i="1"/>
  <c r="AZ536" i="1"/>
  <c r="AX536" i="1" s="1"/>
  <c r="AW535" i="1"/>
  <c r="AY535" i="1" s="1"/>
  <c r="AS535" i="1"/>
  <c r="AZ535" i="1"/>
  <c r="AX535" i="1" s="1"/>
  <c r="AW534" i="1"/>
  <c r="AY534" i="1" s="1"/>
  <c r="AS534" i="1"/>
  <c r="AZ534" i="1"/>
  <c r="AX534" i="1" s="1"/>
  <c r="AW533" i="1"/>
  <c r="AY533" i="1" s="1"/>
  <c r="AS533" i="1"/>
  <c r="AZ533" i="1"/>
  <c r="AX533" i="1" s="1"/>
  <c r="AW532" i="1"/>
  <c r="AY532" i="1" s="1"/>
  <c r="AS532" i="1"/>
  <c r="AZ532" i="1"/>
  <c r="AX532" i="1" s="1"/>
  <c r="AW531" i="1"/>
  <c r="AY531" i="1" s="1"/>
  <c r="AS531" i="1"/>
  <c r="AZ531" i="1"/>
  <c r="AX531" i="1" s="1"/>
  <c r="AW530" i="1"/>
  <c r="AY530" i="1" s="1"/>
  <c r="AS530" i="1"/>
  <c r="AZ530" i="1"/>
  <c r="AX530" i="1" s="1"/>
  <c r="AW529" i="1"/>
  <c r="AY529" i="1" s="1"/>
  <c r="AS529" i="1"/>
  <c r="AZ529" i="1"/>
  <c r="AX529" i="1" s="1"/>
  <c r="AW528" i="1"/>
  <c r="AY528" i="1" s="1"/>
  <c r="AS528" i="1"/>
  <c r="AZ528" i="1"/>
  <c r="AX528" i="1" s="1"/>
  <c r="AW527" i="1"/>
  <c r="AY527" i="1" s="1"/>
  <c r="AS527" i="1"/>
  <c r="AZ527" i="1"/>
  <c r="AX527" i="1" s="1"/>
  <c r="AW526" i="1"/>
  <c r="AY526" i="1" s="1"/>
  <c r="AS526" i="1"/>
  <c r="AZ526" i="1"/>
  <c r="AX526" i="1" s="1"/>
  <c r="AW525" i="1"/>
  <c r="AY525" i="1" s="1"/>
  <c r="AS525" i="1"/>
  <c r="AZ525" i="1"/>
  <c r="AX525" i="1" s="1"/>
  <c r="AW524" i="1"/>
  <c r="AY524" i="1" s="1"/>
  <c r="AS524" i="1"/>
  <c r="AZ524" i="1"/>
  <c r="AX524" i="1" s="1"/>
  <c r="AW523" i="1"/>
  <c r="AY523" i="1" s="1"/>
  <c r="AS523" i="1"/>
  <c r="AZ523" i="1"/>
  <c r="AX523" i="1" s="1"/>
  <c r="AW522" i="1"/>
  <c r="AY522" i="1" s="1"/>
  <c r="AS522" i="1"/>
  <c r="AZ522" i="1"/>
  <c r="AX522" i="1" s="1"/>
  <c r="AW521" i="1"/>
  <c r="AY521" i="1" s="1"/>
  <c r="AS521" i="1"/>
  <c r="AZ521" i="1"/>
  <c r="AX521" i="1" s="1"/>
  <c r="AW520" i="1"/>
  <c r="AY520" i="1" s="1"/>
  <c r="AS520" i="1"/>
  <c r="AZ520" i="1"/>
  <c r="AX520" i="1" s="1"/>
  <c r="AW519" i="1"/>
  <c r="AY519" i="1" s="1"/>
  <c r="AS519" i="1"/>
  <c r="AZ519" i="1"/>
  <c r="AX519" i="1" s="1"/>
  <c r="AW518" i="1"/>
  <c r="AY518" i="1" s="1"/>
  <c r="AS518" i="1"/>
  <c r="AZ518" i="1"/>
  <c r="AX518" i="1" s="1"/>
  <c r="AW517" i="1"/>
  <c r="AY517" i="1" s="1"/>
  <c r="AS517" i="1"/>
  <c r="AZ517" i="1"/>
  <c r="AX517" i="1" s="1"/>
  <c r="AW516" i="1"/>
  <c r="AY516" i="1" s="1"/>
  <c r="AS516" i="1"/>
  <c r="AZ516" i="1"/>
  <c r="AX516" i="1" s="1"/>
  <c r="AW515" i="1"/>
  <c r="AY515" i="1" s="1"/>
  <c r="AS515" i="1"/>
  <c r="AZ515" i="1"/>
  <c r="AX515" i="1" s="1"/>
  <c r="AW514" i="1"/>
  <c r="AY514" i="1" s="1"/>
  <c r="AS514" i="1"/>
  <c r="AZ514" i="1"/>
  <c r="AX514" i="1" s="1"/>
  <c r="AW513" i="1"/>
  <c r="AY513" i="1" s="1"/>
  <c r="AS513" i="1"/>
  <c r="AZ513" i="1"/>
  <c r="AX513" i="1" s="1"/>
  <c r="AW512" i="1"/>
  <c r="AY512" i="1" s="1"/>
  <c r="AS512" i="1"/>
  <c r="AZ512" i="1"/>
  <c r="AX512" i="1" s="1"/>
  <c r="AW511" i="1"/>
  <c r="AY511" i="1" s="1"/>
  <c r="AS511" i="1"/>
  <c r="AZ511" i="1"/>
  <c r="AX511" i="1" s="1"/>
  <c r="AW510" i="1"/>
  <c r="AY510" i="1" s="1"/>
  <c r="AS510" i="1"/>
  <c r="AZ510" i="1"/>
  <c r="AX510" i="1" s="1"/>
  <c r="AW509" i="1"/>
  <c r="AY509" i="1" s="1"/>
  <c r="AS509" i="1"/>
  <c r="AZ509" i="1"/>
  <c r="AX509" i="1" s="1"/>
  <c r="AW508" i="1"/>
  <c r="AY508" i="1" s="1"/>
  <c r="AS508" i="1"/>
  <c r="AZ508" i="1"/>
  <c r="AX508" i="1" s="1"/>
  <c r="AW507" i="1"/>
  <c r="AY507" i="1" s="1"/>
  <c r="AS507" i="1"/>
  <c r="AZ507" i="1"/>
  <c r="AX507" i="1" s="1"/>
  <c r="AW506" i="1"/>
  <c r="AY506" i="1" s="1"/>
  <c r="AS506" i="1"/>
  <c r="AZ506" i="1"/>
  <c r="AX506" i="1" s="1"/>
  <c r="AW505" i="1"/>
  <c r="AY505" i="1" s="1"/>
  <c r="AS505" i="1"/>
  <c r="AZ505" i="1"/>
  <c r="AX505" i="1" s="1"/>
  <c r="AW504" i="1"/>
  <c r="AY504" i="1" s="1"/>
  <c r="AS504" i="1"/>
  <c r="AZ504" i="1"/>
  <c r="AX504" i="1" s="1"/>
  <c r="AW503" i="1"/>
  <c r="AY503" i="1" s="1"/>
  <c r="AS503" i="1"/>
  <c r="AZ503" i="1"/>
  <c r="AX503" i="1" s="1"/>
  <c r="AW502" i="1"/>
  <c r="AY502" i="1" s="1"/>
  <c r="AS502" i="1"/>
  <c r="AZ502" i="1"/>
  <c r="AX502" i="1" s="1"/>
  <c r="AW501" i="1"/>
  <c r="AY501" i="1" s="1"/>
  <c r="AS501" i="1"/>
  <c r="AZ501" i="1"/>
  <c r="AX501" i="1" s="1"/>
  <c r="AW500" i="1"/>
  <c r="AY500" i="1" s="1"/>
  <c r="AS500" i="1"/>
  <c r="AZ500" i="1"/>
  <c r="AX500" i="1" s="1"/>
  <c r="AW499" i="1"/>
  <c r="AY499" i="1" s="1"/>
  <c r="AS499" i="1"/>
  <c r="AZ499" i="1"/>
  <c r="AX499" i="1" s="1"/>
  <c r="AW498" i="1"/>
  <c r="AY498" i="1" s="1"/>
  <c r="AS498" i="1"/>
  <c r="AZ498" i="1"/>
  <c r="AX498" i="1" s="1"/>
  <c r="AW497" i="1"/>
  <c r="AY497" i="1" s="1"/>
  <c r="AS497" i="1"/>
  <c r="AZ497" i="1"/>
  <c r="AX497" i="1" s="1"/>
  <c r="AW496" i="1"/>
  <c r="AY496" i="1" s="1"/>
  <c r="AS496" i="1"/>
  <c r="AZ496" i="1"/>
  <c r="AX496" i="1" s="1"/>
  <c r="AW495" i="1"/>
  <c r="AY495" i="1" s="1"/>
  <c r="AS495" i="1"/>
  <c r="AZ495" i="1"/>
  <c r="AX495" i="1" s="1"/>
  <c r="AW494" i="1"/>
  <c r="AY494" i="1" s="1"/>
  <c r="AS494" i="1"/>
  <c r="AZ494" i="1"/>
  <c r="AX494" i="1" s="1"/>
  <c r="AW493" i="1"/>
  <c r="AY493" i="1" s="1"/>
  <c r="AS493" i="1"/>
  <c r="AZ493" i="1"/>
  <c r="AX493" i="1" s="1"/>
  <c r="AW492" i="1"/>
  <c r="AY492" i="1" s="1"/>
  <c r="AS492" i="1"/>
  <c r="AZ492" i="1"/>
  <c r="AX492" i="1" s="1"/>
  <c r="AW491" i="1"/>
  <c r="AY491" i="1" s="1"/>
  <c r="AS491" i="1"/>
  <c r="AZ491" i="1"/>
  <c r="AX491" i="1" s="1"/>
  <c r="AW490" i="1"/>
  <c r="AY490" i="1" s="1"/>
  <c r="AS490" i="1"/>
  <c r="AZ490" i="1"/>
  <c r="AX490" i="1" s="1"/>
  <c r="AW489" i="1"/>
  <c r="AY489" i="1" s="1"/>
  <c r="AS489" i="1"/>
  <c r="AZ489" i="1"/>
  <c r="AX489" i="1" s="1"/>
  <c r="AW488" i="1"/>
  <c r="AY488" i="1" s="1"/>
  <c r="AS488" i="1"/>
  <c r="AZ488" i="1"/>
  <c r="AX488" i="1" s="1"/>
  <c r="AW487" i="1"/>
  <c r="AY487" i="1" s="1"/>
  <c r="AS487" i="1"/>
  <c r="AZ487" i="1"/>
  <c r="AX487" i="1" s="1"/>
  <c r="AW486" i="1"/>
  <c r="AY486" i="1" s="1"/>
  <c r="AS486" i="1"/>
  <c r="AZ486" i="1"/>
  <c r="AX486" i="1" s="1"/>
  <c r="AW485" i="1"/>
  <c r="AY485" i="1" s="1"/>
  <c r="AS485" i="1"/>
  <c r="AZ485" i="1"/>
  <c r="AX485" i="1" s="1"/>
  <c r="AW484" i="1"/>
  <c r="AY484" i="1" s="1"/>
  <c r="AS484" i="1"/>
  <c r="AZ484" i="1"/>
  <c r="AX484" i="1" s="1"/>
  <c r="AW483" i="1"/>
  <c r="AY483" i="1" s="1"/>
  <c r="AS483" i="1"/>
  <c r="AZ483" i="1"/>
  <c r="AX483" i="1" s="1"/>
  <c r="AW482" i="1"/>
  <c r="AY482" i="1" s="1"/>
  <c r="AS482" i="1"/>
  <c r="AZ482" i="1"/>
  <c r="AX482" i="1" s="1"/>
  <c r="AW481" i="1"/>
  <c r="AY481" i="1" s="1"/>
  <c r="AS481" i="1"/>
  <c r="AZ481" i="1"/>
  <c r="AX481" i="1" s="1"/>
  <c r="AW480" i="1"/>
  <c r="AY480" i="1" s="1"/>
  <c r="AS480" i="1"/>
  <c r="AZ480" i="1"/>
  <c r="AX480" i="1" s="1"/>
  <c r="AW479" i="1"/>
  <c r="AY479" i="1" s="1"/>
  <c r="AS479" i="1"/>
  <c r="AZ479" i="1"/>
  <c r="AX479" i="1" s="1"/>
  <c r="AW478" i="1"/>
  <c r="AY478" i="1" s="1"/>
  <c r="AS478" i="1"/>
  <c r="AZ478" i="1"/>
  <c r="AX478" i="1" s="1"/>
  <c r="AW477" i="1"/>
  <c r="AY477" i="1" s="1"/>
  <c r="AS477" i="1"/>
  <c r="AZ477" i="1"/>
  <c r="AX477" i="1" s="1"/>
  <c r="AW476" i="1"/>
  <c r="AY476" i="1" s="1"/>
  <c r="AS476" i="1"/>
  <c r="AZ476" i="1"/>
  <c r="AX476" i="1" s="1"/>
  <c r="AW475" i="1"/>
  <c r="AY475" i="1" s="1"/>
  <c r="AS475" i="1"/>
  <c r="AZ475" i="1"/>
  <c r="AX475" i="1" s="1"/>
  <c r="AW474" i="1"/>
  <c r="AY474" i="1" s="1"/>
  <c r="AS474" i="1"/>
  <c r="AZ474" i="1"/>
  <c r="AX474" i="1" s="1"/>
  <c r="AW473" i="1"/>
  <c r="AY473" i="1" s="1"/>
  <c r="AS473" i="1"/>
  <c r="AZ473" i="1"/>
  <c r="AX473" i="1" s="1"/>
  <c r="AW472" i="1"/>
  <c r="AY472" i="1" s="1"/>
  <c r="AS472" i="1"/>
  <c r="AZ472" i="1"/>
  <c r="AX472" i="1" s="1"/>
  <c r="AW471" i="1"/>
  <c r="AY471" i="1" s="1"/>
  <c r="AS471" i="1"/>
  <c r="AZ471" i="1"/>
  <c r="AX471" i="1" s="1"/>
  <c r="AW470" i="1"/>
  <c r="AY470" i="1" s="1"/>
  <c r="AS470" i="1"/>
  <c r="AZ470" i="1"/>
  <c r="AX470" i="1" s="1"/>
  <c r="AW469" i="1"/>
  <c r="AY469" i="1" s="1"/>
  <c r="AS469" i="1"/>
  <c r="AZ469" i="1"/>
  <c r="AX469" i="1" s="1"/>
  <c r="AW468" i="1"/>
  <c r="AY468" i="1" s="1"/>
  <c r="AS468" i="1"/>
  <c r="AZ468" i="1"/>
  <c r="AX468" i="1" s="1"/>
  <c r="AW467" i="1"/>
  <c r="AY467" i="1" s="1"/>
  <c r="AS467" i="1"/>
  <c r="AZ467" i="1"/>
  <c r="AX467" i="1" s="1"/>
  <c r="AW466" i="1"/>
  <c r="AY466" i="1" s="1"/>
  <c r="AS466" i="1"/>
  <c r="AZ466" i="1"/>
  <c r="AX466" i="1" s="1"/>
  <c r="AW465" i="1"/>
  <c r="AY465" i="1" s="1"/>
  <c r="AS465" i="1"/>
  <c r="AZ465" i="1"/>
  <c r="AX465" i="1" s="1"/>
  <c r="AW464" i="1"/>
  <c r="AY464" i="1" s="1"/>
  <c r="AS464" i="1"/>
  <c r="AZ464" i="1"/>
  <c r="AX464" i="1" s="1"/>
  <c r="AW463" i="1"/>
  <c r="AY463" i="1" s="1"/>
  <c r="AS463" i="1"/>
  <c r="AZ463" i="1"/>
  <c r="AX463" i="1" s="1"/>
  <c r="AW462" i="1"/>
  <c r="AY462" i="1" s="1"/>
  <c r="AS462" i="1"/>
  <c r="AZ462" i="1"/>
  <c r="AX462" i="1" s="1"/>
  <c r="AW461" i="1"/>
  <c r="AY461" i="1" s="1"/>
  <c r="AS461" i="1"/>
  <c r="AZ461" i="1"/>
  <c r="AX461" i="1" s="1"/>
  <c r="AW460" i="1"/>
  <c r="AY460" i="1" s="1"/>
  <c r="AS460" i="1"/>
  <c r="AZ460" i="1"/>
  <c r="AX460" i="1" s="1"/>
  <c r="AW459" i="1"/>
  <c r="AY459" i="1" s="1"/>
  <c r="AS459" i="1"/>
  <c r="AZ459" i="1"/>
  <c r="AX459" i="1" s="1"/>
  <c r="AW458" i="1"/>
  <c r="AY458" i="1" s="1"/>
  <c r="AS458" i="1"/>
  <c r="AZ458" i="1"/>
  <c r="AX458" i="1" s="1"/>
  <c r="AW457" i="1"/>
  <c r="AY457" i="1" s="1"/>
  <c r="AS457" i="1"/>
  <c r="AZ457" i="1"/>
  <c r="AX457" i="1" s="1"/>
  <c r="AW456" i="1"/>
  <c r="AY456" i="1" s="1"/>
  <c r="AS456" i="1"/>
  <c r="AZ456" i="1"/>
  <c r="AX456" i="1" s="1"/>
  <c r="AW455" i="1"/>
  <c r="AY455" i="1" s="1"/>
  <c r="AS455" i="1"/>
  <c r="AZ455" i="1"/>
  <c r="AX455" i="1" s="1"/>
  <c r="AW454" i="1"/>
  <c r="AY454" i="1" s="1"/>
  <c r="AS454" i="1"/>
  <c r="AZ454" i="1"/>
  <c r="AX454" i="1" s="1"/>
  <c r="AW453" i="1"/>
  <c r="AY453" i="1" s="1"/>
  <c r="AS453" i="1"/>
  <c r="AZ453" i="1"/>
  <c r="AX453" i="1" s="1"/>
  <c r="AW452" i="1"/>
  <c r="AY452" i="1" s="1"/>
  <c r="AS452" i="1"/>
  <c r="AZ452" i="1"/>
  <c r="AX452" i="1" s="1"/>
  <c r="AW451" i="1"/>
  <c r="AY451" i="1" s="1"/>
  <c r="AS451" i="1"/>
  <c r="AZ451" i="1"/>
  <c r="AX451" i="1" s="1"/>
  <c r="AW450" i="1"/>
  <c r="AY450" i="1" s="1"/>
  <c r="AS450" i="1"/>
  <c r="AZ450" i="1"/>
  <c r="AX450" i="1" s="1"/>
  <c r="AW449" i="1"/>
  <c r="AY449" i="1" s="1"/>
  <c r="AS449" i="1"/>
  <c r="AZ449" i="1"/>
  <c r="AX449" i="1" s="1"/>
  <c r="AW448" i="1"/>
  <c r="AY448" i="1" s="1"/>
  <c r="AS448" i="1"/>
  <c r="AZ448" i="1"/>
  <c r="AX448" i="1" s="1"/>
  <c r="AW447" i="1"/>
  <c r="AY447" i="1" s="1"/>
  <c r="AS447" i="1"/>
  <c r="AZ447" i="1"/>
  <c r="AX447" i="1" s="1"/>
  <c r="AW446" i="1"/>
  <c r="AY446" i="1" s="1"/>
  <c r="AS446" i="1"/>
  <c r="AZ446" i="1"/>
  <c r="AX446" i="1" s="1"/>
  <c r="AW445" i="1"/>
  <c r="AY445" i="1" s="1"/>
  <c r="AS445" i="1"/>
  <c r="AZ445" i="1"/>
  <c r="AX445" i="1" s="1"/>
  <c r="AW444" i="1"/>
  <c r="AY444" i="1" s="1"/>
  <c r="AS444" i="1"/>
  <c r="AZ444" i="1"/>
  <c r="AX444" i="1" s="1"/>
  <c r="AW443" i="1"/>
  <c r="AY443" i="1" s="1"/>
  <c r="AS443" i="1"/>
  <c r="AZ443" i="1"/>
  <c r="AX443" i="1" s="1"/>
  <c r="AW442" i="1"/>
  <c r="AY442" i="1" s="1"/>
  <c r="AS442" i="1"/>
  <c r="AZ442" i="1"/>
  <c r="AX442" i="1" s="1"/>
  <c r="AW441" i="1"/>
  <c r="AY441" i="1" s="1"/>
  <c r="AS441" i="1"/>
  <c r="AZ441" i="1"/>
  <c r="AX441" i="1" s="1"/>
  <c r="AW440" i="1"/>
  <c r="AY440" i="1" s="1"/>
  <c r="AS440" i="1"/>
  <c r="AZ440" i="1"/>
  <c r="AX440" i="1" s="1"/>
  <c r="AW439" i="1"/>
  <c r="AY439" i="1" s="1"/>
  <c r="AS439" i="1"/>
  <c r="AZ439" i="1"/>
  <c r="AX439" i="1" s="1"/>
  <c r="AW438" i="1"/>
  <c r="AY438" i="1" s="1"/>
  <c r="AS438" i="1"/>
  <c r="AZ438" i="1"/>
  <c r="AX438" i="1" s="1"/>
  <c r="AW437" i="1"/>
  <c r="AY437" i="1" s="1"/>
  <c r="AS437" i="1"/>
  <c r="AZ437" i="1"/>
  <c r="AX437" i="1" s="1"/>
  <c r="AW436" i="1"/>
  <c r="AY436" i="1" s="1"/>
  <c r="AS436" i="1"/>
  <c r="AZ436" i="1"/>
  <c r="AX436" i="1" s="1"/>
  <c r="AW435" i="1"/>
  <c r="AY435" i="1" s="1"/>
  <c r="AS435" i="1"/>
  <c r="AZ435" i="1"/>
  <c r="AX435" i="1" s="1"/>
  <c r="AW434" i="1"/>
  <c r="AY434" i="1" s="1"/>
  <c r="AS434" i="1"/>
  <c r="AZ434" i="1"/>
  <c r="AX434" i="1" s="1"/>
  <c r="AW433" i="1"/>
  <c r="AY433" i="1" s="1"/>
  <c r="AS433" i="1"/>
  <c r="AZ433" i="1"/>
  <c r="AX433" i="1" s="1"/>
  <c r="AW432" i="1"/>
  <c r="AY432" i="1" s="1"/>
  <c r="AS432" i="1"/>
  <c r="AZ432" i="1"/>
  <c r="AX432" i="1" s="1"/>
  <c r="AW431" i="1"/>
  <c r="AY431" i="1" s="1"/>
  <c r="AS431" i="1"/>
  <c r="AZ431" i="1"/>
  <c r="AX431" i="1" s="1"/>
  <c r="AW430" i="1"/>
  <c r="AY430" i="1" s="1"/>
  <c r="AS430" i="1"/>
  <c r="AZ430" i="1"/>
  <c r="AX430" i="1" s="1"/>
  <c r="AW429" i="1"/>
  <c r="AY429" i="1" s="1"/>
  <c r="AS429" i="1"/>
  <c r="AZ429" i="1"/>
  <c r="AX429" i="1" s="1"/>
  <c r="AW428" i="1"/>
  <c r="AY428" i="1" s="1"/>
  <c r="AS428" i="1"/>
  <c r="AZ428" i="1"/>
  <c r="AX428" i="1" s="1"/>
  <c r="AW427" i="1"/>
  <c r="AY427" i="1" s="1"/>
  <c r="AS427" i="1"/>
  <c r="AZ427" i="1"/>
  <c r="AX427" i="1" s="1"/>
  <c r="AW426" i="1"/>
  <c r="AY426" i="1" s="1"/>
  <c r="AS426" i="1"/>
  <c r="AZ426" i="1"/>
  <c r="AX426" i="1" s="1"/>
  <c r="AW425" i="1"/>
  <c r="AY425" i="1" s="1"/>
  <c r="AS425" i="1"/>
  <c r="AZ425" i="1"/>
  <c r="AX425" i="1" s="1"/>
  <c r="AW424" i="1"/>
  <c r="AY424" i="1" s="1"/>
  <c r="AS424" i="1"/>
  <c r="AZ424" i="1"/>
  <c r="AX424" i="1" s="1"/>
  <c r="AW423" i="1"/>
  <c r="AY423" i="1" s="1"/>
  <c r="AS423" i="1"/>
  <c r="AZ423" i="1"/>
  <c r="AX423" i="1" s="1"/>
  <c r="AW422" i="1"/>
  <c r="AY422" i="1" s="1"/>
  <c r="AS422" i="1"/>
  <c r="AZ422" i="1"/>
  <c r="AX422" i="1" s="1"/>
  <c r="AW421" i="1"/>
  <c r="AY421" i="1" s="1"/>
  <c r="AS421" i="1"/>
  <c r="AZ421" i="1"/>
  <c r="AX421" i="1" s="1"/>
  <c r="AW420" i="1"/>
  <c r="AY420" i="1" s="1"/>
  <c r="AS420" i="1"/>
  <c r="AZ420" i="1"/>
  <c r="AX420" i="1" s="1"/>
  <c r="AW419" i="1"/>
  <c r="AY419" i="1" s="1"/>
  <c r="AS419" i="1"/>
  <c r="AZ419" i="1"/>
  <c r="AX419" i="1" s="1"/>
  <c r="AW418" i="1"/>
  <c r="AY418" i="1" s="1"/>
  <c r="AS418" i="1"/>
  <c r="AZ418" i="1"/>
  <c r="AX418" i="1" s="1"/>
  <c r="AW417" i="1"/>
  <c r="AY417" i="1" s="1"/>
  <c r="AS417" i="1"/>
  <c r="AZ417" i="1"/>
  <c r="AX417" i="1" s="1"/>
  <c r="AW416" i="1"/>
  <c r="AY416" i="1" s="1"/>
  <c r="AS416" i="1"/>
  <c r="AZ416" i="1"/>
  <c r="AX416" i="1" s="1"/>
  <c r="AW415" i="1"/>
  <c r="AY415" i="1" s="1"/>
  <c r="AS415" i="1"/>
  <c r="AZ415" i="1"/>
  <c r="AX415" i="1" s="1"/>
  <c r="AW414" i="1"/>
  <c r="AY414" i="1" s="1"/>
  <c r="AS414" i="1"/>
  <c r="AZ414" i="1"/>
  <c r="AX414" i="1" s="1"/>
  <c r="AW413" i="1"/>
  <c r="AY413" i="1" s="1"/>
  <c r="AS413" i="1"/>
  <c r="AZ413" i="1"/>
  <c r="AX413" i="1" s="1"/>
  <c r="AW412" i="1"/>
  <c r="AY412" i="1" s="1"/>
  <c r="AS412" i="1"/>
  <c r="AZ412" i="1"/>
  <c r="AX412" i="1" s="1"/>
  <c r="AW411" i="1"/>
  <c r="AY411" i="1" s="1"/>
  <c r="AS411" i="1"/>
  <c r="AZ411" i="1"/>
  <c r="AX411" i="1" s="1"/>
  <c r="AW410" i="1"/>
  <c r="AY410" i="1" s="1"/>
  <c r="AS410" i="1"/>
  <c r="AZ410" i="1"/>
  <c r="AX410" i="1" s="1"/>
  <c r="AW409" i="1"/>
  <c r="AY409" i="1" s="1"/>
  <c r="AS409" i="1"/>
  <c r="AZ409" i="1"/>
  <c r="AX409" i="1" s="1"/>
  <c r="AW408" i="1"/>
  <c r="AY408" i="1" s="1"/>
  <c r="AS408" i="1"/>
  <c r="AZ408" i="1"/>
  <c r="AX408" i="1" s="1"/>
  <c r="AW407" i="1"/>
  <c r="AY407" i="1" s="1"/>
  <c r="AS407" i="1"/>
  <c r="AZ407" i="1"/>
  <c r="AX407" i="1" s="1"/>
  <c r="AW406" i="1"/>
  <c r="AY406" i="1" s="1"/>
  <c r="AS406" i="1"/>
  <c r="AZ406" i="1"/>
  <c r="AX406" i="1" s="1"/>
  <c r="AW405" i="1"/>
  <c r="AY405" i="1" s="1"/>
  <c r="AS405" i="1"/>
  <c r="AZ405" i="1"/>
  <c r="AX405" i="1" s="1"/>
  <c r="AW404" i="1"/>
  <c r="AY404" i="1" s="1"/>
  <c r="AS404" i="1"/>
  <c r="AZ404" i="1"/>
  <c r="AX404" i="1" s="1"/>
  <c r="AW403" i="1"/>
  <c r="AY403" i="1" s="1"/>
  <c r="AS403" i="1"/>
  <c r="AZ403" i="1"/>
  <c r="AX403" i="1" s="1"/>
  <c r="AW402" i="1"/>
  <c r="AY402" i="1" s="1"/>
  <c r="AS402" i="1"/>
  <c r="AZ402" i="1"/>
  <c r="AX402" i="1" s="1"/>
  <c r="AW401" i="1"/>
  <c r="AY401" i="1" s="1"/>
  <c r="AS401" i="1"/>
  <c r="AZ401" i="1"/>
  <c r="AX401" i="1" s="1"/>
  <c r="AW400" i="1"/>
  <c r="AY400" i="1" s="1"/>
  <c r="AS400" i="1"/>
  <c r="AZ400" i="1"/>
  <c r="AX400" i="1" s="1"/>
  <c r="AW399" i="1"/>
  <c r="AY399" i="1" s="1"/>
  <c r="AS399" i="1"/>
  <c r="AZ399" i="1"/>
  <c r="AX399" i="1" s="1"/>
  <c r="AW398" i="1"/>
  <c r="AY398" i="1" s="1"/>
  <c r="AS398" i="1"/>
  <c r="AZ398" i="1"/>
  <c r="AX398" i="1" s="1"/>
  <c r="AW397" i="1"/>
  <c r="AY397" i="1" s="1"/>
  <c r="AS397" i="1"/>
  <c r="AZ397" i="1"/>
  <c r="AX397" i="1" s="1"/>
  <c r="AW396" i="1"/>
  <c r="AY396" i="1" s="1"/>
  <c r="AS396" i="1"/>
  <c r="AZ396" i="1"/>
  <c r="AX396" i="1" s="1"/>
  <c r="AW395" i="1"/>
  <c r="AY395" i="1" s="1"/>
  <c r="AS395" i="1"/>
  <c r="AZ395" i="1"/>
  <c r="AX395" i="1" s="1"/>
  <c r="AW394" i="1"/>
  <c r="AY394" i="1" s="1"/>
  <c r="AS394" i="1"/>
  <c r="AZ394" i="1"/>
  <c r="AX394" i="1" s="1"/>
  <c r="AW393" i="1"/>
  <c r="AY393" i="1" s="1"/>
  <c r="AS393" i="1"/>
  <c r="AZ393" i="1"/>
  <c r="AX393" i="1" s="1"/>
  <c r="AW392" i="1"/>
  <c r="AY392" i="1" s="1"/>
  <c r="AS392" i="1"/>
  <c r="AZ392" i="1"/>
  <c r="AX392" i="1" s="1"/>
  <c r="AW391" i="1"/>
  <c r="AY391" i="1" s="1"/>
  <c r="AS391" i="1"/>
  <c r="AZ391" i="1"/>
  <c r="AX391" i="1" s="1"/>
  <c r="AW390" i="1"/>
  <c r="AY390" i="1" s="1"/>
  <c r="AS390" i="1"/>
  <c r="AZ390" i="1"/>
  <c r="AX390" i="1" s="1"/>
  <c r="AW389" i="1"/>
  <c r="AY389" i="1" s="1"/>
  <c r="AS389" i="1"/>
  <c r="AZ389" i="1"/>
  <c r="AX389" i="1" s="1"/>
  <c r="AW388" i="1"/>
  <c r="AY388" i="1" s="1"/>
  <c r="AS388" i="1"/>
  <c r="AZ388" i="1"/>
  <c r="AX388" i="1" s="1"/>
  <c r="AW387" i="1"/>
  <c r="AY387" i="1" s="1"/>
  <c r="AS387" i="1"/>
  <c r="AZ387" i="1"/>
  <c r="AX387" i="1" s="1"/>
  <c r="AW386" i="1"/>
  <c r="AY386" i="1" s="1"/>
  <c r="AS386" i="1"/>
  <c r="AZ386" i="1"/>
  <c r="AX386" i="1" s="1"/>
  <c r="AW385" i="1"/>
  <c r="AY385" i="1" s="1"/>
  <c r="AS385" i="1"/>
  <c r="AZ385" i="1"/>
  <c r="AX385" i="1" s="1"/>
  <c r="AW384" i="1"/>
  <c r="AY384" i="1" s="1"/>
  <c r="AS384" i="1"/>
  <c r="AZ384" i="1"/>
  <c r="AX384" i="1" s="1"/>
  <c r="AW383" i="1"/>
  <c r="AY383" i="1" s="1"/>
  <c r="AS383" i="1"/>
  <c r="AZ383" i="1"/>
  <c r="AX383" i="1" s="1"/>
  <c r="AW382" i="1"/>
  <c r="AY382" i="1" s="1"/>
  <c r="AS382" i="1"/>
  <c r="AZ382" i="1"/>
  <c r="AX382" i="1" s="1"/>
  <c r="AW381" i="1"/>
  <c r="AY381" i="1" s="1"/>
  <c r="AS381" i="1"/>
  <c r="AZ381" i="1"/>
  <c r="AX381" i="1" s="1"/>
  <c r="AW380" i="1"/>
  <c r="AY380" i="1" s="1"/>
  <c r="AS380" i="1"/>
  <c r="AZ380" i="1"/>
  <c r="AX380" i="1" s="1"/>
  <c r="AW379" i="1"/>
  <c r="AY379" i="1" s="1"/>
  <c r="AS379" i="1"/>
  <c r="AZ379" i="1"/>
  <c r="AX379" i="1" s="1"/>
  <c r="AW378" i="1"/>
  <c r="AY378" i="1" s="1"/>
  <c r="AS378" i="1"/>
  <c r="AZ378" i="1"/>
  <c r="AX378" i="1" s="1"/>
  <c r="AW377" i="1"/>
  <c r="AY377" i="1" s="1"/>
  <c r="AS377" i="1"/>
  <c r="AZ377" i="1"/>
  <c r="AX377" i="1" s="1"/>
  <c r="AW376" i="1"/>
  <c r="AY376" i="1" s="1"/>
  <c r="AS376" i="1"/>
  <c r="AZ376" i="1"/>
  <c r="AX376" i="1" s="1"/>
  <c r="AW375" i="1"/>
  <c r="AY375" i="1" s="1"/>
  <c r="AS375" i="1"/>
  <c r="AZ375" i="1"/>
  <c r="AX375" i="1" s="1"/>
  <c r="AW374" i="1"/>
  <c r="AY374" i="1" s="1"/>
  <c r="AS374" i="1"/>
  <c r="AZ374" i="1"/>
  <c r="AX374" i="1" s="1"/>
  <c r="AW373" i="1"/>
  <c r="AY373" i="1" s="1"/>
  <c r="AS373" i="1"/>
  <c r="AZ373" i="1"/>
  <c r="AX373" i="1" s="1"/>
  <c r="AW372" i="1"/>
  <c r="AY372" i="1" s="1"/>
  <c r="AS372" i="1"/>
  <c r="AZ372" i="1"/>
  <c r="AX372" i="1" s="1"/>
  <c r="AW371" i="1"/>
  <c r="AY371" i="1" s="1"/>
  <c r="AS371" i="1"/>
  <c r="AZ371" i="1"/>
  <c r="AX371" i="1" s="1"/>
  <c r="AW370" i="1"/>
  <c r="AY370" i="1" s="1"/>
  <c r="AS370" i="1"/>
  <c r="AZ370" i="1"/>
  <c r="AX370" i="1" s="1"/>
  <c r="AW369" i="1"/>
  <c r="AY369" i="1" s="1"/>
  <c r="AS369" i="1"/>
  <c r="AZ369" i="1"/>
  <c r="AX369" i="1" s="1"/>
  <c r="AW368" i="1"/>
  <c r="AY368" i="1" s="1"/>
  <c r="AS368" i="1"/>
  <c r="AZ368" i="1"/>
  <c r="AX368" i="1" s="1"/>
  <c r="AW367" i="1"/>
  <c r="AY367" i="1" s="1"/>
  <c r="AS367" i="1"/>
  <c r="AZ367" i="1"/>
  <c r="AX367" i="1" s="1"/>
  <c r="AW366" i="1"/>
  <c r="AY366" i="1" s="1"/>
  <c r="AS366" i="1"/>
  <c r="AZ366" i="1"/>
  <c r="AX366" i="1" s="1"/>
  <c r="AW365" i="1"/>
  <c r="AY365" i="1" s="1"/>
  <c r="AS365" i="1"/>
  <c r="AZ365" i="1"/>
  <c r="AX365" i="1" s="1"/>
  <c r="AW364" i="1"/>
  <c r="AY364" i="1" s="1"/>
  <c r="AS364" i="1"/>
  <c r="AZ364" i="1"/>
  <c r="AX364" i="1" s="1"/>
  <c r="AW363" i="1"/>
  <c r="AY363" i="1" s="1"/>
  <c r="AS363" i="1"/>
  <c r="AZ363" i="1"/>
  <c r="AX363" i="1" s="1"/>
  <c r="AW362" i="1"/>
  <c r="AY362" i="1" s="1"/>
  <c r="AS362" i="1"/>
  <c r="AZ362" i="1"/>
  <c r="AX362" i="1" s="1"/>
  <c r="AW361" i="1"/>
  <c r="AY361" i="1" s="1"/>
  <c r="AS361" i="1"/>
  <c r="AZ361" i="1"/>
  <c r="AX361" i="1" s="1"/>
  <c r="AW360" i="1"/>
  <c r="AY360" i="1" s="1"/>
  <c r="AS360" i="1"/>
  <c r="AZ360" i="1"/>
  <c r="AX360" i="1" s="1"/>
  <c r="AW359" i="1"/>
  <c r="AY359" i="1" s="1"/>
  <c r="AS359" i="1"/>
  <c r="AZ359" i="1"/>
  <c r="AX359" i="1" s="1"/>
  <c r="AW358" i="1"/>
  <c r="AY358" i="1" s="1"/>
  <c r="AS358" i="1"/>
  <c r="AZ358" i="1"/>
  <c r="AX358" i="1" s="1"/>
  <c r="AW357" i="1"/>
  <c r="AY357" i="1" s="1"/>
  <c r="AS357" i="1"/>
  <c r="AZ357" i="1"/>
  <c r="AX357" i="1" s="1"/>
  <c r="AW356" i="1"/>
  <c r="AY356" i="1" s="1"/>
  <c r="AS356" i="1"/>
  <c r="AZ356" i="1"/>
  <c r="AX356" i="1" s="1"/>
  <c r="AW355" i="1"/>
  <c r="AY355" i="1" s="1"/>
  <c r="AS355" i="1"/>
  <c r="AZ355" i="1"/>
  <c r="AX355" i="1" s="1"/>
  <c r="AW354" i="1"/>
  <c r="AY354" i="1" s="1"/>
  <c r="AS354" i="1"/>
  <c r="AZ354" i="1"/>
  <c r="AX354" i="1" s="1"/>
  <c r="AW353" i="1"/>
  <c r="AY353" i="1" s="1"/>
  <c r="AS353" i="1"/>
  <c r="AZ353" i="1"/>
  <c r="AX353" i="1" s="1"/>
  <c r="AW352" i="1"/>
  <c r="AY352" i="1" s="1"/>
  <c r="AS352" i="1"/>
  <c r="AZ352" i="1"/>
  <c r="AX352" i="1" s="1"/>
  <c r="AW351" i="1"/>
  <c r="AY351" i="1" s="1"/>
  <c r="AS351" i="1"/>
  <c r="AZ351" i="1"/>
  <c r="AX351" i="1" s="1"/>
  <c r="AW350" i="1"/>
  <c r="AY350" i="1" s="1"/>
  <c r="AS350" i="1"/>
  <c r="AZ350" i="1"/>
  <c r="AX350" i="1" s="1"/>
  <c r="AW349" i="1"/>
  <c r="AY349" i="1" s="1"/>
  <c r="AS349" i="1"/>
  <c r="AZ349" i="1"/>
  <c r="AX349" i="1" s="1"/>
  <c r="AW348" i="1"/>
  <c r="AY348" i="1" s="1"/>
  <c r="AS348" i="1"/>
  <c r="AZ348" i="1"/>
  <c r="AX348" i="1" s="1"/>
  <c r="AW347" i="1"/>
  <c r="AY347" i="1" s="1"/>
  <c r="AS347" i="1"/>
  <c r="AZ347" i="1"/>
  <c r="AX347" i="1" s="1"/>
  <c r="AW346" i="1"/>
  <c r="AY346" i="1" s="1"/>
  <c r="AS346" i="1"/>
  <c r="AZ346" i="1"/>
  <c r="AX346" i="1" s="1"/>
  <c r="AW345" i="1"/>
  <c r="AY345" i="1" s="1"/>
  <c r="AS345" i="1"/>
  <c r="AZ345" i="1"/>
  <c r="AX345" i="1" s="1"/>
  <c r="AW344" i="1"/>
  <c r="AY344" i="1" s="1"/>
  <c r="AS344" i="1"/>
  <c r="AZ344" i="1"/>
  <c r="AX344" i="1" s="1"/>
  <c r="AW343" i="1"/>
  <c r="AY343" i="1" s="1"/>
  <c r="AS343" i="1"/>
  <c r="AZ343" i="1"/>
  <c r="AX343" i="1" s="1"/>
  <c r="AW342" i="1"/>
  <c r="AY342" i="1" s="1"/>
  <c r="AS342" i="1"/>
  <c r="AZ342" i="1"/>
  <c r="AX342" i="1" s="1"/>
  <c r="AW341" i="1"/>
  <c r="AY341" i="1" s="1"/>
  <c r="AS341" i="1"/>
  <c r="AZ341" i="1"/>
  <c r="AX341" i="1" s="1"/>
  <c r="AW340" i="1"/>
  <c r="AY340" i="1" s="1"/>
  <c r="AS340" i="1"/>
  <c r="AZ340" i="1"/>
  <c r="AX340" i="1" s="1"/>
  <c r="AW339" i="1"/>
  <c r="AY339" i="1" s="1"/>
  <c r="AS339" i="1"/>
  <c r="AZ339" i="1"/>
  <c r="AX339" i="1" s="1"/>
  <c r="AW338" i="1"/>
  <c r="AY338" i="1" s="1"/>
  <c r="AS338" i="1"/>
  <c r="AZ338" i="1"/>
  <c r="AX338" i="1" s="1"/>
  <c r="AW337" i="1"/>
  <c r="AY337" i="1" s="1"/>
  <c r="AS337" i="1"/>
  <c r="AZ337" i="1"/>
  <c r="AX337" i="1" s="1"/>
  <c r="AW336" i="1"/>
  <c r="AY336" i="1" s="1"/>
  <c r="AS336" i="1"/>
  <c r="AZ336" i="1"/>
  <c r="AX336" i="1" s="1"/>
  <c r="AW335" i="1"/>
  <c r="AY335" i="1" s="1"/>
  <c r="AS335" i="1"/>
  <c r="AZ335" i="1"/>
  <c r="AX335" i="1" s="1"/>
  <c r="AW334" i="1"/>
  <c r="AY334" i="1" s="1"/>
  <c r="AS334" i="1"/>
  <c r="AZ334" i="1"/>
  <c r="AX334" i="1" s="1"/>
  <c r="AW333" i="1"/>
  <c r="AY333" i="1" s="1"/>
  <c r="AS333" i="1"/>
  <c r="AZ333" i="1"/>
  <c r="AX333" i="1" s="1"/>
  <c r="AW332" i="1"/>
  <c r="AY332" i="1" s="1"/>
  <c r="AS332" i="1"/>
  <c r="AZ332" i="1"/>
  <c r="AX332" i="1" s="1"/>
  <c r="AW331" i="1"/>
  <c r="AY331" i="1" s="1"/>
  <c r="AS331" i="1"/>
  <c r="AZ331" i="1"/>
  <c r="AX331" i="1" s="1"/>
  <c r="AW330" i="1"/>
  <c r="AY330" i="1" s="1"/>
  <c r="AS330" i="1"/>
  <c r="AZ330" i="1"/>
  <c r="AX330" i="1" s="1"/>
  <c r="AW329" i="1"/>
  <c r="AY329" i="1" s="1"/>
  <c r="AS329" i="1"/>
  <c r="AZ329" i="1"/>
  <c r="AX329" i="1" s="1"/>
  <c r="AW328" i="1"/>
  <c r="AY328" i="1" s="1"/>
  <c r="AS328" i="1"/>
  <c r="AZ328" i="1"/>
  <c r="AX328" i="1" s="1"/>
  <c r="AW327" i="1"/>
  <c r="AY327" i="1" s="1"/>
  <c r="AS327" i="1"/>
  <c r="AZ327" i="1"/>
  <c r="AX327" i="1" s="1"/>
  <c r="AW326" i="1"/>
  <c r="AY326" i="1" s="1"/>
  <c r="AS326" i="1"/>
  <c r="AZ326" i="1"/>
  <c r="AX326" i="1" s="1"/>
  <c r="AW325" i="1"/>
  <c r="AY325" i="1" s="1"/>
  <c r="AS325" i="1"/>
  <c r="AZ325" i="1"/>
  <c r="AX325" i="1" s="1"/>
  <c r="AW324" i="1"/>
  <c r="AY324" i="1" s="1"/>
  <c r="AS324" i="1"/>
  <c r="AZ324" i="1"/>
  <c r="AX324" i="1" s="1"/>
  <c r="AW323" i="1"/>
  <c r="AY323" i="1" s="1"/>
  <c r="AS323" i="1"/>
  <c r="AZ323" i="1"/>
  <c r="AX323" i="1" s="1"/>
  <c r="AW322" i="1"/>
  <c r="AY322" i="1" s="1"/>
  <c r="AS322" i="1"/>
  <c r="AZ322" i="1"/>
  <c r="AX322" i="1" s="1"/>
  <c r="AW321" i="1"/>
  <c r="AY321" i="1" s="1"/>
  <c r="AS321" i="1"/>
  <c r="AZ321" i="1"/>
  <c r="AX321" i="1" s="1"/>
  <c r="AW320" i="1"/>
  <c r="AY320" i="1" s="1"/>
  <c r="AS320" i="1"/>
  <c r="AZ320" i="1"/>
  <c r="AX320" i="1" s="1"/>
  <c r="AW319" i="1"/>
  <c r="AY319" i="1" s="1"/>
  <c r="AS319" i="1"/>
  <c r="AZ319" i="1"/>
  <c r="AX319" i="1" s="1"/>
  <c r="AW318" i="1"/>
  <c r="AY318" i="1" s="1"/>
  <c r="AS318" i="1"/>
  <c r="AZ318" i="1"/>
  <c r="AX318" i="1" s="1"/>
  <c r="AW317" i="1"/>
  <c r="AY317" i="1" s="1"/>
  <c r="AS317" i="1"/>
  <c r="AZ317" i="1"/>
  <c r="AX317" i="1" s="1"/>
  <c r="AW316" i="1"/>
  <c r="AY316" i="1" s="1"/>
  <c r="AS316" i="1"/>
  <c r="AZ316" i="1"/>
  <c r="AX316" i="1" s="1"/>
  <c r="AW315" i="1"/>
  <c r="AY315" i="1" s="1"/>
  <c r="AS315" i="1"/>
  <c r="AZ315" i="1"/>
  <c r="AX315" i="1" s="1"/>
  <c r="AW314" i="1"/>
  <c r="AY314" i="1" s="1"/>
  <c r="AS314" i="1"/>
  <c r="AZ314" i="1"/>
  <c r="AX314" i="1" s="1"/>
  <c r="AW313" i="1"/>
  <c r="AY313" i="1" s="1"/>
  <c r="AS313" i="1"/>
  <c r="AZ313" i="1"/>
  <c r="AX313" i="1" s="1"/>
  <c r="AW312" i="1"/>
  <c r="AY312" i="1" s="1"/>
  <c r="AS312" i="1"/>
  <c r="AZ312" i="1"/>
  <c r="AX312" i="1" s="1"/>
  <c r="AW311" i="1"/>
  <c r="AY311" i="1" s="1"/>
  <c r="AS311" i="1"/>
  <c r="AZ311" i="1"/>
  <c r="AX311" i="1" s="1"/>
  <c r="AW310" i="1"/>
  <c r="AY310" i="1" s="1"/>
  <c r="AS310" i="1"/>
  <c r="AZ310" i="1"/>
  <c r="AX310" i="1" s="1"/>
  <c r="AW309" i="1"/>
  <c r="AY309" i="1" s="1"/>
  <c r="AS309" i="1"/>
  <c r="AZ309" i="1"/>
  <c r="AX309" i="1" s="1"/>
  <c r="AW308" i="1"/>
  <c r="AY308" i="1" s="1"/>
  <c r="AS308" i="1"/>
  <c r="AZ308" i="1"/>
  <c r="AX308" i="1" s="1"/>
  <c r="AW307" i="1"/>
  <c r="AY307" i="1" s="1"/>
  <c r="AS307" i="1"/>
  <c r="AZ307" i="1"/>
  <c r="AX307" i="1" s="1"/>
  <c r="AW306" i="1"/>
  <c r="AY306" i="1" s="1"/>
  <c r="AS306" i="1"/>
  <c r="AZ306" i="1"/>
  <c r="AX306" i="1" s="1"/>
  <c r="AW305" i="1"/>
  <c r="AY305" i="1" s="1"/>
  <c r="AS305" i="1"/>
  <c r="AZ305" i="1"/>
  <c r="AX305" i="1" s="1"/>
  <c r="AW304" i="1"/>
  <c r="AY304" i="1" s="1"/>
  <c r="AS304" i="1"/>
  <c r="AZ304" i="1"/>
  <c r="AX304" i="1" s="1"/>
  <c r="AW303" i="1"/>
  <c r="AY303" i="1" s="1"/>
  <c r="AS303" i="1"/>
  <c r="AZ303" i="1"/>
  <c r="AX303" i="1" s="1"/>
  <c r="AW302" i="1"/>
  <c r="AY302" i="1" s="1"/>
  <c r="AS302" i="1"/>
  <c r="AZ302" i="1"/>
  <c r="AX302" i="1" s="1"/>
  <c r="AW301" i="1"/>
  <c r="AY301" i="1" s="1"/>
  <c r="AS301" i="1"/>
  <c r="AZ301" i="1"/>
  <c r="AX301" i="1" s="1"/>
  <c r="AW300" i="1"/>
  <c r="AY300" i="1" s="1"/>
  <c r="AS300" i="1"/>
  <c r="AZ300" i="1"/>
  <c r="AX300" i="1" s="1"/>
  <c r="AW299" i="1"/>
  <c r="AY299" i="1" s="1"/>
  <c r="AS299" i="1"/>
  <c r="AZ299" i="1"/>
  <c r="AX299" i="1" s="1"/>
  <c r="AW298" i="1"/>
  <c r="AY298" i="1" s="1"/>
  <c r="AS298" i="1"/>
  <c r="AZ298" i="1"/>
  <c r="AX298" i="1" s="1"/>
  <c r="AW297" i="1"/>
  <c r="AY297" i="1" s="1"/>
  <c r="AS297" i="1"/>
  <c r="AZ297" i="1"/>
  <c r="AX297" i="1" s="1"/>
  <c r="AW296" i="1"/>
  <c r="AY296" i="1" s="1"/>
  <c r="AS296" i="1"/>
  <c r="AZ296" i="1"/>
  <c r="AX296" i="1" s="1"/>
  <c r="AW295" i="1"/>
  <c r="AY295" i="1" s="1"/>
  <c r="AS295" i="1"/>
  <c r="AZ295" i="1"/>
  <c r="AX295" i="1" s="1"/>
  <c r="AW294" i="1"/>
  <c r="AY294" i="1" s="1"/>
  <c r="AS294" i="1"/>
  <c r="AZ294" i="1"/>
  <c r="AX294" i="1" s="1"/>
  <c r="AW293" i="1"/>
  <c r="AY293" i="1" s="1"/>
  <c r="AS293" i="1"/>
  <c r="AZ293" i="1"/>
  <c r="AX293" i="1" s="1"/>
  <c r="AW292" i="1"/>
  <c r="AY292" i="1" s="1"/>
  <c r="AS292" i="1"/>
  <c r="AZ292" i="1"/>
  <c r="AX292" i="1" s="1"/>
  <c r="AW291" i="1"/>
  <c r="AY291" i="1" s="1"/>
  <c r="AS291" i="1"/>
  <c r="AZ291" i="1"/>
  <c r="AX291" i="1" s="1"/>
  <c r="AW290" i="1"/>
  <c r="AY290" i="1" s="1"/>
  <c r="AS290" i="1"/>
  <c r="AZ290" i="1"/>
  <c r="AX290" i="1" s="1"/>
  <c r="AW289" i="1"/>
  <c r="AY289" i="1" s="1"/>
  <c r="AS289" i="1"/>
  <c r="AZ289" i="1"/>
  <c r="AX289" i="1" s="1"/>
  <c r="AW288" i="1"/>
  <c r="AY288" i="1" s="1"/>
  <c r="AS288" i="1"/>
  <c r="AZ288" i="1"/>
  <c r="AX288" i="1" s="1"/>
  <c r="AW287" i="1"/>
  <c r="AY287" i="1" s="1"/>
  <c r="AS287" i="1"/>
  <c r="AZ287" i="1"/>
  <c r="AX287" i="1" s="1"/>
  <c r="AW286" i="1"/>
  <c r="AY286" i="1" s="1"/>
  <c r="AS286" i="1"/>
  <c r="AZ286" i="1"/>
  <c r="AX286" i="1" s="1"/>
  <c r="AW285" i="1"/>
  <c r="AY285" i="1" s="1"/>
  <c r="AS285" i="1"/>
  <c r="AZ285" i="1"/>
  <c r="AX285" i="1" s="1"/>
  <c r="AW284" i="1"/>
  <c r="AY284" i="1" s="1"/>
  <c r="AS284" i="1"/>
  <c r="AZ284" i="1"/>
  <c r="AX284" i="1" s="1"/>
  <c r="AW283" i="1"/>
  <c r="AY283" i="1" s="1"/>
  <c r="AS283" i="1"/>
  <c r="AZ283" i="1"/>
  <c r="AX283" i="1" s="1"/>
  <c r="AW282" i="1"/>
  <c r="AY282" i="1" s="1"/>
  <c r="AS282" i="1"/>
  <c r="AZ282" i="1"/>
  <c r="AX282" i="1" s="1"/>
  <c r="AW281" i="1"/>
  <c r="AY281" i="1" s="1"/>
  <c r="AS281" i="1"/>
  <c r="AZ281" i="1"/>
  <c r="AX281" i="1" s="1"/>
  <c r="AW280" i="1"/>
  <c r="AY280" i="1" s="1"/>
  <c r="AS280" i="1"/>
  <c r="AZ280" i="1"/>
  <c r="AX280" i="1" s="1"/>
  <c r="AW279" i="1"/>
  <c r="AY279" i="1" s="1"/>
  <c r="AS279" i="1"/>
  <c r="AZ279" i="1"/>
  <c r="AX279" i="1" s="1"/>
  <c r="AW278" i="1"/>
  <c r="AY278" i="1" s="1"/>
  <c r="AS278" i="1"/>
  <c r="AZ278" i="1"/>
  <c r="AX278" i="1" s="1"/>
  <c r="AW277" i="1"/>
  <c r="AY277" i="1" s="1"/>
  <c r="AS277" i="1"/>
  <c r="AZ277" i="1"/>
  <c r="AX277" i="1" s="1"/>
  <c r="AW276" i="1"/>
  <c r="AY276" i="1" s="1"/>
  <c r="AS276" i="1"/>
  <c r="AZ276" i="1"/>
  <c r="AX276" i="1" s="1"/>
  <c r="AW275" i="1"/>
  <c r="AY275" i="1" s="1"/>
  <c r="AS275" i="1"/>
  <c r="AZ275" i="1"/>
  <c r="AX275" i="1" s="1"/>
  <c r="AW274" i="1"/>
  <c r="AY274" i="1" s="1"/>
  <c r="AS274" i="1"/>
  <c r="AZ274" i="1"/>
  <c r="AX274" i="1" s="1"/>
  <c r="AW273" i="1"/>
  <c r="AY273" i="1" s="1"/>
  <c r="AS273" i="1"/>
  <c r="AZ273" i="1"/>
  <c r="AX273" i="1" s="1"/>
  <c r="AW272" i="1"/>
  <c r="AY272" i="1" s="1"/>
  <c r="AS272" i="1"/>
  <c r="AZ272" i="1"/>
  <c r="AX272" i="1" s="1"/>
  <c r="AW271" i="1"/>
  <c r="AY271" i="1" s="1"/>
  <c r="AS271" i="1"/>
  <c r="AZ271" i="1"/>
  <c r="AX271" i="1" s="1"/>
  <c r="AW270" i="1"/>
  <c r="AY270" i="1" s="1"/>
  <c r="AS270" i="1"/>
  <c r="AZ270" i="1"/>
  <c r="AX270" i="1" s="1"/>
  <c r="AW269" i="1"/>
  <c r="AY269" i="1" s="1"/>
  <c r="AS269" i="1"/>
  <c r="AZ269" i="1"/>
  <c r="AX269" i="1" s="1"/>
  <c r="AW268" i="1"/>
  <c r="AY268" i="1" s="1"/>
  <c r="AS268" i="1"/>
  <c r="AZ268" i="1"/>
  <c r="AX268" i="1" s="1"/>
  <c r="AW267" i="1"/>
  <c r="AY267" i="1" s="1"/>
  <c r="AS267" i="1"/>
  <c r="AZ267" i="1"/>
  <c r="AX267" i="1" s="1"/>
  <c r="AW266" i="1"/>
  <c r="AY266" i="1" s="1"/>
  <c r="AS266" i="1"/>
  <c r="AZ266" i="1"/>
  <c r="AX266" i="1" s="1"/>
  <c r="AW265" i="1"/>
  <c r="AY265" i="1" s="1"/>
  <c r="AS265" i="1"/>
  <c r="AZ265" i="1"/>
  <c r="AX265" i="1" s="1"/>
  <c r="AW264" i="1"/>
  <c r="AY264" i="1" s="1"/>
  <c r="AS264" i="1"/>
  <c r="AZ264" i="1"/>
  <c r="AX264" i="1" s="1"/>
  <c r="AW263" i="1"/>
  <c r="AY263" i="1" s="1"/>
  <c r="AS263" i="1"/>
  <c r="AZ263" i="1"/>
  <c r="AX263" i="1" s="1"/>
  <c r="AW262" i="1"/>
  <c r="AY262" i="1" s="1"/>
  <c r="AS262" i="1"/>
  <c r="AZ262" i="1"/>
  <c r="AX262" i="1" s="1"/>
  <c r="AW261" i="1"/>
  <c r="AY261" i="1" s="1"/>
  <c r="AS261" i="1"/>
  <c r="AZ261" i="1"/>
  <c r="AX261" i="1" s="1"/>
  <c r="AW260" i="1"/>
  <c r="AY260" i="1" s="1"/>
  <c r="AS260" i="1"/>
  <c r="AZ260" i="1"/>
  <c r="AX260" i="1" s="1"/>
  <c r="AW259" i="1"/>
  <c r="AY259" i="1" s="1"/>
  <c r="AS259" i="1"/>
  <c r="AZ259" i="1"/>
  <c r="AX259" i="1" s="1"/>
  <c r="AW258" i="1"/>
  <c r="AY258" i="1" s="1"/>
  <c r="AS258" i="1"/>
  <c r="AZ258" i="1"/>
  <c r="AX258" i="1" s="1"/>
  <c r="AW257" i="1"/>
  <c r="AY257" i="1" s="1"/>
  <c r="AS257" i="1"/>
  <c r="AZ257" i="1"/>
  <c r="AX257" i="1" s="1"/>
  <c r="AW256" i="1"/>
  <c r="AY256" i="1" s="1"/>
  <c r="AS256" i="1"/>
  <c r="AZ256" i="1"/>
  <c r="AX256" i="1" s="1"/>
  <c r="AW255" i="1"/>
  <c r="AY255" i="1" s="1"/>
  <c r="AS255" i="1"/>
  <c r="AZ255" i="1"/>
  <c r="AX255" i="1" s="1"/>
  <c r="AW254" i="1"/>
  <c r="AY254" i="1" s="1"/>
  <c r="AS254" i="1"/>
  <c r="AZ254" i="1"/>
  <c r="AX254" i="1" s="1"/>
  <c r="AW253" i="1"/>
  <c r="AY253" i="1" s="1"/>
  <c r="AS253" i="1"/>
  <c r="AZ253" i="1"/>
  <c r="AX253" i="1" s="1"/>
  <c r="AW252" i="1"/>
  <c r="AY252" i="1" s="1"/>
  <c r="AS252" i="1"/>
  <c r="AZ252" i="1"/>
  <c r="AX252" i="1" s="1"/>
  <c r="AW251" i="1"/>
  <c r="AY251" i="1" s="1"/>
  <c r="AS251" i="1"/>
  <c r="AZ251" i="1"/>
  <c r="AX251" i="1" s="1"/>
  <c r="AW250" i="1"/>
  <c r="AY250" i="1" s="1"/>
  <c r="AS250" i="1"/>
  <c r="AZ250" i="1"/>
  <c r="AX250" i="1" s="1"/>
  <c r="AW249" i="1"/>
  <c r="AY249" i="1" s="1"/>
  <c r="AS249" i="1"/>
  <c r="AZ249" i="1"/>
  <c r="AX249" i="1" s="1"/>
  <c r="AW248" i="1"/>
  <c r="AY248" i="1" s="1"/>
  <c r="AS248" i="1"/>
  <c r="AZ248" i="1"/>
  <c r="AX248" i="1" s="1"/>
  <c r="AW247" i="1"/>
  <c r="AY247" i="1" s="1"/>
  <c r="AS247" i="1"/>
  <c r="AZ247" i="1"/>
  <c r="AX247" i="1" s="1"/>
  <c r="AW246" i="1"/>
  <c r="AY246" i="1" s="1"/>
  <c r="AS246" i="1"/>
  <c r="AZ246" i="1"/>
  <c r="AX246" i="1" s="1"/>
  <c r="AW245" i="1"/>
  <c r="AY245" i="1" s="1"/>
  <c r="AS245" i="1"/>
  <c r="AZ245" i="1"/>
  <c r="AX245" i="1" s="1"/>
  <c r="AW244" i="1"/>
  <c r="AY244" i="1" s="1"/>
  <c r="AS244" i="1"/>
  <c r="AZ244" i="1"/>
  <c r="AX244" i="1" s="1"/>
  <c r="AW243" i="1"/>
  <c r="AY243" i="1" s="1"/>
  <c r="AS243" i="1"/>
  <c r="AZ243" i="1"/>
  <c r="AX243" i="1" s="1"/>
  <c r="AW242" i="1"/>
  <c r="AY242" i="1" s="1"/>
  <c r="AS242" i="1"/>
  <c r="AZ242" i="1"/>
  <c r="AX242" i="1" s="1"/>
  <c r="AW241" i="1"/>
  <c r="AY241" i="1" s="1"/>
  <c r="AS241" i="1"/>
  <c r="AZ241" i="1"/>
  <c r="AX241" i="1" s="1"/>
  <c r="AW240" i="1"/>
  <c r="AY240" i="1" s="1"/>
  <c r="AS240" i="1"/>
  <c r="AZ240" i="1"/>
  <c r="AX240" i="1" s="1"/>
  <c r="AW239" i="1"/>
  <c r="AY239" i="1" s="1"/>
  <c r="AS239" i="1"/>
  <c r="AZ239" i="1"/>
  <c r="AX239" i="1" s="1"/>
  <c r="AW238" i="1"/>
  <c r="AY238" i="1" s="1"/>
  <c r="AS238" i="1"/>
  <c r="AZ238" i="1"/>
  <c r="AX238" i="1" s="1"/>
  <c r="AW237" i="1"/>
  <c r="AY237" i="1" s="1"/>
  <c r="AS237" i="1"/>
  <c r="AZ237" i="1"/>
  <c r="AX237" i="1" s="1"/>
  <c r="AW236" i="1"/>
  <c r="AY236" i="1" s="1"/>
  <c r="AS236" i="1"/>
  <c r="AZ236" i="1"/>
  <c r="AX236" i="1" s="1"/>
  <c r="AW235" i="1"/>
  <c r="AY235" i="1" s="1"/>
  <c r="AS235" i="1"/>
  <c r="AZ235" i="1"/>
  <c r="AX235" i="1" s="1"/>
  <c r="AW234" i="1"/>
  <c r="AY234" i="1" s="1"/>
  <c r="AS234" i="1"/>
  <c r="AZ234" i="1"/>
  <c r="AX234" i="1" s="1"/>
  <c r="AW233" i="1"/>
  <c r="AY233" i="1" s="1"/>
  <c r="AS233" i="1"/>
  <c r="AZ233" i="1"/>
  <c r="AX233" i="1" s="1"/>
  <c r="AW232" i="1"/>
  <c r="AY232" i="1" s="1"/>
  <c r="AS232" i="1"/>
  <c r="AZ232" i="1"/>
  <c r="AX232" i="1" s="1"/>
  <c r="AW231" i="1"/>
  <c r="AY231" i="1" s="1"/>
  <c r="AS231" i="1"/>
  <c r="AZ231" i="1"/>
  <c r="AX231" i="1" s="1"/>
  <c r="AW230" i="1"/>
  <c r="AY230" i="1" s="1"/>
  <c r="AS230" i="1"/>
  <c r="AZ230" i="1"/>
  <c r="AX230" i="1" s="1"/>
  <c r="AW229" i="1"/>
  <c r="AY229" i="1" s="1"/>
  <c r="AS229" i="1"/>
  <c r="AZ229" i="1"/>
  <c r="AX229" i="1" s="1"/>
  <c r="AW228" i="1"/>
  <c r="AY228" i="1" s="1"/>
  <c r="AS228" i="1"/>
  <c r="AZ228" i="1"/>
  <c r="AX228" i="1" s="1"/>
  <c r="AW227" i="1"/>
  <c r="AY227" i="1" s="1"/>
  <c r="AS227" i="1"/>
  <c r="AZ227" i="1"/>
  <c r="AX227" i="1" s="1"/>
  <c r="AW226" i="1"/>
  <c r="AY226" i="1" s="1"/>
  <c r="AS226" i="1"/>
  <c r="AZ226" i="1"/>
  <c r="AX226" i="1" s="1"/>
  <c r="AW225" i="1"/>
  <c r="AY225" i="1" s="1"/>
  <c r="AS225" i="1"/>
  <c r="AZ225" i="1"/>
  <c r="AX225" i="1" s="1"/>
  <c r="AW224" i="1"/>
  <c r="AY224" i="1" s="1"/>
  <c r="AS224" i="1"/>
  <c r="AZ224" i="1"/>
  <c r="AX224" i="1" s="1"/>
  <c r="AW223" i="1"/>
  <c r="AY223" i="1" s="1"/>
  <c r="AS223" i="1"/>
  <c r="AZ223" i="1"/>
  <c r="AX223" i="1" s="1"/>
  <c r="AW222" i="1"/>
  <c r="AY222" i="1" s="1"/>
  <c r="AS222" i="1"/>
  <c r="AZ222" i="1"/>
  <c r="AX222" i="1" s="1"/>
  <c r="AW221" i="1"/>
  <c r="AY221" i="1" s="1"/>
  <c r="AS221" i="1"/>
  <c r="AZ221" i="1"/>
  <c r="AX221" i="1" s="1"/>
  <c r="AW220" i="1"/>
  <c r="AY220" i="1" s="1"/>
  <c r="AS220" i="1"/>
  <c r="AZ220" i="1"/>
  <c r="AX220" i="1" s="1"/>
  <c r="AW219" i="1"/>
  <c r="AY219" i="1" s="1"/>
  <c r="AS219" i="1"/>
  <c r="AZ219" i="1"/>
  <c r="AX219" i="1" s="1"/>
  <c r="AW218" i="1"/>
  <c r="AY218" i="1" s="1"/>
  <c r="AS218" i="1"/>
  <c r="AZ218" i="1"/>
  <c r="AX218" i="1" s="1"/>
  <c r="AW217" i="1"/>
  <c r="AY217" i="1" s="1"/>
  <c r="AS217" i="1"/>
  <c r="AZ217" i="1"/>
  <c r="AX217" i="1" s="1"/>
  <c r="AW216" i="1"/>
  <c r="AY216" i="1" s="1"/>
  <c r="AS216" i="1"/>
  <c r="AZ216" i="1"/>
  <c r="AX216" i="1" s="1"/>
  <c r="AW215" i="1"/>
  <c r="AY215" i="1" s="1"/>
  <c r="AS215" i="1"/>
  <c r="AZ215" i="1"/>
  <c r="AX215" i="1" s="1"/>
  <c r="AW214" i="1"/>
  <c r="AY214" i="1" s="1"/>
  <c r="AS214" i="1"/>
  <c r="AZ214" i="1"/>
  <c r="AX214" i="1" s="1"/>
  <c r="AW213" i="1"/>
  <c r="AY213" i="1" s="1"/>
  <c r="AS213" i="1"/>
  <c r="AZ213" i="1"/>
  <c r="AX213" i="1" s="1"/>
  <c r="AW212" i="1"/>
  <c r="AY212" i="1" s="1"/>
  <c r="AS212" i="1"/>
  <c r="AZ212" i="1"/>
  <c r="AX212" i="1" s="1"/>
  <c r="AW211" i="1"/>
  <c r="AY211" i="1" s="1"/>
  <c r="AS211" i="1"/>
  <c r="AZ211" i="1"/>
  <c r="AX211" i="1" s="1"/>
  <c r="AW210" i="1"/>
  <c r="AY210" i="1" s="1"/>
  <c r="AS210" i="1"/>
  <c r="AZ210" i="1"/>
  <c r="AX210" i="1" s="1"/>
  <c r="AW209" i="1"/>
  <c r="AY209" i="1" s="1"/>
  <c r="AS209" i="1"/>
  <c r="AZ209" i="1"/>
  <c r="AX209" i="1" s="1"/>
  <c r="AW208" i="1"/>
  <c r="AY208" i="1" s="1"/>
  <c r="AS208" i="1"/>
  <c r="AZ208" i="1"/>
  <c r="AX208" i="1" s="1"/>
  <c r="AW207" i="1"/>
  <c r="AY207" i="1" s="1"/>
  <c r="AS207" i="1"/>
  <c r="AZ207" i="1"/>
  <c r="AX207" i="1" s="1"/>
  <c r="AW206" i="1"/>
  <c r="AY206" i="1" s="1"/>
  <c r="AS206" i="1"/>
  <c r="AZ206" i="1"/>
  <c r="AX206" i="1" s="1"/>
  <c r="AW205" i="1"/>
  <c r="AY205" i="1" s="1"/>
  <c r="AS205" i="1"/>
  <c r="AZ205" i="1"/>
  <c r="AX205" i="1" s="1"/>
  <c r="AW204" i="1"/>
  <c r="AY204" i="1" s="1"/>
  <c r="AS204" i="1"/>
  <c r="AZ204" i="1"/>
  <c r="AX204" i="1" s="1"/>
  <c r="AW203" i="1"/>
  <c r="AY203" i="1" s="1"/>
  <c r="AS203" i="1"/>
  <c r="AZ203" i="1"/>
  <c r="AX203" i="1" s="1"/>
  <c r="AW202" i="1"/>
  <c r="AY202" i="1" s="1"/>
  <c r="AS202" i="1"/>
  <c r="AZ202" i="1"/>
  <c r="AX202" i="1" s="1"/>
  <c r="AW201" i="1"/>
  <c r="AY201" i="1" s="1"/>
  <c r="AS201" i="1"/>
  <c r="AZ201" i="1"/>
  <c r="AX201" i="1" s="1"/>
  <c r="AW200" i="1"/>
  <c r="AY200" i="1" s="1"/>
  <c r="AS200" i="1"/>
  <c r="AZ200" i="1"/>
  <c r="AX200" i="1" s="1"/>
  <c r="AW199" i="1"/>
  <c r="AY199" i="1" s="1"/>
  <c r="AS199" i="1"/>
  <c r="AZ199" i="1"/>
  <c r="AX199" i="1" s="1"/>
  <c r="AW198" i="1"/>
  <c r="AY198" i="1" s="1"/>
  <c r="AS198" i="1"/>
  <c r="AZ198" i="1"/>
  <c r="AX198" i="1" s="1"/>
  <c r="AW197" i="1"/>
  <c r="AY197" i="1" s="1"/>
  <c r="AS197" i="1"/>
  <c r="AZ197" i="1"/>
  <c r="AX197" i="1" s="1"/>
  <c r="AW196" i="1"/>
  <c r="AY196" i="1" s="1"/>
  <c r="AS196" i="1"/>
  <c r="AZ196" i="1"/>
  <c r="AX196" i="1" s="1"/>
  <c r="AW195" i="1"/>
  <c r="AY195" i="1" s="1"/>
  <c r="AS195" i="1"/>
  <c r="AZ195" i="1"/>
  <c r="AX195" i="1" s="1"/>
  <c r="AW194" i="1"/>
  <c r="AY194" i="1" s="1"/>
  <c r="AS194" i="1"/>
  <c r="AZ194" i="1"/>
  <c r="AX194" i="1" s="1"/>
  <c r="AW193" i="1"/>
  <c r="AY193" i="1" s="1"/>
  <c r="AS193" i="1"/>
  <c r="AZ193" i="1"/>
  <c r="AX193" i="1" s="1"/>
  <c r="AW192" i="1"/>
  <c r="AY192" i="1" s="1"/>
  <c r="AS192" i="1"/>
  <c r="AZ192" i="1"/>
  <c r="AX192" i="1" s="1"/>
  <c r="AW191" i="1"/>
  <c r="AY191" i="1" s="1"/>
  <c r="AS191" i="1"/>
  <c r="AZ191" i="1"/>
  <c r="AX191" i="1" s="1"/>
  <c r="AW190" i="1"/>
  <c r="AY190" i="1" s="1"/>
  <c r="AS190" i="1"/>
  <c r="AZ190" i="1"/>
  <c r="AX190" i="1" s="1"/>
  <c r="AW189" i="1"/>
  <c r="AY189" i="1" s="1"/>
  <c r="AS189" i="1"/>
  <c r="AZ189" i="1"/>
  <c r="AX189" i="1" s="1"/>
  <c r="AW188" i="1"/>
  <c r="AY188" i="1" s="1"/>
  <c r="AS188" i="1"/>
  <c r="AZ188" i="1"/>
  <c r="AX188" i="1" s="1"/>
  <c r="AW187" i="1"/>
  <c r="AY187" i="1" s="1"/>
  <c r="AS187" i="1"/>
  <c r="AZ187" i="1"/>
  <c r="AX187" i="1" s="1"/>
  <c r="AW186" i="1"/>
  <c r="AY186" i="1" s="1"/>
  <c r="AS186" i="1"/>
  <c r="AZ186" i="1"/>
  <c r="AX186" i="1" s="1"/>
  <c r="AW185" i="1"/>
  <c r="AY185" i="1" s="1"/>
  <c r="AS185" i="1"/>
  <c r="AZ185" i="1"/>
  <c r="AX185" i="1" s="1"/>
  <c r="AW184" i="1"/>
  <c r="AY184" i="1" s="1"/>
  <c r="AS184" i="1"/>
  <c r="AZ184" i="1"/>
  <c r="AX184" i="1" s="1"/>
  <c r="AW183" i="1"/>
  <c r="AY183" i="1" s="1"/>
  <c r="AS183" i="1"/>
  <c r="AZ183" i="1"/>
  <c r="AX183" i="1" s="1"/>
  <c r="AW182" i="1"/>
  <c r="AY182" i="1" s="1"/>
  <c r="AS182" i="1"/>
  <c r="AZ182" i="1"/>
  <c r="AX182" i="1" s="1"/>
  <c r="AW181" i="1"/>
  <c r="AY181" i="1" s="1"/>
  <c r="AS181" i="1"/>
  <c r="AZ181" i="1"/>
  <c r="AX181" i="1" s="1"/>
  <c r="AW180" i="1"/>
  <c r="AY180" i="1" s="1"/>
  <c r="AS180" i="1"/>
  <c r="AZ180" i="1"/>
  <c r="AX180" i="1" s="1"/>
  <c r="AW179" i="1"/>
  <c r="AY179" i="1" s="1"/>
  <c r="AS179" i="1"/>
  <c r="AZ179" i="1"/>
  <c r="AX179" i="1" s="1"/>
  <c r="AW178" i="1"/>
  <c r="AY178" i="1" s="1"/>
  <c r="AS178" i="1"/>
  <c r="AZ178" i="1"/>
  <c r="AX178" i="1" s="1"/>
  <c r="AW177" i="1"/>
  <c r="AY177" i="1" s="1"/>
  <c r="AS177" i="1"/>
  <c r="AZ177" i="1"/>
  <c r="AX177" i="1" s="1"/>
  <c r="AW176" i="1"/>
  <c r="AY176" i="1" s="1"/>
  <c r="AS176" i="1"/>
  <c r="AZ176" i="1"/>
  <c r="AX176" i="1" s="1"/>
  <c r="AW175" i="1"/>
  <c r="AY175" i="1" s="1"/>
  <c r="AS175" i="1"/>
  <c r="AZ175" i="1"/>
  <c r="AX175" i="1" s="1"/>
  <c r="AW174" i="1"/>
  <c r="AY174" i="1" s="1"/>
  <c r="AS174" i="1"/>
  <c r="AZ174" i="1"/>
  <c r="AX174" i="1" s="1"/>
  <c r="AW173" i="1"/>
  <c r="AY173" i="1" s="1"/>
  <c r="AS173" i="1"/>
  <c r="AZ173" i="1"/>
  <c r="AX173" i="1" s="1"/>
  <c r="AW172" i="1"/>
  <c r="AY172" i="1" s="1"/>
  <c r="AS172" i="1"/>
  <c r="AZ172" i="1"/>
  <c r="AX172" i="1" s="1"/>
  <c r="AW171" i="1"/>
  <c r="AY171" i="1" s="1"/>
  <c r="AS171" i="1"/>
  <c r="AZ171" i="1"/>
  <c r="AX171" i="1" s="1"/>
  <c r="AW170" i="1"/>
  <c r="AY170" i="1" s="1"/>
  <c r="AS170" i="1"/>
  <c r="AZ170" i="1"/>
  <c r="AX170" i="1" s="1"/>
  <c r="AW169" i="1"/>
  <c r="AY169" i="1" s="1"/>
  <c r="AS169" i="1"/>
  <c r="AZ169" i="1"/>
  <c r="AX169" i="1" s="1"/>
  <c r="AW168" i="1"/>
  <c r="AY168" i="1" s="1"/>
  <c r="AS168" i="1"/>
  <c r="AZ168" i="1"/>
  <c r="AX168" i="1" s="1"/>
  <c r="AW167" i="1"/>
  <c r="AY167" i="1" s="1"/>
  <c r="AS167" i="1"/>
  <c r="AZ167" i="1"/>
  <c r="AX167" i="1" s="1"/>
  <c r="AW166" i="1"/>
  <c r="AY166" i="1" s="1"/>
  <c r="AS166" i="1"/>
  <c r="AZ166" i="1"/>
  <c r="AX166" i="1" s="1"/>
  <c r="AW165" i="1"/>
  <c r="AY165" i="1" s="1"/>
  <c r="AS165" i="1"/>
  <c r="AZ165" i="1"/>
  <c r="AX165" i="1" s="1"/>
  <c r="AW164" i="1"/>
  <c r="AY164" i="1" s="1"/>
  <c r="AS164" i="1"/>
  <c r="AZ164" i="1"/>
  <c r="AX164" i="1" s="1"/>
  <c r="AW163" i="1"/>
  <c r="AY163" i="1" s="1"/>
  <c r="AS163" i="1"/>
  <c r="AZ163" i="1"/>
  <c r="AX163" i="1" s="1"/>
  <c r="AW162" i="1"/>
  <c r="AY162" i="1" s="1"/>
  <c r="AS162" i="1"/>
  <c r="AZ162" i="1"/>
  <c r="AX162" i="1" s="1"/>
  <c r="AW161" i="1"/>
  <c r="AY161" i="1" s="1"/>
  <c r="AS161" i="1"/>
  <c r="AZ161" i="1"/>
  <c r="AX161" i="1" s="1"/>
  <c r="AW160" i="1"/>
  <c r="AY160" i="1" s="1"/>
  <c r="AS160" i="1"/>
  <c r="AZ160" i="1"/>
  <c r="AX160" i="1" s="1"/>
  <c r="AW159" i="1"/>
  <c r="AY159" i="1" s="1"/>
  <c r="AS159" i="1"/>
  <c r="AZ159" i="1"/>
  <c r="AX159" i="1" s="1"/>
  <c r="AW158" i="1"/>
  <c r="AY158" i="1" s="1"/>
  <c r="AS158" i="1"/>
  <c r="AZ158" i="1"/>
  <c r="AX158" i="1" s="1"/>
  <c r="AW157" i="1"/>
  <c r="AY157" i="1" s="1"/>
  <c r="AS157" i="1"/>
  <c r="AZ157" i="1"/>
  <c r="AX157" i="1" s="1"/>
  <c r="AW156" i="1"/>
  <c r="AY156" i="1" s="1"/>
  <c r="AS156" i="1"/>
  <c r="AZ156" i="1"/>
  <c r="AX156" i="1" s="1"/>
  <c r="AW155" i="1"/>
  <c r="AY155" i="1" s="1"/>
  <c r="AS155" i="1"/>
  <c r="AZ155" i="1"/>
  <c r="AX155" i="1" s="1"/>
  <c r="AW154" i="1"/>
  <c r="AY154" i="1" s="1"/>
  <c r="AS154" i="1"/>
  <c r="AZ154" i="1"/>
  <c r="AX154" i="1" s="1"/>
  <c r="AW153" i="1"/>
  <c r="AY153" i="1" s="1"/>
  <c r="AS153" i="1"/>
  <c r="AZ153" i="1"/>
  <c r="AX153" i="1" s="1"/>
  <c r="AW152" i="1"/>
  <c r="AY152" i="1" s="1"/>
  <c r="AS152" i="1"/>
  <c r="AZ152" i="1"/>
  <c r="AX152" i="1" s="1"/>
  <c r="AW151" i="1"/>
  <c r="AY151" i="1" s="1"/>
  <c r="AS151" i="1"/>
  <c r="AZ151" i="1"/>
  <c r="AX151" i="1" s="1"/>
  <c r="AW150" i="1"/>
  <c r="AY150" i="1" s="1"/>
  <c r="AS150" i="1"/>
  <c r="AZ150" i="1"/>
  <c r="AX150" i="1" s="1"/>
  <c r="AW149" i="1"/>
  <c r="AY149" i="1" s="1"/>
  <c r="AS149" i="1"/>
  <c r="AZ149" i="1"/>
  <c r="AX149" i="1" s="1"/>
  <c r="AW148" i="1"/>
  <c r="AY148" i="1" s="1"/>
  <c r="AS148" i="1"/>
  <c r="AZ148" i="1"/>
  <c r="AX148" i="1" s="1"/>
  <c r="AW147" i="1"/>
  <c r="AY147" i="1" s="1"/>
  <c r="AS147" i="1"/>
  <c r="AZ147" i="1"/>
  <c r="AX147" i="1" s="1"/>
  <c r="AW146" i="1"/>
  <c r="AY146" i="1" s="1"/>
  <c r="AS146" i="1"/>
  <c r="AZ146" i="1"/>
  <c r="AX146" i="1" s="1"/>
  <c r="AW145" i="1"/>
  <c r="AY145" i="1" s="1"/>
  <c r="AS145" i="1"/>
  <c r="AZ145" i="1"/>
  <c r="AX145" i="1" s="1"/>
  <c r="AW144" i="1"/>
  <c r="AY144" i="1" s="1"/>
  <c r="AS144" i="1"/>
  <c r="AZ144" i="1"/>
  <c r="AX144" i="1" s="1"/>
  <c r="AW143" i="1"/>
  <c r="AY143" i="1" s="1"/>
  <c r="AS143" i="1"/>
  <c r="AZ143" i="1"/>
  <c r="AX143" i="1" s="1"/>
  <c r="AW142" i="1"/>
  <c r="AY142" i="1" s="1"/>
  <c r="AS142" i="1"/>
  <c r="AZ142" i="1"/>
  <c r="AX142" i="1" s="1"/>
  <c r="AW141" i="1"/>
  <c r="AY141" i="1" s="1"/>
  <c r="AS141" i="1"/>
  <c r="AZ141" i="1"/>
  <c r="AX141" i="1" s="1"/>
  <c r="AW140" i="1"/>
  <c r="AY140" i="1" s="1"/>
  <c r="AS140" i="1"/>
  <c r="AZ140" i="1"/>
  <c r="AX140" i="1" s="1"/>
  <c r="AW139" i="1"/>
  <c r="AY139" i="1" s="1"/>
  <c r="AS139" i="1"/>
  <c r="AZ139" i="1"/>
  <c r="AX139" i="1" s="1"/>
  <c r="AW138" i="1"/>
  <c r="AY138" i="1" s="1"/>
  <c r="AS138" i="1"/>
  <c r="AZ138" i="1"/>
  <c r="AX138" i="1" s="1"/>
  <c r="AW137" i="1"/>
  <c r="AY137" i="1" s="1"/>
  <c r="AS137" i="1"/>
  <c r="AZ137" i="1"/>
  <c r="AX137" i="1" s="1"/>
  <c r="AW136" i="1"/>
  <c r="AY136" i="1" s="1"/>
  <c r="AS136" i="1"/>
  <c r="AZ136" i="1"/>
  <c r="AX136" i="1" s="1"/>
  <c r="AW135" i="1"/>
  <c r="AY135" i="1" s="1"/>
  <c r="AS135" i="1"/>
  <c r="AZ135" i="1"/>
  <c r="AX135" i="1" s="1"/>
  <c r="AW134" i="1"/>
  <c r="AY134" i="1" s="1"/>
  <c r="AS134" i="1"/>
  <c r="AZ134" i="1"/>
  <c r="AX134" i="1" s="1"/>
  <c r="AW133" i="1"/>
  <c r="AY133" i="1" s="1"/>
  <c r="AS133" i="1"/>
  <c r="AZ133" i="1"/>
  <c r="AX133" i="1" s="1"/>
  <c r="AW132" i="1"/>
  <c r="AY132" i="1" s="1"/>
  <c r="AS132" i="1"/>
  <c r="AZ132" i="1"/>
  <c r="AX132" i="1" s="1"/>
  <c r="AW131" i="1"/>
  <c r="AY131" i="1" s="1"/>
  <c r="AS131" i="1"/>
  <c r="AZ131" i="1"/>
  <c r="AX131" i="1" s="1"/>
  <c r="AW130" i="1"/>
  <c r="AY130" i="1" s="1"/>
  <c r="AS130" i="1"/>
  <c r="AZ130" i="1"/>
  <c r="AX130" i="1" s="1"/>
  <c r="AW129" i="1"/>
  <c r="AY129" i="1" s="1"/>
  <c r="AS129" i="1"/>
  <c r="AZ129" i="1"/>
  <c r="AX129" i="1" s="1"/>
  <c r="AW128" i="1"/>
  <c r="AY128" i="1" s="1"/>
  <c r="AS128" i="1"/>
  <c r="AZ128" i="1"/>
  <c r="AX128" i="1" s="1"/>
  <c r="AW127" i="1"/>
  <c r="AY127" i="1" s="1"/>
  <c r="AS127" i="1"/>
  <c r="AZ127" i="1"/>
  <c r="AX127" i="1" s="1"/>
  <c r="AW126" i="1"/>
  <c r="AY126" i="1" s="1"/>
  <c r="AS126" i="1"/>
  <c r="AZ126" i="1"/>
  <c r="AX126" i="1" s="1"/>
  <c r="AW125" i="1"/>
  <c r="AY125" i="1" s="1"/>
  <c r="AS125" i="1"/>
  <c r="AZ125" i="1"/>
  <c r="AX125" i="1" s="1"/>
  <c r="AW124" i="1"/>
  <c r="AY124" i="1" s="1"/>
  <c r="AS124" i="1"/>
  <c r="AZ124" i="1"/>
  <c r="AX124" i="1" s="1"/>
  <c r="AW123" i="1"/>
  <c r="AY123" i="1" s="1"/>
  <c r="AS123" i="1"/>
  <c r="AZ123" i="1"/>
  <c r="AX123" i="1" s="1"/>
  <c r="AW122" i="1"/>
  <c r="AY122" i="1" s="1"/>
  <c r="AS122" i="1"/>
  <c r="AZ122" i="1"/>
  <c r="AX122" i="1" s="1"/>
  <c r="AW121" i="1"/>
  <c r="AY121" i="1" s="1"/>
  <c r="AS121" i="1"/>
  <c r="AZ121" i="1"/>
  <c r="AX121" i="1" s="1"/>
  <c r="AW120" i="1"/>
  <c r="AY120" i="1" s="1"/>
  <c r="AS120" i="1"/>
  <c r="AZ120" i="1"/>
  <c r="AX120" i="1" s="1"/>
  <c r="AW119" i="1"/>
  <c r="AY119" i="1" s="1"/>
  <c r="AS119" i="1"/>
  <c r="AZ119" i="1"/>
  <c r="AX119" i="1" s="1"/>
  <c r="AW118" i="1"/>
  <c r="AY118" i="1" s="1"/>
  <c r="AS118" i="1"/>
  <c r="AZ118" i="1"/>
  <c r="AX118" i="1" s="1"/>
  <c r="AW117" i="1"/>
  <c r="AY117" i="1" s="1"/>
  <c r="AS117" i="1"/>
  <c r="AZ117" i="1"/>
  <c r="AX117" i="1" s="1"/>
  <c r="AW116" i="1"/>
  <c r="AY116" i="1" s="1"/>
  <c r="AS116" i="1"/>
  <c r="AZ116" i="1"/>
  <c r="AX116" i="1" s="1"/>
  <c r="AW115" i="1"/>
  <c r="AY115" i="1" s="1"/>
  <c r="AS115" i="1"/>
  <c r="AZ115" i="1"/>
  <c r="AX115" i="1" s="1"/>
  <c r="AW114" i="1"/>
  <c r="AY114" i="1" s="1"/>
  <c r="AS114" i="1"/>
  <c r="AZ114" i="1"/>
  <c r="AX114" i="1" s="1"/>
  <c r="AW113" i="1"/>
  <c r="AY113" i="1" s="1"/>
  <c r="AS113" i="1"/>
  <c r="AZ113" i="1"/>
  <c r="AX113" i="1" s="1"/>
  <c r="AW112" i="1"/>
  <c r="AY112" i="1" s="1"/>
  <c r="AS112" i="1"/>
  <c r="AZ112" i="1"/>
  <c r="AX112" i="1" s="1"/>
  <c r="AW111" i="1"/>
  <c r="AY111" i="1" s="1"/>
  <c r="AS111" i="1"/>
  <c r="AZ111" i="1"/>
  <c r="AX111" i="1" s="1"/>
  <c r="AW110" i="1"/>
  <c r="AY110" i="1" s="1"/>
  <c r="AS110" i="1"/>
  <c r="AZ110" i="1"/>
  <c r="AX110" i="1" s="1"/>
  <c r="AW109" i="1"/>
  <c r="AY109" i="1" s="1"/>
  <c r="AS109" i="1"/>
  <c r="AZ109" i="1"/>
  <c r="AX109" i="1" s="1"/>
  <c r="AW108" i="1"/>
  <c r="AY108" i="1" s="1"/>
  <c r="AS108" i="1"/>
  <c r="AZ108" i="1"/>
  <c r="AX108" i="1" s="1"/>
  <c r="AW107" i="1"/>
  <c r="AY107" i="1" s="1"/>
  <c r="AS107" i="1"/>
  <c r="AZ107" i="1"/>
  <c r="AX107" i="1" s="1"/>
  <c r="AW106" i="1"/>
  <c r="AY106" i="1" s="1"/>
  <c r="AS106" i="1"/>
  <c r="AZ106" i="1"/>
  <c r="AX106" i="1" s="1"/>
  <c r="AW105" i="1"/>
  <c r="AY105" i="1" s="1"/>
  <c r="AS105" i="1"/>
  <c r="AZ105" i="1"/>
  <c r="AX105" i="1" s="1"/>
  <c r="AW104" i="1"/>
  <c r="AY104" i="1" s="1"/>
  <c r="AS104" i="1"/>
  <c r="AZ104" i="1"/>
  <c r="AX104" i="1" s="1"/>
  <c r="AW103" i="1"/>
  <c r="AY103" i="1" s="1"/>
  <c r="AS103" i="1"/>
  <c r="AZ103" i="1"/>
  <c r="AX103" i="1" s="1"/>
  <c r="AW102" i="1"/>
  <c r="AY102" i="1" s="1"/>
  <c r="AS102" i="1"/>
  <c r="AZ102" i="1"/>
  <c r="AX102" i="1" s="1"/>
  <c r="AW101" i="1"/>
  <c r="AY101" i="1" s="1"/>
  <c r="AS101" i="1"/>
  <c r="AZ101" i="1"/>
  <c r="AX101" i="1" s="1"/>
  <c r="AW100" i="1"/>
  <c r="AY100" i="1" s="1"/>
  <c r="AS100" i="1"/>
  <c r="AZ100" i="1"/>
  <c r="AX100" i="1" s="1"/>
  <c r="AW99" i="1"/>
  <c r="AY99" i="1" s="1"/>
  <c r="AS99" i="1"/>
  <c r="AZ99" i="1"/>
  <c r="AX99" i="1" s="1"/>
  <c r="AW98" i="1"/>
  <c r="AY98" i="1" s="1"/>
  <c r="AS98" i="1"/>
  <c r="AZ98" i="1"/>
  <c r="AX98" i="1" s="1"/>
  <c r="AW97" i="1"/>
  <c r="AY97" i="1" s="1"/>
  <c r="AS97" i="1"/>
  <c r="AZ97" i="1"/>
  <c r="AX97" i="1" s="1"/>
  <c r="AW96" i="1"/>
  <c r="AY96" i="1" s="1"/>
  <c r="AS96" i="1"/>
  <c r="AZ96" i="1"/>
  <c r="AX96" i="1" s="1"/>
  <c r="AW95" i="1"/>
  <c r="AY95" i="1" s="1"/>
  <c r="AS95" i="1"/>
  <c r="AZ95" i="1"/>
  <c r="AX95" i="1" s="1"/>
  <c r="AW94" i="1"/>
  <c r="AY94" i="1" s="1"/>
  <c r="AS94" i="1"/>
  <c r="AZ94" i="1"/>
  <c r="AX94" i="1" s="1"/>
  <c r="AW93" i="1"/>
  <c r="AY93" i="1" s="1"/>
  <c r="AS93" i="1"/>
  <c r="AZ93" i="1"/>
  <c r="AX93" i="1" s="1"/>
  <c r="AW92" i="1"/>
  <c r="AY92" i="1" s="1"/>
  <c r="AS92" i="1"/>
  <c r="AZ92" i="1"/>
  <c r="AX92" i="1" s="1"/>
  <c r="AW91" i="1"/>
  <c r="AY91" i="1" s="1"/>
  <c r="AS91" i="1"/>
  <c r="AZ91" i="1"/>
  <c r="AX91" i="1" s="1"/>
  <c r="AW90" i="1"/>
  <c r="AY90" i="1" s="1"/>
  <c r="AS90" i="1"/>
  <c r="AZ90" i="1"/>
  <c r="AX90" i="1" s="1"/>
  <c r="AW89" i="1"/>
  <c r="AY89" i="1" s="1"/>
  <c r="AS89" i="1"/>
  <c r="AZ89" i="1"/>
  <c r="AX89" i="1" s="1"/>
  <c r="AW88" i="1"/>
  <c r="AY88" i="1" s="1"/>
  <c r="AS88" i="1"/>
  <c r="AZ88" i="1"/>
  <c r="AX88" i="1" s="1"/>
  <c r="AW87" i="1"/>
  <c r="AY87" i="1" s="1"/>
  <c r="AS87" i="1"/>
  <c r="AZ87" i="1"/>
  <c r="AX87" i="1" s="1"/>
  <c r="AW86" i="1"/>
  <c r="AY86" i="1" s="1"/>
  <c r="AS86" i="1"/>
  <c r="AZ86" i="1"/>
  <c r="AX86" i="1" s="1"/>
  <c r="AW85" i="1"/>
  <c r="AY85" i="1" s="1"/>
  <c r="AS85" i="1"/>
  <c r="AZ85" i="1"/>
  <c r="AX85" i="1" s="1"/>
  <c r="AW84" i="1"/>
  <c r="AY84" i="1" s="1"/>
  <c r="AS84" i="1"/>
  <c r="AZ84" i="1"/>
  <c r="AX84" i="1" s="1"/>
  <c r="AW83" i="1"/>
  <c r="AY83" i="1" s="1"/>
  <c r="AS83" i="1"/>
  <c r="AZ83" i="1"/>
  <c r="AX83" i="1" s="1"/>
  <c r="AW82" i="1"/>
  <c r="AY82" i="1" s="1"/>
  <c r="AS82" i="1"/>
  <c r="AZ82" i="1"/>
  <c r="AX82" i="1" s="1"/>
  <c r="AW81" i="1"/>
  <c r="AY81" i="1" s="1"/>
  <c r="AS81" i="1"/>
  <c r="AZ81" i="1"/>
  <c r="AX81" i="1" s="1"/>
  <c r="AW80" i="1"/>
  <c r="AY80" i="1" s="1"/>
  <c r="AS80" i="1"/>
  <c r="AZ80" i="1"/>
  <c r="AX80" i="1" s="1"/>
  <c r="AW79" i="1"/>
  <c r="AY79" i="1" s="1"/>
  <c r="AS79" i="1"/>
  <c r="AZ79" i="1"/>
  <c r="AX79" i="1" s="1"/>
  <c r="AW78" i="1"/>
  <c r="AY78" i="1" s="1"/>
  <c r="AS78" i="1"/>
  <c r="AZ78" i="1"/>
  <c r="AX78" i="1" s="1"/>
  <c r="AW77" i="1"/>
  <c r="AY77" i="1" s="1"/>
  <c r="AS77" i="1"/>
  <c r="AZ77" i="1"/>
  <c r="AX77" i="1" s="1"/>
  <c r="AW76" i="1"/>
  <c r="AY76" i="1" s="1"/>
  <c r="AS76" i="1"/>
  <c r="AZ76" i="1"/>
  <c r="AX76" i="1" s="1"/>
  <c r="AW75" i="1"/>
  <c r="AY75" i="1" s="1"/>
  <c r="AS75" i="1"/>
  <c r="AZ75" i="1"/>
  <c r="AX75" i="1" s="1"/>
  <c r="AW74" i="1"/>
  <c r="AY74" i="1" s="1"/>
  <c r="AS74" i="1"/>
  <c r="AZ74" i="1"/>
  <c r="AX74" i="1" s="1"/>
  <c r="AW73" i="1"/>
  <c r="AY73" i="1" s="1"/>
  <c r="AS73" i="1"/>
  <c r="AZ73" i="1"/>
  <c r="AX73" i="1" s="1"/>
  <c r="AW72" i="1"/>
  <c r="AY72" i="1" s="1"/>
  <c r="AS72" i="1"/>
  <c r="AZ72" i="1"/>
  <c r="AX72" i="1" s="1"/>
  <c r="AW71" i="1"/>
  <c r="AY71" i="1" s="1"/>
  <c r="AS71" i="1"/>
  <c r="AZ71" i="1"/>
  <c r="AX71" i="1" s="1"/>
  <c r="AW70" i="1"/>
  <c r="AY70" i="1" s="1"/>
  <c r="AS70" i="1"/>
  <c r="AZ70" i="1"/>
  <c r="AX70" i="1" s="1"/>
  <c r="AW69" i="1"/>
  <c r="AY69" i="1" s="1"/>
  <c r="AS69" i="1"/>
  <c r="AZ69" i="1"/>
  <c r="AX69" i="1" s="1"/>
  <c r="AW68" i="1"/>
  <c r="AY68" i="1" s="1"/>
  <c r="AS68" i="1"/>
  <c r="AZ68" i="1"/>
  <c r="AX68" i="1" s="1"/>
  <c r="AW67" i="1"/>
  <c r="AY67" i="1" s="1"/>
  <c r="AS67" i="1"/>
  <c r="AZ67" i="1"/>
  <c r="AX67" i="1" s="1"/>
  <c r="AW66" i="1"/>
  <c r="AY66" i="1" s="1"/>
  <c r="AS66" i="1"/>
  <c r="AZ66" i="1"/>
  <c r="AX66" i="1" s="1"/>
  <c r="AW65" i="1"/>
  <c r="AY65" i="1" s="1"/>
  <c r="AS65" i="1"/>
  <c r="AZ65" i="1"/>
  <c r="AX65" i="1" s="1"/>
  <c r="AW64" i="1"/>
  <c r="AY64" i="1" s="1"/>
  <c r="AS64" i="1"/>
  <c r="AZ64" i="1"/>
  <c r="AX64" i="1" s="1"/>
  <c r="AW63" i="1"/>
  <c r="AY63" i="1" s="1"/>
  <c r="AS63" i="1"/>
  <c r="AZ63" i="1"/>
  <c r="AX63" i="1" s="1"/>
  <c r="AW62" i="1"/>
  <c r="AY62" i="1" s="1"/>
  <c r="AS62" i="1"/>
  <c r="AZ62" i="1"/>
  <c r="AX62" i="1" s="1"/>
  <c r="AW61" i="1"/>
  <c r="AY61" i="1" s="1"/>
  <c r="AS61" i="1"/>
  <c r="AZ61" i="1"/>
  <c r="AX61" i="1" s="1"/>
  <c r="AW60" i="1"/>
  <c r="AY60" i="1" s="1"/>
  <c r="AS60" i="1"/>
  <c r="AZ60" i="1"/>
  <c r="AX60" i="1" s="1"/>
  <c r="AW59" i="1"/>
  <c r="AY59" i="1" s="1"/>
  <c r="AS59" i="1"/>
  <c r="AZ59" i="1"/>
  <c r="AX59" i="1" s="1"/>
  <c r="AW58" i="1"/>
  <c r="AY58" i="1" s="1"/>
  <c r="AS58" i="1"/>
  <c r="AZ58" i="1"/>
  <c r="AX58" i="1" s="1"/>
  <c r="AW57" i="1"/>
  <c r="AY57" i="1" s="1"/>
  <c r="AS57" i="1"/>
  <c r="AZ57" i="1"/>
  <c r="AX57" i="1" s="1"/>
  <c r="AW56" i="1"/>
  <c r="AY56" i="1" s="1"/>
  <c r="AS56" i="1"/>
  <c r="AZ56" i="1"/>
  <c r="AX56" i="1" s="1"/>
  <c r="AW55" i="1"/>
  <c r="AY55" i="1" s="1"/>
  <c r="AS55" i="1"/>
  <c r="AZ55" i="1"/>
  <c r="AX55" i="1" s="1"/>
  <c r="AW54" i="1"/>
  <c r="AY54" i="1" s="1"/>
  <c r="AS54" i="1"/>
  <c r="AZ54" i="1"/>
  <c r="AX54" i="1" s="1"/>
  <c r="AW53" i="1"/>
  <c r="AY53" i="1" s="1"/>
  <c r="AS53" i="1"/>
  <c r="AZ53" i="1"/>
  <c r="AX53" i="1" s="1"/>
  <c r="AW52" i="1"/>
  <c r="AY52" i="1" s="1"/>
  <c r="AS52" i="1"/>
  <c r="AZ52" i="1"/>
  <c r="AX52" i="1" s="1"/>
  <c r="AW51" i="1"/>
  <c r="AY51" i="1" s="1"/>
  <c r="AS51" i="1"/>
  <c r="AZ51" i="1"/>
  <c r="AX51" i="1" s="1"/>
  <c r="AW50" i="1"/>
  <c r="AY50" i="1" s="1"/>
  <c r="AS50" i="1"/>
  <c r="AZ50" i="1"/>
  <c r="AX50" i="1" s="1"/>
  <c r="AW49" i="1"/>
  <c r="AY49" i="1" s="1"/>
  <c r="AS49" i="1"/>
  <c r="AZ49" i="1"/>
  <c r="AX49" i="1" s="1"/>
  <c r="AW48" i="1"/>
  <c r="AY48" i="1" s="1"/>
  <c r="AS48" i="1"/>
  <c r="AZ48" i="1"/>
  <c r="AX48" i="1" s="1"/>
  <c r="AW47" i="1"/>
  <c r="AY47" i="1" s="1"/>
  <c r="AS47" i="1"/>
  <c r="AZ47" i="1"/>
  <c r="AX47" i="1" s="1"/>
  <c r="AW46" i="1"/>
  <c r="AY46" i="1" s="1"/>
  <c r="AS46" i="1"/>
  <c r="AZ46" i="1"/>
  <c r="AX46" i="1" s="1"/>
  <c r="AW45" i="1"/>
  <c r="AY45" i="1" s="1"/>
  <c r="AS45" i="1"/>
  <c r="AZ45" i="1"/>
  <c r="AX45" i="1" s="1"/>
  <c r="AW44" i="1"/>
  <c r="AY44" i="1" s="1"/>
  <c r="AS44" i="1"/>
  <c r="AZ44" i="1"/>
  <c r="AX44" i="1" s="1"/>
  <c r="AW43" i="1"/>
  <c r="AY43" i="1" s="1"/>
  <c r="AS43" i="1"/>
  <c r="AZ43" i="1"/>
  <c r="AX43" i="1" s="1"/>
  <c r="AW42" i="1"/>
  <c r="AY42" i="1" s="1"/>
  <c r="AS42" i="1"/>
  <c r="AZ42" i="1"/>
  <c r="AX42" i="1" s="1"/>
  <c r="AW41" i="1"/>
  <c r="AY41" i="1" s="1"/>
  <c r="AS41" i="1"/>
  <c r="AZ41" i="1"/>
  <c r="AX41" i="1" s="1"/>
  <c r="AW40" i="1"/>
  <c r="AY40" i="1" s="1"/>
  <c r="AS40" i="1"/>
  <c r="AZ40" i="1"/>
  <c r="AX40" i="1" s="1"/>
  <c r="AW39" i="1"/>
  <c r="AY39" i="1" s="1"/>
  <c r="AS39" i="1"/>
  <c r="AZ39" i="1"/>
  <c r="AX39" i="1" s="1"/>
  <c r="AW38" i="1"/>
  <c r="AY38" i="1" s="1"/>
  <c r="AS38" i="1"/>
  <c r="AZ38" i="1"/>
  <c r="AX38" i="1" s="1"/>
  <c r="AW37" i="1"/>
  <c r="AY37" i="1" s="1"/>
  <c r="AS37" i="1"/>
  <c r="AZ37" i="1"/>
  <c r="AX37" i="1" s="1"/>
  <c r="AW36" i="1"/>
  <c r="AY36" i="1" s="1"/>
  <c r="AS36" i="1"/>
  <c r="AZ36" i="1"/>
  <c r="AX36" i="1" s="1"/>
  <c r="AW35" i="1"/>
  <c r="AY35" i="1" s="1"/>
  <c r="AS35" i="1"/>
  <c r="AZ35" i="1"/>
  <c r="AX35" i="1" s="1"/>
  <c r="AW34" i="1"/>
  <c r="AY34" i="1" s="1"/>
  <c r="AS34" i="1"/>
  <c r="AZ34" i="1"/>
  <c r="AX34" i="1" s="1"/>
  <c r="AW33" i="1"/>
  <c r="AY33" i="1" s="1"/>
  <c r="AS33" i="1"/>
  <c r="AZ33" i="1"/>
  <c r="AX33" i="1" s="1"/>
  <c r="AW32" i="1"/>
  <c r="AY32" i="1" s="1"/>
  <c r="AS32" i="1"/>
  <c r="AZ32" i="1"/>
  <c r="AX32" i="1" s="1"/>
  <c r="AW31" i="1"/>
  <c r="AY31" i="1" s="1"/>
  <c r="AS31" i="1"/>
  <c r="AZ31" i="1"/>
  <c r="AX31" i="1" s="1"/>
  <c r="AW30" i="1"/>
  <c r="AY30" i="1" s="1"/>
  <c r="AS30" i="1"/>
  <c r="AZ30" i="1"/>
  <c r="AX30" i="1" s="1"/>
  <c r="AW29" i="1"/>
  <c r="AY29" i="1" s="1"/>
  <c r="AS29" i="1"/>
  <c r="AZ29" i="1"/>
  <c r="AX29" i="1" s="1"/>
  <c r="AW28" i="1"/>
  <c r="AY28" i="1" s="1"/>
  <c r="AS28" i="1"/>
  <c r="AZ28" i="1"/>
  <c r="AX28" i="1" s="1"/>
  <c r="AW27" i="1"/>
  <c r="AY27" i="1" s="1"/>
  <c r="AS27" i="1"/>
  <c r="AZ27" i="1"/>
  <c r="AX27" i="1" s="1"/>
  <c r="AW26" i="1"/>
  <c r="AY26" i="1" s="1"/>
  <c r="AS26" i="1"/>
  <c r="AZ26" i="1"/>
  <c r="AX26" i="1" s="1"/>
  <c r="AW25" i="1"/>
  <c r="AY25" i="1" s="1"/>
  <c r="AS25" i="1"/>
  <c r="AZ25" i="1"/>
  <c r="AX25" i="1" s="1"/>
  <c r="AW24" i="1"/>
  <c r="AY24" i="1" s="1"/>
  <c r="AS24" i="1"/>
  <c r="AZ24" i="1"/>
  <c r="AX24" i="1" s="1"/>
  <c r="AW23" i="1"/>
  <c r="AY23" i="1" s="1"/>
  <c r="AS23" i="1"/>
  <c r="AZ23" i="1"/>
  <c r="AX23" i="1" s="1"/>
  <c r="AW22" i="1"/>
  <c r="AY22" i="1" s="1"/>
  <c r="AS22" i="1"/>
  <c r="AZ22" i="1"/>
  <c r="AX22" i="1" s="1"/>
  <c r="AW21" i="1"/>
  <c r="AY21" i="1" s="1"/>
  <c r="AS21" i="1"/>
  <c r="AZ21" i="1"/>
  <c r="AX21" i="1" s="1"/>
  <c r="AW20" i="1"/>
  <c r="AY20" i="1" s="1"/>
  <c r="AS20" i="1"/>
  <c r="AZ20" i="1"/>
  <c r="AX20" i="1" s="1"/>
  <c r="AW19" i="1"/>
  <c r="AY19" i="1" s="1"/>
  <c r="AS19" i="1"/>
  <c r="AZ19" i="1"/>
  <c r="AX19" i="1" s="1"/>
  <c r="AW18" i="1"/>
  <c r="AY18" i="1" s="1"/>
  <c r="AS18" i="1"/>
  <c r="AZ18" i="1"/>
  <c r="AX18" i="1" s="1"/>
  <c r="AW17" i="1"/>
  <c r="AY17" i="1" s="1"/>
  <c r="AS17" i="1"/>
  <c r="AZ17" i="1"/>
  <c r="AX17" i="1" s="1"/>
  <c r="AW16" i="1"/>
  <c r="AY16" i="1" s="1"/>
  <c r="AS16" i="1"/>
  <c r="AZ16" i="1"/>
  <c r="AX16" i="1" s="1"/>
  <c r="AW15" i="1"/>
  <c r="AY15" i="1" s="1"/>
  <c r="AS15" i="1"/>
  <c r="AZ15" i="1"/>
  <c r="AX15" i="1" s="1"/>
  <c r="AW14" i="1"/>
  <c r="AY14" i="1" s="1"/>
  <c r="AS14" i="1"/>
  <c r="AZ14" i="1"/>
  <c r="AX14" i="1" s="1"/>
  <c r="AW13" i="1"/>
  <c r="AY13" i="1" s="1"/>
  <c r="AS13" i="1"/>
  <c r="AZ13" i="1"/>
  <c r="AX13" i="1" s="1"/>
  <c r="AW12" i="1"/>
  <c r="AY12" i="1" s="1"/>
  <c r="AS12" i="1"/>
  <c r="AZ12" i="1"/>
  <c r="AX12" i="1" s="1"/>
  <c r="AW11" i="1"/>
  <c r="AY11" i="1" s="1"/>
  <c r="AS11" i="1"/>
  <c r="AZ11" i="1"/>
  <c r="AX11" i="1" s="1"/>
  <c r="AW10" i="1"/>
  <c r="AY10" i="1" s="1"/>
  <c r="AS10" i="1"/>
  <c r="AZ10" i="1"/>
  <c r="AX10" i="1" s="1"/>
  <c r="AW9" i="1"/>
  <c r="AY9" i="1" s="1"/>
  <c r="AS9" i="1"/>
  <c r="AZ9" i="1"/>
  <c r="AX9" i="1" s="1"/>
  <c r="AW8" i="1"/>
  <c r="AY8" i="1" s="1"/>
  <c r="AS8" i="1"/>
  <c r="AZ8" i="1"/>
  <c r="AX8" i="1" s="1"/>
  <c r="AW7" i="1"/>
  <c r="AY7" i="1" s="1"/>
  <c r="AS7" i="1"/>
  <c r="AZ7" i="1"/>
  <c r="AX7" i="1" s="1"/>
  <c r="AW6" i="1"/>
  <c r="AY6" i="1" s="1"/>
  <c r="AS6" i="1"/>
  <c r="AZ6" i="1"/>
  <c r="AX6" i="1" s="1"/>
  <c r="AW5" i="1"/>
  <c r="AY5" i="1" s="1"/>
  <c r="AS5" i="1"/>
  <c r="AZ5" i="1"/>
  <c r="AX5" i="1" s="1"/>
  <c r="AW4" i="1"/>
  <c r="AY4" i="1" s="1"/>
  <c r="AS4" i="1"/>
  <c r="AZ4" i="1"/>
  <c r="AX4" i="1" s="1"/>
  <c r="AW3" i="1"/>
  <c r="AY3" i="1" s="1"/>
  <c r="AS3" i="1"/>
  <c r="AZ3" i="1"/>
  <c r="AX3" i="1" s="1"/>
  <c r="AW2" i="1"/>
  <c r="AY2" i="1" s="1"/>
  <c r="AS2" i="1"/>
  <c r="AZ2" i="1"/>
  <c r="AX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<sst xmlns="http://schemas.openxmlformats.org/spreadsheetml/2006/main" count="13898" uniqueCount="4263">
  <si>
    <t>completed_sales_include</t>
  </si>
  <si>
    <t>Yes</t>
  </si>
  <si>
    <t>clean_region</t>
  </si>
  <si>
    <t>total_sales</t>
  </si>
  <si>
    <t>total_profit</t>
  </si>
  <si>
    <t>Count of order_id</t>
  </si>
  <si>
    <t>Unknown</t>
  </si>
  <si>
    <t>North</t>
  </si>
  <si>
    <t>East</t>
  </si>
  <si>
    <t>West</t>
  </si>
  <si>
    <t>South</t>
  </si>
  <si>
    <t>Grand Total</t>
  </si>
  <si>
    <t>clean_category</t>
  </si>
  <si>
    <t>clean_sub_category</t>
  </si>
  <si>
    <t>Furniture</t>
  </si>
  <si>
    <t>Bookcases</t>
  </si>
  <si>
    <t>Chairs</t>
  </si>
  <si>
    <t>Furnishings</t>
  </si>
  <si>
    <t>Tables</t>
  </si>
  <si>
    <t>Furniture Total</t>
  </si>
  <si>
    <t>Office Supplies</t>
  </si>
  <si>
    <t>Art</t>
  </si>
  <si>
    <t>Binders</t>
  </si>
  <si>
    <t>Labels</t>
  </si>
  <si>
    <t>Paper</t>
  </si>
  <si>
    <t>Storage</t>
  </si>
  <si>
    <t>Office Supplies Total</t>
  </si>
  <si>
    <t>Technology</t>
  </si>
  <si>
    <t>Accessories</t>
  </si>
  <si>
    <t>Copiers</t>
  </si>
  <si>
    <t>Machines</t>
  </si>
  <si>
    <t>Phones</t>
  </si>
  <si>
    <t>Technology Total</t>
  </si>
  <si>
    <t>clean_ship_mode</t>
  </si>
  <si>
    <t>Standard Class</t>
  </si>
  <si>
    <t>First Class</t>
  </si>
  <si>
    <t>Second Class</t>
  </si>
  <si>
    <t>Same Day</t>
  </si>
  <si>
    <t>clean_segment</t>
  </si>
  <si>
    <t>Sum of calculated_sales</t>
  </si>
  <si>
    <t>Sum of calculated_profit</t>
  </si>
  <si>
    <t>Profit Margin</t>
  </si>
  <si>
    <t>segment</t>
  </si>
  <si>
    <t>Consumer</t>
  </si>
  <si>
    <t>Home Office</t>
  </si>
  <si>
    <t>Corporate</t>
  </si>
  <si>
    <t>Small Business</t>
  </si>
  <si>
    <t>(All)</t>
  </si>
  <si>
    <t>clean_payment_status</t>
  </si>
  <si>
    <t>clean_order_status</t>
  </si>
  <si>
    <t>Failed</t>
  </si>
  <si>
    <t>Failed Total</t>
  </si>
  <si>
    <t>Paid</t>
  </si>
  <si>
    <t>Paid Total</t>
  </si>
  <si>
    <t>Pending</t>
  </si>
  <si>
    <t>Pending Total</t>
  </si>
  <si>
    <t>Refunded</t>
  </si>
  <si>
    <t>Refunded Total</t>
  </si>
  <si>
    <t>Cancelled</t>
  </si>
  <si>
    <t>Returned</t>
  </si>
  <si>
    <t>order_year_month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</si>
  <si>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</si>
  <si>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</si>
  <si>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</si>
  <si>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</si>
  <si>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</si>
  <si>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</si>
  <si>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</si>
  <si>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</si>
  <si>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</si>
  <si>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</si>
  <si>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</si>
  <si>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</si>
  <si>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</si>
  <si>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</si>
  <si>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</si>
  <si>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</si>
  <si>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</si>
  <si>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</si>
  <si>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</si>
  <si>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</si>
  <si>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</si>
  <si>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</si>
  <si>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order_id</t>
  </si>
  <si>
    <t>order_date</t>
  </si>
  <si>
    <t>clean_order_date</t>
  </si>
  <si>
    <t>ship_date</t>
  </si>
  <si>
    <t>clean_ship_date</t>
  </si>
  <si>
    <t>date_issue_flag</t>
  </si>
  <si>
    <t>shipping_delay_days</t>
  </si>
  <si>
    <t>customer_id</t>
  </si>
  <si>
    <t>customer_name</t>
  </si>
  <si>
    <t>clean_customer_name</t>
  </si>
  <si>
    <t>region</t>
  </si>
  <si>
    <t>state</t>
  </si>
  <si>
    <t>clean_state</t>
  </si>
  <si>
    <t>city</t>
  </si>
  <si>
    <t>clean_city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</si>
  <si>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</si>
  <si>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</si>
  <si>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</si>
  <si>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</si>
  <si>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</si>
  <si>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</si>
  <si>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</si>
  <si>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</si>
  <si>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</si>
  <si>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</si>
  <si>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</si>
  <si>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</si>
  <si>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row_signature</t>
  </si>
  <si>
    <t>exact_duplicate_action</t>
  </si>
  <si>
    <t>duplicate_order_id_count</t>
  </si>
  <si>
    <t>duplicate_order_id_flag</t>
  </si>
  <si>
    <t>duplicate_review_flag</t>
  </si>
  <si>
    <t>cleaned_discount</t>
  </si>
  <si>
    <t>calculated_sales</t>
  </si>
  <si>
    <t>calculated_profit</t>
  </si>
  <si>
    <t>profit_margin</t>
  </si>
  <si>
    <t>order_month</t>
  </si>
  <si>
    <t>order_year</t>
  </si>
  <si>
    <t>sales_mismatch</t>
  </si>
  <si>
    <t>profit_mismatch</t>
  </si>
  <si>
    <t>business_rule_notes</t>
  </si>
  <si>
    <t>data_quality_flag</t>
  </si>
  <si>
    <t>ORD-2024-10001</t>
  </si>
  <si>
    <t>21 Jul 2024</t>
  </si>
  <si>
    <t>07/27/2024</t>
  </si>
  <si>
    <t>CUST-4655</t>
  </si>
  <si>
    <t>Karan Malhotra</t>
  </si>
  <si>
    <t xml:space="preserve">  North </t>
  </si>
  <si>
    <t>Rajasthan</t>
  </si>
  <si>
    <t>Jaipur</t>
  </si>
  <si>
    <t>Pro Paper 122</t>
  </si>
  <si>
    <t>Completed</t>
  </si>
  <si>
    <t>ORD-2024-10002</t>
  </si>
  <si>
    <t>08/31/2024</t>
  </si>
  <si>
    <t>05 Sep 2024</t>
  </si>
  <si>
    <t>CUST-2054</t>
  </si>
  <si>
    <t>Mira Das</t>
  </si>
  <si>
    <t>Odisha</t>
  </si>
  <si>
    <t>Bhubaneswar</t>
  </si>
  <si>
    <t>Pro Tables 258</t>
  </si>
  <si>
    <t>ORD-2024-10003</t>
  </si>
  <si>
    <t>06/08/2024</t>
  </si>
  <si>
    <t>15 Jun 2024</t>
  </si>
  <si>
    <t>CUST-6843</t>
  </si>
  <si>
    <t>Isha Nair</t>
  </si>
  <si>
    <t>Elite Art 525</t>
  </si>
  <si>
    <t>ORD-2024-10004</t>
  </si>
  <si>
    <t>28-11-2024</t>
  </si>
  <si>
    <t>11/29/2024</t>
  </si>
  <si>
    <t>CUST-3722</t>
  </si>
  <si>
    <t>Arjun Bose</t>
  </si>
  <si>
    <t>Telangana</t>
  </si>
  <si>
    <t>Hyderabad</t>
  </si>
  <si>
    <t>Smart Furnishings 294</t>
  </si>
  <si>
    <t>ORD-2025-10005</t>
  </si>
  <si>
    <t>29 Aug 2025</t>
  </si>
  <si>
    <t>2025-09-01</t>
  </si>
  <si>
    <t>CUST-8130</t>
  </si>
  <si>
    <t>Ananya Rao</t>
  </si>
  <si>
    <t>Maharashtra</t>
  </si>
  <si>
    <t>Mumbai</t>
  </si>
  <si>
    <t>Elite Chairs 543</t>
  </si>
  <si>
    <t>ORD-2024-10006</t>
  </si>
  <si>
    <t>2024-05-24</t>
  </si>
  <si>
    <t>28-05-2024</t>
  </si>
  <si>
    <t>CUST-6056</t>
  </si>
  <si>
    <t>Vikram Iyer</t>
  </si>
  <si>
    <t>Madhya Pradesh</t>
  </si>
  <si>
    <t>Indore</t>
  </si>
  <si>
    <t>Pro Accessories 821</t>
  </si>
  <si>
    <t>ORD-2025-10007</t>
  </si>
  <si>
    <t>04/10/2025</t>
  </si>
  <si>
    <t>04/16/2025</t>
  </si>
  <si>
    <t>CUST-3656</t>
  </si>
  <si>
    <t>Neha Gupta</t>
  </si>
  <si>
    <t>Eco Copiers 790</t>
  </si>
  <si>
    <t>ORD-2025-10008</t>
  </si>
  <si>
    <t>2025-02-23</t>
  </si>
  <si>
    <t>26-02-2025</t>
  </si>
  <si>
    <t>CUST-4683</t>
  </si>
  <si>
    <t>Andhra Pradesh</t>
  </si>
  <si>
    <t>Vijayawada</t>
  </si>
  <si>
    <t>Eco Art 848</t>
  </si>
  <si>
    <t>ORD-2024-10009</t>
  </si>
  <si>
    <t>11/05/2024</t>
  </si>
  <si>
    <t>11/10/2024</t>
  </si>
  <si>
    <t>CUST-2598</t>
  </si>
  <si>
    <t>Aditi Sen</t>
  </si>
  <si>
    <t>Classic Labels 815</t>
  </si>
  <si>
    <t>ORD-2025-10010</t>
  </si>
  <si>
    <t>07-09-2025</t>
  </si>
  <si>
    <t>09/12/2025</t>
  </si>
  <si>
    <t>CUST-2483</t>
  </si>
  <si>
    <t>Pro Paper 622</t>
  </si>
  <si>
    <t>ORD-2025-10011</t>
  </si>
  <si>
    <t>20 May 2025</t>
  </si>
  <si>
    <t>05/20/2025</t>
  </si>
  <si>
    <t>CUST-8092</t>
  </si>
  <si>
    <t>West Bengal</t>
  </si>
  <si>
    <t>Kolkata</t>
  </si>
  <si>
    <t>Prime Labels 644</t>
  </si>
  <si>
    <t>ORD-2024-10012</t>
  </si>
  <si>
    <t>2024-07-22</t>
  </si>
  <si>
    <t>23-07-2024</t>
  </si>
  <si>
    <t>CUST-6528</t>
  </si>
  <si>
    <t>Smart Accessories 603</t>
  </si>
  <si>
    <t>ORD-2024-10013</t>
  </si>
  <si>
    <t>20 Dec 2024</t>
  </si>
  <si>
    <t>12/21/2024</t>
  </si>
  <si>
    <t>CUST-2648</t>
  </si>
  <si>
    <t xml:space="preserve">Corporate </t>
  </si>
  <si>
    <t>Udaipur</t>
  </si>
  <si>
    <t>Pro Paper 481</t>
  </si>
  <si>
    <t>ORD-2025-10014</t>
  </si>
  <si>
    <t>2025-10-12</t>
  </si>
  <si>
    <t>16-10-2025</t>
  </si>
  <si>
    <t>CUST-7482</t>
  </si>
  <si>
    <t>Priya Menon</t>
  </si>
  <si>
    <t>Smart Art 795</t>
  </si>
  <si>
    <t>ORD-2024-10015</t>
  </si>
  <si>
    <t>27 Dec 2024</t>
  </si>
  <si>
    <t>12/28/2024</t>
  </si>
  <si>
    <t>CUST-4912</t>
  </si>
  <si>
    <t>Rahul Verma</t>
  </si>
  <si>
    <t>Max Copiers 983</t>
  </si>
  <si>
    <t>ORD-2024-10016</t>
  </si>
  <si>
    <t>07/09/2024</t>
  </si>
  <si>
    <t>09 Jul 2024</t>
  </si>
  <si>
    <t>CUST-7656</t>
  </si>
  <si>
    <t>Punjab</t>
  </si>
  <si>
    <t>Ludhiana</t>
  </si>
  <si>
    <t>Classic Storage 198</t>
  </si>
  <si>
    <t>ORD-2024-10017</t>
  </si>
  <si>
    <t>05/08/2024</t>
  </si>
  <si>
    <t>15-05-2024</t>
  </si>
  <si>
    <t>CUST-6214</t>
  </si>
  <si>
    <t>Aarav Sharma</t>
  </si>
  <si>
    <t>Basic Art 204</t>
  </si>
  <si>
    <t>ORD-2024-10018</t>
  </si>
  <si>
    <t>01/07/2024</t>
  </si>
  <si>
    <t>2024-01-08</t>
  </si>
  <si>
    <t>CUST-1626</t>
  </si>
  <si>
    <t>Sneha Kapoor</t>
  </si>
  <si>
    <t>Basic Furnishings 434</t>
  </si>
  <si>
    <t>ORD-2025-10019</t>
  </si>
  <si>
    <t>07/15/2025</t>
  </si>
  <si>
    <t>17-07-2025</t>
  </si>
  <si>
    <t>CUST-2110</t>
  </si>
  <si>
    <t>Uttar Pradesh</t>
  </si>
  <si>
    <t>Noida</t>
  </si>
  <si>
    <t>Eco Copiers 755</t>
  </si>
  <si>
    <t>ORD-2024-10020</t>
  </si>
  <si>
    <t>31 Jul 2024</t>
  </si>
  <si>
    <t>CUST-3186</t>
  </si>
  <si>
    <t>Rohan Mehta</t>
  </si>
  <si>
    <t>Prime Storage 121</t>
  </si>
  <si>
    <t>ORD-2025-10021</t>
  </si>
  <si>
    <t>21-01-2025</t>
  </si>
  <si>
    <t>23 Jan 2025</t>
  </si>
  <si>
    <t>CUST-3190</t>
  </si>
  <si>
    <t>Bihar</t>
  </si>
  <si>
    <t>Patna</t>
  </si>
  <si>
    <t>Elite Copiers 233</t>
  </si>
  <si>
    <t>ORD-2025-10022</t>
  </si>
  <si>
    <t>24-01-2025</t>
  </si>
  <si>
    <t>01/30/2025</t>
  </si>
  <si>
    <t>CUST-3036</t>
  </si>
  <si>
    <t>Eco Furnishings 897</t>
  </si>
  <si>
    <t>ORD-2025-10023</t>
  </si>
  <si>
    <t>19 Jan 2025</t>
  </si>
  <si>
    <t>2025-01-21</t>
  </si>
  <si>
    <t>CUST-3588</t>
  </si>
  <si>
    <t>Max Binders 355</t>
  </si>
  <si>
    <t>ORD-2025-10024</t>
  </si>
  <si>
    <t>31-08-2025</t>
  </si>
  <si>
    <t>CUST-7098</t>
  </si>
  <si>
    <t>Pro Bookcases 394</t>
  </si>
  <si>
    <t>ORD-2024-10025</t>
  </si>
  <si>
    <t>2024-03-04</t>
  </si>
  <si>
    <t>03/01/2024</t>
  </si>
  <si>
    <t>CUST-1747</t>
  </si>
  <si>
    <t>Diya Patel</t>
  </si>
  <si>
    <t>Max Art 215</t>
  </si>
  <si>
    <t>ORD-2024-10026</t>
  </si>
  <si>
    <t>11-10-2024</t>
  </si>
  <si>
    <t>2024-10-19</t>
  </si>
  <si>
    <t>CUST-1731</t>
  </si>
  <si>
    <t>Assam</t>
  </si>
  <si>
    <t>Guwahati</t>
  </si>
  <si>
    <t>Classic Accessories 478</t>
  </si>
  <si>
    <t>ORD-2024-10027</t>
  </si>
  <si>
    <t>23-11-2024</t>
  </si>
  <si>
    <t>23 Nov 2024</t>
  </si>
  <si>
    <t>CUST-4401</t>
  </si>
  <si>
    <t>Pro Phones 243</t>
  </si>
  <si>
    <t xml:space="preserve">Paid </t>
  </si>
  <si>
    <t>ORD-2025-10028</t>
  </si>
  <si>
    <t>29 Sep 2025</t>
  </si>
  <si>
    <t>05-10-2025</t>
  </si>
  <si>
    <t>CUST-9875</t>
  </si>
  <si>
    <t>Karnataka</t>
  </si>
  <si>
    <t>Bengaluru</t>
  </si>
  <si>
    <t>Basic Paper 613</t>
  </si>
  <si>
    <t>ORD-2024-10029</t>
  </si>
  <si>
    <t>18-10-2024</t>
  </si>
  <si>
    <t>CUST-1569</t>
  </si>
  <si>
    <t>Gujarat</t>
  </si>
  <si>
    <t>Ahmedabad</t>
  </si>
  <si>
    <t>Prime Phones 698</t>
  </si>
  <si>
    <t>ORD-2025-10030</t>
  </si>
  <si>
    <t>13 Aug 2025</t>
  </si>
  <si>
    <t>13-08-2025</t>
  </si>
  <si>
    <t>CUST-5936</t>
  </si>
  <si>
    <t>Kerala</t>
  </si>
  <si>
    <t>Kochi</t>
  </si>
  <si>
    <t>Pro Phones 442</t>
  </si>
  <si>
    <t>ORD-2024-10031</t>
  </si>
  <si>
    <t>09 Feb 2024</t>
  </si>
  <si>
    <t>02/12/2024</t>
  </si>
  <si>
    <t>CUST-8759</t>
  </si>
  <si>
    <t>Goa</t>
  </si>
  <si>
    <t>Panaji</t>
  </si>
  <si>
    <t>Pro Labels 355</t>
  </si>
  <si>
    <t>ORD-2025-10032</t>
  </si>
  <si>
    <t>15-06-2025</t>
  </si>
  <si>
    <t>19-06-2025</t>
  </si>
  <si>
    <t>CUST-7867</t>
  </si>
  <si>
    <t>Pro Paper 959</t>
  </si>
  <si>
    <t>ORD-2024-10033</t>
  </si>
  <si>
    <t>22-11-2024</t>
  </si>
  <si>
    <t>2024-11-26</t>
  </si>
  <si>
    <t>CUST-6509</t>
  </si>
  <si>
    <t>Basic Phones 242</t>
  </si>
  <si>
    <t>ORD-2024-10034</t>
  </si>
  <si>
    <t>07/22/2024</t>
  </si>
  <si>
    <t>27-07-2024</t>
  </si>
  <si>
    <t>CUST-6660</t>
  </si>
  <si>
    <t>Max Tables 836</t>
  </si>
  <si>
    <t>ORD-2025-10035</t>
  </si>
  <si>
    <t>2025-01-31</t>
  </si>
  <si>
    <t>2025-02-05</t>
  </si>
  <si>
    <t>CUST-2392</t>
  </si>
  <si>
    <t>Elite Chairs 862</t>
  </si>
  <si>
    <t>ORD-2024-10036</t>
  </si>
  <si>
    <t>29-05-2024</t>
  </si>
  <si>
    <t>29 May 2024</t>
  </si>
  <si>
    <t>CUST-1611</t>
  </si>
  <si>
    <t>Prime Bookcases 414</t>
  </si>
  <si>
    <t>ORD-2024-10037</t>
  </si>
  <si>
    <t>2024-10-25</t>
  </si>
  <si>
    <t>28 Oct 2024</t>
  </si>
  <si>
    <t>CUST-8296</t>
  </si>
  <si>
    <t>Eco Bookcases 220</t>
  </si>
  <si>
    <t>ORD-2025-10038</t>
  </si>
  <si>
    <t>29-07-2025</t>
  </si>
  <si>
    <t>CUST-4646</t>
  </si>
  <si>
    <t>Pro Copiers 830</t>
  </si>
  <si>
    <t>STANDARD CLASS</t>
  </si>
  <si>
    <t>ORD-2024-10039</t>
  </si>
  <si>
    <t>2024-06-17</t>
  </si>
  <si>
    <t>22-06-2024</t>
  </si>
  <si>
    <t>CUST-8235</t>
  </si>
  <si>
    <t>Prime Phones 507</t>
  </si>
  <si>
    <t>ORD-2024-10040</t>
  </si>
  <si>
    <t>12/11/2024</t>
  </si>
  <si>
    <t>2024-12-11</t>
  </si>
  <si>
    <t>CUST-5830</t>
  </si>
  <si>
    <t>Classic Copiers 590</t>
  </si>
  <si>
    <t>ORD-2024-10041</t>
  </si>
  <si>
    <t>10-10-2024</t>
  </si>
  <si>
    <t>16 Oct 2024</t>
  </si>
  <si>
    <t>CUST-7178</t>
  </si>
  <si>
    <t>Eco Copiers 865</t>
  </si>
  <si>
    <t>ORD-2024-10042</t>
  </si>
  <si>
    <t>03/12/2024</t>
  </si>
  <si>
    <t>17-03-2024</t>
  </si>
  <si>
    <t>CUST-3829</t>
  </si>
  <si>
    <t>Classic Bookcases 835</t>
  </si>
  <si>
    <t>ORD-2025-10043</t>
  </si>
  <si>
    <t>2025-10-10</t>
  </si>
  <si>
    <t>15 Oct 2025</t>
  </si>
  <si>
    <t>CUST-6708</t>
  </si>
  <si>
    <t>Jharkhand</t>
  </si>
  <si>
    <t>Ranchi</t>
  </si>
  <si>
    <t>Eco Phones 702</t>
  </si>
  <si>
    <t>ORD-2024-10044</t>
  </si>
  <si>
    <t>07/08/2024</t>
  </si>
  <si>
    <t>07/14/2024</t>
  </si>
  <si>
    <t>CUST-7119</t>
  </si>
  <si>
    <t>Smart Furnishings 956</t>
  </si>
  <si>
    <t>ORD-2024-10045</t>
  </si>
  <si>
    <t>06/22/2024</t>
  </si>
  <si>
    <t>25-06-2024</t>
  </si>
  <si>
    <t>CUST-3373</t>
  </si>
  <si>
    <t>Haryana</t>
  </si>
  <si>
    <t>Gurugram</t>
  </si>
  <si>
    <t>Max Chairs 393</t>
  </si>
  <si>
    <t>ORD-2024-10046</t>
  </si>
  <si>
    <t>18 Jan 2024</t>
  </si>
  <si>
    <t>24-01-2024</t>
  </si>
  <si>
    <t>CUST-8896</t>
  </si>
  <si>
    <t>Prime Art 221</t>
  </si>
  <si>
    <t>ORD-2024-10047</t>
  </si>
  <si>
    <t>19-07-2024</t>
  </si>
  <si>
    <t>CUST-8517</t>
  </si>
  <si>
    <t>Elite Bookcases 671</t>
  </si>
  <si>
    <t>ORD-2024-10048</t>
  </si>
  <si>
    <t>12-08-2024</t>
  </si>
  <si>
    <t>2024-08-12</t>
  </si>
  <si>
    <t>CUST-1987</t>
  </si>
  <si>
    <t>Tamil Nadu</t>
  </si>
  <si>
    <t>Chennai</t>
  </si>
  <si>
    <t>Max Storage 432</t>
  </si>
  <si>
    <t>ORD-2025-10049</t>
  </si>
  <si>
    <t>30 Jan 2025</t>
  </si>
  <si>
    <t>05 Feb 2025</t>
  </si>
  <si>
    <t>CUST-8183</t>
  </si>
  <si>
    <t>Basic Chairs 837</t>
  </si>
  <si>
    <t xml:space="preserve">Second Class </t>
  </si>
  <si>
    <t>ORD-2024-10050</t>
  </si>
  <si>
    <t>2024-04-06</t>
  </si>
  <si>
    <t>13 Apr 2024</t>
  </si>
  <si>
    <t>CUST-2380</t>
  </si>
  <si>
    <t>Classic Copiers 295</t>
  </si>
  <si>
    <t>ORD-2025-10051</t>
  </si>
  <si>
    <t>05/11/2025</t>
  </si>
  <si>
    <t>19 May 2025</t>
  </si>
  <si>
    <t>CUST-8787</t>
  </si>
  <si>
    <t>Pro Copiers 963</t>
  </si>
  <si>
    <t>ORD-2024-10052</t>
  </si>
  <si>
    <t>24 Apr 2024</t>
  </si>
  <si>
    <t>29 Apr 2024</t>
  </si>
  <si>
    <t>CUST-3557</t>
  </si>
  <si>
    <t xml:space="preserve">Ananya Rao </t>
  </si>
  <si>
    <t>Pro Art 907</t>
  </si>
  <si>
    <t>ORD-2024-10053</t>
  </si>
  <si>
    <t>26-10-2024</t>
  </si>
  <si>
    <t>2024-10-28</t>
  </si>
  <si>
    <t>CUST-2778</t>
  </si>
  <si>
    <t>Kabir Singh</t>
  </si>
  <si>
    <t>Pro Chairs 526</t>
  </si>
  <si>
    <t>ORD-2025-10054</t>
  </si>
  <si>
    <t>31 Mar 2025</t>
  </si>
  <si>
    <t>2025-03-31</t>
  </si>
  <si>
    <t>CUST-7195</t>
  </si>
  <si>
    <t>Elite Storage 924</t>
  </si>
  <si>
    <t>ORD-2025-10055</t>
  </si>
  <si>
    <t>30 May 2025</t>
  </si>
  <si>
    <t>2025-06-02</t>
  </si>
  <si>
    <t>CUST-9039</t>
  </si>
  <si>
    <t>Pro Labels 957</t>
  </si>
  <si>
    <t>ORD-2025-10056</t>
  </si>
  <si>
    <t>01-07-2025</t>
  </si>
  <si>
    <t>03-07-2025</t>
  </si>
  <si>
    <t>CUST-9821</t>
  </si>
  <si>
    <t>Classic Machines 310</t>
  </si>
  <si>
    <t>ORD-2025-10057</t>
  </si>
  <si>
    <t>2025-01-05</t>
  </si>
  <si>
    <t>06-01-2025</t>
  </si>
  <si>
    <t>CUST-8701</t>
  </si>
  <si>
    <t>Smart Binders 393</t>
  </si>
  <si>
    <t>ORD-2024-10058</t>
  </si>
  <si>
    <t>2024-02-07</t>
  </si>
  <si>
    <t>15 Feb 2024</t>
  </si>
  <si>
    <t>CUST-9941</t>
  </si>
  <si>
    <t>Max Chairs 813</t>
  </si>
  <si>
    <t>ORD-2024-10059</t>
  </si>
  <si>
    <t>2024-09-01</t>
  </si>
  <si>
    <t>2024-09-07</t>
  </si>
  <si>
    <t>CUST-3983</t>
  </si>
  <si>
    <t>Basic Storage 872</t>
  </si>
  <si>
    <t>ORD-2024-10060</t>
  </si>
  <si>
    <t>20-07-2024</t>
  </si>
  <si>
    <t>25 Jul 2024</t>
  </si>
  <si>
    <t>CUST-2418</t>
  </si>
  <si>
    <t>Smart Labels 655</t>
  </si>
  <si>
    <t>ORD-2024-10061</t>
  </si>
  <si>
    <t>07/13/2024</t>
  </si>
  <si>
    <t>2024-07-19</t>
  </si>
  <si>
    <t>CUST-2892</t>
  </si>
  <si>
    <t>Eco Labels 210</t>
  </si>
  <si>
    <t>ORD-2024-10062</t>
  </si>
  <si>
    <t>16 Apr 2024</t>
  </si>
  <si>
    <t>04/16/2024</t>
  </si>
  <si>
    <t>CUST-7008</t>
  </si>
  <si>
    <t>Classic Bookcases 296</t>
  </si>
  <si>
    <t>ORD-2024-10063</t>
  </si>
  <si>
    <t>30 Oct 2024</t>
  </si>
  <si>
    <t>02-11-2024</t>
  </si>
  <si>
    <t>CUST-4900</t>
  </si>
  <si>
    <t>Basic Phones 230</t>
  </si>
  <si>
    <t>ORD-2024-10064</t>
  </si>
  <si>
    <t>2024-01-25</t>
  </si>
  <si>
    <t>01-02-2024</t>
  </si>
  <si>
    <t>CUST-5382</t>
  </si>
  <si>
    <t>Pro Binders 690</t>
  </si>
  <si>
    <t>ORD-2024-10065</t>
  </si>
  <si>
    <t>2024-12-23</t>
  </si>
  <si>
    <t>12/29/2024</t>
  </si>
  <si>
    <t>CUST-2749</t>
  </si>
  <si>
    <t>Classic Paper 458</t>
  </si>
  <si>
    <t>ORD-2024-10066</t>
  </si>
  <si>
    <t>22 Apr 2024</t>
  </si>
  <si>
    <t>2024-04-27</t>
  </si>
  <si>
    <t>CUST-2463</t>
  </si>
  <si>
    <t>Pro Paper 552</t>
  </si>
  <si>
    <t>ORD-2025-10067</t>
  </si>
  <si>
    <t>08/28/2025</t>
  </si>
  <si>
    <t>01 Sep 2025</t>
  </si>
  <si>
    <t>CUST-1504</t>
  </si>
  <si>
    <t>Elite Accessories 187</t>
  </si>
  <si>
    <t>ORD-2025-10068</t>
  </si>
  <si>
    <t>03 Feb 2025</t>
  </si>
  <si>
    <t>07-02-2025</t>
  </si>
  <si>
    <t>CUST-8282</t>
  </si>
  <si>
    <t>Eco Paper 922</t>
  </si>
  <si>
    <t>ORD-2024-10069</t>
  </si>
  <si>
    <t>13 Nov 2024</t>
  </si>
  <si>
    <t>CUST-6054</t>
  </si>
  <si>
    <t>Pro Storage 975</t>
  </si>
  <si>
    <t>ORD-2024-10070</t>
  </si>
  <si>
    <t>09 Apr 2024</t>
  </si>
  <si>
    <t>04/14/2024</t>
  </si>
  <si>
    <t>CUST-5979</t>
  </si>
  <si>
    <t>Prime Machines 782</t>
  </si>
  <si>
    <t>ORD-2025-10071</t>
  </si>
  <si>
    <t>2025-08-22</t>
  </si>
  <si>
    <t>27 Aug 2025</t>
  </si>
  <si>
    <t>CUST-5582</t>
  </si>
  <si>
    <t>Max Phones 661</t>
  </si>
  <si>
    <t>ORD-2025-10072</t>
  </si>
  <si>
    <t>2025-04-23</t>
  </si>
  <si>
    <t>CUST-3308</t>
  </si>
  <si>
    <t xml:space="preserve">  Small Business </t>
  </si>
  <si>
    <t>Elite Machines 836</t>
  </si>
  <si>
    <t>ORD-2024-10073</t>
  </si>
  <si>
    <t>2024-02-11</t>
  </si>
  <si>
    <t>07 Feb 2024</t>
  </si>
  <si>
    <t>CUST-5018</t>
  </si>
  <si>
    <t>Prime Tables 902</t>
  </si>
  <si>
    <t>ORD-2025-10074</t>
  </si>
  <si>
    <t>29-03-2025</t>
  </si>
  <si>
    <t>04/03/2025</t>
  </si>
  <si>
    <t>CUST-2342</t>
  </si>
  <si>
    <t>Smart Bookcases 167</t>
  </si>
  <si>
    <t>ORD-2025-10075</t>
  </si>
  <si>
    <t>02/27/2025</t>
  </si>
  <si>
    <t>2025-03-01</t>
  </si>
  <si>
    <t>CUST-6201</t>
  </si>
  <si>
    <t>Max Chairs 244</t>
  </si>
  <si>
    <t>ORD-2025-10076</t>
  </si>
  <si>
    <t>22-08-2025</t>
  </si>
  <si>
    <t>08/27/2025</t>
  </si>
  <si>
    <t>CUST-5808</t>
  </si>
  <si>
    <t>Eco Labels 653</t>
  </si>
  <si>
    <t>ORD-2024-10077</t>
  </si>
  <si>
    <t>03 Nov 2024</t>
  </si>
  <si>
    <t>11-11-2024</t>
  </si>
  <si>
    <t>CUST-2642</t>
  </si>
  <si>
    <t>Max Labels 617</t>
  </si>
  <si>
    <t>ORD-2025-10078</t>
  </si>
  <si>
    <t>07/08/2025</t>
  </si>
  <si>
    <t>12-07-2025</t>
  </si>
  <si>
    <t>CUST-4385</t>
  </si>
  <si>
    <t>Pro Furnishings 529</t>
  </si>
  <si>
    <t>ORD-2025-10079</t>
  </si>
  <si>
    <t>07/16/2025</t>
  </si>
  <si>
    <t>21-07-2025</t>
  </si>
  <si>
    <t>CUST-8043</t>
  </si>
  <si>
    <t>Smart Tables 561</t>
  </si>
  <si>
    <t>ORD-2025-10080</t>
  </si>
  <si>
    <t>2025-09-27</t>
  </si>
  <si>
    <t>2025-10-03</t>
  </si>
  <si>
    <t>CUST-9978</t>
  </si>
  <si>
    <t xml:space="preserve">  Furniture </t>
  </si>
  <si>
    <t>Prime Chairs 838</t>
  </si>
  <si>
    <t>ORD-2024-10081</t>
  </si>
  <si>
    <t>2024-08-10</t>
  </si>
  <si>
    <t>2024-08-14</t>
  </si>
  <si>
    <t>CUST-2094</t>
  </si>
  <si>
    <t>Delhi</t>
  </si>
  <si>
    <t>New Delhi</t>
  </si>
  <si>
    <t>Elite Storage 371</t>
  </si>
  <si>
    <t>ORD-2025-10082</t>
  </si>
  <si>
    <t>2025-03-16</t>
  </si>
  <si>
    <t>17-03-2025</t>
  </si>
  <si>
    <t>CUST-7907</t>
  </si>
  <si>
    <t>Eco Labels 662</t>
  </si>
  <si>
    <t>ORD-2024-10083</t>
  </si>
  <si>
    <t>2024-08-03</t>
  </si>
  <si>
    <t>04-08-2024</t>
  </si>
  <si>
    <t>CUST-6516</t>
  </si>
  <si>
    <t>Smart Copiers 702</t>
  </si>
  <si>
    <t>ORD-2024-10084</t>
  </si>
  <si>
    <t>29-10-2024</t>
  </si>
  <si>
    <t>CUST-4989</t>
  </si>
  <si>
    <t>Elite Tables 362</t>
  </si>
  <si>
    <t>ORD-2024-10085</t>
  </si>
  <si>
    <t>01 Oct 2024</t>
  </si>
  <si>
    <t>2024-10-03</t>
  </si>
  <si>
    <t>CUST-3758</t>
  </si>
  <si>
    <t xml:space="preserve">Technology </t>
  </si>
  <si>
    <t>Elite Phones 781</t>
  </si>
  <si>
    <t>ORD-2024-10086</t>
  </si>
  <si>
    <t>2024-07-30</t>
  </si>
  <si>
    <t>08/05/2024</t>
  </si>
  <si>
    <t>CUST-6702</t>
  </si>
  <si>
    <t>Eco Binders 456</t>
  </si>
  <si>
    <t>ORD-2024-10087</t>
  </si>
  <si>
    <t>01 Jul 2024</t>
  </si>
  <si>
    <t>CUST-9148</t>
  </si>
  <si>
    <t>Basic Copiers 525</t>
  </si>
  <si>
    <t>ORD-2024-10088</t>
  </si>
  <si>
    <t>02-08-2024</t>
  </si>
  <si>
    <t>CUST-5829</t>
  </si>
  <si>
    <t>Eco Binders 258</t>
  </si>
  <si>
    <t>ORD-2024-10089</t>
  </si>
  <si>
    <t>03/24/2024</t>
  </si>
  <si>
    <t>27 Mar 2024</t>
  </si>
  <si>
    <t>CUST-6059</t>
  </si>
  <si>
    <t>Max Bookcases 398</t>
  </si>
  <si>
    <t>ORD-2024-10090</t>
  </si>
  <si>
    <t>CUST-7744</t>
  </si>
  <si>
    <t>Smart Bookcases 857</t>
  </si>
  <si>
    <t>ORD-2025-10091</t>
  </si>
  <si>
    <t>08/24/2025</t>
  </si>
  <si>
    <t>CUST-5909</t>
  </si>
  <si>
    <t>Smart Copiers 556</t>
  </si>
  <si>
    <t>ORD-2025-10092</t>
  </si>
  <si>
    <t>02-03-2025</t>
  </si>
  <si>
    <t>03/08/2025</t>
  </si>
  <si>
    <t>CUST-6409</t>
  </si>
  <si>
    <t>Prime Copiers 575</t>
  </si>
  <si>
    <t>ORD-2025-10093</t>
  </si>
  <si>
    <t>01/26/2025</t>
  </si>
  <si>
    <t>CUST-3014</t>
  </si>
  <si>
    <t>Elite Paper 669</t>
  </si>
  <si>
    <t>ORD-2024-10094</t>
  </si>
  <si>
    <t>13-01-2024</t>
  </si>
  <si>
    <t>CUST-6106</t>
  </si>
  <si>
    <t>Eco Binders 780</t>
  </si>
  <si>
    <t>ORD-2024-10095</t>
  </si>
  <si>
    <t>09/06/2024</t>
  </si>
  <si>
    <t>09 Sep 2024</t>
  </si>
  <si>
    <t>CUST-1926</t>
  </si>
  <si>
    <t>Elite Phones 723</t>
  </si>
  <si>
    <t>ORD-2025-10096</t>
  </si>
  <si>
    <t>05-09-2025</t>
  </si>
  <si>
    <t>09/10/2025</t>
  </si>
  <si>
    <t>CUST-2687</t>
  </si>
  <si>
    <t>Classic Bookcases 988</t>
  </si>
  <si>
    <t>ORD-2024-10097</t>
  </si>
  <si>
    <t>05 Jun 2024</t>
  </si>
  <si>
    <t>07-06-2024</t>
  </si>
  <si>
    <t>CUST-7283</t>
  </si>
  <si>
    <t>Smart Copiers 547</t>
  </si>
  <si>
    <t>ORD-2025-10098</t>
  </si>
  <si>
    <t>08 Aug 2025</t>
  </si>
  <si>
    <t>2025-08-11</t>
  </si>
  <si>
    <t>CUST-8111</t>
  </si>
  <si>
    <t>Basic Storage 656</t>
  </si>
  <si>
    <t>ORD-2024-10099</t>
  </si>
  <si>
    <t>2024-01-26</t>
  </si>
  <si>
    <t>02/01/2024</t>
  </si>
  <si>
    <t>CUST-5434</t>
  </si>
  <si>
    <t>Elite Copiers 785</t>
  </si>
  <si>
    <t>ORD-2025-10100</t>
  </si>
  <si>
    <t>11-01-2025</t>
  </si>
  <si>
    <t>CUST-3865</t>
  </si>
  <si>
    <t>Smart Accessories 542</t>
  </si>
  <si>
    <t>ORD-2025-10101</t>
  </si>
  <si>
    <t>12 Sep 2025</t>
  </si>
  <si>
    <t>18 Sep 2025</t>
  </si>
  <si>
    <t>CUST-6015</t>
  </si>
  <si>
    <t>Eco Storage 936</t>
  </si>
  <si>
    <t>ORD-2024-10102</t>
  </si>
  <si>
    <t>26-06-2024</t>
  </si>
  <si>
    <t>CUST-7909</t>
  </si>
  <si>
    <t xml:space="preserve">  Home Office </t>
  </si>
  <si>
    <t>Classic Furnishings 682</t>
  </si>
  <si>
    <t>ORD-2025-10103</t>
  </si>
  <si>
    <t>12 Jul 2025</t>
  </si>
  <si>
    <t>2025-07-16</t>
  </si>
  <si>
    <t>CUST-9603</t>
  </si>
  <si>
    <t>Classic Chairs 604</t>
  </si>
  <si>
    <t>ORD-2025-10104</t>
  </si>
  <si>
    <t>05/02/2025</t>
  </si>
  <si>
    <t>05/10/2025</t>
  </si>
  <si>
    <t>CUST-6263</t>
  </si>
  <si>
    <t>Prime Tables 377</t>
  </si>
  <si>
    <t>ORD-2025-10105</t>
  </si>
  <si>
    <t>2025-02-01</t>
  </si>
  <si>
    <t>02/08/2025</t>
  </si>
  <si>
    <t>CUST-1576</t>
  </si>
  <si>
    <t>Prime Labels 807</t>
  </si>
  <si>
    <t>ORD-2024-10106</t>
  </si>
  <si>
    <t>06/24/2024</t>
  </si>
  <si>
    <t>29-06-2024</t>
  </si>
  <si>
    <t>CUST-6540</t>
  </si>
  <si>
    <t>Eco Tables 575</t>
  </si>
  <si>
    <t>ORD-2024-10107</t>
  </si>
  <si>
    <t>20-02-2024</t>
  </si>
  <si>
    <t>28 Feb 2024</t>
  </si>
  <si>
    <t>CUST-4008</t>
  </si>
  <si>
    <t>Eco Paper 918</t>
  </si>
  <si>
    <t>ORD-2024-10108</t>
  </si>
  <si>
    <t>29 Oct 2024</t>
  </si>
  <si>
    <t>2024-11-04</t>
  </si>
  <si>
    <t>CUST-6604</t>
  </si>
  <si>
    <t>Prime Furnishings 952</t>
  </si>
  <si>
    <t>ORD-2024-10109</t>
  </si>
  <si>
    <t>15 Aug 2024</t>
  </si>
  <si>
    <t>08/23/2024</t>
  </si>
  <si>
    <t>CUST-4337</t>
  </si>
  <si>
    <t>Prime Bookcases 631</t>
  </si>
  <si>
    <t>ORD-2025-10110</t>
  </si>
  <si>
    <t>23-08-2025</t>
  </si>
  <si>
    <t>CUST-3740</t>
  </si>
  <si>
    <t>Classic Binders 660</t>
  </si>
  <si>
    <t>ORD-2024-10111</t>
  </si>
  <si>
    <t>10/18/2024</t>
  </si>
  <si>
    <t>2024-10-24</t>
  </si>
  <si>
    <t>CUST-7128</t>
  </si>
  <si>
    <t>Pro Labels 255</t>
  </si>
  <si>
    <t>ORD-2025-10112</t>
  </si>
  <si>
    <t>06/27/2025</t>
  </si>
  <si>
    <t>2025-06-30</t>
  </si>
  <si>
    <t>CUST-4743</t>
  </si>
  <si>
    <t>Basic Accessories 187</t>
  </si>
  <si>
    <t>ORD-2024-10113</t>
  </si>
  <si>
    <t>10 Jan 2024</t>
  </si>
  <si>
    <t>14-01-2024</t>
  </si>
  <si>
    <t>CUST-5213</t>
  </si>
  <si>
    <t xml:space="preserve">  Consumer </t>
  </si>
  <si>
    <t>Max Accessories 451</t>
  </si>
  <si>
    <t>ORD-2024-10114</t>
  </si>
  <si>
    <t>12-02-2024</t>
  </si>
  <si>
    <t>Classic Tables 752</t>
  </si>
  <si>
    <t>ORD-2024-10115</t>
  </si>
  <si>
    <t>2024-09-25</t>
  </si>
  <si>
    <t>30 Sep 2024</t>
  </si>
  <si>
    <t>CUST-2927</t>
  </si>
  <si>
    <t>Eco Accessories 452</t>
  </si>
  <si>
    <t>ORD-2024-10116</t>
  </si>
  <si>
    <t>2024-12-27</t>
  </si>
  <si>
    <t>01-01-2025</t>
  </si>
  <si>
    <t>CUST-7764</t>
  </si>
  <si>
    <t>Classic Binders 203</t>
  </si>
  <si>
    <t>ORD-2025-10117</t>
  </si>
  <si>
    <t>2025-02-15</t>
  </si>
  <si>
    <t>19 Feb 2025</t>
  </si>
  <si>
    <t>CUST-3632</t>
  </si>
  <si>
    <t>Basic Binders 859</t>
  </si>
  <si>
    <t>ORD-2024-10118</t>
  </si>
  <si>
    <t>2024-02-15</t>
  </si>
  <si>
    <t>17 Feb 2024</t>
  </si>
  <si>
    <t>CUST-9608</t>
  </si>
  <si>
    <t>Elite Machines 705</t>
  </si>
  <si>
    <t>70%</t>
  </si>
  <si>
    <t>ORD-2024-10119</t>
  </si>
  <si>
    <t>06/10/2024</t>
  </si>
  <si>
    <t>2024-06-18</t>
  </si>
  <si>
    <t>CUST-9135</t>
  </si>
  <si>
    <t>Vikram  Iyer</t>
  </si>
  <si>
    <t>Pro Copiers 208</t>
  </si>
  <si>
    <t>ORD-2024-10120</t>
  </si>
  <si>
    <t>12 Jun 2024</t>
  </si>
  <si>
    <t>19 Jun 2024</t>
  </si>
  <si>
    <t>CUST-7861</t>
  </si>
  <si>
    <t xml:space="preserve">Small Business </t>
  </si>
  <si>
    <t>Elite Chairs 921</t>
  </si>
  <si>
    <t>ORD-2024-10121</t>
  </si>
  <si>
    <t>2024-08-18</t>
  </si>
  <si>
    <t>CUST-6096</t>
  </si>
  <si>
    <t>Prime Phones 540</t>
  </si>
  <si>
    <t>ORD-2025-10122</t>
  </si>
  <si>
    <t>08/22/2025</t>
  </si>
  <si>
    <t>08/26/2025</t>
  </si>
  <si>
    <t>CUST-2044</t>
  </si>
  <si>
    <t>Small  Business</t>
  </si>
  <si>
    <t>Max Machines 948</t>
  </si>
  <si>
    <t>ORD-2024-10123</t>
  </si>
  <si>
    <t>11/30/2024</t>
  </si>
  <si>
    <t>04-12-2024</t>
  </si>
  <si>
    <t>CUST-1721</t>
  </si>
  <si>
    <t>Max Chairs 786</t>
  </si>
  <si>
    <t>ORD-2024-10124</t>
  </si>
  <si>
    <t>05/24/2024</t>
  </si>
  <si>
    <t>25 May 2024</t>
  </si>
  <si>
    <t>CUST-1007</t>
  </si>
  <si>
    <t>NORTH</t>
  </si>
  <si>
    <t>Max Copiers 970</t>
  </si>
  <si>
    <t>ORD-2024-10125</t>
  </si>
  <si>
    <t>07/24/2024</t>
  </si>
  <si>
    <t>CUST-4450</t>
  </si>
  <si>
    <t>Pro Copiers 769</t>
  </si>
  <si>
    <t xml:space="preserve">Completed </t>
  </si>
  <si>
    <t>ORD-2025-10126</t>
  </si>
  <si>
    <t>2025-07-17</t>
  </si>
  <si>
    <t>18-07-2025</t>
  </si>
  <si>
    <t>CUST-7924</t>
  </si>
  <si>
    <t>Basic Tables 753</t>
  </si>
  <si>
    <t>ORD-2025-10127</t>
  </si>
  <si>
    <t>24-09-2025</t>
  </si>
  <si>
    <t>26 Sep 2025</t>
  </si>
  <si>
    <t>CUST-1715</t>
  </si>
  <si>
    <t>Prime Copiers 651</t>
  </si>
  <si>
    <t>ORD-2025-10128</t>
  </si>
  <si>
    <t>26-01-2025</t>
  </si>
  <si>
    <t>CUST-6802</t>
  </si>
  <si>
    <t>Basic Storage 321</t>
  </si>
  <si>
    <t>ORD-2024-10129</t>
  </si>
  <si>
    <t>13 Dec 2024</t>
  </si>
  <si>
    <t>16 Dec 2024</t>
  </si>
  <si>
    <t>CUST-9328</t>
  </si>
  <si>
    <t>Prime Furnishings 710</t>
  </si>
  <si>
    <t>ORD-2024-10130</t>
  </si>
  <si>
    <t>25-07-2024</t>
  </si>
  <si>
    <t>CUST-2588</t>
  </si>
  <si>
    <t>Elite Binders 723</t>
  </si>
  <si>
    <t>ORD-2024-10131</t>
  </si>
  <si>
    <t>2024-01-27</t>
  </si>
  <si>
    <t>02 Feb 2024</t>
  </si>
  <si>
    <t>CUST-5435</t>
  </si>
  <si>
    <t>Smart Labels 878</t>
  </si>
  <si>
    <t>ORD-2025-10132</t>
  </si>
  <si>
    <t>09/29/2025</t>
  </si>
  <si>
    <t>2025-10-04</t>
  </si>
  <si>
    <t>CUST-7637</t>
  </si>
  <si>
    <t>Pro Paper 934</t>
  </si>
  <si>
    <t>ORD-2024-10133</t>
  </si>
  <si>
    <t>04 Nov 2024</t>
  </si>
  <si>
    <t>CUST-3602</t>
  </si>
  <si>
    <t>Classic Machines 886</t>
  </si>
  <si>
    <t>ORD-2024-10134</t>
  </si>
  <si>
    <t>2024-12-13</t>
  </si>
  <si>
    <t>12/18/2024</t>
  </si>
  <si>
    <t>CUST-9441</t>
  </si>
  <si>
    <t>Prime Phones 419</t>
  </si>
  <si>
    <t>ORD-2025-10135</t>
  </si>
  <si>
    <t>07/14/2025</t>
  </si>
  <si>
    <t>2025-07-14</t>
  </si>
  <si>
    <t>CUST-7361</t>
  </si>
  <si>
    <t>Elite Bookcases 266</t>
  </si>
  <si>
    <t>ORD-2025-10136</t>
  </si>
  <si>
    <t>2025-08-24</t>
  </si>
  <si>
    <t>CUST-1148</t>
  </si>
  <si>
    <t xml:space="preserve">Furniture </t>
  </si>
  <si>
    <t>Prime Bookcases 954</t>
  </si>
  <si>
    <t>ORD-2025-10137</t>
  </si>
  <si>
    <t>09-02-2025</t>
  </si>
  <si>
    <t>15-02-2025</t>
  </si>
  <si>
    <t>CUST-3350</t>
  </si>
  <si>
    <t>Max Binders 362</t>
  </si>
  <si>
    <t>Standard  Class</t>
  </si>
  <si>
    <t>ORD-2025-10138</t>
  </si>
  <si>
    <t>01/09/2025</t>
  </si>
  <si>
    <t>2025-01-09</t>
  </si>
  <si>
    <t>CUST-7932</t>
  </si>
  <si>
    <t>Prime Chairs 261</t>
  </si>
  <si>
    <t>ORD-2024-10139</t>
  </si>
  <si>
    <t>2024-01-20</t>
  </si>
  <si>
    <t>26-01-2024</t>
  </si>
  <si>
    <t>CUST-7173</t>
  </si>
  <si>
    <t>Basic Machines 185</t>
  </si>
  <si>
    <t>ORD-2025-10140</t>
  </si>
  <si>
    <t>03/02/2025</t>
  </si>
  <si>
    <t>07-03-2025</t>
  </si>
  <si>
    <t>CUST-4225</t>
  </si>
  <si>
    <t>Basic Labels 509</t>
  </si>
  <si>
    <t>ORD-2024-10141</t>
  </si>
  <si>
    <t>31-05-2024</t>
  </si>
  <si>
    <t>01 Jun 2024</t>
  </si>
  <si>
    <t>CUST-2149</t>
  </si>
  <si>
    <t>Elite Bookcases 696</t>
  </si>
  <si>
    <t>ORD-2024-10142</t>
  </si>
  <si>
    <t>03/23/2024</t>
  </si>
  <si>
    <t>2024-03-29</t>
  </si>
  <si>
    <t>CUST-3314</t>
  </si>
  <si>
    <t>Elite Bookcases 772</t>
  </si>
  <si>
    <t>ORD-2024-10143</t>
  </si>
  <si>
    <t>30 Mar 2024</t>
  </si>
  <si>
    <t>26 Mar 2024</t>
  </si>
  <si>
    <t>CUST-8944</t>
  </si>
  <si>
    <t>Classic Phones 142</t>
  </si>
  <si>
    <t>ORD-2024-10144</t>
  </si>
  <si>
    <t>2024-03-26</t>
  </si>
  <si>
    <t>CUST-3144</t>
  </si>
  <si>
    <t>Pro Paper 575</t>
  </si>
  <si>
    <t>ORD-2024-10145</t>
  </si>
  <si>
    <t>2024-06-15</t>
  </si>
  <si>
    <t>CUST-6747</t>
  </si>
  <si>
    <t>Elite Accessories 905</t>
  </si>
  <si>
    <t>ORD-2025-10146</t>
  </si>
  <si>
    <t>11-04-2025</t>
  </si>
  <si>
    <t>04/13/2025</t>
  </si>
  <si>
    <t>CUST-6161</t>
  </si>
  <si>
    <t>Smart Paper 899</t>
  </si>
  <si>
    <t>ORD-2025-10147</t>
  </si>
  <si>
    <t>30 Jul 2025</t>
  </si>
  <si>
    <t>08/01/2025</t>
  </si>
  <si>
    <t>CUST-1460</t>
  </si>
  <si>
    <t>Classic Storage 423</t>
  </si>
  <si>
    <t>ORD-2024-10148</t>
  </si>
  <si>
    <t>23-12-2024</t>
  </si>
  <si>
    <t>2024-12-30</t>
  </si>
  <si>
    <t>CUST-2692</t>
  </si>
  <si>
    <t>Classic Furnishings 743</t>
  </si>
  <si>
    <t>ORD-2025-10149</t>
  </si>
  <si>
    <t>09 Feb 2025</t>
  </si>
  <si>
    <t>13-02-2025</t>
  </si>
  <si>
    <t>CUST-2822</t>
  </si>
  <si>
    <t>Smart Phones 336</t>
  </si>
  <si>
    <t>ORD-2024-10150</t>
  </si>
  <si>
    <t>30-01-2024</t>
  </si>
  <si>
    <t>CUST-5876</t>
  </si>
  <si>
    <t>west</t>
  </si>
  <si>
    <t>Eco Copiers 381</t>
  </si>
  <si>
    <t>ORD-2024-10151</t>
  </si>
  <si>
    <t>04-03-2024</t>
  </si>
  <si>
    <t>2024-03-12</t>
  </si>
  <si>
    <t>CUST-4661</t>
  </si>
  <si>
    <t>Max Bookcases 595</t>
  </si>
  <si>
    <t>ORD-2024-10152</t>
  </si>
  <si>
    <t>27 Jun 2024</t>
  </si>
  <si>
    <t>06/27/2024</t>
  </si>
  <si>
    <t>CUST-6011</t>
  </si>
  <si>
    <t>Max Copiers 992</t>
  </si>
  <si>
    <t>ORD-2024-10153</t>
  </si>
  <si>
    <t>14 Jun 2024</t>
  </si>
  <si>
    <t>06/17/2024</t>
  </si>
  <si>
    <t>CUST-6160</t>
  </si>
  <si>
    <t>Pro Tables 407</t>
  </si>
  <si>
    <t>ORD-2025-10154</t>
  </si>
  <si>
    <t>23 Sep 2025</t>
  </si>
  <si>
    <t>2025-09-25</t>
  </si>
  <si>
    <t>CUST-6971</t>
  </si>
  <si>
    <t>Prime Labels 559</t>
  </si>
  <si>
    <t>ORD-2024-10155</t>
  </si>
  <si>
    <t>12 Feb 2024</t>
  </si>
  <si>
    <t>02/11/2024</t>
  </si>
  <si>
    <t>Classic Bookcases 847</t>
  </si>
  <si>
    <t>ORD-2025-10156</t>
  </si>
  <si>
    <t>CUST-8327</t>
  </si>
  <si>
    <t>Classic Furnishings 655</t>
  </si>
  <si>
    <t>ORD-2025-10157</t>
  </si>
  <si>
    <t>27-03-2025</t>
  </si>
  <si>
    <t>27 Mar 2025</t>
  </si>
  <si>
    <t>CUST-4058</t>
  </si>
  <si>
    <t>Eco Machines 657</t>
  </si>
  <si>
    <t>ORD-2024-10158</t>
  </si>
  <si>
    <t>10/22/2024</t>
  </si>
  <si>
    <t>24-10-2024</t>
  </si>
  <si>
    <t>CUST-1142</t>
  </si>
  <si>
    <t>Pro Bookcases 430</t>
  </si>
  <si>
    <t>ORD-2024-10159</t>
  </si>
  <si>
    <t>2024-09-09</t>
  </si>
  <si>
    <t>09/11/2024</t>
  </si>
  <si>
    <t>CUST-2324</t>
  </si>
  <si>
    <t>Max Bookcases 881</t>
  </si>
  <si>
    <t>ORD-2025-10160</t>
  </si>
  <si>
    <t>2025-01-30</t>
  </si>
  <si>
    <t>04-02-2025</t>
  </si>
  <si>
    <t>CUST-7717</t>
  </si>
  <si>
    <t>Elite Chairs 998</t>
  </si>
  <si>
    <t>ORD-2025-10161</t>
  </si>
  <si>
    <t>08-10-2025</t>
  </si>
  <si>
    <t>10/06/2025</t>
  </si>
  <si>
    <t>CUST-4932</t>
  </si>
  <si>
    <t>Max Paper 113</t>
  </si>
  <si>
    <t>ORD-2025-10162</t>
  </si>
  <si>
    <t>2025-07-24</t>
  </si>
  <si>
    <t>30-07-2025</t>
  </si>
  <si>
    <t>CUST-2367</t>
  </si>
  <si>
    <t>Smart Binders 267</t>
  </si>
  <si>
    <t>ORD-2024-10163</t>
  </si>
  <si>
    <t>2024-03-09</t>
  </si>
  <si>
    <t>14 Mar 2024</t>
  </si>
  <si>
    <t>CUST-4830</t>
  </si>
  <si>
    <t>Pro Furnishings 108</t>
  </si>
  <si>
    <t>ORD-2025-10164</t>
  </si>
  <si>
    <t>09/21/2025</t>
  </si>
  <si>
    <t>CUST-2548</t>
  </si>
  <si>
    <t>Elite Tables 389</t>
  </si>
  <si>
    <t>ORD-2025-10165</t>
  </si>
  <si>
    <t>09 Sep 2025</t>
  </si>
  <si>
    <t>09/14/2025</t>
  </si>
  <si>
    <t>CUST-3833</t>
  </si>
  <si>
    <t>Pro Bookcases 595</t>
  </si>
  <si>
    <t>ORD-2024-10166</t>
  </si>
  <si>
    <t>11/22/2024</t>
  </si>
  <si>
    <t>29-11-2024</t>
  </si>
  <si>
    <t>CUST-4598</t>
  </si>
  <si>
    <t>Max Chairs 148</t>
  </si>
  <si>
    <t>ORD-2025-10167</t>
  </si>
  <si>
    <t>20-02-2025</t>
  </si>
  <si>
    <t>CUST-7215</t>
  </si>
  <si>
    <t>OFFICE SUPPLIES</t>
  </si>
  <si>
    <t>Basic Labels 671</t>
  </si>
  <si>
    <t>ORD-2025-10168</t>
  </si>
  <si>
    <t>2025-08-18</t>
  </si>
  <si>
    <t>08/18/2025</t>
  </si>
  <si>
    <t>CUST-7770</t>
  </si>
  <si>
    <t>Elite Storage 628</t>
  </si>
  <si>
    <t>ORD-2025-10169</t>
  </si>
  <si>
    <t>01/20/2025</t>
  </si>
  <si>
    <t>CUST-9756</t>
  </si>
  <si>
    <t>Eco Accessories 590</t>
  </si>
  <si>
    <t>ORD-2025-10170</t>
  </si>
  <si>
    <t>2025-09-13</t>
  </si>
  <si>
    <t>09/13/2025</t>
  </si>
  <si>
    <t>CUST-2261</t>
  </si>
  <si>
    <t>Pro Art 734</t>
  </si>
  <si>
    <t>ORD-2025-10171</t>
  </si>
  <si>
    <t>09/15/2025</t>
  </si>
  <si>
    <t>CUST-3734</t>
  </si>
  <si>
    <t>Eco Copiers 102</t>
  </si>
  <si>
    <t>ORD-2025-10172</t>
  </si>
  <si>
    <t>02/25/2025</t>
  </si>
  <si>
    <t>CUST-3436</t>
  </si>
  <si>
    <t>Basic Labels 876</t>
  </si>
  <si>
    <t>ORD-2025-10173</t>
  </si>
  <si>
    <t>02-08-2025</t>
  </si>
  <si>
    <t>10-08-2025</t>
  </si>
  <si>
    <t>CUST-4845</t>
  </si>
  <si>
    <t>Prime Furnishings 381</t>
  </si>
  <si>
    <t>ORD-2024-10174</t>
  </si>
  <si>
    <t>02-05-2024</t>
  </si>
  <si>
    <t>08 May 2024</t>
  </si>
  <si>
    <t>CUST-6153</t>
  </si>
  <si>
    <t>PRIYA MENON</t>
  </si>
  <si>
    <t>Prime Copiers 440</t>
  </si>
  <si>
    <t>ORD-2025-10175</t>
  </si>
  <si>
    <t>28 Sep 2025</t>
  </si>
  <si>
    <t>04-10-2025</t>
  </si>
  <si>
    <t>CUST-5475</t>
  </si>
  <si>
    <t>Pro Bookcases 319</t>
  </si>
  <si>
    <t>ORD-2024-10176</t>
  </si>
  <si>
    <t>2024-02-03</t>
  </si>
  <si>
    <t>CUST-5580</t>
  </si>
  <si>
    <t>Basic Machines 584</t>
  </si>
  <si>
    <t>ORD-2025-10177</t>
  </si>
  <si>
    <t>18-03-2025</t>
  </si>
  <si>
    <t>03/26/2025</t>
  </si>
  <si>
    <t>CUST-3027</t>
  </si>
  <si>
    <t>Pro Bookcases 612</t>
  </si>
  <si>
    <t>ORD-2024-10178</t>
  </si>
  <si>
    <t>01-06-2024</t>
  </si>
  <si>
    <t>06/03/2024</t>
  </si>
  <si>
    <t>CUST-4399</t>
  </si>
  <si>
    <t>Classic Art 573</t>
  </si>
  <si>
    <t>ORD-2024-10179</t>
  </si>
  <si>
    <t>30-09-2024</t>
  </si>
  <si>
    <t>2024-09-30</t>
  </si>
  <si>
    <t>CUST-3092</t>
  </si>
  <si>
    <t>Eco Art 854</t>
  </si>
  <si>
    <t>ORD-2024-10180</t>
  </si>
  <si>
    <t>2024-03-15</t>
  </si>
  <si>
    <t>03/19/2024</t>
  </si>
  <si>
    <t>CUST-1778</t>
  </si>
  <si>
    <t>Classic Furnishings 996</t>
  </si>
  <si>
    <t>ORD-2024-10181</t>
  </si>
  <si>
    <t>2024-08-26</t>
  </si>
  <si>
    <t>26-08-2024</t>
  </si>
  <si>
    <t>CUST-3787</t>
  </si>
  <si>
    <t>Prime Binders 735</t>
  </si>
  <si>
    <t>ORD-2025-10182</t>
  </si>
  <si>
    <t>09/09/2025</t>
  </si>
  <si>
    <t>10-09-2025</t>
  </si>
  <si>
    <t>CUST-5119</t>
  </si>
  <si>
    <t>Pro Art 587</t>
  </si>
  <si>
    <t>ORD-2024-10183</t>
  </si>
  <si>
    <t>CUST-4121</t>
  </si>
  <si>
    <t>Basic Machines 575</t>
  </si>
  <si>
    <t>ORD-2025-10184</t>
  </si>
  <si>
    <t>2025-06-24</t>
  </si>
  <si>
    <t>27-06-2025</t>
  </si>
  <si>
    <t>CUST-3366</t>
  </si>
  <si>
    <t>Elite Copiers 788</t>
  </si>
  <si>
    <t>ORD-2024-10185</t>
  </si>
  <si>
    <t>2024-04-02</t>
  </si>
  <si>
    <t>CUST-1358</t>
  </si>
  <si>
    <t>Max Bookcases 472</t>
  </si>
  <si>
    <t>ORD-2024-10186</t>
  </si>
  <si>
    <t>2024-11-13</t>
  </si>
  <si>
    <t>CUST-4968</t>
  </si>
  <si>
    <t>Smart Labels 475</t>
  </si>
  <si>
    <t>ORD-2024-10187</t>
  </si>
  <si>
    <t>20 Jul 2024</t>
  </si>
  <si>
    <t>Basic Tables 417</t>
  </si>
  <si>
    <t>ORD-2025-10188</t>
  </si>
  <si>
    <t>2025-05-01</t>
  </si>
  <si>
    <t>02 May 2025</t>
  </si>
  <si>
    <t>CUST-3109</t>
  </si>
  <si>
    <t>Pro Chairs 844</t>
  </si>
  <si>
    <t>ORD-2025-10189</t>
  </si>
  <si>
    <t>2025-05-21</t>
  </si>
  <si>
    <t>28 May 2025</t>
  </si>
  <si>
    <t>CUST-3422</t>
  </si>
  <si>
    <t>Elite Bookcases 883</t>
  </si>
  <si>
    <t>ORD-2025-10190</t>
  </si>
  <si>
    <t>2025-05-06</t>
  </si>
  <si>
    <t>07 May 2025</t>
  </si>
  <si>
    <t>CUST-3375</t>
  </si>
  <si>
    <t>Basic Bookcases 754</t>
  </si>
  <si>
    <t>completed</t>
  </si>
  <si>
    <t>ORD-2025-10191</t>
  </si>
  <si>
    <t>20-04-2025</t>
  </si>
  <si>
    <t>04/21/2025</t>
  </si>
  <si>
    <t>CUST-5138</t>
  </si>
  <si>
    <t>Eco Storage 158</t>
  </si>
  <si>
    <t xml:space="preserve">  Completed </t>
  </si>
  <si>
    <t>ORD-2024-10192</t>
  </si>
  <si>
    <t>19-10-2024</t>
  </si>
  <si>
    <t>CUST-7410</t>
  </si>
  <si>
    <t>Prime Bookcases 602</t>
  </si>
  <si>
    <t>ORD-2024-10193</t>
  </si>
  <si>
    <t>2024-12-09</t>
  </si>
  <si>
    <t>12/16/2024</t>
  </si>
  <si>
    <t>CUST-7115</t>
  </si>
  <si>
    <t>Eco Chairs 438</t>
  </si>
  <si>
    <t>ORD-2024-10194</t>
  </si>
  <si>
    <t>2024-06-23</t>
  </si>
  <si>
    <t>28-06-2024</t>
  </si>
  <si>
    <t>CUST-9853</t>
  </si>
  <si>
    <t>Prime Copiers 142</t>
  </si>
  <si>
    <t>ORD-2025-10195</t>
  </si>
  <si>
    <t>2025-01-28</t>
  </si>
  <si>
    <t>01/31/2025</t>
  </si>
  <si>
    <t>CUST-3637</t>
  </si>
  <si>
    <t>WEST</t>
  </si>
  <si>
    <t>Prime Furnishings 433</t>
  </si>
  <si>
    <t>ORD-2025-10196</t>
  </si>
  <si>
    <t>22 Jul 2025</t>
  </si>
  <si>
    <t>07/24/2025</t>
  </si>
  <si>
    <t>CUST-4328</t>
  </si>
  <si>
    <t>Smart Furnishings 685</t>
  </si>
  <si>
    <t>ORD-2024-10197</t>
  </si>
  <si>
    <t>22-01-2024</t>
  </si>
  <si>
    <t>25 Jan 2024</t>
  </si>
  <si>
    <t>CUST-8028</t>
  </si>
  <si>
    <t>Elite Storage 915</t>
  </si>
  <si>
    <t>ORD-2025-10198</t>
  </si>
  <si>
    <t>07-04-2025</t>
  </si>
  <si>
    <t>Basic Storage 961</t>
  </si>
  <si>
    <t>ORD-2024-10199</t>
  </si>
  <si>
    <t>05-06-2024</t>
  </si>
  <si>
    <t>06/06/2024</t>
  </si>
  <si>
    <t>CUST-7820</t>
  </si>
  <si>
    <t>Classic Art 968</t>
  </si>
  <si>
    <t>ORD-2024-10200</t>
  </si>
  <si>
    <t>12-03-2024</t>
  </si>
  <si>
    <t>CUST-4536</t>
  </si>
  <si>
    <t>Prime Machines 806</t>
  </si>
  <si>
    <t>ORD-2025-10201</t>
  </si>
  <si>
    <t>05 Jul 2025</t>
  </si>
  <si>
    <t>CUST-7047</t>
  </si>
  <si>
    <t>Classic Copiers 479</t>
  </si>
  <si>
    <t>ORD-2025-10202</t>
  </si>
  <si>
    <t>26-07-2025</t>
  </si>
  <si>
    <t>08/03/2025</t>
  </si>
  <si>
    <t>CUST-8005</t>
  </si>
  <si>
    <t>Basic Labels 511</t>
  </si>
  <si>
    <t>ORD-2025-10203</t>
  </si>
  <si>
    <t>2025-03-28</t>
  </si>
  <si>
    <t>28 Mar 2025</t>
  </si>
  <si>
    <t>CUST-9378</t>
  </si>
  <si>
    <t>Prime Accessories 733</t>
  </si>
  <si>
    <t>ORD-2024-10204</t>
  </si>
  <si>
    <t>28 Mar 2024</t>
  </si>
  <si>
    <t>2024-03-30</t>
  </si>
  <si>
    <t>CUST-3384</t>
  </si>
  <si>
    <t>Max Accessories 186</t>
  </si>
  <si>
    <t>ORD-2025-10205</t>
  </si>
  <si>
    <t>20-07-2025</t>
  </si>
  <si>
    <t>2025-07-23</t>
  </si>
  <si>
    <t>CUST-1986</t>
  </si>
  <si>
    <t>Elite Tables 318</t>
  </si>
  <si>
    <t>ORD-2025-10206</t>
  </si>
  <si>
    <t>21-04-2025</t>
  </si>
  <si>
    <t>04/26/2025</t>
  </si>
  <si>
    <t>CUST-3338</t>
  </si>
  <si>
    <t>Smart Labels 354</t>
  </si>
  <si>
    <t>ORD-2025-10207</t>
  </si>
  <si>
    <t>05/18/2025</t>
  </si>
  <si>
    <t>CUST-2343</t>
  </si>
  <si>
    <t>Pro Furnishings 981</t>
  </si>
  <si>
    <t>ORD-2024-10208</t>
  </si>
  <si>
    <t>10 Jul 2024</t>
  </si>
  <si>
    <t>2024-07-16</t>
  </si>
  <si>
    <t>CUST-3362</t>
  </si>
  <si>
    <t>Eco Bookcases 671</t>
  </si>
  <si>
    <t>ORD-2025-10209</t>
  </si>
  <si>
    <t>06/29/2025</t>
  </si>
  <si>
    <t>05-07-2025</t>
  </si>
  <si>
    <t>CUST-3662</t>
  </si>
  <si>
    <t>Max Chairs 151</t>
  </si>
  <si>
    <t>ORD-2025-10210</t>
  </si>
  <si>
    <t>08/13/2025</t>
  </si>
  <si>
    <t>08/14/2025</t>
  </si>
  <si>
    <t>CUST-4947</t>
  </si>
  <si>
    <t>Prime Paper 903</t>
  </si>
  <si>
    <t>ORD-2024-10211</t>
  </si>
  <si>
    <t>03/15/2024</t>
  </si>
  <si>
    <t>18-03-2024</t>
  </si>
  <si>
    <t>CUST-3076</t>
  </si>
  <si>
    <t>Classic Machines 944</t>
  </si>
  <si>
    <t>ORD-2024-10212</t>
  </si>
  <si>
    <t>05/16/2024</t>
  </si>
  <si>
    <t>05/17/2024</t>
  </si>
  <si>
    <t>CUST-2222</t>
  </si>
  <si>
    <t>EAST</t>
  </si>
  <si>
    <t>Basic Copiers 222</t>
  </si>
  <si>
    <t>ORD-2024-10213</t>
  </si>
  <si>
    <t>09/21/2024</t>
  </si>
  <si>
    <t>2024-09-21</t>
  </si>
  <si>
    <t>CUST-3610</t>
  </si>
  <si>
    <t>Max Phones 329</t>
  </si>
  <si>
    <t>ORD-2024-10214</t>
  </si>
  <si>
    <t>15 May 2024</t>
  </si>
  <si>
    <t>21-05-2024</t>
  </si>
  <si>
    <t>CUST-9136</t>
  </si>
  <si>
    <t>Classic Accessories 840</t>
  </si>
  <si>
    <t xml:space="preserve">  Second Class </t>
  </si>
  <si>
    <t>ORD-2024-10215</t>
  </si>
  <si>
    <t>17 Mar 2024</t>
  </si>
  <si>
    <t>23-03-2024</t>
  </si>
  <si>
    <t>CUST-1301</t>
  </si>
  <si>
    <t>Classic Accessories 757</t>
  </si>
  <si>
    <t xml:space="preserve">  First Class </t>
  </si>
  <si>
    <t>ORD-2024-10216</t>
  </si>
  <si>
    <t>01-03-2024</t>
  </si>
  <si>
    <t>CUST-8603</t>
  </si>
  <si>
    <t>Prime Paper 286</t>
  </si>
  <si>
    <t>ORD-2025-10217</t>
  </si>
  <si>
    <t>15 Apr 2025</t>
  </si>
  <si>
    <t>CUST-4330</t>
  </si>
  <si>
    <t>Basic Tables 400</t>
  </si>
  <si>
    <t>ORD-2025-10218</t>
  </si>
  <si>
    <t>01-04-2025</t>
  </si>
  <si>
    <t>04/08/2025</t>
  </si>
  <si>
    <t>CUST-4533</t>
  </si>
  <si>
    <t>Basic Bookcases 405</t>
  </si>
  <si>
    <t>ORD-2025-10219</t>
  </si>
  <si>
    <t>26 Feb 2025</t>
  </si>
  <si>
    <t>27-02-2025</t>
  </si>
  <si>
    <t>CUST-8270</t>
  </si>
  <si>
    <t>Classic Bookcases 139</t>
  </si>
  <si>
    <t>ORD-2024-10220</t>
  </si>
  <si>
    <t>06/19/2024</t>
  </si>
  <si>
    <t>CUST-1472</t>
  </si>
  <si>
    <t>Elite Machines 290</t>
  </si>
  <si>
    <t>85%</t>
  </si>
  <si>
    <t>ORD-2024-10221</t>
  </si>
  <si>
    <t>09/03/2024</t>
  </si>
  <si>
    <t>CUST-1031</t>
  </si>
  <si>
    <t>Elite Storage 925</t>
  </si>
  <si>
    <t>ORD-2025-10222</t>
  </si>
  <si>
    <t>12-01-2025</t>
  </si>
  <si>
    <t>2025-01-15</t>
  </si>
  <si>
    <t>CUST-2495</t>
  </si>
  <si>
    <t>Classic Chairs 231</t>
  </si>
  <si>
    <t>ORD-2025-10223</t>
  </si>
  <si>
    <t>04/29/2025</t>
  </si>
  <si>
    <t>CUST-4583</t>
  </si>
  <si>
    <t>Prime Storage 818</t>
  </si>
  <si>
    <t>ORD-2025-10224</t>
  </si>
  <si>
    <t>19-02-2025</t>
  </si>
  <si>
    <t>02/26/2025</t>
  </si>
  <si>
    <t>CUST-5319</t>
  </si>
  <si>
    <t>Elite Furnishings 449</t>
  </si>
  <si>
    <t>ORD-2025-10225</t>
  </si>
  <si>
    <t>10/02/2025</t>
  </si>
  <si>
    <t>08 Oct 2025</t>
  </si>
  <si>
    <t>CUST-9871</t>
  </si>
  <si>
    <t>Classic Furnishings 109</t>
  </si>
  <si>
    <t>ORD-2024-10226</t>
  </si>
  <si>
    <t>02 Sep 2024</t>
  </si>
  <si>
    <t>2024-09-10</t>
  </si>
  <si>
    <t>CUST-1266</t>
  </si>
  <si>
    <t>Classic Phones 548</t>
  </si>
  <si>
    <t>ORD-2025-10227</t>
  </si>
  <si>
    <t>10-04-2025</t>
  </si>
  <si>
    <t>CUST-2545</t>
  </si>
  <si>
    <t>Max Copiers 363</t>
  </si>
  <si>
    <t>ORD-2024-10228</t>
  </si>
  <si>
    <t>2024-07-05</t>
  </si>
  <si>
    <t>12 Jul 2024</t>
  </si>
  <si>
    <t>CUST-2819</t>
  </si>
  <si>
    <t>SMALL BUSINESS</t>
  </si>
  <si>
    <t>Prime Binders 507</t>
  </si>
  <si>
    <t>ORD-2024-10229</t>
  </si>
  <si>
    <t>24-04-2024</t>
  </si>
  <si>
    <t>28 Apr 2024</t>
  </si>
  <si>
    <t>CUST-1076</t>
  </si>
  <si>
    <t>Smart Labels 914</t>
  </si>
  <si>
    <t>ORD-2025-10230</t>
  </si>
  <si>
    <t>2025-06-28</t>
  </si>
  <si>
    <t>07/04/2025</t>
  </si>
  <si>
    <t>CUST-1943</t>
  </si>
  <si>
    <t>Smart Bookcases 662</t>
  </si>
  <si>
    <t>ORD-2024-10231</t>
  </si>
  <si>
    <t>03-06-2024</t>
  </si>
  <si>
    <t>CUST-3434</t>
  </si>
  <si>
    <t>Eco Paper 937</t>
  </si>
  <si>
    <t>ORD-2024-10232</t>
  </si>
  <si>
    <t>2024-05-02</t>
  </si>
  <si>
    <t>05/02/2024</t>
  </si>
  <si>
    <t>CUST-9139</t>
  </si>
  <si>
    <t>Office  Supplies</t>
  </si>
  <si>
    <t>Max Labels 370</t>
  </si>
  <si>
    <t>ORD-2025-10233</t>
  </si>
  <si>
    <t>2025-06-04</t>
  </si>
  <si>
    <t>2025-06-10</t>
  </si>
  <si>
    <t>CUST-5341</t>
  </si>
  <si>
    <t>Classic Phones 530</t>
  </si>
  <si>
    <t>ORD-2024-10234</t>
  </si>
  <si>
    <t>14-10-2024</t>
  </si>
  <si>
    <t>10/14/2024</t>
  </si>
  <si>
    <t>CUST-3710</t>
  </si>
  <si>
    <t>Smart Bookcases 328</t>
  </si>
  <si>
    <t>ORD-2024-10235</t>
  </si>
  <si>
    <t>09/02/2024</t>
  </si>
  <si>
    <t>03 Sep 2024</t>
  </si>
  <si>
    <t>CUST-9754</t>
  </si>
  <si>
    <t>Eco Furnishings 981</t>
  </si>
  <si>
    <t>ORD-2024-10236</t>
  </si>
  <si>
    <t>11/02/2024</t>
  </si>
  <si>
    <t>11/03/2024</t>
  </si>
  <si>
    <t>CUST-6256</t>
  </si>
  <si>
    <t>Basic Storage 195</t>
  </si>
  <si>
    <t>ORD-2024-10237</t>
  </si>
  <si>
    <t>21 Oct 2024</t>
  </si>
  <si>
    <t>CUST-7113</t>
  </si>
  <si>
    <t>Elite Bookcases 907</t>
  </si>
  <si>
    <t>ORD-2024-10238</t>
  </si>
  <si>
    <t>2024-08-27</t>
  </si>
  <si>
    <t>CUST-3827</t>
  </si>
  <si>
    <t>Smart Copiers 471</t>
  </si>
  <si>
    <t>ORD-2024-10239</t>
  </si>
  <si>
    <t>01/12/2024</t>
  </si>
  <si>
    <t>01/17/2024</t>
  </si>
  <si>
    <t>CUST-2375</t>
  </si>
  <si>
    <t>Prime Storage 625</t>
  </si>
  <si>
    <t>ORD-2024-10240</t>
  </si>
  <si>
    <t>21-09-2024</t>
  </si>
  <si>
    <t>CUST-2233</t>
  </si>
  <si>
    <t>Smart Machines 801</t>
  </si>
  <si>
    <t>ORD-2024-10241</t>
  </si>
  <si>
    <t>17 Dec 2024</t>
  </si>
  <si>
    <t>CUST-9778</t>
  </si>
  <si>
    <t>Max Binders 170</t>
  </si>
  <si>
    <t>ORD-2025-10242</t>
  </si>
  <si>
    <t>07/06/2025</t>
  </si>
  <si>
    <t>06-07-2025</t>
  </si>
  <si>
    <t>CUST-6949</t>
  </si>
  <si>
    <t>Basic Storage 737</t>
  </si>
  <si>
    <t>ORD-2025-10243</t>
  </si>
  <si>
    <t>07 Feb 2025</t>
  </si>
  <si>
    <t>2025-02-07</t>
  </si>
  <si>
    <t>CUST-3430</t>
  </si>
  <si>
    <t>Classic Art 126</t>
  </si>
  <si>
    <t>ORD-2025-10244</t>
  </si>
  <si>
    <t>02 Aug 2025</t>
  </si>
  <si>
    <t>CUST-6310</t>
  </si>
  <si>
    <t>Prime Accessories 243</t>
  </si>
  <si>
    <t>ORD-2024-10245</t>
  </si>
  <si>
    <t>2024-08-24</t>
  </si>
  <si>
    <t>CUST-6008</t>
  </si>
  <si>
    <t>Eco Bookcases 768</t>
  </si>
  <si>
    <t>ORD-2024-10246</t>
  </si>
  <si>
    <t>CUST-1704</t>
  </si>
  <si>
    <t>FURNITURE</t>
  </si>
  <si>
    <t>Pro Chairs 316</t>
  </si>
  <si>
    <t>ORD-2024-10247</t>
  </si>
  <si>
    <t>04 May 2024</t>
  </si>
  <si>
    <t>09 May 2024</t>
  </si>
  <si>
    <t>CUST-1827</t>
  </si>
  <si>
    <t>Classic Machines 819</t>
  </si>
  <si>
    <t>ORD-2024-10248</t>
  </si>
  <si>
    <t>07/25/2024</t>
  </si>
  <si>
    <t>01 Aug 2024</t>
  </si>
  <si>
    <t>CUST-6663</t>
  </si>
  <si>
    <t>Smart Accessories 572</t>
  </si>
  <si>
    <t>ORD-2024-10249</t>
  </si>
  <si>
    <t>06/02/2024</t>
  </si>
  <si>
    <t>CUST-6278</t>
  </si>
  <si>
    <t>Basic Labels 432</t>
  </si>
  <si>
    <t>ORD-2025-10250</t>
  </si>
  <si>
    <t>08/02/2025</t>
  </si>
  <si>
    <t>CUST-2305</t>
  </si>
  <si>
    <t>Classic Furnishings 378</t>
  </si>
  <si>
    <t>ORD-2024-10251</t>
  </si>
  <si>
    <t>02/21/2024</t>
  </si>
  <si>
    <t>02/27/2024</t>
  </si>
  <si>
    <t>CUST-5351</t>
  </si>
  <si>
    <t>Prime Furnishings 781</t>
  </si>
  <si>
    <t>ORD-2025-10252</t>
  </si>
  <si>
    <t>2025-04-06</t>
  </si>
  <si>
    <t>CUST-6268</t>
  </si>
  <si>
    <t>Prime Tables 263</t>
  </si>
  <si>
    <t>ORD-2025-10253</t>
  </si>
  <si>
    <t>25-06-2025</t>
  </si>
  <si>
    <t>CUST-2103</t>
  </si>
  <si>
    <t>Basic Storage 269</t>
  </si>
  <si>
    <t>ORD-2024-10254</t>
  </si>
  <si>
    <t>2024-09-12</t>
  </si>
  <si>
    <t>09/13/2024</t>
  </si>
  <si>
    <t>CUST-5394</t>
  </si>
  <si>
    <t>Classic Phones 442</t>
  </si>
  <si>
    <t>ORD-2025-10255</t>
  </si>
  <si>
    <t>01/01/2025</t>
  </si>
  <si>
    <t>03-01-2025</t>
  </si>
  <si>
    <t>CUST-6853</t>
  </si>
  <si>
    <t>Elite Accessories 978</t>
  </si>
  <si>
    <t>ORD-2025-10256</t>
  </si>
  <si>
    <t>2025-02-04</t>
  </si>
  <si>
    <t>02/10/2025</t>
  </si>
  <si>
    <t>CUST-1549</t>
  </si>
  <si>
    <t>Eco Phones 132</t>
  </si>
  <si>
    <t>ORD-2024-10257</t>
  </si>
  <si>
    <t>2024-11-05</t>
  </si>
  <si>
    <t>CUST-8411</t>
  </si>
  <si>
    <t>Prime Tables 481</t>
  </si>
  <si>
    <t>ORD-2025-10258</t>
  </si>
  <si>
    <t>2025-08-09</t>
  </si>
  <si>
    <t>2025-08-12</t>
  </si>
  <si>
    <t>CUST-5615</t>
  </si>
  <si>
    <t>Smart Accessories 180</t>
  </si>
  <si>
    <t>ORD-2024-10259</t>
  </si>
  <si>
    <t>2025-01-04</t>
  </si>
  <si>
    <t>CUST-8467</t>
  </si>
  <si>
    <t>Smart Tables 774</t>
  </si>
  <si>
    <t>ORD-2024-10260</t>
  </si>
  <si>
    <t>06/21/2024</t>
  </si>
  <si>
    <t>29 Jun 2024</t>
  </si>
  <si>
    <t>CUST-5174</t>
  </si>
  <si>
    <t>Prime Machines 793</t>
  </si>
  <si>
    <t>ORD-2025-10261</t>
  </si>
  <si>
    <t>2025-09-23</t>
  </si>
  <si>
    <t>09/27/2025</t>
  </si>
  <si>
    <t>CUST-3543</t>
  </si>
  <si>
    <t>Elite Binders 827</t>
  </si>
  <si>
    <t>ORD-2025-10262</t>
  </si>
  <si>
    <t>06/18/2025</t>
  </si>
  <si>
    <t>06/24/2025</t>
  </si>
  <si>
    <t>CUST-7623</t>
  </si>
  <si>
    <t>Prime Labels 326</t>
  </si>
  <si>
    <t>ORD-2025-10263</t>
  </si>
  <si>
    <t>2025-05-26</t>
  </si>
  <si>
    <t>01 Jun 2025</t>
  </si>
  <si>
    <t>Eco Phones 245</t>
  </si>
  <si>
    <t>ORD-2025-10264</t>
  </si>
  <si>
    <t>06 Aug 2025</t>
  </si>
  <si>
    <t>CUST-8265</t>
  </si>
  <si>
    <t>Smart Binders 905</t>
  </si>
  <si>
    <t>ORD-2024-10265</t>
  </si>
  <si>
    <t>16-05-2024</t>
  </si>
  <si>
    <t>05/21/2024</t>
  </si>
  <si>
    <t>CUST-4750</t>
  </si>
  <si>
    <t>Pro Copiers 599</t>
  </si>
  <si>
    <t>ORD-2024-10266</t>
  </si>
  <si>
    <t>14 Nov 2024</t>
  </si>
  <si>
    <t>CUST-3974</t>
  </si>
  <si>
    <t>Basic Bookcases 570</t>
  </si>
  <si>
    <t xml:space="preserve">  Cancelled </t>
  </si>
  <si>
    <t>ORD-2025-10267</t>
  </si>
  <si>
    <t>2025-05-03</t>
  </si>
  <si>
    <t>2025-05-10</t>
  </si>
  <si>
    <t>CUST-7114</t>
  </si>
  <si>
    <t>Classic Storage 926</t>
  </si>
  <si>
    <t>ORD-2025-10268</t>
  </si>
  <si>
    <t>04-06-2025</t>
  </si>
  <si>
    <t>CUST-4431</t>
  </si>
  <si>
    <t>Basic Furnishings 372</t>
  </si>
  <si>
    <t>ORD-2025-10269</t>
  </si>
  <si>
    <t>08/17/2025</t>
  </si>
  <si>
    <t>CUST-1488</t>
  </si>
  <si>
    <t>Prime Accessories 367</t>
  </si>
  <si>
    <t>ORD-2025-10270</t>
  </si>
  <si>
    <t>02/12/2025</t>
  </si>
  <si>
    <t>CUST-1586</t>
  </si>
  <si>
    <t>Max Tables 526</t>
  </si>
  <si>
    <t>ORD-2024-10271</t>
  </si>
  <si>
    <t>CUST-2487</t>
  </si>
  <si>
    <t>Prime Machines 794</t>
  </si>
  <si>
    <t>ORD-2024-10272</t>
  </si>
  <si>
    <t>21 Dec 2024</t>
  </si>
  <si>
    <t>25 Dec 2024</t>
  </si>
  <si>
    <t>CUST-8009</t>
  </si>
  <si>
    <t>Max Binders 927</t>
  </si>
  <si>
    <t>ORD-2024-10273</t>
  </si>
  <si>
    <t>08/18/2024</t>
  </si>
  <si>
    <t>24 Aug 2024</t>
  </si>
  <si>
    <t>CUST-7389</t>
  </si>
  <si>
    <t>Eco Chairs 314</t>
  </si>
  <si>
    <t>ORD-2025-10274</t>
  </si>
  <si>
    <t>02/13/2025</t>
  </si>
  <si>
    <t>13 Feb 2025</t>
  </si>
  <si>
    <t>CUST-8249</t>
  </si>
  <si>
    <t>Basic Paper 657</t>
  </si>
  <si>
    <t>ORD-2024-10275</t>
  </si>
  <si>
    <t>07-04-2024</t>
  </si>
  <si>
    <t>14-04-2024</t>
  </si>
  <si>
    <t>CUST-4202</t>
  </si>
  <si>
    <t>Pro Copiers 406</t>
  </si>
  <si>
    <t>ORD-2024-10276</t>
  </si>
  <si>
    <t>02/22/2024</t>
  </si>
  <si>
    <t>CUST-2875</t>
  </si>
  <si>
    <t>Eco Furnishings 678</t>
  </si>
  <si>
    <t>ORD-2024-10277</t>
  </si>
  <si>
    <t>23-01-2024</t>
  </si>
  <si>
    <t>CUST-7039</t>
  </si>
  <si>
    <t>Basic Chairs 141</t>
  </si>
  <si>
    <t>ORD-2025-10278</t>
  </si>
  <si>
    <t>04 Jun 2025</t>
  </si>
  <si>
    <t>Elite Accessories 291</t>
  </si>
  <si>
    <t>ORD-2025-10279</t>
  </si>
  <si>
    <t>2025-03-14</t>
  </si>
  <si>
    <t>CUST-8242</t>
  </si>
  <si>
    <t xml:space="preserve">Priya Menon </t>
  </si>
  <si>
    <t>Pro Accessories 207</t>
  </si>
  <si>
    <t>ORD-2024-10280</t>
  </si>
  <si>
    <t>04/09/2024</t>
  </si>
  <si>
    <t>10 Apr 2024</t>
  </si>
  <si>
    <t>CUST-4571</t>
  </si>
  <si>
    <t>Max Storage 564</t>
  </si>
  <si>
    <t>ORD-2024-10281</t>
  </si>
  <si>
    <t>12/23/2024</t>
  </si>
  <si>
    <t>26-12-2024</t>
  </si>
  <si>
    <t>CUST-4098</t>
  </si>
  <si>
    <t>Prime Copiers 961</t>
  </si>
  <si>
    <t>ORD-2025-10282</t>
  </si>
  <si>
    <t>25-07-2025</t>
  </si>
  <si>
    <t>07/27/2025</t>
  </si>
  <si>
    <t>CUST-2052</t>
  </si>
  <si>
    <t>Basic Binders 637</t>
  </si>
  <si>
    <t>ORD-2024-10283</t>
  </si>
  <si>
    <t>2024-10-01</t>
  </si>
  <si>
    <t>10/02/2024</t>
  </si>
  <si>
    <t>CUST-9445</t>
  </si>
  <si>
    <t>Classic Tables 811</t>
  </si>
  <si>
    <t>ORD-2025-10284</t>
  </si>
  <si>
    <t>03/13/2025</t>
  </si>
  <si>
    <t>20-03-2025</t>
  </si>
  <si>
    <t>CUST-6568</t>
  </si>
  <si>
    <t>Classic Furnishings 819</t>
  </si>
  <si>
    <t>ORD-2024-10285</t>
  </si>
  <si>
    <t>12/08/2024</t>
  </si>
  <si>
    <t>12/14/2024</t>
  </si>
  <si>
    <t>CUST-2076</t>
  </si>
  <si>
    <t>Prime Tables 542</t>
  </si>
  <si>
    <t>ORD-2025-10286</t>
  </si>
  <si>
    <t>2025-08-15</t>
  </si>
  <si>
    <t>2025-08-20</t>
  </si>
  <si>
    <t>CUST-5610</t>
  </si>
  <si>
    <t>Basic Storage 771</t>
  </si>
  <si>
    <t>ORD-2024-10287</t>
  </si>
  <si>
    <t>28-02-2024</t>
  </si>
  <si>
    <t>03/02/2024</t>
  </si>
  <si>
    <t>CUST-5823</t>
  </si>
  <si>
    <t>Pro Furnishings 848</t>
  </si>
  <si>
    <t>ORD-2024-10288</t>
  </si>
  <si>
    <t>09/05/2024</t>
  </si>
  <si>
    <t>07-09-2024</t>
  </si>
  <si>
    <t>CUST-7095</t>
  </si>
  <si>
    <t>Prime Copiers 924</t>
  </si>
  <si>
    <t>ORD-2024-10289</t>
  </si>
  <si>
    <t>2024-06-24</t>
  </si>
  <si>
    <t>CUST-4805</t>
  </si>
  <si>
    <t>Classic Binders 721</t>
  </si>
  <si>
    <t>ORD-2025-10290</t>
  </si>
  <si>
    <t>CUST-9114</t>
  </si>
  <si>
    <t>Basic Bookcases 823</t>
  </si>
  <si>
    <t>ORD-2025-10291</t>
  </si>
  <si>
    <t>22 Aug 2025</t>
  </si>
  <si>
    <t>2025-08-26</t>
  </si>
  <si>
    <t>CUST-8557</t>
  </si>
  <si>
    <t>Classic Tables 178</t>
  </si>
  <si>
    <t>ORD-2024-10292</t>
  </si>
  <si>
    <t>04/05/2024</t>
  </si>
  <si>
    <t>2024-04-10</t>
  </si>
  <si>
    <t>CUST-2860</t>
  </si>
  <si>
    <t>Eco Binders 153</t>
  </si>
  <si>
    <t>ORD-2025-10293</t>
  </si>
  <si>
    <t>28 Feb 2025</t>
  </si>
  <si>
    <t>03-03-2025</t>
  </si>
  <si>
    <t>CUST-7837</t>
  </si>
  <si>
    <t>Classic Art 183</t>
  </si>
  <si>
    <t>ORD-2024-10294</t>
  </si>
  <si>
    <t>03/07/2024</t>
  </si>
  <si>
    <t>11-03-2024</t>
  </si>
  <si>
    <t>CUST-7010</t>
  </si>
  <si>
    <t>Pro Phones 455</t>
  </si>
  <si>
    <t>ORD-2025-10295</t>
  </si>
  <si>
    <t>16 Jul 2025</t>
  </si>
  <si>
    <t>07/22/2025</t>
  </si>
  <si>
    <t>CUST-4755</t>
  </si>
  <si>
    <t>Basic Phones 326</t>
  </si>
  <si>
    <t>ORD-2025-10296</t>
  </si>
  <si>
    <t>25 Jun 2025</t>
  </si>
  <si>
    <t>28 Jun 2025</t>
  </si>
  <si>
    <t>CUST-6778</t>
  </si>
  <si>
    <t>Max Binders 587</t>
  </si>
  <si>
    <t>ORD-2025-10297</t>
  </si>
  <si>
    <t>24 May 2025</t>
  </si>
  <si>
    <t>05/26/2025</t>
  </si>
  <si>
    <t>CUST-7629</t>
  </si>
  <si>
    <t>Basic Furnishings 617</t>
  </si>
  <si>
    <t>ORD-2024-10298</t>
  </si>
  <si>
    <t>2024-10-29</t>
  </si>
  <si>
    <t>06-11-2024</t>
  </si>
  <si>
    <t>CUST-6724</t>
  </si>
  <si>
    <t>Prime Copiers 669</t>
  </si>
  <si>
    <t>ORD-2025-10299</t>
  </si>
  <si>
    <t>23-01-2025</t>
  </si>
  <si>
    <t>2025-01-26</t>
  </si>
  <si>
    <t>CUST-2141</t>
  </si>
  <si>
    <t>Eco Copiers 894</t>
  </si>
  <si>
    <t>ORD-2024-10300</t>
  </si>
  <si>
    <t>2024-11-12</t>
  </si>
  <si>
    <t>CUST-7264</t>
  </si>
  <si>
    <t>Max Accessories 145</t>
  </si>
  <si>
    <t>ORD-2024-10301</t>
  </si>
  <si>
    <t>15-04-2024</t>
  </si>
  <si>
    <t>04/23/2024</t>
  </si>
  <si>
    <t>CUST-2668</t>
  </si>
  <si>
    <t>Classic Accessories 126</t>
  </si>
  <si>
    <t>ORD-2025-10302</t>
  </si>
  <si>
    <t>01-06-2025</t>
  </si>
  <si>
    <t>CUST-5599</t>
  </si>
  <si>
    <t>Elite Phones 202</t>
  </si>
  <si>
    <t>ORD-2025-10303</t>
  </si>
  <si>
    <t>2025-06-12</t>
  </si>
  <si>
    <t>CUST-1623</t>
  </si>
  <si>
    <t>Elite Storage 535</t>
  </si>
  <si>
    <t>ORD-2024-10304</t>
  </si>
  <si>
    <t>23 Jun 2024</t>
  </si>
  <si>
    <t>CUST-9035</t>
  </si>
  <si>
    <t>Elite Chairs 107</t>
  </si>
  <si>
    <t>ORD-2024-10305</t>
  </si>
  <si>
    <t>03/06/2024</t>
  </si>
  <si>
    <t>2024-03-13</t>
  </si>
  <si>
    <t>CUST-6286</t>
  </si>
  <si>
    <t>Pro Furnishings 991</t>
  </si>
  <si>
    <t>ORD-2024-10306</t>
  </si>
  <si>
    <t>01 May 2024</t>
  </si>
  <si>
    <t>CUST-7246</t>
  </si>
  <si>
    <t>Eco Chairs 105</t>
  </si>
  <si>
    <t>ORD-2025-10307</t>
  </si>
  <si>
    <t>20 Feb 2025</t>
  </si>
  <si>
    <t>CUST-2589</t>
  </si>
  <si>
    <t>Pro Phones 530</t>
  </si>
  <si>
    <t>ORD-2025-10308</t>
  </si>
  <si>
    <t>2025-07-12</t>
  </si>
  <si>
    <t>19 Jul 2025</t>
  </si>
  <si>
    <t>CUST-4153</t>
  </si>
  <si>
    <t>Basic Tables 911</t>
  </si>
  <si>
    <t>PENDING</t>
  </si>
  <si>
    <t>ORD-2025-10309</t>
  </si>
  <si>
    <t>2025-06-13</t>
  </si>
  <si>
    <t>2025-06-19</t>
  </si>
  <si>
    <t>CUST-6727</t>
  </si>
  <si>
    <t>Classic Tables 224</t>
  </si>
  <si>
    <t>ORD-2024-10310</t>
  </si>
  <si>
    <t>07/20/2024</t>
  </si>
  <si>
    <t>CUST-8860</t>
  </si>
  <si>
    <t>Prime Tables 214</t>
  </si>
  <si>
    <t>ORD-2024-10311</t>
  </si>
  <si>
    <t>04-07-2024</t>
  </si>
  <si>
    <t>08-07-2024</t>
  </si>
  <si>
    <t>CUST-3784</t>
  </si>
  <si>
    <t>Max Machines 988</t>
  </si>
  <si>
    <t>ORD-2024-10312</t>
  </si>
  <si>
    <t>27-04-2024</t>
  </si>
  <si>
    <t>CUST-3545</t>
  </si>
  <si>
    <t>Max Binders 425</t>
  </si>
  <si>
    <t>ORD-2024-10313</t>
  </si>
  <si>
    <t>07/31/2024</t>
  </si>
  <si>
    <t>CUST-4851</t>
  </si>
  <si>
    <t>Elite Phones 679</t>
  </si>
  <si>
    <t>ORD-2025-10314</t>
  </si>
  <si>
    <t>2025-05-30</t>
  </si>
  <si>
    <t>31-05-2025</t>
  </si>
  <si>
    <t>CUST-4770</t>
  </si>
  <si>
    <t>Pro Phones 764</t>
  </si>
  <si>
    <t>ORD-2025-10315</t>
  </si>
  <si>
    <t>CUST-1945</t>
  </si>
  <si>
    <t>Elite Labels 544</t>
  </si>
  <si>
    <t>ORD-2024-10316</t>
  </si>
  <si>
    <t>2024-07-02</t>
  </si>
  <si>
    <t>2024-07-08</t>
  </si>
  <si>
    <t>CUST-7565</t>
  </si>
  <si>
    <t>Smart Paper 817</t>
  </si>
  <si>
    <t>ORD-2024-10317</t>
  </si>
  <si>
    <t>16-02-2024</t>
  </si>
  <si>
    <t>02/18/2024</t>
  </si>
  <si>
    <t>CUST-9913</t>
  </si>
  <si>
    <t>Classic Labels 466</t>
  </si>
  <si>
    <t>ORD-2025-10318</t>
  </si>
  <si>
    <t>29-08-2025</t>
  </si>
  <si>
    <t>04 Sep 2025</t>
  </si>
  <si>
    <t>CUST-7992</t>
  </si>
  <si>
    <t>Pro Tables 778</t>
  </si>
  <si>
    <t>ORD-2024-10319</t>
  </si>
  <si>
    <t>25 Apr 2024</t>
  </si>
  <si>
    <t>30-04-2024</t>
  </si>
  <si>
    <t>CUST-8877</t>
  </si>
  <si>
    <t>Basic Phones 789</t>
  </si>
  <si>
    <t>ORD-2024-10320</t>
  </si>
  <si>
    <t>21 Aug 2024</t>
  </si>
  <si>
    <t>08/25/2024</t>
  </si>
  <si>
    <t>CUST-4589</t>
  </si>
  <si>
    <t>Prime Binders 554</t>
  </si>
  <si>
    <t>ORD-2024-10321</t>
  </si>
  <si>
    <t>12/04/2024</t>
  </si>
  <si>
    <t>12/06/2024</t>
  </si>
  <si>
    <t>CUST-4667</t>
  </si>
  <si>
    <t>Classic Art 299</t>
  </si>
  <si>
    <t>ORD-2024-10322</t>
  </si>
  <si>
    <t>06/23/2024</t>
  </si>
  <si>
    <t>30 Jun 2024</t>
  </si>
  <si>
    <t>CUST-7821</t>
  </si>
  <si>
    <t>Eco Accessories 220</t>
  </si>
  <si>
    <t>ORD-2024-10323</t>
  </si>
  <si>
    <t>12-11-2024</t>
  </si>
  <si>
    <t>CUST-8579</t>
  </si>
  <si>
    <t>Max Phones 422</t>
  </si>
  <si>
    <t>ORD-2024-10324</t>
  </si>
  <si>
    <t>25-02-2024</t>
  </si>
  <si>
    <t>29 Feb 2024</t>
  </si>
  <si>
    <t>CUST-6909</t>
  </si>
  <si>
    <t>ORD-2025-10325</t>
  </si>
  <si>
    <t>31 Jul 2025</t>
  </si>
  <si>
    <t>CUST-7212</t>
  </si>
  <si>
    <t>Basic Labels 102</t>
  </si>
  <si>
    <t>ORD-2025-10326</t>
  </si>
  <si>
    <t>09/16/2025</t>
  </si>
  <si>
    <t>2025-09-22</t>
  </si>
  <si>
    <t>CUST-7980</t>
  </si>
  <si>
    <t>Prime Copiers 170</t>
  </si>
  <si>
    <t>ORD-2025-10327</t>
  </si>
  <si>
    <t>2025-07-22</t>
  </si>
  <si>
    <t>CUST-1966</t>
  </si>
  <si>
    <t>Smart Furnishings 533</t>
  </si>
  <si>
    <t>ORD-2024-10328</t>
  </si>
  <si>
    <t>2024-07-24</t>
  </si>
  <si>
    <t>CUST-6163</t>
  </si>
  <si>
    <t>Classic Accessories 489</t>
  </si>
  <si>
    <t>ORD-2025-10329</t>
  </si>
  <si>
    <t>2025-05-29</t>
  </si>
  <si>
    <t>CUST-7239</t>
  </si>
  <si>
    <t>Smart Storage 439</t>
  </si>
  <si>
    <t>ORD-2025-10330</t>
  </si>
  <si>
    <t>12 May 2025</t>
  </si>
  <si>
    <t>2025-05-18</t>
  </si>
  <si>
    <t>CUST-9718</t>
  </si>
  <si>
    <t>Prime Storage 232</t>
  </si>
  <si>
    <t>ORD-2024-10331</t>
  </si>
  <si>
    <t>CUST-1116</t>
  </si>
  <si>
    <t>Prime Accessories 335</t>
  </si>
  <si>
    <t>ORD-2024-10332</t>
  </si>
  <si>
    <t>2024-12-06</t>
  </si>
  <si>
    <t>CUST-9346</t>
  </si>
  <si>
    <t>Smart Binders 939</t>
  </si>
  <si>
    <t>ORD-2025-10333</t>
  </si>
  <si>
    <t>27 May 2025</t>
  </si>
  <si>
    <t>2025-05-28</t>
  </si>
  <si>
    <t>CUST-5332</t>
  </si>
  <si>
    <t>machines</t>
  </si>
  <si>
    <t>Basic Machines 601</t>
  </si>
  <si>
    <t>ORD-2025-10334</t>
  </si>
  <si>
    <t>22 Jun 2025</t>
  </si>
  <si>
    <t>2025-06-27</t>
  </si>
  <si>
    <t>CUST-8081</t>
  </si>
  <si>
    <t>Pro Phones 968</t>
  </si>
  <si>
    <t>ORD-2024-10335</t>
  </si>
  <si>
    <t>12 Sep 2024</t>
  </si>
  <si>
    <t>17-09-2024</t>
  </si>
  <si>
    <t>CUST-3062</t>
  </si>
  <si>
    <t>Pro Storage 563</t>
  </si>
  <si>
    <t>ORD-2025-10336</t>
  </si>
  <si>
    <t>06/16/2025</t>
  </si>
  <si>
    <t>18 Jun 2025</t>
  </si>
  <si>
    <t>CUST-3621</t>
  </si>
  <si>
    <t>Prime Paper 559</t>
  </si>
  <si>
    <t>ORD-2024-10337</t>
  </si>
  <si>
    <t>03/21/2024</t>
  </si>
  <si>
    <t>Pro Copiers 999</t>
  </si>
  <si>
    <t>ORD-2024-10338</t>
  </si>
  <si>
    <t>12 Aug 2024</t>
  </si>
  <si>
    <t>18 Aug 2024</t>
  </si>
  <si>
    <t>CUST-4599</t>
  </si>
  <si>
    <t>Classic Labels 206</t>
  </si>
  <si>
    <t>ORD-2024-10339</t>
  </si>
  <si>
    <t>08-12-2024</t>
  </si>
  <si>
    <t>CUST-3066</t>
  </si>
  <si>
    <t>Eco Accessories 315</t>
  </si>
  <si>
    <t>ORD-2025-10340</t>
  </si>
  <si>
    <t>22-02-2025</t>
  </si>
  <si>
    <t>CUST-2752</t>
  </si>
  <si>
    <t>Elite Bookcases 988</t>
  </si>
  <si>
    <t>ORD-2024-10341</t>
  </si>
  <si>
    <t>21 Jan 2024</t>
  </si>
  <si>
    <t>01/29/2024</t>
  </si>
  <si>
    <t>CUST-6291</t>
  </si>
  <si>
    <t>Smart Binders 414</t>
  </si>
  <si>
    <t>ORD-2025-10342</t>
  </si>
  <si>
    <t>08 Sep 2025</t>
  </si>
  <si>
    <t>2025-09-09</t>
  </si>
  <si>
    <t>CUST-9969</t>
  </si>
  <si>
    <t>Eco Chairs 552</t>
  </si>
  <si>
    <t>ORD-2025-10343</t>
  </si>
  <si>
    <t>24-07-2025</t>
  </si>
  <si>
    <t>01-08-2025</t>
  </si>
  <si>
    <t>CUST-3335</t>
  </si>
  <si>
    <t>Smart Binders 574</t>
  </si>
  <si>
    <t>ORD-2025-10344</t>
  </si>
  <si>
    <t>10/03/2025</t>
  </si>
  <si>
    <t>CUST-7358</t>
  </si>
  <si>
    <t>Pro Machines 444</t>
  </si>
  <si>
    <t>ORD-2024-10345</t>
  </si>
  <si>
    <t>CUST-8025</t>
  </si>
  <si>
    <t>Elite Bookcases 184</t>
  </si>
  <si>
    <t>ORD-2024-10346</t>
  </si>
  <si>
    <t>2024-09-14</t>
  </si>
  <si>
    <t>2024-09-22</t>
  </si>
  <si>
    <t>CUST-4634</t>
  </si>
  <si>
    <t>Elite Furnishings 138</t>
  </si>
  <si>
    <t>ORD-2025-10347</t>
  </si>
  <si>
    <t>28-07-2025</t>
  </si>
  <si>
    <t>CUST-3400</t>
  </si>
  <si>
    <t>Eco Chairs 369</t>
  </si>
  <si>
    <t>ORD-2024-10348</t>
  </si>
  <si>
    <t>01-12-2024</t>
  </si>
  <si>
    <t>CUST-1172</t>
  </si>
  <si>
    <t>Max Chairs 487</t>
  </si>
  <si>
    <t>ORD-2024-10349</t>
  </si>
  <si>
    <t>06/07/2024</t>
  </si>
  <si>
    <t>CUST-9517</t>
  </si>
  <si>
    <t>Classic Phones 989</t>
  </si>
  <si>
    <t>ORD-2025-10350</t>
  </si>
  <si>
    <t>27-09-2025</t>
  </si>
  <si>
    <t>CUST-6697</t>
  </si>
  <si>
    <t>Max Furnishings 628</t>
  </si>
  <si>
    <t>ORD-2024-10351</t>
  </si>
  <si>
    <t>07-01-2024</t>
  </si>
  <si>
    <t>14 Jan 2024</t>
  </si>
  <si>
    <t>CUST-7644</t>
  </si>
  <si>
    <t>Elite Furnishings 279</t>
  </si>
  <si>
    <t>ORD-2025-10352</t>
  </si>
  <si>
    <t>23-05-2025</t>
  </si>
  <si>
    <t>CUST-9963</t>
  </si>
  <si>
    <t>Pro Storage 847</t>
  </si>
  <si>
    <t>ORD-2025-10353</t>
  </si>
  <si>
    <t>15 Aug 2025</t>
  </si>
  <si>
    <t>CUST-6382</t>
  </si>
  <si>
    <t>Elite Copiers 706</t>
  </si>
  <si>
    <t>ORD-2025-10354</t>
  </si>
  <si>
    <t>21-02-2025</t>
  </si>
  <si>
    <t>CUST-3253</t>
  </si>
  <si>
    <t>Prime Art 978</t>
  </si>
  <si>
    <t>ORD-2024-10355</t>
  </si>
  <si>
    <t>2024-12-31</t>
  </si>
  <si>
    <t>CUST-1058</t>
  </si>
  <si>
    <t>corporate</t>
  </si>
  <si>
    <t>Classic Furnishings 498</t>
  </si>
  <si>
    <t>ORD-2024-10356</t>
  </si>
  <si>
    <t>12-05-2024</t>
  </si>
  <si>
    <t>2024-05-09</t>
  </si>
  <si>
    <t>CUST-6414</t>
  </si>
  <si>
    <t>Max Tables 829</t>
  </si>
  <si>
    <t>ORD-2025-10357</t>
  </si>
  <si>
    <t>27 Jun 2025</t>
  </si>
  <si>
    <t>29 Jun 2025</t>
  </si>
  <si>
    <t>CUST-9268</t>
  </si>
  <si>
    <t>Eco Chairs 346</t>
  </si>
  <si>
    <t>ORD-2025-10358</t>
  </si>
  <si>
    <t>01/29/2025</t>
  </si>
  <si>
    <t>CUST-1363</t>
  </si>
  <si>
    <t>Max Machines 770</t>
  </si>
  <si>
    <t>ORD-2025-10359</t>
  </si>
  <si>
    <t>08/09/2025</t>
  </si>
  <si>
    <t>2025-08-07</t>
  </si>
  <si>
    <t>CUST-2477</t>
  </si>
  <si>
    <t>Smart Bookcases 134</t>
  </si>
  <si>
    <t>ORD-2024-10360</t>
  </si>
  <si>
    <t>22-08-2024</t>
  </si>
  <si>
    <t>CUST-9571</t>
  </si>
  <si>
    <t>Classic Phones 586</t>
  </si>
  <si>
    <t>ORD-2024-10361</t>
  </si>
  <si>
    <t>17 Jun 2024</t>
  </si>
  <si>
    <t>2024-06-20</t>
  </si>
  <si>
    <t>CUST-3690</t>
  </si>
  <si>
    <t>Elite Furnishings 634</t>
  </si>
  <si>
    <t>ORD-2025-10362</t>
  </si>
  <si>
    <t>2025-04-02</t>
  </si>
  <si>
    <t>CUST-2909</t>
  </si>
  <si>
    <t>Basic Chairs 113</t>
  </si>
  <si>
    <t>ORD-2024-10363</t>
  </si>
  <si>
    <t>23 Aug 2024</t>
  </si>
  <si>
    <t>25-08-2024</t>
  </si>
  <si>
    <t>CUST-6755</t>
  </si>
  <si>
    <t>Elite Machines 216</t>
  </si>
  <si>
    <t>ORD-2025-10364</t>
  </si>
  <si>
    <t>07/07/2025</t>
  </si>
  <si>
    <t>07/12/2025</t>
  </si>
  <si>
    <t>CUST-1832</t>
  </si>
  <si>
    <t>Smart Tables 943</t>
  </si>
  <si>
    <t>ORD-2025-10365</t>
  </si>
  <si>
    <t>03/21/2025</t>
  </si>
  <si>
    <t>2025-03-24</t>
  </si>
  <si>
    <t>CUST-4452</t>
  </si>
  <si>
    <t>Prime Chairs 101</t>
  </si>
  <si>
    <t>ORD-2024-10366</t>
  </si>
  <si>
    <t>15-06-2024</t>
  </si>
  <si>
    <t>21-06-2024</t>
  </si>
  <si>
    <t>CUST-2203</t>
  </si>
  <si>
    <t>Basic Accessories 774</t>
  </si>
  <si>
    <t>ORD-2025-10367</t>
  </si>
  <si>
    <t>2025-01-16</t>
  </si>
  <si>
    <t>2025-01-22</t>
  </si>
  <si>
    <t>CUST-5397</t>
  </si>
  <si>
    <t>Max Tables 478</t>
  </si>
  <si>
    <t>ORD-2024-10368</t>
  </si>
  <si>
    <t>03/16/2024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</si>
  <si>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</si>
  <si>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</si>
  <si>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</si>
  <si>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</si>
  <si>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</si>
  <si>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</si>
  <si>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</si>
  <si>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</si>
  <si>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</si>
  <si>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08/15/2024</t>
  </si>
  <si>
    <t>CUST-8521</t>
  </si>
  <si>
    <t>Classic Copiers 505</t>
  </si>
  <si>
    <t>ORD-2024-10372</t>
  </si>
  <si>
    <t>2024-01-24</t>
  </si>
  <si>
    <t>CUST-2204</t>
  </si>
  <si>
    <t>Pro Art 906</t>
  </si>
  <si>
    <t>ORD-2025-10373</t>
  </si>
  <si>
    <t>2025-08-16</t>
  </si>
  <si>
    <t>Max Chairs 181</t>
  </si>
  <si>
    <t>ORD-2025-10374</t>
  </si>
  <si>
    <t>2025-04-13</t>
  </si>
  <si>
    <t>CUST-8566</t>
  </si>
  <si>
    <t>Prime Storage 951</t>
  </si>
  <si>
    <t>ORD-2025-10375</t>
  </si>
  <si>
    <t>2025-02-27</t>
  </si>
  <si>
    <t>28-02-2025</t>
  </si>
  <si>
    <t>CUST-2358</t>
  </si>
  <si>
    <t>Smart Labels 668</t>
  </si>
  <si>
    <t>ORD-2024-10376</t>
  </si>
  <si>
    <t>31-12-2024</t>
  </si>
  <si>
    <t>04 Jan 2025</t>
  </si>
  <si>
    <t>CUST-2810</t>
  </si>
  <si>
    <t>Pro Chairs 364</t>
  </si>
  <si>
    <t>ORD-2024-10377</t>
  </si>
  <si>
    <t>29-12-2024</t>
  </si>
  <si>
    <t>CUST-5166</t>
  </si>
  <si>
    <t>Basic Chairs 248</t>
  </si>
  <si>
    <t>ORD-2025-10378</t>
  </si>
  <si>
    <t>30-05-2025</t>
  </si>
  <si>
    <t>CUST-4875</t>
  </si>
  <si>
    <t>storage</t>
  </si>
  <si>
    <t>Basic Storage 360</t>
  </si>
  <si>
    <t>ORD-2025-10379</t>
  </si>
  <si>
    <t>22-05-2025</t>
  </si>
  <si>
    <t>CUST-3154</t>
  </si>
  <si>
    <t>Basic Accessories 988</t>
  </si>
  <si>
    <t>ORD-2024-10380</t>
  </si>
  <si>
    <t>09/19/2024</t>
  </si>
  <si>
    <t>23 Sep 2024</t>
  </si>
  <si>
    <t>CUST-6405</t>
  </si>
  <si>
    <t>Max Paper 334</t>
  </si>
  <si>
    <t>ORD-2024-10381</t>
  </si>
  <si>
    <t>07 Apr 2024</t>
  </si>
  <si>
    <t>CUST-5779</t>
  </si>
  <si>
    <t>Prime Bookcases 952</t>
  </si>
  <si>
    <t>ORD-2025-10382</t>
  </si>
  <si>
    <t>2025-09-19</t>
  </si>
  <si>
    <t>23-09-2025</t>
  </si>
  <si>
    <t>CUST-9943</t>
  </si>
  <si>
    <t>HOME OFFICE</t>
  </si>
  <si>
    <t>Prime Binders 523</t>
  </si>
  <si>
    <t>ORD-2025-10383</t>
  </si>
  <si>
    <t>04 Mar 2025</t>
  </si>
  <si>
    <t>TECHNOLOGY</t>
  </si>
  <si>
    <t>Pro Phones 538</t>
  </si>
  <si>
    <t>ORD-2025-10384</t>
  </si>
  <si>
    <t>CUST-7438</t>
  </si>
  <si>
    <t>Basic Art 608</t>
  </si>
  <si>
    <t>ORD-2024-10385</t>
  </si>
  <si>
    <t>15-03-2024</t>
  </si>
  <si>
    <t>2024-03-20</t>
  </si>
  <si>
    <t>CUST-8432</t>
  </si>
  <si>
    <t>Prime Copiers 820</t>
  </si>
  <si>
    <t>ORD-2025-10386</t>
  </si>
  <si>
    <t>30 Jun 2025</t>
  </si>
  <si>
    <t>CUST-2834</t>
  </si>
  <si>
    <t>Classic Labels 670</t>
  </si>
  <si>
    <t>ORD-2025-10387</t>
  </si>
  <si>
    <t>14-02-2025</t>
  </si>
  <si>
    <t>CUST-4222</t>
  </si>
  <si>
    <t>Prime Furnishings 597</t>
  </si>
  <si>
    <t>ORD-2025-10388</t>
  </si>
  <si>
    <t>CUST-1053</t>
  </si>
  <si>
    <t>Prime Chairs 196</t>
  </si>
  <si>
    <t>ORD-2024-10389</t>
  </si>
  <si>
    <t>2024-05-13</t>
  </si>
  <si>
    <t>18 May 2024</t>
  </si>
  <si>
    <t>CUST-1457</t>
  </si>
  <si>
    <t>Elite Chairs 639</t>
  </si>
  <si>
    <t>ORD-2024-10390</t>
  </si>
  <si>
    <t>05 Apr 2024</t>
  </si>
  <si>
    <t>CUST-3930</t>
  </si>
  <si>
    <t>Elite Machines 563</t>
  </si>
  <si>
    <t>ORD-2024-10391</t>
  </si>
  <si>
    <t>06 Nov 2024</t>
  </si>
  <si>
    <t>CUST-7853</t>
  </si>
  <si>
    <t>Pro Furnishings 281</t>
  </si>
  <si>
    <t>ORD-2025-10392</t>
  </si>
  <si>
    <t>14 Feb 2025</t>
  </si>
  <si>
    <t>CUST-2267</t>
  </si>
  <si>
    <t>Eco Storage 285</t>
  </si>
  <si>
    <t>ORD-2024-10393</t>
  </si>
  <si>
    <t>02/19/2024</t>
  </si>
  <si>
    <t>22 Feb 2024</t>
  </si>
  <si>
    <t>CUST-6866</t>
  </si>
  <si>
    <t>Classic Furnishings 746</t>
  </si>
  <si>
    <t>ORD-2024-10394</t>
  </si>
  <si>
    <t>2024-08-23</t>
  </si>
  <si>
    <t>08/29/2024</t>
  </si>
  <si>
    <t>CUST-3160</t>
  </si>
  <si>
    <t>Eco Labels 815</t>
  </si>
  <si>
    <t>ORD-2024-10395</t>
  </si>
  <si>
    <t>03-04-2024</t>
  </si>
  <si>
    <t>04 Apr 2024</t>
  </si>
  <si>
    <t>CUST-8444</t>
  </si>
  <si>
    <t>Prime Furnishings 879</t>
  </si>
  <si>
    <t>ORD-2024-10396</t>
  </si>
  <si>
    <t>CUST-4765</t>
  </si>
  <si>
    <t>Pro Tables 142</t>
  </si>
  <si>
    <t>ORD-2025-10397</t>
  </si>
  <si>
    <t>2025-04-14</t>
  </si>
  <si>
    <t>22 Apr 2025</t>
  </si>
  <si>
    <t>CUST-2280</t>
  </si>
  <si>
    <t>Prime Machines 267</t>
  </si>
  <si>
    <t>ORD-2025-10398</t>
  </si>
  <si>
    <t>09 Jun 2025</t>
  </si>
  <si>
    <t>10 Jun 2025</t>
  </si>
  <si>
    <t>CUST-3177</t>
  </si>
  <si>
    <t>Eco Tables 378</t>
  </si>
  <si>
    <t>ORD-2024-10399</t>
  </si>
  <si>
    <t>19 Jul 2024</t>
  </si>
  <si>
    <t>2024-07-26</t>
  </si>
  <si>
    <t>CUST-4718</t>
  </si>
  <si>
    <t xml:space="preserve">  Corporate </t>
  </si>
  <si>
    <t>Elite Machines 523</t>
  </si>
  <si>
    <t>ORD-2025-10400</t>
  </si>
  <si>
    <t>04/24/2025</t>
  </si>
  <si>
    <t>2025-04-29</t>
  </si>
  <si>
    <t>CUST-5647</t>
  </si>
  <si>
    <t>Elite Paper 308</t>
  </si>
  <si>
    <t>ORD-2025-10401</t>
  </si>
  <si>
    <t>06-06-2025</t>
  </si>
  <si>
    <t>2025-06-11</t>
  </si>
  <si>
    <t>CUST-7150</t>
  </si>
  <si>
    <t>Prime Paper 851</t>
  </si>
  <si>
    <t>ORD-2025-10402</t>
  </si>
  <si>
    <t>09 Mar 2025</t>
  </si>
  <si>
    <t>16-03-2025</t>
  </si>
  <si>
    <t>CUST-6694</t>
  </si>
  <si>
    <t>Classic Tables 151</t>
  </si>
  <si>
    <t>ORD-2024-10403</t>
  </si>
  <si>
    <t>22 Mar 2024</t>
  </si>
  <si>
    <t>03/22/2024</t>
  </si>
  <si>
    <t>CUST-7680</t>
  </si>
  <si>
    <t>Smart Tables 829</t>
  </si>
  <si>
    <t>ORD-2024-10404</t>
  </si>
  <si>
    <t>09/30/2024</t>
  </si>
  <si>
    <t>04-10-2024</t>
  </si>
  <si>
    <t>CUST-2700</t>
  </si>
  <si>
    <t>PAPER</t>
  </si>
  <si>
    <t>Classic Paper 237</t>
  </si>
  <si>
    <t>ORD-2024-10405</t>
  </si>
  <si>
    <t>27 Jan 2024</t>
  </si>
  <si>
    <t>02/03/2024</t>
  </si>
  <si>
    <t>CUST-2904</t>
  </si>
  <si>
    <t>Prime Chairs 891</t>
  </si>
  <si>
    <t>ORD-2024-10406</t>
  </si>
  <si>
    <t>09/23/2024</t>
  </si>
  <si>
    <t>24 Sep 2024</t>
  </si>
  <si>
    <t>CUST-9961</t>
  </si>
  <si>
    <t>Max Bookcases 812</t>
  </si>
  <si>
    <t>ORD-2025-10407</t>
  </si>
  <si>
    <t>25 Feb 2025</t>
  </si>
  <si>
    <t>CUST-9909</t>
  </si>
  <si>
    <t>Basic Furnishings 164</t>
  </si>
  <si>
    <t>ORD-2024-10408</t>
  </si>
  <si>
    <t>12 May 2024</t>
  </si>
  <si>
    <t>13 May 2024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</si>
  <si>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</si>
  <si>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</si>
  <si>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</si>
  <si>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</si>
  <si>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</si>
  <si>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</si>
  <si>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</si>
  <si>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</si>
  <si>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</si>
  <si>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2024-04-12</t>
  </si>
  <si>
    <t>20 Apr 2024</t>
  </si>
  <si>
    <t>CUST-9495</t>
  </si>
  <si>
    <t>Smart Tables 100</t>
  </si>
  <si>
    <t>ORD-2025-10412</t>
  </si>
  <si>
    <t>2025-08-23</t>
  </si>
  <si>
    <t>2025-08-28</t>
  </si>
  <si>
    <t>CUST-2855</t>
  </si>
  <si>
    <t>Basic Tables 615</t>
  </si>
  <si>
    <t>ORD-2024-10413</t>
  </si>
  <si>
    <t>2024-01-22</t>
  </si>
  <si>
    <t>CUST-4329</t>
  </si>
  <si>
    <t>Basic Chairs 790</t>
  </si>
  <si>
    <t>ORD-2025-10414</t>
  </si>
  <si>
    <t>17-08-2025</t>
  </si>
  <si>
    <t>CUST-5094</t>
  </si>
  <si>
    <t>Smart Accessories 226</t>
  </si>
  <si>
    <t>ORD-2024-10415</t>
  </si>
  <si>
    <t>2024-08-29</t>
  </si>
  <si>
    <t>08/30/2024</t>
  </si>
  <si>
    <t>CUST-4194</t>
  </si>
  <si>
    <t>Max Storage 692</t>
  </si>
  <si>
    <t>ORD-2024-10416</t>
  </si>
  <si>
    <t>01/25/2024</t>
  </si>
  <si>
    <t>CUST-7087</t>
  </si>
  <si>
    <t>Basic Storage 684</t>
  </si>
  <si>
    <t>ORD-2025-10417</t>
  </si>
  <si>
    <t>2025-01-08</t>
  </si>
  <si>
    <t>16-01-2025</t>
  </si>
  <si>
    <t>CUST-7608</t>
  </si>
  <si>
    <t>Smart Furnishings 152</t>
  </si>
  <si>
    <t>ORD-2025-10418</t>
  </si>
  <si>
    <t>02/05/2025</t>
  </si>
  <si>
    <t>CUST-5269</t>
  </si>
  <si>
    <t>Max Art 736</t>
  </si>
  <si>
    <t>ORD-2024-10419</t>
  </si>
  <si>
    <t>11/09/2024</t>
  </si>
  <si>
    <t>11/17/2024</t>
  </si>
  <si>
    <t>CUST-7925</t>
  </si>
  <si>
    <t>Elite Copiers 971</t>
  </si>
  <si>
    <t>ORD-2025-10420</t>
  </si>
  <si>
    <t>26-09-2025</t>
  </si>
  <si>
    <t>09/30/2025</t>
  </si>
  <si>
    <t>CUST-6552</t>
  </si>
  <si>
    <t>Classic Phones 940</t>
  </si>
  <si>
    <t>ORD-2025-10421</t>
  </si>
  <si>
    <t>2025-03-19</t>
  </si>
  <si>
    <t>CUST-7131</t>
  </si>
  <si>
    <t>Pro Machines 579</t>
  </si>
  <si>
    <t>ORD-2025-10422</t>
  </si>
  <si>
    <t>06/14/2025</t>
  </si>
  <si>
    <t>19 Jun 2025</t>
  </si>
  <si>
    <t>CUST-2779</t>
  </si>
  <si>
    <t>Elite Binders 943</t>
  </si>
  <si>
    <t>ORD-2025-10423</t>
  </si>
  <si>
    <t>09/03/2025</t>
  </si>
  <si>
    <t>06 Sep 2025</t>
  </si>
  <si>
    <t>CUST-6077</t>
  </si>
  <si>
    <t>Elite Copiers 474</t>
  </si>
  <si>
    <t>ORD-2024-10424</t>
  </si>
  <si>
    <t>2024-02-20</t>
  </si>
  <si>
    <t>27-02-2024</t>
  </si>
  <si>
    <t>CUST-6169</t>
  </si>
  <si>
    <t>Prime Accessories 236</t>
  </si>
  <si>
    <t>FIRST CLASS</t>
  </si>
  <si>
    <t>ORD-2024-10425</t>
  </si>
  <si>
    <t>06/26/2024</t>
  </si>
  <si>
    <t>2024-06-29</t>
  </si>
  <si>
    <t>CUST-8904</t>
  </si>
  <si>
    <t>Prime Phones 881</t>
  </si>
  <si>
    <t>ORD-2024-10426</t>
  </si>
  <si>
    <t>26-09-2024</t>
  </si>
  <si>
    <t>09/27/2024</t>
  </si>
  <si>
    <t>CUST-9586</t>
  </si>
  <si>
    <t>Pro Labels 903</t>
  </si>
  <si>
    <t>ORD-2024-10427</t>
  </si>
  <si>
    <t>30-06-2024</t>
  </si>
  <si>
    <t>01-07-2024</t>
  </si>
  <si>
    <t>CUST-5431</t>
  </si>
  <si>
    <t>Max Copiers 402</t>
  </si>
  <si>
    <t>ORD-2025-10428</t>
  </si>
  <si>
    <t>2025-04-22</t>
  </si>
  <si>
    <t>24-04-2025</t>
  </si>
  <si>
    <t>CUST-8843</t>
  </si>
  <si>
    <t>Prime Accessories 419</t>
  </si>
  <si>
    <t>ORD-2025-10429</t>
  </si>
  <si>
    <t>2025-03-15</t>
  </si>
  <si>
    <t>22 Mar 2025</t>
  </si>
  <si>
    <t>CUST-7626</t>
  </si>
  <si>
    <t>Elite Phones 488</t>
  </si>
  <si>
    <t>ORD-2025-10430</t>
  </si>
  <si>
    <t>01 Mar 2025</t>
  </si>
  <si>
    <t>08-03-2025</t>
  </si>
  <si>
    <t>CUST-8562</t>
  </si>
  <si>
    <t>Prime Copiers 109</t>
  </si>
  <si>
    <t>ORD-2024-10431</t>
  </si>
  <si>
    <t>30 Aug 2024</t>
  </si>
  <si>
    <t>02-09-2024</t>
  </si>
  <si>
    <t>CUST-2732</t>
  </si>
  <si>
    <t xml:space="preserve">Office Supplies </t>
  </si>
  <si>
    <t>Max Paper 576</t>
  </si>
  <si>
    <t>ORD-2024-10432</t>
  </si>
  <si>
    <t>10 Feb 2024</t>
  </si>
  <si>
    <t>02/13/2024</t>
  </si>
  <si>
    <t>CUST-3989</t>
  </si>
  <si>
    <t>Max Machines 412</t>
  </si>
  <si>
    <t>ORD-2024-10433</t>
  </si>
  <si>
    <t>CUST-3522</t>
  </si>
  <si>
    <t>Classic Bookcases 291</t>
  </si>
  <si>
    <t>ORD-2024-10434</t>
  </si>
  <si>
    <t>04/19/2024</t>
  </si>
  <si>
    <t>20-04-2024</t>
  </si>
  <si>
    <t>CUST-7066</t>
  </si>
  <si>
    <t>Elite Art 946</t>
  </si>
  <si>
    <t>ORD-2025-10435</t>
  </si>
  <si>
    <t>04/11/2025</t>
  </si>
  <si>
    <t>2025-04-15</t>
  </si>
  <si>
    <t>CUST-2351</t>
  </si>
  <si>
    <t>Eco Accessories 705</t>
  </si>
  <si>
    <t>ORD-2025-10436</t>
  </si>
  <si>
    <t>2025-04-12</t>
  </si>
  <si>
    <t>CUST-7291</t>
  </si>
  <si>
    <t>Max Machines 151</t>
  </si>
  <si>
    <t>ORD-2024-10437</t>
  </si>
  <si>
    <t>16 Jun 2024</t>
  </si>
  <si>
    <t>21 Jun 2024</t>
  </si>
  <si>
    <t>CUST-4492</t>
  </si>
  <si>
    <t>Max Furnishings 803</t>
  </si>
  <si>
    <t>ORD-2024-10438</t>
  </si>
  <si>
    <t>15-02-2024</t>
  </si>
  <si>
    <t>2024-02-18</t>
  </si>
  <si>
    <t>CUST-5029</t>
  </si>
  <si>
    <t xml:space="preserve">  Accessories </t>
  </si>
  <si>
    <t>Max Accessories 423</t>
  </si>
  <si>
    <t>ORD-2025-10439</t>
  </si>
  <si>
    <t>05/05/2025</t>
  </si>
  <si>
    <t>CUST-7252</t>
  </si>
  <si>
    <t>Elite Phones 276</t>
  </si>
  <si>
    <t>ORD-2025-10440</t>
  </si>
  <si>
    <t>30-06-2025</t>
  </si>
  <si>
    <t>03 Jul 2025</t>
  </si>
  <si>
    <t>CUST-7346</t>
  </si>
  <si>
    <t>Smart Storage 287</t>
  </si>
  <si>
    <t>ORD-2024-10441</t>
  </si>
  <si>
    <t>04/02/2024</t>
  </si>
  <si>
    <t>04/08/2024</t>
  </si>
  <si>
    <t>Basic Machines 610</t>
  </si>
  <si>
    <t>ORD-2024-10442</t>
  </si>
  <si>
    <t>03-10-2024</t>
  </si>
  <si>
    <t>CUST-3975</t>
  </si>
  <si>
    <t>Elite Bookcases 393</t>
  </si>
  <si>
    <t>ORD-2025-10443</t>
  </si>
  <si>
    <t>12 Jan 2025</t>
  </si>
  <si>
    <t>2025-01-19</t>
  </si>
  <si>
    <t>CUST-6588</t>
  </si>
  <si>
    <t>Prime Tables 242</t>
  </si>
  <si>
    <t>ORD-2024-10444</t>
  </si>
  <si>
    <t>04-04-2024</t>
  </si>
  <si>
    <t>CUST-2207</t>
  </si>
  <si>
    <t>Basic Furnishings 563</t>
  </si>
  <si>
    <t>ORD-2025-10445</t>
  </si>
  <si>
    <t>12 Aug 2025</t>
  </si>
  <si>
    <t>CUST-4475</t>
  </si>
  <si>
    <t>Prime Accessories 482</t>
  </si>
  <si>
    <t>ORD-2024-10446</t>
  </si>
  <si>
    <t>05/09/2024</t>
  </si>
  <si>
    <t>05-05-2024</t>
  </si>
  <si>
    <t>CUST-1351</t>
  </si>
  <si>
    <t>Eco Bookcases 215</t>
  </si>
  <si>
    <t>ORD-2025-10447</t>
  </si>
  <si>
    <t>18-09-2025</t>
  </si>
  <si>
    <t>19-09-2025</t>
  </si>
  <si>
    <t>CUST-9295</t>
  </si>
  <si>
    <t>Eco Storage 793</t>
  </si>
  <si>
    <t>ORD-2025-10448</t>
  </si>
  <si>
    <t>10 Aug 2025</t>
  </si>
  <si>
    <t>CUST-3614</t>
  </si>
  <si>
    <t>Basic Bookcases 182</t>
  </si>
  <si>
    <t>ORD-2024-10449</t>
  </si>
  <si>
    <t>01/15/2024</t>
  </si>
  <si>
    <t>CUST-1932</t>
  </si>
  <si>
    <t>Prime Chairs 631</t>
  </si>
  <si>
    <t>ORD-2024-10450</t>
  </si>
  <si>
    <t>06-06-2024</t>
  </si>
  <si>
    <t>13 Jun 2024</t>
  </si>
  <si>
    <t>Basic Machines 808</t>
  </si>
  <si>
    <t>ORD-2025-10451</t>
  </si>
  <si>
    <t>06/12/2025</t>
  </si>
  <si>
    <t>CUST-8672</t>
  </si>
  <si>
    <t>Pro Chairs 302</t>
  </si>
  <si>
    <t>ORD-2024-10452</t>
  </si>
  <si>
    <t>24-03-2024</t>
  </si>
  <si>
    <t>26-03-2024</t>
  </si>
  <si>
    <t>CUST-3907</t>
  </si>
  <si>
    <t>Classic Paper 272</t>
  </si>
  <si>
    <t>ORD-2024-10453</t>
  </si>
  <si>
    <t>10-05-2024</t>
  </si>
  <si>
    <t>CUST-8796</t>
  </si>
  <si>
    <t>Smart Accessories 149</t>
  </si>
  <si>
    <t>ORD-2025-10454</t>
  </si>
  <si>
    <t>05/03/2025</t>
  </si>
  <si>
    <t>2025-05-11</t>
  </si>
  <si>
    <t>CUST-2317</t>
  </si>
  <si>
    <t>Elite Labels 322</t>
  </si>
  <si>
    <t>ORD-2025-10455</t>
  </si>
  <si>
    <t>2025-03-23</t>
  </si>
  <si>
    <t>28-03-2025</t>
  </si>
  <si>
    <t>CUST-8643</t>
  </si>
  <si>
    <t>Max Furnishings 821</t>
  </si>
  <si>
    <t>ORD-2024-10456</t>
  </si>
  <si>
    <t>18 Jul 2024</t>
  </si>
  <si>
    <t>22-07-2024</t>
  </si>
  <si>
    <t>CUST-1800</t>
  </si>
  <si>
    <t>Basic Art 556</t>
  </si>
  <si>
    <t>ORD-2024-10457</t>
  </si>
  <si>
    <t>CUST-7688</t>
  </si>
  <si>
    <t>Smart Accessories 265</t>
  </si>
  <si>
    <t>ORD-2024-10458</t>
  </si>
  <si>
    <t>05/04/2024</t>
  </si>
  <si>
    <t>2024-05-04</t>
  </si>
  <si>
    <t>CUST-4957</t>
  </si>
  <si>
    <t>Elite Tables 418</t>
  </si>
  <si>
    <t>ORD-2024-10459</t>
  </si>
  <si>
    <t>2024-02-10</t>
  </si>
  <si>
    <t>CUST-1263</t>
  </si>
  <si>
    <t>Pro Phones 907</t>
  </si>
  <si>
    <t>ORD-2024-10460</t>
  </si>
  <si>
    <t>03/28/2024</t>
  </si>
  <si>
    <t>CUST-4745</t>
  </si>
  <si>
    <t>Basic Paper 233</t>
  </si>
  <si>
    <t>ORD-2025-10461</t>
  </si>
  <si>
    <t>30 Sep 2025</t>
  </si>
  <si>
    <t>06 Oct 2025</t>
  </si>
  <si>
    <t>CUST-5551</t>
  </si>
  <si>
    <t>Eco Copiers 603</t>
  </si>
  <si>
    <t>ORD-2025-10462</t>
  </si>
  <si>
    <t>05/25/2025</t>
  </si>
  <si>
    <t>CUST-3659</t>
  </si>
  <si>
    <t>Max Paper 700</t>
  </si>
  <si>
    <t>ORD-2024-10463</t>
  </si>
  <si>
    <t>25-09-2024</t>
  </si>
  <si>
    <t>CUST-6594</t>
  </si>
  <si>
    <t>Pro Binders 404</t>
  </si>
  <si>
    <t>ORD-2025-10464</t>
  </si>
  <si>
    <t>2025-02-08</t>
  </si>
  <si>
    <t>CUST-2626</t>
  </si>
  <si>
    <t>Eco Phones 208</t>
  </si>
  <si>
    <t>ORD-2025-10465</t>
  </si>
  <si>
    <t>11-03-2025</t>
  </si>
  <si>
    <t>03/15/2025</t>
  </si>
  <si>
    <t>CUST-7362</t>
  </si>
  <si>
    <t>Elite Paper 106</t>
  </si>
  <si>
    <t>ORD-2024-10466</t>
  </si>
  <si>
    <t>29-01-2024</t>
  </si>
  <si>
    <t>2024-02-06</t>
  </si>
  <si>
    <t>CUST-1748</t>
  </si>
  <si>
    <t>Eco Labels 914</t>
  </si>
  <si>
    <t>ORD-2024-10467</t>
  </si>
  <si>
    <t>04-01-2024</t>
  </si>
  <si>
    <t>01/08/2024</t>
  </si>
  <si>
    <t>CUST-2725</t>
  </si>
  <si>
    <t>Max Accessories 486</t>
  </si>
  <si>
    <t>ORD-2024-10468</t>
  </si>
  <si>
    <t>20-08-2024</t>
  </si>
  <si>
    <t>CUST-9470</t>
  </si>
  <si>
    <t>Max Copiers 867</t>
  </si>
  <si>
    <t>ORD-2025-10469</t>
  </si>
  <si>
    <t>09 Jan 2025</t>
  </si>
  <si>
    <t>07 Jan 2025</t>
  </si>
  <si>
    <t>CUST-4176</t>
  </si>
  <si>
    <t>Pro Binders 555</t>
  </si>
  <si>
    <t>ORD-2024-10470</t>
  </si>
  <si>
    <t>2024-01-19</t>
  </si>
  <si>
    <t>CUST-3448</t>
  </si>
  <si>
    <t>Pro Copiers 971</t>
  </si>
  <si>
    <t>ORD-2024-10471</t>
  </si>
  <si>
    <t>28-07-2024</t>
  </si>
  <si>
    <t>CUST-4970</t>
  </si>
  <si>
    <t>Pro Tables 833</t>
  </si>
  <si>
    <t>ORD-2024-10472</t>
  </si>
  <si>
    <t>11-02-2024</t>
  </si>
  <si>
    <t>02/15/2024</t>
  </si>
  <si>
    <t>CUST-6147</t>
  </si>
  <si>
    <t>Prime Binders 497</t>
  </si>
  <si>
    <t>ORD-2024-10473</t>
  </si>
  <si>
    <t>02-03-2024</t>
  </si>
  <si>
    <t>CUST-7208</t>
  </si>
  <si>
    <t>Pro Storage 756</t>
  </si>
  <si>
    <t>ORD-2024-10474</t>
  </si>
  <si>
    <t>13-11-2024</t>
  </si>
  <si>
    <t>CUST-2794</t>
  </si>
  <si>
    <t>Max Copiers 829</t>
  </si>
  <si>
    <t>ORD-2024-10475</t>
  </si>
  <si>
    <t>2024-06-10</t>
  </si>
  <si>
    <t>CUST-6249</t>
  </si>
  <si>
    <t>Prime Furnishings 827</t>
  </si>
  <si>
    <t>ORD-2025-10476</t>
  </si>
  <si>
    <t>03/01/2025</t>
  </si>
  <si>
    <t>08 Mar 2025</t>
  </si>
  <si>
    <t>CUST-5712</t>
  </si>
  <si>
    <t>Eco Chairs 365</t>
  </si>
  <si>
    <t>ORD-2024-10477</t>
  </si>
  <si>
    <t>05/07/2024</t>
  </si>
  <si>
    <t>05/14/2024</t>
  </si>
  <si>
    <t>CUST-3004</t>
  </si>
  <si>
    <t>Classic Storage 545</t>
  </si>
  <si>
    <t>ORD-2025-10478</t>
  </si>
  <si>
    <t>08/23/2025</t>
  </si>
  <si>
    <t>28-08-2025</t>
  </si>
  <si>
    <t>CUST-6920</t>
  </si>
  <si>
    <t>Pro Chairs 186</t>
  </si>
  <si>
    <t>ORD-2024-10479</t>
  </si>
  <si>
    <t>06/09/2024</t>
  </si>
  <si>
    <t>2024-06-13</t>
  </si>
  <si>
    <t>CUST-4838</t>
  </si>
  <si>
    <t>Classic Machines 561</t>
  </si>
  <si>
    <t>ORD-2024-10480</t>
  </si>
  <si>
    <t>23 Feb 2024</t>
  </si>
  <si>
    <t>CUST-7520</t>
  </si>
  <si>
    <t>Max Chairs 594</t>
  </si>
  <si>
    <t>ORD-2025-10481</t>
  </si>
  <si>
    <t>CUST-9947</t>
  </si>
  <si>
    <t>Eco Storage 923</t>
  </si>
  <si>
    <t>ORD-2025-10482</t>
  </si>
  <si>
    <t>2025-06-05</t>
  </si>
  <si>
    <t>06/13/2025</t>
  </si>
  <si>
    <t>CUST-4403</t>
  </si>
  <si>
    <t>Classic Machines 287</t>
  </si>
  <si>
    <t>ORD-2024-10483</t>
  </si>
  <si>
    <t>CUST-3583</t>
  </si>
  <si>
    <t>Basic Accessories 518</t>
  </si>
  <si>
    <t>ORD-2024-10484</t>
  </si>
  <si>
    <t>25-12-2024</t>
  </si>
  <si>
    <t>CUST-9432</t>
  </si>
  <si>
    <t>Pro Copiers 984</t>
  </si>
  <si>
    <t>ORD-2024-10485</t>
  </si>
  <si>
    <t>2024-12-28</t>
  </si>
  <si>
    <t>12/31/2024</t>
  </si>
  <si>
    <t>CUST-1801</t>
  </si>
  <si>
    <t>Max Furnishings 297</t>
  </si>
  <si>
    <t>ORD-2025-10486</t>
  </si>
  <si>
    <t>CUST-1594</t>
  </si>
  <si>
    <t>Elite Bookcases 802</t>
  </si>
  <si>
    <t>ORD-2025-10487</t>
  </si>
  <si>
    <t>22-06-2025</t>
  </si>
  <si>
    <t>06/26/2025</t>
  </si>
  <si>
    <t>CUST-8132</t>
  </si>
  <si>
    <t>Pro Tables 257</t>
  </si>
  <si>
    <t>ORD-2025-10488</t>
  </si>
  <si>
    <t>06/17/2025</t>
  </si>
  <si>
    <t>CUST-7685</t>
  </si>
  <si>
    <t>Prime Furnishings 299</t>
  </si>
  <si>
    <t>ORD-2024-10489</t>
  </si>
  <si>
    <t>14 Oct 2024</t>
  </si>
  <si>
    <t>2024-10-20</t>
  </si>
  <si>
    <t>CUST-2183</t>
  </si>
  <si>
    <t xml:space="preserve">North </t>
  </si>
  <si>
    <t>Eco Tables 487</t>
  </si>
  <si>
    <t>ORD-2024-10490</t>
  </si>
  <si>
    <t>2024-02-12</t>
  </si>
  <si>
    <t>CUST-1636</t>
  </si>
  <si>
    <t>Prime Accessories 960</t>
  </si>
  <si>
    <t>ORD-2024-10491</t>
  </si>
  <si>
    <t>2024-09-16</t>
  </si>
  <si>
    <t>CUST-1350</t>
  </si>
  <si>
    <t>Smart Binders 191</t>
  </si>
  <si>
    <t>ORD-2025-10492</t>
  </si>
  <si>
    <t>30-04-2025</t>
  </si>
  <si>
    <t>CUST-4101</t>
  </si>
  <si>
    <t>Prime Accessories 118</t>
  </si>
  <si>
    <t>ORD-2025-10493</t>
  </si>
  <si>
    <t>28-06-2025</t>
  </si>
  <si>
    <t>07/02/2025</t>
  </si>
  <si>
    <t>CUST-4679</t>
  </si>
  <si>
    <t>Elite Storage 331</t>
  </si>
  <si>
    <t>ORD-2025-10494</t>
  </si>
  <si>
    <t>2025-02-13</t>
  </si>
  <si>
    <t>CUST-3765</t>
  </si>
  <si>
    <t>Prime Paper 996</t>
  </si>
  <si>
    <t>COMPLETED</t>
  </si>
  <si>
    <t>ORD-2024-10495</t>
  </si>
  <si>
    <t>2024-11-14</t>
  </si>
  <si>
    <t>2024-11-22</t>
  </si>
  <si>
    <t>CUST-9056</t>
  </si>
  <si>
    <t>Smart Phones 125</t>
  </si>
  <si>
    <t>ORD-2024-10496</t>
  </si>
  <si>
    <t>05/15/2024</t>
  </si>
  <si>
    <t>CUST-9801</t>
  </si>
  <si>
    <t>Eco Phones 220</t>
  </si>
  <si>
    <t>ORD-2025-10497</t>
  </si>
  <si>
    <t>2025-07-04</t>
  </si>
  <si>
    <t>2025-07-06</t>
  </si>
  <si>
    <t>CUST-2038</t>
  </si>
  <si>
    <t>Eco Chairs 795</t>
  </si>
  <si>
    <t>ORD-2024-10498</t>
  </si>
  <si>
    <t>29 Aug 2024</t>
  </si>
  <si>
    <t>CUST-1567</t>
  </si>
  <si>
    <t>Smart Accessories 896</t>
  </si>
  <si>
    <t>ORD-2025-10499</t>
  </si>
  <si>
    <t>2025-09-07</t>
  </si>
  <si>
    <t>10 Sep 2025</t>
  </si>
  <si>
    <t>CUST-1190</t>
  </si>
  <si>
    <t>Basic Chairs 255</t>
  </si>
  <si>
    <t>cancelled</t>
  </si>
  <si>
    <t>ORD-2024-10500</t>
  </si>
  <si>
    <t>2024-12-22</t>
  </si>
  <si>
    <t>CUST-5604</t>
  </si>
  <si>
    <t>Eco Chairs 210</t>
  </si>
  <si>
    <t>ORD-2024-10501</t>
  </si>
  <si>
    <t>05/22/2024</t>
  </si>
  <si>
    <t>CUST-7661</t>
  </si>
  <si>
    <t>Prime Phones 533</t>
  </si>
  <si>
    <t>ORD-2024-10502</t>
  </si>
  <si>
    <t>11 Aug 2024</t>
  </si>
  <si>
    <t>08/17/2024</t>
  </si>
  <si>
    <t>Elite Art 325</t>
  </si>
  <si>
    <t>ORD-2024-10503</t>
  </si>
  <si>
    <t>04/01/2024</t>
  </si>
  <si>
    <t>2024-04-09</t>
  </si>
  <si>
    <t>CUST-1534</t>
  </si>
  <si>
    <t xml:space="preserve">  East </t>
  </si>
  <si>
    <t>Prime Copiers 557</t>
  </si>
  <si>
    <t>ORD-2024-10504</t>
  </si>
  <si>
    <t>2024-09-28</t>
  </si>
  <si>
    <t>2024-10-05</t>
  </si>
  <si>
    <t>CUST-7422</t>
  </si>
  <si>
    <t>Smart Phones 674</t>
  </si>
  <si>
    <t>ORD-2025-10505</t>
  </si>
  <si>
    <t>2025-02-12</t>
  </si>
  <si>
    <t>2025-02-17</t>
  </si>
  <si>
    <t>CUST-9693</t>
  </si>
  <si>
    <t>Elite Art 553</t>
  </si>
  <si>
    <t>ORD-2024-10506</t>
  </si>
  <si>
    <t>2024-11-09</t>
  </si>
  <si>
    <t>CUST-5458</t>
  </si>
  <si>
    <t>Classic Art 339</t>
  </si>
  <si>
    <t>ORD-2024-10507</t>
  </si>
  <si>
    <t>15-12-2024</t>
  </si>
  <si>
    <t>2024-12-15</t>
  </si>
  <si>
    <t>CUST-3011</t>
  </si>
  <si>
    <t>Smart Furnishings 352</t>
  </si>
  <si>
    <t>ORD-2025-10508</t>
  </si>
  <si>
    <t>CUST-1826</t>
  </si>
  <si>
    <t>Classic Binders 602</t>
  </si>
  <si>
    <t>ORD-2024-10509</t>
  </si>
  <si>
    <t>31 Mar 2024</t>
  </si>
  <si>
    <t>CUST-3333</t>
  </si>
  <si>
    <t>Smart Machines 853</t>
  </si>
  <si>
    <t>ORD-2025-10510</t>
  </si>
  <si>
    <t>2025-05-12</t>
  </si>
  <si>
    <t>05/14/2025</t>
  </si>
  <si>
    <t>CUST-7901</t>
  </si>
  <si>
    <t>Classic Machines 599</t>
  </si>
  <si>
    <t>ORD-2024-10511</t>
  </si>
  <si>
    <t>21-10-2024</t>
  </si>
  <si>
    <t>CUST-9759</t>
  </si>
  <si>
    <t>Aarav  Sharma</t>
  </si>
  <si>
    <t>Pro Storage 373</t>
  </si>
  <si>
    <t>ORD-2024-10512</t>
  </si>
  <si>
    <t>10/23/2024</t>
  </si>
  <si>
    <t>26 Oct 2024</t>
  </si>
  <si>
    <t>CUST-7232</t>
  </si>
  <si>
    <t>Smart Bookcases 920</t>
  </si>
  <si>
    <t>ORD-2025-10513</t>
  </si>
  <si>
    <t>2025-03-03</t>
  </si>
  <si>
    <t>Pro Labels 849</t>
  </si>
  <si>
    <t>ORD-2025-10514</t>
  </si>
  <si>
    <t>CUST-8993</t>
  </si>
  <si>
    <t xml:space="preserve">Accessories </t>
  </si>
  <si>
    <t>Prime Accessories 849</t>
  </si>
  <si>
    <t>ORD-2024-10515</t>
  </si>
  <si>
    <t>18 Nov 2024</t>
  </si>
  <si>
    <t>CUST-7729</t>
  </si>
  <si>
    <t>Smart Accessories 388</t>
  </si>
  <si>
    <t>ORD-2025-10516</t>
  </si>
  <si>
    <t>2025-04-11</t>
  </si>
  <si>
    <t>CUST-9986</t>
  </si>
  <si>
    <t>Classic Paper 752</t>
  </si>
  <si>
    <t>ORD-2024-10517</t>
  </si>
  <si>
    <t>09/28/2024</t>
  </si>
  <si>
    <t>04 Oct 2024</t>
  </si>
  <si>
    <t>CUST-2731</t>
  </si>
  <si>
    <t>Classic Copiers 143</t>
  </si>
  <si>
    <t>ORD-2025-10518</t>
  </si>
  <si>
    <t>2025-05-25</t>
  </si>
  <si>
    <t>CUST-4235</t>
  </si>
  <si>
    <t>Basic Furnishings 386</t>
  </si>
  <si>
    <t>ORD-2025-10519</t>
  </si>
  <si>
    <t>26 Apr 2025</t>
  </si>
  <si>
    <t>CUST-3377</t>
  </si>
  <si>
    <t>Classic Tables 592</t>
  </si>
  <si>
    <t>ORD-2025-10520</t>
  </si>
  <si>
    <t>2025-07-07</t>
  </si>
  <si>
    <t>CUST-3258</t>
  </si>
  <si>
    <t>Pro Tables 412</t>
  </si>
  <si>
    <t>ORD-2024-10521</t>
  </si>
  <si>
    <t>23 Jul 2024</t>
  </si>
  <si>
    <t>CUST-2155</t>
  </si>
  <si>
    <t>Prime Machines 393</t>
  </si>
  <si>
    <t>ORD-2025-10522</t>
  </si>
  <si>
    <t>2025-03-25</t>
  </si>
  <si>
    <t>2025-04-01</t>
  </si>
  <si>
    <t>CUST-8012</t>
  </si>
  <si>
    <t>Classic Labels 776</t>
  </si>
  <si>
    <t>ORD-2025-10523</t>
  </si>
  <si>
    <t>02/28/2025</t>
  </si>
  <si>
    <t>CUST-2917</t>
  </si>
  <si>
    <t>Max Phones 612</t>
  </si>
  <si>
    <t>ORD-2024-10524</t>
  </si>
  <si>
    <t>02-04-2024</t>
  </si>
  <si>
    <t>2024-04-03</t>
  </si>
  <si>
    <t>CUST-4653</t>
  </si>
  <si>
    <t>Basic Paper 315</t>
  </si>
  <si>
    <t>ORD-2024-10525</t>
  </si>
  <si>
    <t>30 Nov 2024</t>
  </si>
  <si>
    <t>01 Dec 2024</t>
  </si>
  <si>
    <t>CUST-3311</t>
  </si>
  <si>
    <t>Basic Chairs 333</t>
  </si>
  <si>
    <t>ORD-2024-10526</t>
  </si>
  <si>
    <t>10/17/2024</t>
  </si>
  <si>
    <t>2024-10-17</t>
  </si>
  <si>
    <t>CUST-2924</t>
  </si>
  <si>
    <t>Prime Chairs 215</t>
  </si>
  <si>
    <t>ORD-2025-10527</t>
  </si>
  <si>
    <t>2025-07-18</t>
  </si>
  <si>
    <t>21 Jul 2025</t>
  </si>
  <si>
    <t>CUST-7198</t>
  </si>
  <si>
    <t>Elite Tables 815</t>
  </si>
  <si>
    <t>ORD-2025-10528</t>
  </si>
  <si>
    <t>01-10-2025</t>
  </si>
  <si>
    <t>2025-10-05</t>
  </si>
  <si>
    <t>CUST-3419</t>
  </si>
  <si>
    <t>Basic Paper 388</t>
  </si>
  <si>
    <t>ORD-2024-10529</t>
  </si>
  <si>
    <t>2024-10-07</t>
  </si>
  <si>
    <t>09-10-2024</t>
  </si>
  <si>
    <t>CUST-2390</t>
  </si>
  <si>
    <t>Eco Binders 855</t>
  </si>
  <si>
    <t>ORD-2024-10530</t>
  </si>
  <si>
    <t>2024-02-08</t>
  </si>
  <si>
    <t>Classic Bookcases 947</t>
  </si>
  <si>
    <t>ORD-2025-10531</t>
  </si>
  <si>
    <t>05/30/2025</t>
  </si>
  <si>
    <t>2025-06-01</t>
  </si>
  <si>
    <t>CUST-8177</t>
  </si>
  <si>
    <t>Eco Binders 352</t>
  </si>
  <si>
    <t>ORD-2024-10532</t>
  </si>
  <si>
    <t>08-08-2024</t>
  </si>
  <si>
    <t>CUST-6357</t>
  </si>
  <si>
    <t>Pro Storage 364</t>
  </si>
  <si>
    <t>ORD-2025-10533</t>
  </si>
  <si>
    <t>CUST-7690</t>
  </si>
  <si>
    <t>Classic Tables 213</t>
  </si>
  <si>
    <t>ORD-2024-10534</t>
  </si>
  <si>
    <t>25 Aug 2024</t>
  </si>
  <si>
    <t>CUST-4487</t>
  </si>
  <si>
    <t>Smart Tables 659</t>
  </si>
  <si>
    <t>ORD-2025-10535</t>
  </si>
  <si>
    <t>04/27/2025</t>
  </si>
  <si>
    <t>2025-05-05</t>
  </si>
  <si>
    <t>CUST-8204</t>
  </si>
  <si>
    <t>Classic Accessories 325</t>
  </si>
  <si>
    <t>ORD-2024-10536</t>
  </si>
  <si>
    <t>19-05-2024</t>
  </si>
  <si>
    <t>21 May 2024</t>
  </si>
  <si>
    <t>CUST-1729</t>
  </si>
  <si>
    <t>Eco Copiers 243</t>
  </si>
  <si>
    <t>ORD-2025-10537</t>
  </si>
  <si>
    <t>2025-04-10</t>
  </si>
  <si>
    <t>2025-04-17</t>
  </si>
  <si>
    <t>CUST-4269</t>
  </si>
  <si>
    <t>Elite Chairs 777</t>
  </si>
  <si>
    <t>ORD-2024-10538</t>
  </si>
  <si>
    <t>2024-01-30</t>
  </si>
  <si>
    <t>CUST-1370</t>
  </si>
  <si>
    <t>Classic Art 772</t>
  </si>
  <si>
    <t>ORD-2024-10539</t>
  </si>
  <si>
    <t>01-10-2024</t>
  </si>
  <si>
    <t>CUST-5381</t>
  </si>
  <si>
    <t>Elite Tables 888</t>
  </si>
  <si>
    <t>ORD-2025-10540</t>
  </si>
  <si>
    <t>CUST-3694</t>
  </si>
  <si>
    <t>mira das</t>
  </si>
  <si>
    <t>Classic Chairs 666</t>
  </si>
  <si>
    <t>ORD-2024-10541</t>
  </si>
  <si>
    <t>26-02-2024</t>
  </si>
  <si>
    <t>CUST-7563</t>
  </si>
  <si>
    <t>Basic Furnishings 350</t>
  </si>
  <si>
    <t>ORD-2025-10542</t>
  </si>
  <si>
    <t>08-07-2025</t>
  </si>
  <si>
    <t>2025-07-09</t>
  </si>
  <si>
    <t>CUST-4188</t>
  </si>
  <si>
    <t>Elite Copiers 831</t>
  </si>
  <si>
    <t>ORD-2024-10543</t>
  </si>
  <si>
    <t>09/17/2024</t>
  </si>
  <si>
    <t>2024-09-23</t>
  </si>
  <si>
    <t>CUST-9376</t>
  </si>
  <si>
    <t>Eco Bookcases 759</t>
  </si>
  <si>
    <t>CANCELLED</t>
  </si>
  <si>
    <t>ORD-2024-10544</t>
  </si>
  <si>
    <t>2024-07-14</t>
  </si>
  <si>
    <t>CUST-9094</t>
  </si>
  <si>
    <t>Max Copiers 440</t>
  </si>
  <si>
    <t>ORD-2025-10545</t>
  </si>
  <si>
    <t>2025-01-29</t>
  </si>
  <si>
    <t>CUST-2366</t>
  </si>
  <si>
    <t>Smart Art 201</t>
  </si>
  <si>
    <t>ORD-2024-10546</t>
  </si>
  <si>
    <t>05/27/2024</t>
  </si>
  <si>
    <t>30 May 2024</t>
  </si>
  <si>
    <t>CUST-7168</t>
  </si>
  <si>
    <t>Classic Storage 755</t>
  </si>
  <si>
    <t>ORD-2025-10547</t>
  </si>
  <si>
    <t>2025-08-14</t>
  </si>
  <si>
    <t>CUST-8157</t>
  </si>
  <si>
    <t>office supplies</t>
  </si>
  <si>
    <t>Prime Paper 143</t>
  </si>
  <si>
    <t>ORD-2024-10548</t>
  </si>
  <si>
    <t>16 May 2024</t>
  </si>
  <si>
    <t>23 May 2024</t>
  </si>
  <si>
    <t>CUST-9146</t>
  </si>
  <si>
    <t>Max Copiers 607</t>
  </si>
  <si>
    <t>ORD-2024-10549</t>
  </si>
  <si>
    <t>CUST-5129</t>
  </si>
  <si>
    <t>Prime Bookcases 402</t>
  </si>
  <si>
    <t>ORD-2025-10550</t>
  </si>
  <si>
    <t>10/11/2025</t>
  </si>
  <si>
    <t>13 Oct 2025</t>
  </si>
  <si>
    <t>CUST-6028</t>
  </si>
  <si>
    <t>Pro Art 287</t>
  </si>
  <si>
    <t>ORD-2024-10551</t>
  </si>
  <si>
    <t>08/10/2024</t>
  </si>
  <si>
    <t>CUST-8687</t>
  </si>
  <si>
    <t>Max Accessories 591</t>
  </si>
  <si>
    <t>ORD-2024-10552</t>
  </si>
  <si>
    <t>2024-02-27</t>
  </si>
  <si>
    <t>CUST-8172</t>
  </si>
  <si>
    <t>Elite Chairs 314</t>
  </si>
  <si>
    <t>ORD-2025-10553</t>
  </si>
  <si>
    <t>CUST-8861</t>
  </si>
  <si>
    <t>Pro Copiers 246</t>
  </si>
  <si>
    <t>ORD-2025-10554</t>
  </si>
  <si>
    <t>04/25/2025</t>
  </si>
  <si>
    <t>2025-04-28</t>
  </si>
  <si>
    <t>CUST-9241</t>
  </si>
  <si>
    <t>Pro Storage 128</t>
  </si>
  <si>
    <t>ORD-2024-10555</t>
  </si>
  <si>
    <t>2024-10-12</t>
  </si>
  <si>
    <t>17 Oct 2024</t>
  </si>
  <si>
    <t>CUST-2126</t>
  </si>
  <si>
    <t>Prime Furnishings 892</t>
  </si>
  <si>
    <t>ORD-2025-10556</t>
  </si>
  <si>
    <t>10 Feb 2025</t>
  </si>
  <si>
    <t>CUST-7513</t>
  </si>
  <si>
    <t>Prime Storage 689</t>
  </si>
  <si>
    <t>ORD-2024-10557</t>
  </si>
  <si>
    <t>CUST-1992</t>
  </si>
  <si>
    <t>Classic Tables 769</t>
  </si>
  <si>
    <t>ORD-2024-10558</t>
  </si>
  <si>
    <t>2024-05-08</t>
  </si>
  <si>
    <t>14-05-2024</t>
  </si>
  <si>
    <t>CUST-8848</t>
  </si>
  <si>
    <t>Prime Phones 503</t>
  </si>
  <si>
    <t>ORD-2025-10559</t>
  </si>
  <si>
    <t>2025-09-04</t>
  </si>
  <si>
    <t>09/04/2025</t>
  </si>
  <si>
    <t>CUST-9368</t>
  </si>
  <si>
    <t>Basic Machines 136</t>
  </si>
  <si>
    <t>ORD-2025-10560</t>
  </si>
  <si>
    <t>2025-10-07</t>
  </si>
  <si>
    <t>CUST-6797</t>
  </si>
  <si>
    <t>Basic Copiers 512</t>
  </si>
  <si>
    <t>ORD-2024-10561</t>
  </si>
  <si>
    <t>2024-01-16</t>
  </si>
  <si>
    <t>CUST-9333</t>
  </si>
  <si>
    <t>Smart Storage 767</t>
  </si>
  <si>
    <t>ORD-2025-10562</t>
  </si>
  <si>
    <t>18 Jul 2025</t>
  </si>
  <si>
    <t>CUST-6654</t>
  </si>
  <si>
    <t>Eco Copiers 954</t>
  </si>
  <si>
    <t>ORD-2024-10563</t>
  </si>
  <si>
    <t>10 May 2024</t>
  </si>
  <si>
    <t>CUST-8622</t>
  </si>
  <si>
    <t>Elite Binders 143</t>
  </si>
  <si>
    <t>ORD-2024-10564</t>
  </si>
  <si>
    <t>05/06/2024</t>
  </si>
  <si>
    <t>CUST-8776</t>
  </si>
  <si>
    <t>Classic Tables 560</t>
  </si>
  <si>
    <t>ORD-2024-10565</t>
  </si>
  <si>
    <t>14-11-2024</t>
  </si>
  <si>
    <t>CUST-9100</t>
  </si>
  <si>
    <t>Basic Tables 759</t>
  </si>
  <si>
    <t>ORD-2025-10566</t>
  </si>
  <si>
    <t>07 Aug 2025</t>
  </si>
  <si>
    <t>CUST-5601</t>
  </si>
  <si>
    <t>Prime Phones 564</t>
  </si>
  <si>
    <t>ORD-2024-10567</t>
  </si>
  <si>
    <t>2024-08-19</t>
  </si>
  <si>
    <t>CUST-5246</t>
  </si>
  <si>
    <t>Smart Paper 807</t>
  </si>
  <si>
    <t>ORD-2024-10568</t>
  </si>
  <si>
    <t>06 Feb 2024</t>
  </si>
  <si>
    <t>10-02-2024</t>
  </si>
  <si>
    <t>CUST-3128</t>
  </si>
  <si>
    <t>ORD-2024-10569</t>
  </si>
  <si>
    <t>24 Jan 2024</t>
  </si>
  <si>
    <t>CUST-4604</t>
  </si>
  <si>
    <t>Classic Machines 522</t>
  </si>
  <si>
    <t>ORD-2025-10570</t>
  </si>
  <si>
    <t>09/08/2025</t>
  </si>
  <si>
    <t>2025-09-10</t>
  </si>
  <si>
    <t>CUST-2586</t>
  </si>
  <si>
    <t>Elite Furnishings 822</t>
  </si>
  <si>
    <t>ORD-2025-10571</t>
  </si>
  <si>
    <t>CUST-6585</t>
  </si>
  <si>
    <t>Max Furnishings 647</t>
  </si>
  <si>
    <t>ORD-2025-10572</t>
  </si>
  <si>
    <t>2025-02-14</t>
  </si>
  <si>
    <t>CUST-3425</t>
  </si>
  <si>
    <t>Prime Phones 895</t>
  </si>
  <si>
    <t>ORD-2024-10573</t>
  </si>
  <si>
    <t>01/02/2024</t>
  </si>
  <si>
    <t>09-01-2024</t>
  </si>
  <si>
    <t>CUST-8633</t>
  </si>
  <si>
    <t xml:space="preserve">  Diya Patel </t>
  </si>
  <si>
    <t>Eco Phones 368</t>
  </si>
  <si>
    <t>ORD-2025-10574</t>
  </si>
  <si>
    <t>09/22/2025</t>
  </si>
  <si>
    <t>09/26/2025</t>
  </si>
  <si>
    <t>CUST-8243</t>
  </si>
  <si>
    <t>Pro Phones 644</t>
  </si>
  <si>
    <t>ORD-2024-10575</t>
  </si>
  <si>
    <t>20 Feb 2024</t>
  </si>
  <si>
    <t>Smart Machines 566</t>
  </si>
  <si>
    <t>ORD-2025-10576</t>
  </si>
  <si>
    <t>11 Mar 2025</t>
  </si>
  <si>
    <t>14 Mar 2025</t>
  </si>
  <si>
    <t>CUST-5496</t>
  </si>
  <si>
    <t>Elite Furnishings 173</t>
  </si>
  <si>
    <t>ORD-2024-10577</t>
  </si>
  <si>
    <t>17-02-2024</t>
  </si>
  <si>
    <t>02/23/2024</t>
  </si>
  <si>
    <t>CUST-2228</t>
  </si>
  <si>
    <t>Smart Binders 417</t>
  </si>
  <si>
    <t>ORD-2025-10578</t>
  </si>
  <si>
    <t>2025-09-03</t>
  </si>
  <si>
    <t>CUST-4151</t>
  </si>
  <si>
    <t>Smart Furnishings 714</t>
  </si>
  <si>
    <t>ORD-2024-10579</t>
  </si>
  <si>
    <t>2024-02-21</t>
  </si>
  <si>
    <t>23-02-2024</t>
  </si>
  <si>
    <t>Elite Copiers 682</t>
  </si>
  <si>
    <t>ORD-2024-10580</t>
  </si>
  <si>
    <t>19-06-2024</t>
  </si>
  <si>
    <t>24 Jun 2024</t>
  </si>
  <si>
    <t>CUST-9617</t>
  </si>
  <si>
    <t>Pro Storage 482</t>
  </si>
  <si>
    <t>ORD-2025-10581</t>
  </si>
  <si>
    <t>06-03-2025</t>
  </si>
  <si>
    <t>CUST-7958</t>
  </si>
  <si>
    <t>Pro Chairs 888</t>
  </si>
  <si>
    <t>ORD-2025-10582</t>
  </si>
  <si>
    <t>08/10/2025</t>
  </si>
  <si>
    <t>CUST-9931</t>
  </si>
  <si>
    <t>Classic Art 611</t>
  </si>
  <si>
    <t>ORD-2024-10583</t>
  </si>
  <si>
    <t>2024-10-15</t>
  </si>
  <si>
    <t>10/20/2024</t>
  </si>
  <si>
    <t>CUST-2088</t>
  </si>
  <si>
    <t>Basic Art 174</t>
  </si>
  <si>
    <t>ORD-2024-10584</t>
  </si>
  <si>
    <t>02/28/2024</t>
  </si>
  <si>
    <t>CUST-1686</t>
  </si>
  <si>
    <t>Classic Storage 451</t>
  </si>
  <si>
    <t>ORD-2024-10585</t>
  </si>
  <si>
    <t>08/04/2024</t>
  </si>
  <si>
    <t>10-08-2024</t>
  </si>
  <si>
    <t>CUST-4894</t>
  </si>
  <si>
    <t>Pro Art 172</t>
  </si>
  <si>
    <t>ORD-2025-10586</t>
  </si>
  <si>
    <t>2025-06-25</t>
  </si>
  <si>
    <t>CUST-5201</t>
  </si>
  <si>
    <t>Prime Phones 744</t>
  </si>
  <si>
    <t>ORD-2025-10587</t>
  </si>
  <si>
    <t>12-04-2025</t>
  </si>
  <si>
    <t>12 Apr 2025</t>
  </si>
  <si>
    <t>CUST-8626</t>
  </si>
  <si>
    <t>Prime Binders 249</t>
  </si>
  <si>
    <t>ORD-2025-10588</t>
  </si>
  <si>
    <t>23-07-2025</t>
  </si>
  <si>
    <t>2025-07-31</t>
  </si>
  <si>
    <t>CUST-1013</t>
  </si>
  <si>
    <t>Eco Accessories 948</t>
  </si>
  <si>
    <t>ORD-2025-10589</t>
  </si>
  <si>
    <t>2025-03-11</t>
  </si>
  <si>
    <t>15 Mar 2025</t>
  </si>
  <si>
    <t>CUST-3601</t>
  </si>
  <si>
    <t>Classic Accessories 458</t>
  </si>
  <si>
    <t>ORD-2024-10590</t>
  </si>
  <si>
    <t>06 Dec 2024</t>
  </si>
  <si>
    <t>12/12/2024</t>
  </si>
  <si>
    <t>CUST-7846</t>
  </si>
  <si>
    <t>Max Phones 318</t>
  </si>
  <si>
    <t>ORD-2024-10591</t>
  </si>
  <si>
    <t>2024-05-29</t>
  </si>
  <si>
    <t>CUST-3433</t>
  </si>
  <si>
    <t>Elite Chairs 372</t>
  </si>
  <si>
    <t xml:space="preserve">  Pending </t>
  </si>
  <si>
    <t>ORD-2024-10592</t>
  </si>
  <si>
    <t>2024-02-22</t>
  </si>
  <si>
    <t>24-02-2024</t>
  </si>
  <si>
    <t>CUST-2423</t>
  </si>
  <si>
    <t>Eco Copiers 324</t>
  </si>
  <si>
    <t>ORD-2024-10593</t>
  </si>
  <si>
    <t>CUST-3559</t>
  </si>
  <si>
    <t>Classic Accessories 131</t>
  </si>
  <si>
    <t>ORD-2025-10594</t>
  </si>
  <si>
    <t>2025-09-29</t>
  </si>
  <si>
    <t>Eco Tables 550</t>
  </si>
  <si>
    <t>ORD-2024-10595</t>
  </si>
  <si>
    <t>2024-09-19</t>
  </si>
  <si>
    <t>CUST-6850</t>
  </si>
  <si>
    <t>Basic Chairs 932</t>
  </si>
  <si>
    <t>ORD-2025-10596</t>
  </si>
  <si>
    <t>02/11/2025</t>
  </si>
  <si>
    <t>16-02-2025</t>
  </si>
  <si>
    <t>CUST-5566</t>
  </si>
  <si>
    <t>Classic Phones 294</t>
  </si>
  <si>
    <t>ORD-2024-10597</t>
  </si>
  <si>
    <t>CUST-2593</t>
  </si>
  <si>
    <t>Elite Chairs 700</t>
  </si>
  <si>
    <t>ORD-2025-10598</t>
  </si>
  <si>
    <t>08 Jul 2025</t>
  </si>
  <si>
    <t>CUST-6957</t>
  </si>
  <si>
    <t>Prime Copiers 969</t>
  </si>
  <si>
    <t>ORD-2024-10599</t>
  </si>
  <si>
    <t>08/24/2024</t>
  </si>
  <si>
    <t>CUST-8498</t>
  </si>
  <si>
    <t>Eco Copiers 268</t>
  </si>
  <si>
    <t>ORD-2024-10600</t>
  </si>
  <si>
    <t>19-08-2024</t>
  </si>
  <si>
    <t>CUST-2612</t>
  </si>
  <si>
    <t>Pro Phones 588</t>
  </si>
  <si>
    <t>ORD-2025-10601</t>
  </si>
  <si>
    <t>05-03-2025</t>
  </si>
  <si>
    <t>2025-03-12</t>
  </si>
  <si>
    <t>CUST-6013</t>
  </si>
  <si>
    <t>Prime Storage 432</t>
  </si>
  <si>
    <t>ORD-2024-10602</t>
  </si>
  <si>
    <t>26 Jan 2024</t>
  </si>
  <si>
    <t>01/31/2024</t>
  </si>
  <si>
    <t>CUST-8289</t>
  </si>
  <si>
    <t>Basic Paper 452</t>
  </si>
  <si>
    <t>ORD-2024-10603</t>
  </si>
  <si>
    <t>23-10-2024</t>
  </si>
  <si>
    <t>2024-10-30</t>
  </si>
  <si>
    <t>CUST-5668</t>
  </si>
  <si>
    <t>Max Copiers 477</t>
  </si>
  <si>
    <t>ORD-2025-10604</t>
  </si>
  <si>
    <t>01/03/2025</t>
  </si>
  <si>
    <t>Prime Accessories 300</t>
  </si>
  <si>
    <t>ORD-2025-10605</t>
  </si>
  <si>
    <t>05-02-2025</t>
  </si>
  <si>
    <t>02/06/2025</t>
  </si>
  <si>
    <t>CUST-4526</t>
  </si>
  <si>
    <t>Max Binders 547</t>
  </si>
  <si>
    <t>ORD-2025-10606</t>
  </si>
  <si>
    <t>13 Jul 2025</t>
  </si>
  <si>
    <t>CUST-4447</t>
  </si>
  <si>
    <t>Pro Furnishings 267</t>
  </si>
  <si>
    <t>ORD-2025-10607</t>
  </si>
  <si>
    <t>22 Feb 2025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</si>
  <si>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</si>
  <si>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</si>
  <si>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</si>
  <si>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</si>
  <si>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</si>
  <si>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</si>
  <si>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</si>
  <si>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</si>
  <si>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</si>
  <si>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</si>
  <si>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</si>
  <si>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20 May 2024</t>
  </si>
  <si>
    <t>05/20/2024</t>
  </si>
  <si>
    <t>Pro Chairs 712</t>
  </si>
  <si>
    <t>ORD-2025-10612</t>
  </si>
  <si>
    <t>15 Jul 2025</t>
  </si>
  <si>
    <t>CUST-6108</t>
  </si>
  <si>
    <t>Max Binders 785</t>
  </si>
  <si>
    <t>ORD-2025-10613</t>
  </si>
  <si>
    <t>06 Apr 2025</t>
  </si>
  <si>
    <t>13-04-2025</t>
  </si>
  <si>
    <t>CUST-5663</t>
  </si>
  <si>
    <t>Elite Phones 239</t>
  </si>
  <si>
    <t>ORD-2024-10614</t>
  </si>
  <si>
    <t>10/10/2024</t>
  </si>
  <si>
    <t>CUST-9311</t>
  </si>
  <si>
    <t>Basic Machines 413</t>
  </si>
  <si>
    <t>ORD-2024-10615</t>
  </si>
  <si>
    <t>19-02-2024</t>
  </si>
  <si>
    <t>CUST-8154</t>
  </si>
  <si>
    <t>Elite Chairs 140</t>
  </si>
  <si>
    <t>ORD-2024-10616</t>
  </si>
  <si>
    <t>2024-10-04</t>
  </si>
  <si>
    <t>10/07/2024</t>
  </si>
  <si>
    <t>CUST-4462</t>
  </si>
  <si>
    <t>Basic Art 771</t>
  </si>
  <si>
    <t>ORD-2024-10617</t>
  </si>
  <si>
    <t>16 Aug 2024</t>
  </si>
  <si>
    <t>CUST-4660</t>
  </si>
  <si>
    <t>Prime Paper 664</t>
  </si>
  <si>
    <t>ORD-2024-10618</t>
  </si>
  <si>
    <t>09/29/2024</t>
  </si>
  <si>
    <t>CUST-9002</t>
  </si>
  <si>
    <t>Pro Phones 226</t>
  </si>
  <si>
    <t>ORD-2024-10619</t>
  </si>
  <si>
    <t>2024-07-23</t>
  </si>
  <si>
    <t>CUST-1057</t>
  </si>
  <si>
    <t>Basic Tables 684</t>
  </si>
  <si>
    <t>ORD-2024-10620</t>
  </si>
  <si>
    <t>27 Nov 2024</t>
  </si>
  <si>
    <t>CUST-9596</t>
  </si>
  <si>
    <t>Prime Binders 938</t>
  </si>
  <si>
    <t>ORD-2024-10621</t>
  </si>
  <si>
    <t>18-08-2024</t>
  </si>
  <si>
    <t>08/21/2024</t>
  </si>
  <si>
    <t>CUST-6947</t>
  </si>
  <si>
    <t>Classic Machines 337</t>
  </si>
  <si>
    <t>ORD-2024-10622</t>
  </si>
  <si>
    <t>06-12-2024</t>
  </si>
  <si>
    <t>CUST-7236</t>
  </si>
  <si>
    <t>Max Chairs 748</t>
  </si>
  <si>
    <t>ORD-2025-10623</t>
  </si>
  <si>
    <t>29-01-2025</t>
  </si>
  <si>
    <t>06 Feb 2025</t>
  </si>
  <si>
    <t>CUST-1127</t>
  </si>
  <si>
    <t>Basic Storage 934</t>
  </si>
  <si>
    <t>ORD-2024-10624</t>
  </si>
  <si>
    <t>08 Aug 2024</t>
  </si>
  <si>
    <t>14 Aug 2024</t>
  </si>
  <si>
    <t>CUST-6262</t>
  </si>
  <si>
    <t>Pro Storage 509</t>
  </si>
  <si>
    <t>ORD-2024-10625</t>
  </si>
  <si>
    <t>01/30/2024</t>
  </si>
  <si>
    <t>2024-02-01</t>
  </si>
  <si>
    <t>CUST-5070</t>
  </si>
  <si>
    <t>Prime Chairs 765</t>
  </si>
  <si>
    <t>ORD-2024-10626</t>
  </si>
  <si>
    <t>12/15/2024</t>
  </si>
  <si>
    <t>CUST-7946</t>
  </si>
  <si>
    <t>Elite Chairs 358</t>
  </si>
  <si>
    <t>ORD-2025-10627</t>
  </si>
  <si>
    <t>06/07/2025</t>
  </si>
  <si>
    <t>CUST-1793</t>
  </si>
  <si>
    <t xml:space="preserve">  Technology </t>
  </si>
  <si>
    <t>Elite Machines 971</t>
  </si>
  <si>
    <t>ORD-2025-10628</t>
  </si>
  <si>
    <t>CUST-8839</t>
  </si>
  <si>
    <t>Max Phones 825</t>
  </si>
  <si>
    <t>ORD-2025-10629</t>
  </si>
  <si>
    <t>12 Oct 2025</t>
  </si>
  <si>
    <t>CUST-6725</t>
  </si>
  <si>
    <t>Eco Accessories 933</t>
  </si>
  <si>
    <t>ORD-2025-10630</t>
  </si>
  <si>
    <t>14 Sep 2025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</si>
  <si>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</si>
  <si>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</si>
  <si>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</si>
  <si>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</si>
  <si>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</si>
  <si>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</si>
  <si>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</si>
  <si>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</si>
  <si>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</si>
  <si>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15-04-2025</t>
  </si>
  <si>
    <t>16-04-2025</t>
  </si>
  <si>
    <t>CUST-4593</t>
  </si>
  <si>
    <t>Smart Furnishings 721</t>
  </si>
  <si>
    <t>ORD-2025-10634</t>
  </si>
  <si>
    <t>04/18/2025</t>
  </si>
  <si>
    <t>20 Apr 2025</t>
  </si>
  <si>
    <t>CUST-5043</t>
  </si>
  <si>
    <t>Basic Accessories 729</t>
  </si>
  <si>
    <t>ORD-2025-10635</t>
  </si>
  <si>
    <t>01/11/2025</t>
  </si>
  <si>
    <t>CUST-4722</t>
  </si>
  <si>
    <t>Classic Chairs 220</t>
  </si>
  <si>
    <t>ORD-2024-10636</t>
  </si>
  <si>
    <t>2024-05-25</t>
  </si>
  <si>
    <t>CUST-7931</t>
  </si>
  <si>
    <t>Max Chairs 305</t>
  </si>
  <si>
    <t>ORD-2024-10637</t>
  </si>
  <si>
    <t>02 Oct 2024</t>
  </si>
  <si>
    <t>09 Oct 2024</t>
  </si>
  <si>
    <t>CUST-7221</t>
  </si>
  <si>
    <t>Smart Paper 872</t>
  </si>
  <si>
    <t>ORD-2024-10638</t>
  </si>
  <si>
    <t>26-05-2024</t>
  </si>
  <si>
    <t>2024-05-26</t>
  </si>
  <si>
    <t>CUST-2594</t>
  </si>
  <si>
    <t>Max Copiers 994</t>
  </si>
  <si>
    <t>ORD-2024-10639</t>
  </si>
  <si>
    <t>31-01-2024</t>
  </si>
  <si>
    <t>CUST-2111</t>
  </si>
  <si>
    <t>Pro Storage 744</t>
  </si>
  <si>
    <t>ORD-2024-10640</t>
  </si>
  <si>
    <t>12/27/2024</t>
  </si>
  <si>
    <t>CUST-6829</t>
  </si>
  <si>
    <t>Elite Chairs 744</t>
  </si>
  <si>
    <t>ORD-2025-10641</t>
  </si>
  <si>
    <t>14-01-2025</t>
  </si>
  <si>
    <t>17 Jan 2025</t>
  </si>
  <si>
    <t>CUST-5061</t>
  </si>
  <si>
    <t>Basic Storage 973</t>
  </si>
  <si>
    <t>ORD-2025-10642</t>
  </si>
  <si>
    <t>2025-04-09</t>
  </si>
  <si>
    <t>CUST-7915</t>
  </si>
  <si>
    <t>Smart Furnishings 783</t>
  </si>
  <si>
    <t>ORD-2024-10643</t>
  </si>
  <si>
    <t>CUST-1940</t>
  </si>
  <si>
    <t>binders</t>
  </si>
  <si>
    <t>Prime Binders 287</t>
  </si>
  <si>
    <t>ORD-2024-10644</t>
  </si>
  <si>
    <t>05-02-2024</t>
  </si>
  <si>
    <t>2024-02-13</t>
  </si>
  <si>
    <t>Elite Labels 654</t>
  </si>
  <si>
    <t>ORD-2025-10645</t>
  </si>
  <si>
    <t>04/17/2025</t>
  </si>
  <si>
    <t>CUST-5549</t>
  </si>
  <si>
    <t>Pro Chairs 812</t>
  </si>
  <si>
    <t>ORD-2024-10646</t>
  </si>
  <si>
    <t>2024-01-04</t>
  </si>
  <si>
    <t>CUST-2314</t>
  </si>
  <si>
    <t>Basic Chairs 480</t>
  </si>
  <si>
    <t>ORD-2024-10647</t>
  </si>
  <si>
    <t>09/18/2024</t>
  </si>
  <si>
    <t>24-09-2024</t>
  </si>
  <si>
    <t>CUST-6360</t>
  </si>
  <si>
    <t>Elite Machines 955</t>
  </si>
  <si>
    <t>ORD-2025-10648</t>
  </si>
  <si>
    <t>09-01-2025</t>
  </si>
  <si>
    <t>CUST-9942</t>
  </si>
  <si>
    <t>Rohan  Mehta</t>
  </si>
  <si>
    <t>Prime Art 461</t>
  </si>
  <si>
    <t>ORD-2024-10649</t>
  </si>
  <si>
    <t>21-04-2024</t>
  </si>
  <si>
    <t>CUST-1808</t>
  </si>
  <si>
    <t>Prime Art 301</t>
  </si>
  <si>
    <t>ORD-2025-10650</t>
  </si>
  <si>
    <t>11 Aug 2025</t>
  </si>
  <si>
    <t>19-08-2025</t>
  </si>
  <si>
    <t>CUST-7277</t>
  </si>
  <si>
    <t>Classic Accessories 354</t>
  </si>
  <si>
    <t>ORD-2024-10651</t>
  </si>
  <si>
    <t>04/13/2024</t>
  </si>
  <si>
    <t>21 Apr 2024</t>
  </si>
  <si>
    <t>Basic Accessories 210</t>
  </si>
  <si>
    <t>ORD-2025-10652</t>
  </si>
  <si>
    <t>09-08-2025</t>
  </si>
  <si>
    <t>CUST-2660</t>
  </si>
  <si>
    <t>Smart Paper 364</t>
  </si>
  <si>
    <t>ORD-2025-10653</t>
  </si>
  <si>
    <t>03/17/2025</t>
  </si>
  <si>
    <t>2025-03-21</t>
  </si>
  <si>
    <t>Smart Binders 999</t>
  </si>
  <si>
    <t>ORD-2025-10654</t>
  </si>
  <si>
    <t>04-04-2025</t>
  </si>
  <si>
    <t>04/07/2025</t>
  </si>
  <si>
    <t>CUST-3970</t>
  </si>
  <si>
    <t>Max Copiers 356</t>
  </si>
  <si>
    <t>ORD-2025-10655</t>
  </si>
  <si>
    <t>10/12/2025</t>
  </si>
  <si>
    <t>Classic Machines 639</t>
  </si>
  <si>
    <t>ORD-2025-10656</t>
  </si>
  <si>
    <t>CUST-8039</t>
  </si>
  <si>
    <t>Smart Furnishings 748</t>
  </si>
  <si>
    <t>ORD-2024-10657</t>
  </si>
  <si>
    <t>07-05-2024</t>
  </si>
  <si>
    <t>CUST-4446</t>
  </si>
  <si>
    <t>Pro Machines 589</t>
  </si>
  <si>
    <t>ORD-2025-10658</t>
  </si>
  <si>
    <t>08/07/2025</t>
  </si>
  <si>
    <t>2025-08-10</t>
  </si>
  <si>
    <t>CUST-7787</t>
  </si>
  <si>
    <t>Eco Storage 316</t>
  </si>
  <si>
    <t>ORD-2025-10659</t>
  </si>
  <si>
    <t>2025-06-09</t>
  </si>
  <si>
    <t>CUST-9074</t>
  </si>
  <si>
    <t>Eco Art 763</t>
  </si>
  <si>
    <t>ORD-2025-10660</t>
  </si>
  <si>
    <t>CUST-8330</t>
  </si>
  <si>
    <t>Pro Phones 356</t>
  </si>
  <si>
    <t>ORD-2025-10661</t>
  </si>
  <si>
    <t>15-07-2025</t>
  </si>
  <si>
    <t>CUST-5638</t>
  </si>
  <si>
    <t>Basic Phones 865</t>
  </si>
  <si>
    <t>ORD-2024-10662</t>
  </si>
  <si>
    <t>17-05-2024</t>
  </si>
  <si>
    <t>2024-05-22</t>
  </si>
  <si>
    <t>CUST-4537</t>
  </si>
  <si>
    <t>Max Machines 595</t>
  </si>
  <si>
    <t>ORD-2024-10663</t>
  </si>
  <si>
    <t>2024-01-14</t>
  </si>
  <si>
    <t>18-01-2024</t>
  </si>
  <si>
    <t>CUST-3181</t>
  </si>
  <si>
    <t>Elite Machines 367</t>
  </si>
  <si>
    <t>ORD-2024-10664</t>
  </si>
  <si>
    <t>CUST-1015</t>
  </si>
  <si>
    <t>Basic Copiers 787</t>
  </si>
  <si>
    <t>ORD-2024-10665</t>
  </si>
  <si>
    <t>07 Dec 2024</t>
  </si>
  <si>
    <t>10 Dec 2024</t>
  </si>
  <si>
    <t>CUST-2709</t>
  </si>
  <si>
    <t>Max Accessories 903</t>
  </si>
  <si>
    <t>ORD-2025-10666</t>
  </si>
  <si>
    <t>2025-01-13</t>
  </si>
  <si>
    <t>01/13/2025</t>
  </si>
  <si>
    <t>CUST-1197</t>
  </si>
  <si>
    <t xml:space="preserve">  Rahul Verma </t>
  </si>
  <si>
    <t>Max Art 660</t>
  </si>
  <si>
    <t>ORD-2024-10667</t>
  </si>
  <si>
    <t>CUST-7758</t>
  </si>
  <si>
    <t>Classic Copiers 908</t>
  </si>
  <si>
    <t>ORD-2025-10668</t>
  </si>
  <si>
    <t>20-05-2025</t>
  </si>
  <si>
    <t>27-05-2025</t>
  </si>
  <si>
    <t>CUST-3912</t>
  </si>
  <si>
    <t>Pro Machines 706</t>
  </si>
  <si>
    <t>ORD-2024-10669</t>
  </si>
  <si>
    <t>11/21/2024</t>
  </si>
  <si>
    <t>CUST-4190</t>
  </si>
  <si>
    <t>Pro Paper 187</t>
  </si>
  <si>
    <t>ORD-2024-10670</t>
  </si>
  <si>
    <t>2024-03-24</t>
  </si>
  <si>
    <t>01 Apr 2024</t>
  </si>
  <si>
    <t>CUST-7568</t>
  </si>
  <si>
    <t>Classic Tables 606</t>
  </si>
  <si>
    <t>ORD-2025-10671</t>
  </si>
  <si>
    <t>02/02/2025</t>
  </si>
  <si>
    <t>Smart Tables 835</t>
  </si>
  <si>
    <t>ORD-2024-10672</t>
  </si>
  <si>
    <t>2024-03-22</t>
  </si>
  <si>
    <t>27-03-2024</t>
  </si>
  <si>
    <t>CUST-3293</t>
  </si>
  <si>
    <t>COPIERS</t>
  </si>
  <si>
    <t>Classic Copiers 583</t>
  </si>
  <si>
    <t>ORD-2024-10673</t>
  </si>
  <si>
    <t>2024-09-04</t>
  </si>
  <si>
    <t>2024-09-05</t>
  </si>
  <si>
    <t>CUST-8180</t>
  </si>
  <si>
    <t>Classic Chairs 460</t>
  </si>
  <si>
    <t>ORD-2025-10674</t>
  </si>
  <si>
    <t>16 Feb 2025</t>
  </si>
  <si>
    <t>CUST-2807</t>
  </si>
  <si>
    <t>Classic Bookcases 488</t>
  </si>
  <si>
    <t>ORD-2024-10675</t>
  </si>
  <si>
    <t>2024-05-18</t>
  </si>
  <si>
    <t>2024-05-21</t>
  </si>
  <si>
    <t>CUST-4081</t>
  </si>
  <si>
    <t>Basic Accessories 944</t>
  </si>
  <si>
    <t>ORD-2025-10676</t>
  </si>
  <si>
    <t>07-06-2025</t>
  </si>
  <si>
    <t>06/10/2025</t>
  </si>
  <si>
    <t>Eco Furnishings 217</t>
  </si>
  <si>
    <t>ORD-2025-10677</t>
  </si>
  <si>
    <t>09/11/2025</t>
  </si>
  <si>
    <t>09/18/2025</t>
  </si>
  <si>
    <t>CUST-9212</t>
  </si>
  <si>
    <t>Smart Phones 967</t>
  </si>
  <si>
    <t>ORD-2024-10678</t>
  </si>
  <si>
    <t>2024-06-22</t>
  </si>
  <si>
    <t>27-06-2024</t>
  </si>
  <si>
    <t>Smart Chairs 610</t>
  </si>
  <si>
    <t>ORD-2024-10679</t>
  </si>
  <si>
    <t>24-11-2024</t>
  </si>
  <si>
    <t>12/01/2024</t>
  </si>
  <si>
    <t>CUST-1674</t>
  </si>
  <si>
    <t>Prime Tables 123</t>
  </si>
  <si>
    <t>ORD-2025-10680</t>
  </si>
  <si>
    <t>16-08-2025</t>
  </si>
  <si>
    <t>CUST-2897</t>
  </si>
  <si>
    <t>Smart Copiers 579</t>
  </si>
  <si>
    <t>ORD-2024-10681</t>
  </si>
  <si>
    <t>CUST-1136</t>
  </si>
  <si>
    <t>Eco Accessories 658</t>
  </si>
  <si>
    <t>ORD-2024-10682</t>
  </si>
  <si>
    <t>07/04/2024</t>
  </si>
  <si>
    <t>2024-07-10</t>
  </si>
  <si>
    <t>CUST-1376</t>
  </si>
  <si>
    <t>Smart Tables 777</t>
  </si>
  <si>
    <t>ORD-2025-10683</t>
  </si>
  <si>
    <t>CUST-1553</t>
  </si>
  <si>
    <t>ananya rao</t>
  </si>
  <si>
    <t>Eco Storage 861</t>
  </si>
  <si>
    <t>ORD-2025-10684</t>
  </si>
  <si>
    <t>2025-07-20</t>
  </si>
  <si>
    <t>CUST-5704</t>
  </si>
  <si>
    <t>Eco Furnishings 875</t>
  </si>
  <si>
    <t>ORD-2025-10685</t>
  </si>
  <si>
    <t>2025-07-21</t>
  </si>
  <si>
    <t>CUST-6738</t>
  </si>
  <si>
    <t>Prime Bookcases 784</t>
  </si>
  <si>
    <t>ORD-2025-10686</t>
  </si>
  <si>
    <t>01 Oct 2025</t>
  </si>
  <si>
    <t>Classic Art 380</t>
  </si>
  <si>
    <t>ORD-2024-10687</t>
  </si>
  <si>
    <t>25-03-2024</t>
  </si>
  <si>
    <t>CUST-3127</t>
  </si>
  <si>
    <t>Pro Copiers 502</t>
  </si>
  <si>
    <t>ORD-2025-10688</t>
  </si>
  <si>
    <t>13-10-2025</t>
  </si>
  <si>
    <t>CUST-9347</t>
  </si>
  <si>
    <t>Prime Tables 604</t>
  </si>
  <si>
    <t>ORD-2025-10689</t>
  </si>
  <si>
    <t>27 Feb 2025</t>
  </si>
  <si>
    <t>CUST-8575</t>
  </si>
  <si>
    <t>Basic Art 798</t>
  </si>
  <si>
    <t>ORD-2024-10690</t>
  </si>
  <si>
    <t>05-10-2024</t>
  </si>
  <si>
    <t>06 Oct 2024</t>
  </si>
  <si>
    <t>CUST-4382</t>
  </si>
  <si>
    <t>Elite Tables 717</t>
  </si>
  <si>
    <t>ORD-2024-10691</t>
  </si>
  <si>
    <t>2024-09-15</t>
  </si>
  <si>
    <t>CUST-6815</t>
  </si>
  <si>
    <t>Max Art 725</t>
  </si>
  <si>
    <t>ORD-2024-10692</t>
  </si>
  <si>
    <t>16-12-2024</t>
  </si>
  <si>
    <t>CUST-7309</t>
  </si>
  <si>
    <t>Smart Copiers 456</t>
  </si>
  <si>
    <t>ORD-2025-10693</t>
  </si>
  <si>
    <t>10-10-2025</t>
  </si>
  <si>
    <t>CUST-9531</t>
  </si>
  <si>
    <t>Prime Furnishings 883</t>
  </si>
  <si>
    <t>ORD-2025-10694</t>
  </si>
  <si>
    <t>03-04-2025</t>
  </si>
  <si>
    <t>CUST-6032</t>
  </si>
  <si>
    <t>Smart Bookcases 828</t>
  </si>
  <si>
    <t>ORD-2025-10695</t>
  </si>
  <si>
    <t>Classic Storage 291</t>
  </si>
  <si>
    <t>ORD-2024-10696</t>
  </si>
  <si>
    <t>2024-07-01</t>
  </si>
  <si>
    <t>CUST-6257</t>
  </si>
  <si>
    <t xml:space="preserve">Machines </t>
  </si>
  <si>
    <t>Prime Machines 102</t>
  </si>
  <si>
    <t>ORD-2025-10697</t>
  </si>
  <si>
    <t>22 Sep 2025</t>
  </si>
  <si>
    <t>25 Sep 2025</t>
  </si>
  <si>
    <t>CUST-7812</t>
  </si>
  <si>
    <t>Classic Phones 842</t>
  </si>
  <si>
    <t>ORD-2025-10698</t>
  </si>
  <si>
    <t>CUST-6205</t>
  </si>
  <si>
    <t>Max Labels 970</t>
  </si>
  <si>
    <t>ORD-2024-10699</t>
  </si>
  <si>
    <t>14-09-2024</t>
  </si>
  <si>
    <t>CUST-5357</t>
  </si>
  <si>
    <t>Classic Machines 648</t>
  </si>
  <si>
    <t>ORD-2024-10700</t>
  </si>
  <si>
    <t>2024-06-11</t>
  </si>
  <si>
    <t>11 Jun 2024</t>
  </si>
  <si>
    <t>CUST-9802</t>
  </si>
  <si>
    <t>Max Bookcases 565</t>
  </si>
  <si>
    <t>ORD-2024-10701</t>
  </si>
  <si>
    <t>18-09-2024</t>
  </si>
  <si>
    <t>CUST-5646</t>
  </si>
  <si>
    <t>Basic Machines 220</t>
  </si>
  <si>
    <t>ORD-2024-10702</t>
  </si>
  <si>
    <t>CUST-7171</t>
  </si>
  <si>
    <t>Pro Art 151</t>
  </si>
  <si>
    <t>ORD-2025-10703</t>
  </si>
  <si>
    <t>2025-02-02</t>
  </si>
  <si>
    <t>CUST-5231</t>
  </si>
  <si>
    <t>Pro Tables 980</t>
  </si>
  <si>
    <t>ORD-2024-10704</t>
  </si>
  <si>
    <t>19 Oct 2024</t>
  </si>
  <si>
    <t>CUST-8734</t>
  </si>
  <si>
    <t>Classic Tables 997</t>
  </si>
  <si>
    <t>ORD-2024-10705</t>
  </si>
  <si>
    <t>03/20/2024</t>
  </si>
  <si>
    <t>CUST-4916</t>
  </si>
  <si>
    <t>Max Bookcases 738</t>
  </si>
  <si>
    <t>ORD-2024-10706</t>
  </si>
  <si>
    <t>08 Sep 2024</t>
  </si>
  <si>
    <t>09/14/2024</t>
  </si>
  <si>
    <t>CUST-3289</t>
  </si>
  <si>
    <t>Max Binders 411</t>
  </si>
  <si>
    <t>ORD-2024-10707</t>
  </si>
  <si>
    <t>24-06-2024</t>
  </si>
  <si>
    <t>CUST-4928</t>
  </si>
  <si>
    <t>Max Paper 343</t>
  </si>
  <si>
    <t>ORD-2025-10708</t>
  </si>
  <si>
    <t>24-06-2025</t>
  </si>
  <si>
    <t>CUST-4902</t>
  </si>
  <si>
    <t>Pro Accessories 485</t>
  </si>
  <si>
    <t>ORD-2025-10709</t>
  </si>
  <si>
    <t>03/20/2025</t>
  </si>
  <si>
    <t>2025-03-26</t>
  </si>
  <si>
    <t>CUST-6504</t>
  </si>
  <si>
    <t>Elite Bookcases 113</t>
  </si>
  <si>
    <t>ORD-2025-10710</t>
  </si>
  <si>
    <t>CUST-8036</t>
  </si>
  <si>
    <t>Eco Phones 787</t>
  </si>
  <si>
    <t>ORD-2024-10711</t>
  </si>
  <si>
    <t>07/12/2024</t>
  </si>
  <si>
    <t>07/19/2024</t>
  </si>
  <si>
    <t>CUST-7199</t>
  </si>
  <si>
    <t>Smart Art 279</t>
  </si>
  <si>
    <t>ORD-2025-10712</t>
  </si>
  <si>
    <t>02-02-2025</t>
  </si>
  <si>
    <t>CUST-6176</t>
  </si>
  <si>
    <t>Basic Machines 172</t>
  </si>
  <si>
    <t>ORD-2024-10713</t>
  </si>
  <si>
    <t>18 Feb 2024</t>
  </si>
  <si>
    <t>CUST-5127</t>
  </si>
  <si>
    <t>Smart Chairs 259</t>
  </si>
  <si>
    <t>ORD-2025-10714</t>
  </si>
  <si>
    <t>06/06/2025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</si>
  <si>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</si>
  <si>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</si>
  <si>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</si>
  <si>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</si>
  <si>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</si>
  <si>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</si>
  <si>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</si>
  <si>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</si>
  <si>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26 Aug 2025</t>
  </si>
  <si>
    <t>CUST-7540</t>
  </si>
  <si>
    <t>Basic Phones 496</t>
  </si>
  <si>
    <t>ORD-2025-10718</t>
  </si>
  <si>
    <t>12-10-2025</t>
  </si>
  <si>
    <t>CUST-8351</t>
  </si>
  <si>
    <t>Prime Machines 612</t>
  </si>
  <si>
    <t>ORD-2024-10719</t>
  </si>
  <si>
    <t>06 Sep 2024</t>
  </si>
  <si>
    <t>CUST-3918</t>
  </si>
  <si>
    <t>Smart Art 866</t>
  </si>
  <si>
    <t>ORD-2025-10720</t>
  </si>
  <si>
    <t>Pro Art 447</t>
  </si>
  <si>
    <t>ORD-2024-10721</t>
  </si>
  <si>
    <t>07/16/2024</t>
  </si>
  <si>
    <t>CUST-1991</t>
  </si>
  <si>
    <t>Smart Copiers 196</t>
  </si>
  <si>
    <t>ORD-2025-10722</t>
  </si>
  <si>
    <t>23-06-2025</t>
  </si>
  <si>
    <t>CUST-7606</t>
  </si>
  <si>
    <t>Pro Copiers 532</t>
  </si>
  <si>
    <t>ORD-2024-10723</t>
  </si>
  <si>
    <t>10 Oct 2024</t>
  </si>
  <si>
    <t>CUST-8844</t>
  </si>
  <si>
    <t>Eco Chairs 442</t>
  </si>
  <si>
    <t>ORD-2025-10724</t>
  </si>
  <si>
    <t>2025-10-13</t>
  </si>
  <si>
    <t>CUST-4335</t>
  </si>
  <si>
    <t>Eco Accessories 364</t>
  </si>
  <si>
    <t>ORD-2024-10725</t>
  </si>
  <si>
    <t>02/10/2024</t>
  </si>
  <si>
    <t>CUST-5891</t>
  </si>
  <si>
    <t>Elite Furnishings 921</t>
  </si>
  <si>
    <t>ORD-2025-10726</t>
  </si>
  <si>
    <t>10/05/2025</t>
  </si>
  <si>
    <t>CUST-6371</t>
  </si>
  <si>
    <t>Max Tables 309</t>
  </si>
  <si>
    <t>ORD-2024-10727</t>
  </si>
  <si>
    <t>2024-01-17</t>
  </si>
  <si>
    <t>01/23/2024</t>
  </si>
  <si>
    <t>CUST-6655</t>
  </si>
  <si>
    <t>Pro Phones 857</t>
  </si>
  <si>
    <t>ORD-2024-10728</t>
  </si>
  <si>
    <t>13 Oct 2024</t>
  </si>
  <si>
    <t>CUST-6492</t>
  </si>
  <si>
    <t>Max Accessories 567</t>
  </si>
  <si>
    <t>ORD-2024-10729</t>
  </si>
  <si>
    <t>CUST-1154</t>
  </si>
  <si>
    <t>Max Machines 200</t>
  </si>
  <si>
    <t>ORD-2025-10730</t>
  </si>
  <si>
    <t>17-05-2025</t>
  </si>
  <si>
    <t>25 May 2025</t>
  </si>
  <si>
    <t>CUST-8713</t>
  </si>
  <si>
    <t>Pro Machines 563</t>
  </si>
  <si>
    <t>ORD-2025-10731</t>
  </si>
  <si>
    <t>06/19/2025</t>
  </si>
  <si>
    <t>CUST-6765</t>
  </si>
  <si>
    <t>Elite Art 696</t>
  </si>
  <si>
    <t>ORD-2024-10732</t>
  </si>
  <si>
    <t>2024-03-17</t>
  </si>
  <si>
    <t>19 Mar 2024</t>
  </si>
  <si>
    <t>CUST-6849</t>
  </si>
  <si>
    <t>Eco Binders 178</t>
  </si>
  <si>
    <t>ORD-2024-10733</t>
  </si>
  <si>
    <t>2024-11-28</t>
  </si>
  <si>
    <t>CUST-4973</t>
  </si>
  <si>
    <t>Max Phones 678</t>
  </si>
  <si>
    <t>ORD-2024-10734</t>
  </si>
  <si>
    <t>28 Jun 2024</t>
  </si>
  <si>
    <t>CUST-2394</t>
  </si>
  <si>
    <t>Classic Furnishings 582</t>
  </si>
  <si>
    <t>ORD-2024-10735</t>
  </si>
  <si>
    <t>24-08-2024</t>
  </si>
  <si>
    <t>CUST-5406</t>
  </si>
  <si>
    <t>Classic Accessories 981</t>
  </si>
  <si>
    <t>ORD-2024-10736</t>
  </si>
  <si>
    <t>2024-08-11</t>
  </si>
  <si>
    <t>CUST-1963</t>
  </si>
  <si>
    <t>Classic Tables 534</t>
  </si>
  <si>
    <t>ORD-2024-10737</t>
  </si>
  <si>
    <t>09-12-2024</t>
  </si>
  <si>
    <t>CUST-9017</t>
  </si>
  <si>
    <t>Pro Chairs 383</t>
  </si>
  <si>
    <t>ORD-2024-10738</t>
  </si>
  <si>
    <t>CUST-7967</t>
  </si>
  <si>
    <t xml:space="preserve">Home Office </t>
  </si>
  <si>
    <t>Max Chairs 845</t>
  </si>
  <si>
    <t>ORD-2025-10739</t>
  </si>
  <si>
    <t>02/22/2025</t>
  </si>
  <si>
    <t>CUST-5334</t>
  </si>
  <si>
    <t>Prime Paper 307</t>
  </si>
  <si>
    <t>ORD-2024-10740</t>
  </si>
  <si>
    <t>03 Dec 2024</t>
  </si>
  <si>
    <t>12/10/2024</t>
  </si>
  <si>
    <t>CUST-5846</t>
  </si>
  <si>
    <t>Basic Phones 859</t>
  </si>
  <si>
    <t>ORD-2024-10741</t>
  </si>
  <si>
    <t>02 Apr 2024</t>
  </si>
  <si>
    <t>Eco Chairs 883</t>
  </si>
  <si>
    <t>ORD-2025-10742</t>
  </si>
  <si>
    <t>04/23/2025</t>
  </si>
  <si>
    <t>2025-04-25</t>
  </si>
  <si>
    <t>CUST-3285</t>
  </si>
  <si>
    <t>Max Chairs 706</t>
  </si>
  <si>
    <t>ORD-2024-10743</t>
  </si>
  <si>
    <t>10/15/2024</t>
  </si>
  <si>
    <t>22 Oct 2024</t>
  </si>
  <si>
    <t>CUST-6368</t>
  </si>
  <si>
    <t>east</t>
  </si>
  <si>
    <t>Prime Paper 768</t>
  </si>
  <si>
    <t>ORD-2025-10744</t>
  </si>
  <si>
    <t>CUST-6231</t>
  </si>
  <si>
    <t>Basic Art 764</t>
  </si>
  <si>
    <t>ORD-2025-10745</t>
  </si>
  <si>
    <t>2025-08-17</t>
  </si>
  <si>
    <t>CUST-2021</t>
  </si>
  <si>
    <t>Prime Binders 181</t>
  </si>
  <si>
    <t>ORD-2024-10746</t>
  </si>
  <si>
    <t>24 Oct 2024</t>
  </si>
  <si>
    <t>28-10-2024</t>
  </si>
  <si>
    <t>CUST-1493</t>
  </si>
  <si>
    <t>Max Copiers 866</t>
  </si>
  <si>
    <t>ORD-2025-10747</t>
  </si>
  <si>
    <t>10-01-2025</t>
  </si>
  <si>
    <t>Pro Paper 662</t>
  </si>
  <si>
    <t>ORD-2024-10748</t>
  </si>
  <si>
    <t>2024-05-01</t>
  </si>
  <si>
    <t>07 May 2024</t>
  </si>
  <si>
    <t>CUST-8416</t>
  </si>
  <si>
    <t>Classic Paper 388</t>
  </si>
  <si>
    <t>ORD-2024-10749</t>
  </si>
  <si>
    <t>30-05-2024</t>
  </si>
  <si>
    <t>05/30/2024</t>
  </si>
  <si>
    <t>CUST-3103</t>
  </si>
  <si>
    <t>Pro Phones 765</t>
  </si>
  <si>
    <t>ORD-2024-10750</t>
  </si>
  <si>
    <t>21 Mar 2024</t>
  </si>
  <si>
    <t>2024-03-25</t>
  </si>
  <si>
    <t>CUST-4457</t>
  </si>
  <si>
    <t>Classic Machines 543</t>
  </si>
  <si>
    <t>ORD-2025-10751</t>
  </si>
  <si>
    <t>06/02/2025</t>
  </si>
  <si>
    <t>CUST-7036</t>
  </si>
  <si>
    <t>Max Accessories 291</t>
  </si>
  <si>
    <t>ORD-2025-10752</t>
  </si>
  <si>
    <t>19-07-2025</t>
  </si>
  <si>
    <t>CUST-8512</t>
  </si>
  <si>
    <t>Eco Machines 414</t>
  </si>
  <si>
    <t>ORD-2024-10753</t>
  </si>
  <si>
    <t>CUST-6345</t>
  </si>
  <si>
    <t xml:space="preserve">West </t>
  </si>
  <si>
    <t>Basic Storage 273</t>
  </si>
  <si>
    <t>ORD-2024-10754</t>
  </si>
  <si>
    <t>CUST-4505</t>
  </si>
  <si>
    <t>Elite Furnishings 588</t>
  </si>
  <si>
    <t>ORD-2025-10755</t>
  </si>
  <si>
    <t>06/04/2025</t>
  </si>
  <si>
    <t>CUST-7960</t>
  </si>
  <si>
    <t>Elite Storage 857</t>
  </si>
  <si>
    <t>ORD-2025-10756</t>
  </si>
  <si>
    <t>CUST-3365</t>
  </si>
  <si>
    <t>Prime Storage 183</t>
  </si>
  <si>
    <t>ORD-2024-10757</t>
  </si>
  <si>
    <t>10/27/2024</t>
  </si>
  <si>
    <t>11/01/2024</t>
  </si>
  <si>
    <t>CUST-1557</t>
  </si>
  <si>
    <t>Smart Accessories 362</t>
  </si>
  <si>
    <t>ORD-2025-10758</t>
  </si>
  <si>
    <t>01 Aug 2025</t>
  </si>
  <si>
    <t>2025-08-03</t>
  </si>
  <si>
    <t>CUST-3058</t>
  </si>
  <si>
    <t>Classic Bookcases 310</t>
  </si>
  <si>
    <t>ORD-2024-10759</t>
  </si>
  <si>
    <t>02 May 2024</t>
  </si>
  <si>
    <t>CUST-6076</t>
  </si>
  <si>
    <t>Prime Chairs 721</t>
  </si>
  <si>
    <t>ORD-2024-10760</t>
  </si>
  <si>
    <t>26-07-2024</t>
  </si>
  <si>
    <t>CUST-2098</t>
  </si>
  <si>
    <t xml:space="preserve">  South </t>
  </si>
  <si>
    <t>Prime Tables 797</t>
  </si>
  <si>
    <t>ORD-2024-10761</t>
  </si>
  <si>
    <t>28-08-2024</t>
  </si>
  <si>
    <t>CUST-7193</t>
  </si>
  <si>
    <t>Max Art 926</t>
  </si>
  <si>
    <t>ORD-2025-10762</t>
  </si>
  <si>
    <t>08/31/2025</t>
  </si>
  <si>
    <t>CUST-8948</t>
  </si>
  <si>
    <t>Max Machines 364</t>
  </si>
  <si>
    <t>ORD-2024-10763</t>
  </si>
  <si>
    <t>01/01/2024</t>
  </si>
  <si>
    <t>05 Jan 2024</t>
  </si>
  <si>
    <t>CUST-6921</t>
  </si>
  <si>
    <t>Classic Machines 122</t>
  </si>
  <si>
    <t>ORD-2025-10764</t>
  </si>
  <si>
    <t>23 Aug 2025</t>
  </si>
  <si>
    <t>2025-08-25</t>
  </si>
  <si>
    <t>CUST-4086</t>
  </si>
  <si>
    <t>Elite Furnishings 169</t>
  </si>
  <si>
    <t>ORD-2025-10765</t>
  </si>
  <si>
    <t>Pro Bookcases 615</t>
  </si>
  <si>
    <t>ORD-2025-10766</t>
  </si>
  <si>
    <t>29-06-2025</t>
  </si>
  <si>
    <t>2025-07-03</t>
  </si>
  <si>
    <t>CUST-8747</t>
  </si>
  <si>
    <t>Max Labels 136</t>
  </si>
  <si>
    <t>ORD-2024-10767</t>
  </si>
  <si>
    <t>17 Sep 2024</t>
  </si>
  <si>
    <t>CUST-3156</t>
  </si>
  <si>
    <t>Prime Art 380</t>
  </si>
  <si>
    <t>ORD-2024-10768</t>
  </si>
  <si>
    <t>03 May 2024</t>
  </si>
  <si>
    <t>CUST-2043</t>
  </si>
  <si>
    <t>Classic Binders 234</t>
  </si>
  <si>
    <t>ORD-2025-10769</t>
  </si>
  <si>
    <t>2025-04-04</t>
  </si>
  <si>
    <t>CUST-8808</t>
  </si>
  <si>
    <t>Classic Paper 280</t>
  </si>
  <si>
    <t>ORD-2024-10770</t>
  </si>
  <si>
    <t>05/11/2024</t>
  </si>
  <si>
    <t>CUST-1293</t>
  </si>
  <si>
    <t>Classic Bookcases 922</t>
  </si>
  <si>
    <t>ORD-2024-10771</t>
  </si>
  <si>
    <t>CUST-8384</t>
  </si>
  <si>
    <t>Eco Copiers 396</t>
  </si>
  <si>
    <t>ORD-2024-10772</t>
  </si>
  <si>
    <t>2024-07-12</t>
  </si>
  <si>
    <t>Basic Machines 401</t>
  </si>
  <si>
    <t>ORD-2025-10773</t>
  </si>
  <si>
    <t>CUST-8422</t>
  </si>
  <si>
    <t>Basic Chairs 279</t>
  </si>
  <si>
    <t>ORD-2025-10774</t>
  </si>
  <si>
    <t>2025-02-21</t>
  </si>
  <si>
    <t>21 Feb 2025</t>
  </si>
  <si>
    <t>CUST-4766</t>
  </si>
  <si>
    <t>Basic Phones 753</t>
  </si>
  <si>
    <t>ORD-2025-10775</t>
  </si>
  <si>
    <t>07-08-2025</t>
  </si>
  <si>
    <t>CUST-1182</t>
  </si>
  <si>
    <t>Smart Machines 789</t>
  </si>
  <si>
    <t>ORD-2024-10776</t>
  </si>
  <si>
    <t>14 Apr 2024</t>
  </si>
  <si>
    <t>22-04-2024</t>
  </si>
  <si>
    <t>CUST-4461</t>
  </si>
  <si>
    <t>Elite Accessories 312</t>
  </si>
  <si>
    <t>ORD-2025-10777</t>
  </si>
  <si>
    <t>08-06-2025</t>
  </si>
  <si>
    <t>CUST-9690</t>
  </si>
  <si>
    <t>Eco Copiers 528</t>
  </si>
  <si>
    <t>ORD-2024-10778</t>
  </si>
  <si>
    <t>04-02-2024</t>
  </si>
  <si>
    <t>CUST-6879</t>
  </si>
  <si>
    <t>Elite Accessories 226</t>
  </si>
  <si>
    <t>ORD-2024-10779</t>
  </si>
  <si>
    <t>24-07-2024</t>
  </si>
  <si>
    <t>CUST-4714</t>
  </si>
  <si>
    <t>Pro Copiers 298</t>
  </si>
  <si>
    <t>ORD-2024-10780</t>
  </si>
  <si>
    <t>20-01-2024</t>
  </si>
  <si>
    <t>CUST-7547</t>
  </si>
  <si>
    <t>Prime Chairs 331</t>
  </si>
  <si>
    <t>ORD-2024-10781</t>
  </si>
  <si>
    <t>04 Aug 2024</t>
  </si>
  <si>
    <t>CUST-3288</t>
  </si>
  <si>
    <t>Classic Chairs 798</t>
  </si>
  <si>
    <t>ORD-2024-10782</t>
  </si>
  <si>
    <t>2024-02-02</t>
  </si>
  <si>
    <t>CUST-8597</t>
  </si>
  <si>
    <t>Classic Labels 204</t>
  </si>
  <si>
    <t>ORD-2025-10783</t>
  </si>
  <si>
    <t>03/22/2025</t>
  </si>
  <si>
    <t>CUST-9085</t>
  </si>
  <si>
    <t>Basic Copiers 254</t>
  </si>
  <si>
    <t>ORD-2024-10784</t>
  </si>
  <si>
    <t>07 Jun 2024</t>
  </si>
  <si>
    <t>2024-06-07</t>
  </si>
  <si>
    <t>CUST-7746</t>
  </si>
  <si>
    <t>Basic Art 709</t>
  </si>
  <si>
    <t>ORD-2025-10785</t>
  </si>
  <si>
    <t>10/04/2025</t>
  </si>
  <si>
    <t>CUST-3119</t>
  </si>
  <si>
    <t>north</t>
  </si>
  <si>
    <t>Max Copiers 551</t>
  </si>
  <si>
    <t>ORD-2024-10786</t>
  </si>
  <si>
    <t>23-05-2024</t>
  </si>
  <si>
    <t>CUST-7518</t>
  </si>
  <si>
    <t>Eco Storage 183</t>
  </si>
  <si>
    <t>ORD-2025-10787</t>
  </si>
  <si>
    <t>CUST-1343</t>
  </si>
  <si>
    <t>Pro Furnishings 233</t>
  </si>
  <si>
    <t>ORD-2024-10788</t>
  </si>
  <si>
    <t>2024-09-18</t>
  </si>
  <si>
    <t>CUST-7548</t>
  </si>
  <si>
    <t>Prime Paper 878</t>
  </si>
  <si>
    <t>ORD-2024-10789</t>
  </si>
  <si>
    <t>CUST-3631</t>
  </si>
  <si>
    <t>Smart Chairs 353</t>
  </si>
  <si>
    <t>ORD-2025-10790</t>
  </si>
  <si>
    <t>07 Mar 2025</t>
  </si>
  <si>
    <t>CUST-1453</t>
  </si>
  <si>
    <t>Smart Copiers 408</t>
  </si>
  <si>
    <t>ORD-2024-10791</t>
  </si>
  <si>
    <t>31 May 2024</t>
  </si>
  <si>
    <t>2024-06-02</t>
  </si>
  <si>
    <t>CUST-1951</t>
  </si>
  <si>
    <t>Classic Art 781</t>
  </si>
  <si>
    <t>ORD-2024-10792</t>
  </si>
  <si>
    <t>2024-10-06</t>
  </si>
  <si>
    <t>CUST-6300</t>
  </si>
  <si>
    <t>Eco Bookcases 144</t>
  </si>
  <si>
    <t>ORD-2025-10793</t>
  </si>
  <si>
    <t>08 Jun 2025</t>
  </si>
  <si>
    <t>CUST-1417</t>
  </si>
  <si>
    <t>Elite Furnishings 852</t>
  </si>
  <si>
    <t>ORD-2024-10794</t>
  </si>
  <si>
    <t>03 Jun 2024</t>
  </si>
  <si>
    <t>CUST-5421</t>
  </si>
  <si>
    <t>Basic Copiers 238</t>
  </si>
  <si>
    <t>ORD-2025-10795</t>
  </si>
  <si>
    <t>2025-06-22</t>
  </si>
  <si>
    <t>CUST-2829</t>
  </si>
  <si>
    <t>Elite Paper 847</t>
  </si>
  <si>
    <t>ORD-2024-10796</t>
  </si>
  <si>
    <t>30-07-2024</t>
  </si>
  <si>
    <t>CUST-6529</t>
  </si>
  <si>
    <t>Pro Copiers 653</t>
  </si>
  <si>
    <t>ORD-2024-10797</t>
  </si>
  <si>
    <t>30-03-2024</t>
  </si>
  <si>
    <t>CUST-3126</t>
  </si>
  <si>
    <t>Elite Machines 459</t>
  </si>
  <si>
    <t>ORD-2024-10798</t>
  </si>
  <si>
    <t>18 Apr 2024</t>
  </si>
  <si>
    <t>CUST-3991</t>
  </si>
  <si>
    <t>Elite Binders 764</t>
  </si>
  <si>
    <t>ORD-2025-10799</t>
  </si>
  <si>
    <t>2025-07-11</t>
  </si>
  <si>
    <t>09-07-2025</t>
  </si>
  <si>
    <t>CUST-7553</t>
  </si>
  <si>
    <t>Classic Furnishings 348</t>
  </si>
  <si>
    <t>ORD-2024-10800</t>
  </si>
  <si>
    <t>CUST-8527</t>
  </si>
  <si>
    <t>Smart Accessories 487</t>
  </si>
  <si>
    <t>ORD-2024-10801</t>
  </si>
  <si>
    <t>01 Mar 2024</t>
  </si>
  <si>
    <t>2024-03-07</t>
  </si>
  <si>
    <t>CUST-5015</t>
  </si>
  <si>
    <t>Elite Storage 825</t>
  </si>
  <si>
    <t>ORD-2025-10802</t>
  </si>
  <si>
    <t>2025-10-08</t>
  </si>
  <si>
    <t>CUST-3344</t>
  </si>
  <si>
    <t>Pro Accessories 500</t>
  </si>
  <si>
    <t>ORD-2025-10803</t>
  </si>
  <si>
    <t>2025-02-16</t>
  </si>
  <si>
    <t>CUST-5866</t>
  </si>
  <si>
    <t>Pro Furnishings 909</t>
  </si>
  <si>
    <t>failed</t>
  </si>
  <si>
    <t>ORD-2024-10804</t>
  </si>
  <si>
    <t>09 Dec 2024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</si>
  <si>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</si>
  <si>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</si>
  <si>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</si>
  <si>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</si>
  <si>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</si>
  <si>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</si>
  <si>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</si>
  <si>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</si>
  <si>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09-11-2024</t>
  </si>
  <si>
    <t>15 Nov 2024</t>
  </si>
  <si>
    <t>CUST-3704</t>
  </si>
  <si>
    <t>Max Copiers 560</t>
  </si>
  <si>
    <t>ORD-2025-10808</t>
  </si>
  <si>
    <t>CUST-5884</t>
  </si>
  <si>
    <t>Smart Labels 436</t>
  </si>
  <si>
    <t>standard class</t>
  </si>
  <si>
    <t>ORD-2025-10809</t>
  </si>
  <si>
    <t>2025-08-31</t>
  </si>
  <si>
    <t>CUST-7503</t>
  </si>
  <si>
    <t>Pro Furnishings 386</t>
  </si>
  <si>
    <t>ORD-2025-10810</t>
  </si>
  <si>
    <t>CUST-6973</t>
  </si>
  <si>
    <t>Eco Binders 601</t>
  </si>
  <si>
    <t>ORD-2024-10811</t>
  </si>
  <si>
    <t>04/03/2024</t>
  </si>
  <si>
    <t>08-04-2024</t>
  </si>
  <si>
    <t>Pro Copiers 867</t>
  </si>
  <si>
    <t>ORD-2024-10812</t>
  </si>
  <si>
    <t>12 Dec 2024</t>
  </si>
  <si>
    <t>19 Dec 2024</t>
  </si>
  <si>
    <t>CUST-3303</t>
  </si>
  <si>
    <t>Eco Accessories 122</t>
  </si>
  <si>
    <t>ORD-2024-10813</t>
  </si>
  <si>
    <t>20-06-2024</t>
  </si>
  <si>
    <t>CUST-5754</t>
  </si>
  <si>
    <t>Basic Tables 127</t>
  </si>
  <si>
    <t>ORD-2025-10814</t>
  </si>
  <si>
    <t>04/06/2025</t>
  </si>
  <si>
    <t>10 Apr 2025</t>
  </si>
  <si>
    <t>CUST-7848</t>
  </si>
  <si>
    <t>ORD-2025-10815</t>
  </si>
  <si>
    <t>CUST-9048</t>
  </si>
  <si>
    <t>Smart Labels 126</t>
  </si>
  <si>
    <t>ORD-2024-10816</t>
  </si>
  <si>
    <t>2024-04-08</t>
  </si>
  <si>
    <t>CUST-2951</t>
  </si>
  <si>
    <t>Max Machines 569</t>
  </si>
  <si>
    <t>ORD-2024-10817</t>
  </si>
  <si>
    <t>11/27/2024</t>
  </si>
  <si>
    <t>2024-11-30</t>
  </si>
  <si>
    <t>CUST-3072</t>
  </si>
  <si>
    <t>Basic Furnishings 306</t>
  </si>
  <si>
    <t>ORD-2025-10818</t>
  </si>
  <si>
    <t>05 Apr 2025</t>
  </si>
  <si>
    <t>04/05/2025</t>
  </si>
  <si>
    <t>CUST-2221</t>
  </si>
  <si>
    <t>Classic Binders 873</t>
  </si>
  <si>
    <t>ORD-2024-10819</t>
  </si>
  <si>
    <t>29 Sep 2024</t>
  </si>
  <si>
    <t>CUST-3943</t>
  </si>
  <si>
    <t>Pro Labels 611</t>
  </si>
  <si>
    <t>ORD-2024-10820</t>
  </si>
  <si>
    <t>31-07-2024</t>
  </si>
  <si>
    <t>CUST-7510</t>
  </si>
  <si>
    <t>MACHINES</t>
  </si>
  <si>
    <t>Prime Machines 524</t>
  </si>
  <si>
    <t>ORD-2025-10821</t>
  </si>
  <si>
    <t>06-02-2025</t>
  </si>
  <si>
    <t>10-02-2025</t>
  </si>
  <si>
    <t>CUST-2041</t>
  </si>
  <si>
    <t>Classic Bookcases 882</t>
  </si>
  <si>
    <t>ORD-2024-10822</t>
  </si>
  <si>
    <t>2024-07-03</t>
  </si>
  <si>
    <t>06-07-2024</t>
  </si>
  <si>
    <t>CUST-4466</t>
  </si>
  <si>
    <t>Classic Accessories 471</t>
  </si>
  <si>
    <t>ORD-2024-10823</t>
  </si>
  <si>
    <t>10/12/2024</t>
  </si>
  <si>
    <t>08 Oct 2024</t>
  </si>
  <si>
    <t>CUST-3188</t>
  </si>
  <si>
    <t>Smart Furnishings 175</t>
  </si>
  <si>
    <t>ORD-2025-10824</t>
  </si>
  <si>
    <t>2025-01-06</t>
  </si>
  <si>
    <t>CUST-6638</t>
  </si>
  <si>
    <t>Basic Paper 899</t>
  </si>
  <si>
    <t>ORD-2025-10825</t>
  </si>
  <si>
    <t>21-03-2025</t>
  </si>
  <si>
    <t>CUST-3540</t>
  </si>
  <si>
    <t>Pro Paper 267</t>
  </si>
  <si>
    <t>ORD-2025-10826</t>
  </si>
  <si>
    <t>16 Apr 2025</t>
  </si>
  <si>
    <t>17-04-2025</t>
  </si>
  <si>
    <t>CUST-3351</t>
  </si>
  <si>
    <t>Basic Machines 832</t>
  </si>
  <si>
    <t>ORD-2025-10827</t>
  </si>
  <si>
    <t>14 Aug 2025</t>
  </si>
  <si>
    <t>CUST-4375</t>
  </si>
  <si>
    <t>Elite Accessories 790</t>
  </si>
  <si>
    <t>ORD-2024-10828</t>
  </si>
  <si>
    <t>24 Nov 2024</t>
  </si>
  <si>
    <t>CUST-5125</t>
  </si>
  <si>
    <t>Basic Paper 707</t>
  </si>
  <si>
    <t>ORD-2025-10829</t>
  </si>
  <si>
    <t>10/10/2025</t>
  </si>
  <si>
    <t>11-10-2025</t>
  </si>
  <si>
    <t>CUST-6010</t>
  </si>
  <si>
    <t xml:space="preserve">Karan Malhotra </t>
  </si>
  <si>
    <t>Elite Chairs 979</t>
  </si>
  <si>
    <t>ORD-2024-10830</t>
  </si>
  <si>
    <t>02/26/2024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</si>
  <si>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</si>
  <si>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</si>
  <si>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</si>
  <si>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</si>
  <si>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</si>
  <si>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</si>
  <si>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</si>
  <si>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</si>
  <si>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</si>
  <si>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26 May 2025</t>
  </si>
  <si>
    <t>28-05-2025</t>
  </si>
  <si>
    <t>CUST-9557</t>
  </si>
  <si>
    <t>Max Phones 919</t>
  </si>
  <si>
    <t>ORD-2024-10834</t>
  </si>
  <si>
    <t>2024-06-04</t>
  </si>
  <si>
    <t>06/04/2024</t>
  </si>
  <si>
    <t>CUST-2689</t>
  </si>
  <si>
    <t>Basic Bookcases 499</t>
  </si>
  <si>
    <t>ORD-2024-10835</t>
  </si>
  <si>
    <t>2024-10-22</t>
  </si>
  <si>
    <t>CUST-2879</t>
  </si>
  <si>
    <t>Basic Art 143</t>
  </si>
  <si>
    <t>ORD-2025-10836</t>
  </si>
  <si>
    <t>CUST-5150</t>
  </si>
  <si>
    <t>Prime Phones 338</t>
  </si>
  <si>
    <t>ORD-2024-10837</t>
  </si>
  <si>
    <t>2024-12-18</t>
  </si>
  <si>
    <t>CUST-9776</t>
  </si>
  <si>
    <t>Smart Labels 814</t>
  </si>
  <si>
    <t>ORD-2025-10838</t>
  </si>
  <si>
    <t>09/28/2025</t>
  </si>
  <si>
    <t>CUST-2551</t>
  </si>
  <si>
    <t>Prime Paper 812</t>
  </si>
  <si>
    <t>ORD-2025-10839</t>
  </si>
  <si>
    <t>07 Apr 2025</t>
  </si>
  <si>
    <t>CUST-4708</t>
  </si>
  <si>
    <t>Pro Paper 355</t>
  </si>
  <si>
    <t>ORD-2024-10840</t>
  </si>
  <si>
    <t>09/20/2024</t>
  </si>
  <si>
    <t>22-09-2024</t>
  </si>
  <si>
    <t>CUST-8206</t>
  </si>
  <si>
    <t>Basic Phones 398</t>
  </si>
  <si>
    <t>ORD-2025-10841</t>
  </si>
  <si>
    <t>CUST-1297</t>
  </si>
  <si>
    <t>Classic Chairs 204</t>
  </si>
  <si>
    <t>ORD-2025-10842</t>
  </si>
  <si>
    <t>2025-02-06</t>
  </si>
  <si>
    <t>12 Feb 2025</t>
  </si>
  <si>
    <t>CUST-7558</t>
  </si>
  <si>
    <t>Max Art 339</t>
  </si>
  <si>
    <t>ORD-2024-10843</t>
  </si>
  <si>
    <t>31-03-2024</t>
  </si>
  <si>
    <t>03/30/2024</t>
  </si>
  <si>
    <t>CUST-1798</t>
  </si>
  <si>
    <t>kabir singh</t>
  </si>
  <si>
    <t>Smart Machines 581</t>
  </si>
  <si>
    <t>ORD-2025-10844</t>
  </si>
  <si>
    <t>25 Jul 2025</t>
  </si>
  <si>
    <t>CUST-7333</t>
  </si>
  <si>
    <t>Prime Phones 482</t>
  </si>
  <si>
    <t>ORD-2025-10845</t>
  </si>
  <si>
    <t>20-01-2025</t>
  </si>
  <si>
    <t>25-01-2025</t>
  </si>
  <si>
    <t>CUST-2086</t>
  </si>
  <si>
    <t>Pro Art 588</t>
  </si>
  <si>
    <t>ORD-2024-10846</t>
  </si>
  <si>
    <t>27 Feb 2024</t>
  </si>
  <si>
    <t>Eco Tables 792</t>
  </si>
  <si>
    <t>ORD-2024-10847</t>
  </si>
  <si>
    <t>2024-04-14</t>
  </si>
  <si>
    <t>2024-04-22</t>
  </si>
  <si>
    <t>CUST-6522</t>
  </si>
  <si>
    <t>Prime Bookcases 177</t>
  </si>
  <si>
    <t>ORD-2025-10848</t>
  </si>
  <si>
    <t>2025-05-20</t>
  </si>
  <si>
    <t>05/22/2025</t>
  </si>
  <si>
    <t>CUST-8329</t>
  </si>
  <si>
    <t>Pro Tables 828</t>
  </si>
  <si>
    <t>ORD-2025-10849</t>
  </si>
  <si>
    <t>29 May 2025</t>
  </si>
  <si>
    <t>CUST-4426</t>
  </si>
  <si>
    <t>Elite Furnishings 480</t>
  </si>
  <si>
    <t>ORD-2024-10850</t>
  </si>
  <si>
    <t>2024-03-06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</si>
  <si>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</si>
  <si>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</si>
  <si>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</si>
  <si>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</si>
  <si>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</si>
  <si>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</si>
  <si>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</si>
  <si>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</si>
  <si>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</si>
  <si>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01-04-2024</t>
  </si>
  <si>
    <t>CUST-9630</t>
  </si>
  <si>
    <t>Smart Tables 513</t>
  </si>
  <si>
    <t>ORD-2025-10854</t>
  </si>
  <si>
    <t>2025-05-16</t>
  </si>
  <si>
    <t>CUST-8274</t>
  </si>
  <si>
    <t>Elite Accessories 708</t>
  </si>
  <si>
    <t>ORD-2025-10855</t>
  </si>
  <si>
    <t>03/25/2025</t>
  </si>
  <si>
    <t>04/02/2025</t>
  </si>
  <si>
    <t>CUST-2514</t>
  </si>
  <si>
    <t>Max Bookcases 381</t>
  </si>
  <si>
    <t>ORD-2024-10856</t>
  </si>
  <si>
    <t>02 Aug 2024</t>
  </si>
  <si>
    <t>LABELS</t>
  </si>
  <si>
    <t>Classic Labels 215</t>
  </si>
  <si>
    <t>ORD-2024-10857</t>
  </si>
  <si>
    <t>2024-06-12</t>
  </si>
  <si>
    <t>Classic Storage 918</t>
  </si>
  <si>
    <t>ORD-2024-10858</t>
  </si>
  <si>
    <t>04 Jun 2024</t>
  </si>
  <si>
    <t>04-06-2024</t>
  </si>
  <si>
    <t>Max Storage 223</t>
  </si>
  <si>
    <t>ORD-2024-10859</t>
  </si>
  <si>
    <t>CUST-9576</t>
  </si>
  <si>
    <t>Basic Accessories 602</t>
  </si>
  <si>
    <t>ORD-2024-10860</t>
  </si>
  <si>
    <t>2024-11-01</t>
  </si>
  <si>
    <t>CUST-2395</t>
  </si>
  <si>
    <t>Elite Phones 394</t>
  </si>
  <si>
    <t>ORD-2024-10861</t>
  </si>
  <si>
    <t>04 Feb 2024</t>
  </si>
  <si>
    <t>CUST-8941</t>
  </si>
  <si>
    <t>Classic Storage 194</t>
  </si>
  <si>
    <t>ORD-2025-10862</t>
  </si>
  <si>
    <t>2025-03-08</t>
  </si>
  <si>
    <t>2025-03-09</t>
  </si>
  <si>
    <t>CUST-9448</t>
  </si>
  <si>
    <t>Smart Furnishings 892</t>
  </si>
  <si>
    <t>ORD-2025-10863</t>
  </si>
  <si>
    <t>31-03-2025</t>
  </si>
  <si>
    <t>CUST-8354</t>
  </si>
  <si>
    <t>Pro Binders 488</t>
  </si>
  <si>
    <t>ORD-2025-10864</t>
  </si>
  <si>
    <t>09/06/2025</t>
  </si>
  <si>
    <t>CUST-2200</t>
  </si>
  <si>
    <t>Prime Furnishings 679</t>
  </si>
  <si>
    <t>ORD-2025-10865</t>
  </si>
  <si>
    <t>02 Sep 2025</t>
  </si>
  <si>
    <t>CUST-1178</t>
  </si>
  <si>
    <t>Smart Phones 158</t>
  </si>
  <si>
    <t>ORD-2025-10866</t>
  </si>
  <si>
    <t>CUST-8099</t>
  </si>
  <si>
    <t>Classic Labels 218</t>
  </si>
  <si>
    <t>ORD-2025-10867</t>
  </si>
  <si>
    <t>2025-03-06</t>
  </si>
  <si>
    <t>CUST-7596</t>
  </si>
  <si>
    <t>Smart Bookcases 552</t>
  </si>
  <si>
    <t>ORD-2024-10868</t>
  </si>
  <si>
    <t>21 Nov 2024</t>
  </si>
  <si>
    <t>22 Nov 2024</t>
  </si>
  <si>
    <t>CUST-2328</t>
  </si>
  <si>
    <t>Eco Accessories 389</t>
  </si>
  <si>
    <t>ORD-2025-10869</t>
  </si>
  <si>
    <t>CUST-8483</t>
  </si>
  <si>
    <t>Elite Storage 187</t>
  </si>
  <si>
    <t>ORD-2025-10870</t>
  </si>
  <si>
    <t>03/06/2025</t>
  </si>
  <si>
    <t>CUST-2388</t>
  </si>
  <si>
    <t>ORD-2025-10871</t>
  </si>
  <si>
    <t>06 Jun 2025</t>
  </si>
  <si>
    <t>07 Jun 2025</t>
  </si>
  <si>
    <t>CUST-7054</t>
  </si>
  <si>
    <t>Max Tables 281</t>
  </si>
  <si>
    <t>ORD-2024-10872</t>
  </si>
  <si>
    <t>02/20/2024</t>
  </si>
  <si>
    <t>Pro Accessories 325</t>
  </si>
  <si>
    <t>ORD-2024-10873</t>
  </si>
  <si>
    <t>02 Nov 2024</t>
  </si>
  <si>
    <t>Prime Furnishings 178</t>
  </si>
  <si>
    <t>ORD-2025-10874</t>
  </si>
  <si>
    <t>01 Feb 2025</t>
  </si>
  <si>
    <t>08-02-2025</t>
  </si>
  <si>
    <t>CUST-8160</t>
  </si>
  <si>
    <t>Elite Storage 144</t>
  </si>
  <si>
    <t>ORD-2025-10875</t>
  </si>
  <si>
    <t>CUST-8770</t>
  </si>
  <si>
    <t>Elite Paper 309</t>
  </si>
  <si>
    <t>ORD-2024-10876</t>
  </si>
  <si>
    <t>10 Aug 2024</t>
  </si>
  <si>
    <t>08/11/2024</t>
  </si>
  <si>
    <t>CUST-6928</t>
  </si>
  <si>
    <t>Elite Copiers 752</t>
  </si>
  <si>
    <t>ORD-2024-10877</t>
  </si>
  <si>
    <t>11/18/2024</t>
  </si>
  <si>
    <t>20-11-2024</t>
  </si>
  <si>
    <t>CUST-9044</t>
  </si>
  <si>
    <t>ORD-2025-10878</t>
  </si>
  <si>
    <t>26-08-2025</t>
  </si>
  <si>
    <t>CUST-7146</t>
  </si>
  <si>
    <t>Max Storage 438</t>
  </si>
  <si>
    <t>ORD-2024-10879</t>
  </si>
  <si>
    <t>CUST-8534</t>
  </si>
  <si>
    <t>Basic Paper 904</t>
  </si>
  <si>
    <t>ORD-2025-10880</t>
  </si>
  <si>
    <t>2025-08-27</t>
  </si>
  <si>
    <t>CUST-4486</t>
  </si>
  <si>
    <t>Smart Art 990</t>
  </si>
  <si>
    <t>ORD-2024-10881</t>
  </si>
  <si>
    <t>08-03-2024</t>
  </si>
  <si>
    <t>CUST-5287</t>
  </si>
  <si>
    <t>Basic Chairs 327</t>
  </si>
  <si>
    <t>ORD-2024-10882</t>
  </si>
  <si>
    <t>05-12-2024</t>
  </si>
  <si>
    <t>CUST-3445</t>
  </si>
  <si>
    <t>Eco Copiers 987</t>
  </si>
  <si>
    <t>ORD-2025-10883</t>
  </si>
  <si>
    <t>02 Feb 2025</t>
  </si>
  <si>
    <t>CUST-4983</t>
  </si>
  <si>
    <t>Basic Accessories 607</t>
  </si>
  <si>
    <t>ORD-2025-10884</t>
  </si>
  <si>
    <t>28 Apr 2025</t>
  </si>
  <si>
    <t>05/01/2025</t>
  </si>
  <si>
    <t>CUST-2597</t>
  </si>
  <si>
    <t>Classic Storage 211</t>
  </si>
  <si>
    <t>ORD-2025-10885</t>
  </si>
  <si>
    <t>18-01-2025</t>
  </si>
  <si>
    <t>2025-01-25</t>
  </si>
  <si>
    <t>CUST-7505</t>
  </si>
  <si>
    <t>Eco Storage 783</t>
  </si>
  <si>
    <t>ORD-2024-10886</t>
  </si>
  <si>
    <t>2024-01-05</t>
  </si>
  <si>
    <t>CUST-3446</t>
  </si>
  <si>
    <t>Pro Tables 866</t>
  </si>
  <si>
    <t>ORD-2025-10887</t>
  </si>
  <si>
    <t>26-04-2025</t>
  </si>
  <si>
    <t>03-05-2025</t>
  </si>
  <si>
    <t>CUST-3549</t>
  </si>
  <si>
    <t>Max Accessories 541</t>
  </si>
  <si>
    <t>ORD-2024-10888</t>
  </si>
  <si>
    <t>CUST-2795</t>
  </si>
  <si>
    <t>Prime Art 596</t>
  </si>
  <si>
    <t>ORD-2025-10889</t>
  </si>
  <si>
    <t>06-08-2025</t>
  </si>
  <si>
    <t>CUST-1081</t>
  </si>
  <si>
    <t>Pro Art 620</t>
  </si>
  <si>
    <t>ORD-2025-10890</t>
  </si>
  <si>
    <t>10 Mar 2025</t>
  </si>
  <si>
    <t>03/11/2025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</si>
  <si>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</si>
  <si>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</si>
  <si>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</si>
  <si>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</si>
  <si>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</si>
  <si>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</si>
  <si>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</si>
  <si>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</si>
  <si>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04/12/2025</t>
  </si>
  <si>
    <t>CUST-5087</t>
  </si>
  <si>
    <t>Elite Copiers 221</t>
  </si>
  <si>
    <t>ORD-2024-10894</t>
  </si>
  <si>
    <t>06 Jun 2024</t>
  </si>
  <si>
    <t>08 Jun 2024</t>
  </si>
  <si>
    <t>CUST-9297</t>
  </si>
  <si>
    <t>Max Tables 291</t>
  </si>
  <si>
    <t>ORD-2024-10895</t>
  </si>
  <si>
    <t>02/29/2024</t>
  </si>
  <si>
    <t>CUST-7996</t>
  </si>
  <si>
    <t>Classic Tables 638</t>
  </si>
  <si>
    <t>ORD-2024-10896</t>
  </si>
  <si>
    <t>05 Nov 2024</t>
  </si>
  <si>
    <t>CUST-4117</t>
  </si>
  <si>
    <t>Basic Chairs 212</t>
  </si>
  <si>
    <t>ORD-2024-10897</t>
  </si>
  <si>
    <t>12/24/2024</t>
  </si>
  <si>
    <t>CUST-4848</t>
  </si>
  <si>
    <t>Max Copiers 121</t>
  </si>
  <si>
    <t>ORD-2025-10898</t>
  </si>
  <si>
    <t>03 May 2025</t>
  </si>
  <si>
    <t>Eco Paper 747</t>
  </si>
  <si>
    <t>ORD-2024-10899</t>
  </si>
  <si>
    <t>CUST-6046</t>
  </si>
  <si>
    <t>Classic Tables 535</t>
  </si>
  <si>
    <t>ORD-2025-10900</t>
  </si>
  <si>
    <t>06/03/2025</t>
  </si>
  <si>
    <t>CUST-3789</t>
  </si>
  <si>
    <t>Elite Chairs 971</t>
  </si>
  <si>
    <t>Output</t>
  </si>
  <si>
    <t>Calculation</t>
  </si>
  <si>
    <t>Filter</t>
  </si>
  <si>
    <t>Sorting / interpretation</t>
  </si>
  <si>
    <t>Region</t>
  </si>
  <si>
    <t>SUMIFS sales/profit and COUNTIFS orders by region</t>
  </si>
  <si>
    <t>completed_sales_include = Yes</t>
  </si>
  <si>
    <t>Sorted by completed sales descending.</t>
  </si>
  <si>
    <t>Category/sub-category</t>
  </si>
  <si>
    <t>SUMIFS sales/profit by both hierarchy fields</t>
  </si>
  <si>
    <t>Ship mode</t>
  </si>
  <si>
    <t>COUNTIFS orders by ship mode</t>
  </si>
  <si>
    <t>Sorted by completed order count descending.</t>
  </si>
  <si>
    <t>Customer segment</t>
  </si>
  <si>
    <t>SUM profit ÷ SUM sales</t>
  </si>
  <si>
    <t>Sorted by aggregate margin descending.</t>
  </si>
  <si>
    <t>Exceptions by region</t>
  </si>
  <si>
    <t>COUNTIFS for Refunded, Cancelled, and Failed</t>
  </si>
  <si>
    <t>All retained records</t>
  </si>
  <si>
    <t>Categories overlap when one row meets more than one exception.</t>
  </si>
  <si>
    <t>Monthly trend</t>
  </si>
  <si>
    <t>SUMIFS sales/profit by year and month</t>
  </si>
  <si>
    <t>Sorted chronologically.</t>
  </si>
  <si>
    <t>Metric</t>
  </si>
  <si>
    <t>Value</t>
  </si>
  <si>
    <t>How obtained</t>
  </si>
  <si>
    <t>Interpretation</t>
  </si>
  <si>
    <t>Eligible completed orders</t>
  </si>
  <si>
    <t>COUNTIF completed_sales_include = Yes</t>
  </si>
  <si>
    <t>The only records used in completed-sales pivots.</t>
  </si>
  <si>
    <t>Eligible completed sales</t>
  </si>
  <si>
    <t>SUM calculated_sales where inclusion = Yes</t>
  </si>
  <si>
    <t>Validated sales base after exclusions.</t>
  </si>
  <si>
    <t>Eligible completed profit</t>
  </si>
  <si>
    <t>SUM calculated_profit where inclusion = Yes</t>
  </si>
  <si>
    <t>Profit corresponding to eligible completed sales.</t>
  </si>
  <si>
    <t>Top region by sales</t>
  </si>
  <si>
    <t>Highest regional eligible sales: 1427391.82</t>
  </si>
  <si>
    <t>Region table is sorted descending.</t>
  </si>
  <si>
    <t>Top ship mode by order count</t>
  </si>
  <si>
    <t>Highest eligible order count: 145</t>
  </si>
  <si>
    <t>Ship-mode table is sorted descending.</t>
  </si>
  <si>
    <t>Top segment by profit margin</t>
  </si>
  <si>
    <t>Profit ÷ sales = 30.2%</t>
  </si>
  <si>
    <t>Uses aggregate margin, not average row margin.</t>
  </si>
  <si>
    <t>Top category/sub-category</t>
  </si>
  <si>
    <t>Technology – Copiers</t>
  </si>
  <si>
    <t>Eligible sales: 636659.34</t>
  </si>
  <si>
    <t>Category table is sorted descending.</t>
  </si>
  <si>
    <t>Strongest month</t>
  </si>
  <si>
    <t>Eligible sales: 387223.38</t>
  </si>
  <si>
    <t>Monthly table is chronological; this identifies the maximum.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</si>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</sst>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 &quot;d&quot;/&quot;m&quot;/&quot;yy"/>
    <numFmt numFmtId="165" formatCode="mmm\ yyyy"/>
  </numFmts>
  <fonts count="8">
    <font>
      <sz val="11"/>
      <color rgb="FF000000"/>
      <name val="Carlito"/>
      <scheme val="minor"/>
    </font>
    <font>
      <b/>
      <sz val="11"/>
      <color rgb="FFFFFFFF"/>
      <name val="Carlito"/>
    </font>
    <font>
      <sz val="11"/>
      <color theme="1"/>
      <name val="Carlito"/>
    </font>
    <font>
      <sz val="11"/>
      <color rgb="FF000000"/>
      <name val="Carlito"/>
      <scheme val="minor"/>
    </font>
    <font>
      <sz val="11"/>
      <color theme="1"/>
      <name val="Carlito"/>
      <scheme val="minor"/>
    </font>
    <font>
      <sz val="11"/>
      <color rgb="FF000000"/>
      <name val="Carlito"/>
    </font>
    <font>
      <b/>
      <sz val="11"/>
      <color theme="1"/>
      <name val="Carlito"/>
      <scheme val="minor"/>
    </font>
    <font>
      <b/>
      <sz val="11"/>
      <color rgb="FF000000"/>
      <name val="Carlito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44062"/>
        <bgColor rgb="FF244062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44B3E1"/>
      </left>
      <right style="thin">
        <color rgb="FFD9E2F3"/>
      </right>
      <top style="thin">
        <color rgb="FF44B3E1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44B3E1"/>
      </top>
      <bottom style="thin">
        <color rgb="FFD9E2F3"/>
      </bottom>
      <diagonal/>
    </border>
    <border>
      <left style="thin">
        <color rgb="FFD9E2F3"/>
      </left>
      <right style="thin">
        <color rgb="FF44B3E1"/>
      </right>
      <top style="thin">
        <color rgb="FF44B3E1"/>
      </top>
      <bottom style="thin">
        <color rgb="FFD9E2F3"/>
      </bottom>
      <diagonal/>
    </border>
    <border>
      <left style="thin">
        <color rgb="FF44B3E1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44B3E1"/>
      </right>
      <top style="thin">
        <color rgb="FFD9E2F3"/>
      </top>
      <bottom style="thin">
        <color rgb="FFD9E2F3"/>
      </bottom>
      <diagonal/>
    </border>
    <border>
      <left style="thin">
        <color rgb="FF44B3E1"/>
      </left>
      <right style="thin">
        <color rgb="FFD9E2F3"/>
      </right>
      <top style="thin">
        <color rgb="FFD9E2F3"/>
      </top>
      <bottom style="thin">
        <color rgb="FF44B3E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44B3E1"/>
      </bottom>
      <diagonal/>
    </border>
    <border>
      <left style="thin">
        <color rgb="FFD9E2F3"/>
      </left>
      <right style="thin">
        <color rgb="FF44B3E1"/>
      </right>
      <top style="thin">
        <color rgb="FFD9E2F3"/>
      </top>
      <bottom style="thin">
        <color rgb="FF44B3E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theme="4" tint="0.59999389629810485"/>
      </top>
      <bottom/>
      <diagonal/>
    </border>
    <border>
      <left style="thin">
        <color rgb="FFD9E2F3"/>
      </left>
      <right style="thin">
        <color theme="4" tint="0.59999389629810485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theme="4" tint="0.59999389629810485"/>
      </right>
      <top style="thin">
        <color rgb="FF44B3E1"/>
      </top>
      <bottom style="thin">
        <color rgb="FFD9E2F3"/>
      </bottom>
      <diagonal/>
    </border>
    <border>
      <left style="thin">
        <color rgb="FFD9E2F3"/>
      </left>
      <right style="thin">
        <color theme="4" tint="0.59999389629810485"/>
      </right>
      <top style="thin">
        <color rgb="FFD9E2F3"/>
      </top>
      <bottom style="thin">
        <color rgb="FF44B3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wrapText="1"/>
    </xf>
    <xf numFmtId="164" fontId="1" fillId="2" borderId="0" xfId="0" applyNumberFormat="1" applyFont="1" applyFill="1" applyAlignment="1">
      <alignment horizontal="center" vertical="center" wrapText="1"/>
    </xf>
    <xf numFmtId="4" fontId="1" fillId="2" borderId="0" xfId="0" applyNumberFormat="1" applyFont="1" applyFill="1" applyAlignment="1">
      <alignment horizontal="center" vertical="center" wrapText="1"/>
    </xf>
    <xf numFmtId="10" fontId="1" fillId="2" borderId="0" xfId="0" applyNumberFormat="1" applyFont="1" applyFill="1" applyAlignment="1">
      <alignment horizontal="center" vertical="center" wrapText="1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4" fillId="0" borderId="0" xfId="0" applyFont="1"/>
    <xf numFmtId="4" fontId="4" fillId="0" borderId="0" xfId="0" applyNumberFormat="1" applyFont="1"/>
    <xf numFmtId="10" fontId="4" fillId="0" borderId="0" xfId="0" applyNumberFormat="1" applyFont="1"/>
    <xf numFmtId="0" fontId="1" fillId="3" borderId="1" xfId="0" applyFont="1" applyFill="1" applyBorder="1"/>
    <xf numFmtId="0" fontId="5" fillId="4" borderId="2" xfId="0" applyFont="1" applyFill="1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4" borderId="5" xfId="0" applyFont="1" applyFill="1" applyBorder="1"/>
    <xf numFmtId="0" fontId="5" fillId="4" borderId="6" xfId="0" applyFont="1" applyFill="1" applyBorder="1"/>
    <xf numFmtId="0" fontId="5" fillId="4" borderId="7" xfId="0" applyFont="1" applyFill="1" applyBorder="1"/>
    <xf numFmtId="0" fontId="5" fillId="4" borderId="8" xfId="0" applyFont="1" applyFill="1" applyBorder="1"/>
    <xf numFmtId="0" fontId="5" fillId="4" borderId="9" xfId="0" applyFont="1" applyFill="1" applyBorder="1"/>
    <xf numFmtId="0" fontId="5" fillId="4" borderId="10" xfId="0" applyFont="1" applyFill="1" applyBorder="1"/>
    <xf numFmtId="0" fontId="5" fillId="4" borderId="3" xfId="0" applyFont="1" applyFill="1" applyBorder="1" applyAlignment="1">
      <alignment horizontal="right"/>
    </xf>
    <xf numFmtId="4" fontId="5" fillId="4" borderId="6" xfId="0" applyNumberFormat="1" applyFont="1" applyFill="1" applyBorder="1" applyAlignment="1">
      <alignment horizontal="right"/>
    </xf>
    <xf numFmtId="165" fontId="5" fillId="4" borderId="9" xfId="0" applyNumberFormat="1" applyFont="1" applyFill="1" applyBorder="1"/>
    <xf numFmtId="0" fontId="2" fillId="0" borderId="0" xfId="0" applyFont="1" applyAlignment="1">
      <alignment wrapText="1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4" fontId="0" fillId="0" borderId="0" xfId="0" applyNumberFormat="1"/>
    <xf numFmtId="0" fontId="6" fillId="6" borderId="12" xfId="0" applyFont="1" applyFill="1" applyBorder="1"/>
    <xf numFmtId="10" fontId="0" fillId="0" borderId="0" xfId="0" applyNumberFormat="1"/>
    <xf numFmtId="10" fontId="7" fillId="6" borderId="13" xfId="0" applyNumberFormat="1" applyFont="1" applyFill="1" applyBorder="1"/>
    <xf numFmtId="0" fontId="6" fillId="5" borderId="11" xfId="0" applyFont="1" applyFill="1" applyBorder="1"/>
    <xf numFmtId="0" fontId="5" fillId="4" borderId="14" xfId="0" applyFont="1" applyFill="1" applyBorder="1"/>
    <xf numFmtId="0" fontId="5" fillId="4" borderId="15" xfId="0" applyFont="1" applyFill="1" applyBorder="1"/>
    <xf numFmtId="0" fontId="5" fillId="4" borderId="16" xfId="0" applyFont="1" applyFill="1" applyBorder="1"/>
    <xf numFmtId="0" fontId="0" fillId="0" borderId="0" xfId="0" applyNumberFormat="1"/>
  </cellXfs>
  <cellStyles count="1"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  <numFmt numFmtId="164" formatCode="&quot; &quot;d&quot;/&quot;m&quot;/&quot;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  <numFmt numFmtId="164" formatCode="&quot; &quot;d&quot;/&quot;m&quot;/&quot;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  <numFmt numFmtId="164" formatCode="&quot; &quot;d&quot;/&quot;m&quot;/&quot;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  <numFmt numFmtId="164" formatCode="&quot; &quot;d&quot;/&quot;m&quot;/&quot;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  <numFmt numFmtId="164" formatCode="&quot; &quot;d&quot;/&quot;m&quot;/&quot;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rgb="FF244062"/>
          <bgColor rgb="FF2440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[pivot_summary.xlsx]Sales Profit by Region!PivotTable1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and Total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Profit by Region'!$B$3</c:f>
              <c:strCache>
                <c:ptCount val="1"/>
                <c:pt idx="0">
                  <c:v>total_sales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Profit by Region'!$A$4:$A$9</c:f>
              <c:strCache>
                <c:ptCount val="5"/>
                <c:pt idx="0">
                  <c:v>Unknown</c:v>
                </c:pt>
                <c:pt idx="1">
                  <c:v>North</c:v>
                </c:pt>
                <c:pt idx="2">
                  <c:v>East</c:v>
                </c:pt>
                <c:pt idx="3">
                  <c:v>West</c:v>
                </c:pt>
                <c:pt idx="4">
                  <c:v>South</c:v>
                </c:pt>
              </c:strCache>
            </c:strRef>
          </c:cat>
          <c:val>
            <c:numRef>
              <c:f>'Sales Profit by Region'!$B$4:$B$9</c:f>
              <c:numCache>
                <c:formatCode>#,##0.00</c:formatCode>
                <c:ptCount val="5"/>
                <c:pt idx="0">
                  <c:v>167549.28149999998</c:v>
                </c:pt>
                <c:pt idx="1">
                  <c:v>1126699.7060000002</c:v>
                </c:pt>
                <c:pt idx="2">
                  <c:v>1247672.5690000004</c:v>
                </c:pt>
                <c:pt idx="3">
                  <c:v>1360140.4579999996</c:v>
                </c:pt>
                <c:pt idx="4">
                  <c:v>1427391.8204999999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9-4920-A4C7-22C401E29FEB}"/>
            </c:ext>
          </c:extLst>
        </c:ser>
        <c:ser>
          <c:idx val="1"/>
          <c:order val="1"/>
          <c:tx>
            <c:strRef>
              <c:f>'Sales Profit by Region'!$C$3</c:f>
              <c:strCache>
                <c:ptCount val="1"/>
                <c:pt idx="0">
                  <c:v>total_profit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Profit by Region'!$A$4:$A$9</c:f>
              <c:strCache>
                <c:ptCount val="5"/>
                <c:pt idx="0">
                  <c:v>Unknown</c:v>
                </c:pt>
                <c:pt idx="1">
                  <c:v>North</c:v>
                </c:pt>
                <c:pt idx="2">
                  <c:v>East</c:v>
                </c:pt>
                <c:pt idx="3">
                  <c:v>West</c:v>
                </c:pt>
                <c:pt idx="4">
                  <c:v>South</c:v>
                </c:pt>
              </c:strCache>
            </c:strRef>
          </c:cat>
          <c:val>
            <c:numRef>
              <c:f>'Sales Profit by Region'!$C$4:$C$9</c:f>
              <c:numCache>
                <c:formatCode>#,##0.00</c:formatCode>
                <c:ptCount val="5"/>
                <c:pt idx="0">
                  <c:v>52007.541500000007</c:v>
                </c:pt>
                <c:pt idx="1">
                  <c:v>331075.73600000009</c:v>
                </c:pt>
                <c:pt idx="2">
                  <c:v>371870.64900000009</c:v>
                </c:pt>
                <c:pt idx="3">
                  <c:v>385718.11799999996</c:v>
                </c:pt>
                <c:pt idx="4">
                  <c:v>408387.90049999993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9-4920-A4C7-22C401E29FEB}"/>
            </c:ext>
          </c:extLst>
        </c:ser>
        <c:ser>
          <c:idx val="2"/>
          <c:order val="2"/>
          <c:tx>
            <c:strRef>
              <c:f>'Sales Profit by Region'!$D$3</c:f>
              <c:strCache>
                <c:ptCount val="1"/>
                <c:pt idx="0">
                  <c:v>Count of order_id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'Sales Profit by Region'!$A$4:$A$9</c:f>
              <c:strCache>
                <c:ptCount val="5"/>
                <c:pt idx="0">
                  <c:v>Unknown</c:v>
                </c:pt>
                <c:pt idx="1">
                  <c:v>North</c:v>
                </c:pt>
                <c:pt idx="2">
                  <c:v>East</c:v>
                </c:pt>
                <c:pt idx="3">
                  <c:v>West</c:v>
                </c:pt>
                <c:pt idx="4">
                  <c:v>South</c:v>
                </c:pt>
              </c:strCache>
            </c:strRef>
          </c:cat>
          <c:val>
            <c:numRef>
              <c:f>'Sales Profit by Region'!$D$4:$D$9</c:f>
              <c:numCache>
                <c:formatCode>General</c:formatCode>
                <c:ptCount val="5"/>
                <c:pt idx="0">
                  <c:v>18</c:v>
                </c:pt>
                <c:pt idx="1">
                  <c:v>112</c:v>
                </c:pt>
                <c:pt idx="2">
                  <c:v>130</c:v>
                </c:pt>
                <c:pt idx="3">
                  <c:v>140</c:v>
                </c:pt>
                <c:pt idx="4">
                  <c:v>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8E9-4920-A4C7-22C401E29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9105799"/>
        <c:axId val="1139134983"/>
      </c:barChart>
      <c:catAx>
        <c:axId val="1139105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34983"/>
        <c:crosses val="autoZero"/>
        <c:auto val="1"/>
        <c:lblAlgn val="ctr"/>
        <c:lblOffset val="100"/>
        <c:noMultiLvlLbl val="0"/>
      </c:catAx>
      <c:valAx>
        <c:axId val="1139134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05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[pivot_summary.xlsx]Order Count by Ship Mode!PivotTable4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 Count by Ship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'Order Count by Ship Mode'!$B$3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89-4514-9B92-A00F3844EA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89-4514-9B92-A00F3844EA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89-4514-9B92-A00F3844EA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89-4514-9B92-A00F3844EA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89-4514-9B92-A00F3844EA8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'Order Count by Ship Mode'!$A$4:$A$9</c:f>
              <c:strCache>
                <c:ptCount val="5"/>
                <c:pt idx="0">
                  <c:v>Standard Class</c:v>
                </c:pt>
                <c:pt idx="1">
                  <c:v>First Class</c:v>
                </c:pt>
                <c:pt idx="2">
                  <c:v>Second Class</c:v>
                </c:pt>
                <c:pt idx="3">
                  <c:v>Same Day</c:v>
                </c:pt>
                <c:pt idx="4">
                  <c:v>Unknown</c:v>
                </c:pt>
              </c:strCache>
            </c:strRef>
          </c:cat>
          <c:val>
            <c:numRef>
              <c:f>'Order Count by Ship Mode'!$B$4:$B$9</c:f>
              <c:numCache>
                <c:formatCode>General</c:formatCode>
                <c:ptCount val="5"/>
                <c:pt idx="0">
                  <c:v>145</c:v>
                </c:pt>
                <c:pt idx="1">
                  <c:v>136</c:v>
                </c:pt>
                <c:pt idx="2">
                  <c:v>124</c:v>
                </c:pt>
                <c:pt idx="3">
                  <c:v>120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4-4488-BC0A-D2C90C0AB0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[pivot_summary.xlsx]Profit Margin by Segment!PivotTable2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and Profit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'Profit Margin by Segment'!$B$3</c:f>
              <c:strCache>
                <c:ptCount val="1"/>
                <c:pt idx="0">
                  <c:v>Sum of calculated_sales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'Profit Margin by Segment'!$A$4:$A$8</c:f>
              <c:strCache>
                <c:ptCount val="4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  <c:pt idx="3">
                  <c:v>Small Business</c:v>
                </c:pt>
              </c:strCache>
            </c:strRef>
          </c:cat>
          <c:val>
            <c:numRef>
              <c:f>'Profit Margin by Segment'!$B$4:$B$8</c:f>
              <c:numCache>
                <c:formatCode>#,##0.00</c:formatCode>
                <c:ptCount val="4"/>
                <c:pt idx="0">
                  <c:v>1221728.5200000003</c:v>
                </c:pt>
                <c:pt idx="1">
                  <c:v>1181178.0679999993</c:v>
                </c:pt>
                <c:pt idx="2">
                  <c:v>1422428.5015</c:v>
                </c:pt>
                <c:pt idx="3">
                  <c:v>1504118.7455000009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47-403B-8D78-8D53653D2E7A}"/>
            </c:ext>
          </c:extLst>
        </c:ser>
        <c:ser>
          <c:idx val="1"/>
          <c:order val="1"/>
          <c:tx>
            <c:strRef>
              <c:f>'Profit Margin by Segment'!$C$3</c:f>
              <c:strCache>
                <c:ptCount val="1"/>
                <c:pt idx="0">
                  <c:v>Sum of calculated_profit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'Profit Margin by Segment'!$A$4:$A$8</c:f>
              <c:strCache>
                <c:ptCount val="4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  <c:pt idx="3">
                  <c:v>Small Business</c:v>
                </c:pt>
              </c:strCache>
            </c:strRef>
          </c:cat>
          <c:val>
            <c:numRef>
              <c:f>'Profit Margin by Segment'!$C$4:$C$8</c:f>
              <c:numCache>
                <c:formatCode>#,##0.00</c:formatCode>
                <c:ptCount val="4"/>
                <c:pt idx="0">
                  <c:v>354282.68</c:v>
                </c:pt>
                <c:pt idx="1">
                  <c:v>342120.66800000012</c:v>
                </c:pt>
                <c:pt idx="2">
                  <c:v>429965.00150000036</c:v>
                </c:pt>
                <c:pt idx="3">
                  <c:v>422691.5955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47-403B-8D78-8D53653D2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39211271"/>
        <c:axId val="1139241991"/>
      </c:barChart>
      <c:catAx>
        <c:axId val="1139211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241991"/>
        <c:crosses val="autoZero"/>
        <c:auto val="1"/>
        <c:lblAlgn val="ctr"/>
        <c:lblOffset val="100"/>
        <c:noMultiLvlLbl val="0"/>
      </c:catAx>
      <c:valAx>
        <c:axId val="1139241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211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'Profit Margin by Segment'!$G$3</c:f>
              <c:strCache>
                <c:ptCount val="1"/>
                <c:pt idx="0">
                  <c:v>Profit Margin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'Profit Margin by Segment'!$F$4:$F$7</c:f>
              <c:strCache>
                <c:ptCount val="4"/>
                <c:pt idx="0">
                  <c:v>Home Office</c:v>
                </c:pt>
                <c:pt idx="1">
                  <c:v>Consumer</c:v>
                </c:pt>
                <c:pt idx="2">
                  <c:v>Corporate</c:v>
                </c:pt>
                <c:pt idx="3">
                  <c:v>Small Business</c:v>
                </c:pt>
              </c:strCache>
            </c:strRef>
          </c:cat>
          <c:val>
            <c:numRef>
              <c:f>'Profit Margin by Segment'!$G$4:$G$7</c:f>
              <c:numCache>
                <c:formatCode>0.00%</c:formatCode>
                <c:ptCount val="4"/>
                <c:pt idx="0">
                  <c:v>0.30230000000000001</c:v>
                </c:pt>
                <c:pt idx="1">
                  <c:v>0.28999999999999998</c:v>
                </c:pt>
                <c:pt idx="2">
                  <c:v>0.28960000000000002</c:v>
                </c:pt>
                <c:pt idx="3">
                  <c:v>0.28100000000000003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11-4000-85B3-451A35539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8427399"/>
        <c:axId val="1138452487"/>
      </c:lineChart>
      <c:catAx>
        <c:axId val="11384273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452487"/>
        <c:crosses val="autoZero"/>
        <c:auto val="1"/>
        <c:lblAlgn val="ctr"/>
        <c:lblOffset val="100"/>
        <c:noMultiLvlLbl val="0"/>
      </c:catAx>
      <c:valAx>
        <c:axId val="1138452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427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[pivot_summary.xlsx]Monthly Sales Trend!PivotTable9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 Trend'!$B$3</c:f>
              <c:strCache>
                <c:ptCount val="1"/>
                <c:pt idx="0">
                  <c:v>Sum of calculated_sales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Sales Trend'!$A$4:$A$26</c:f>
              <c:strCache>
                <c:ptCount val="2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</c:strCache>
            </c:strRef>
          </c:cat>
          <c:val>
            <c:numRef>
              <c:f>'Monthly Sales Trend'!$B$4:$B$26</c:f>
              <c:numCache>
                <c:formatCode>#,##0.00</c:formatCode>
                <c:ptCount val="22"/>
                <c:pt idx="0">
                  <c:v>171470.24199999997</c:v>
                </c:pt>
                <c:pt idx="1">
                  <c:v>172822.14300000001</c:v>
                </c:pt>
                <c:pt idx="2">
                  <c:v>234703.82299999997</c:v>
                </c:pt>
                <c:pt idx="3">
                  <c:v>241541.505</c:v>
                </c:pt>
                <c:pt idx="4">
                  <c:v>283117.1715</c:v>
                </c:pt>
                <c:pt idx="5">
                  <c:v>377375.22149999993</c:v>
                </c:pt>
                <c:pt idx="6">
                  <c:v>211345.3045</c:v>
                </c:pt>
                <c:pt idx="7">
                  <c:v>224989.23850000001</c:v>
                </c:pt>
                <c:pt idx="8">
                  <c:v>205120.34799999997</c:v>
                </c:pt>
                <c:pt idx="9">
                  <c:v>315726.37599999999</c:v>
                </c:pt>
                <c:pt idx="10">
                  <c:v>228729.68749999997</c:v>
                </c:pt>
                <c:pt idx="11">
                  <c:v>190414.51699999999</c:v>
                </c:pt>
                <c:pt idx="12">
                  <c:v>248580.28099999999</c:v>
                </c:pt>
                <c:pt idx="13">
                  <c:v>387223.37849999993</c:v>
                </c:pt>
                <c:pt idx="14">
                  <c:v>320187.16649999999</c:v>
                </c:pt>
                <c:pt idx="15">
                  <c:v>278580.7905</c:v>
                </c:pt>
                <c:pt idx="16">
                  <c:v>208093.28450000004</c:v>
                </c:pt>
                <c:pt idx="17">
                  <c:v>175461.6545</c:v>
                </c:pt>
                <c:pt idx="18">
                  <c:v>206367.74599999996</c:v>
                </c:pt>
                <c:pt idx="19">
                  <c:v>236506.09599999996</c:v>
                </c:pt>
                <c:pt idx="20">
                  <c:v>289663.05550000002</c:v>
                </c:pt>
                <c:pt idx="21">
                  <c:v>121434.8045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30-4CA5-BBB5-33F624EC21B0}"/>
            </c:ext>
          </c:extLst>
        </c:ser>
        <c:ser>
          <c:idx val="1"/>
          <c:order val="1"/>
          <c:tx>
            <c:strRef>
              <c:f>'Monthly Sales Trend'!$C$3</c:f>
              <c:strCache>
                <c:ptCount val="1"/>
                <c:pt idx="0">
                  <c:v>Sum of calculated_profit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'Monthly Sales Trend'!$A$4:$A$26</c:f>
              <c:strCache>
                <c:ptCount val="2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</c:strCache>
            </c:strRef>
          </c:cat>
          <c:val>
            <c:numRef>
              <c:f>'Monthly Sales Trend'!$C$4:$C$26</c:f>
              <c:numCache>
                <c:formatCode>#,##0.00</c:formatCode>
                <c:ptCount val="22"/>
                <c:pt idx="0">
                  <c:v>57787.462000000007</c:v>
                </c:pt>
                <c:pt idx="1">
                  <c:v>55626.253000000012</c:v>
                </c:pt>
                <c:pt idx="2">
                  <c:v>72701.792999999991</c:v>
                </c:pt>
                <c:pt idx="3">
                  <c:v>67927.844999999987</c:v>
                </c:pt>
                <c:pt idx="4">
                  <c:v>71061.581500000015</c:v>
                </c:pt>
                <c:pt idx="5">
                  <c:v>111205.58149999999</c:v>
                </c:pt>
                <c:pt idx="6">
                  <c:v>52770.394500000009</c:v>
                </c:pt>
                <c:pt idx="7">
                  <c:v>70986.448499999999</c:v>
                </c:pt>
                <c:pt idx="8">
                  <c:v>50495.887999999999</c:v>
                </c:pt>
                <c:pt idx="9">
                  <c:v>91592.565999999992</c:v>
                </c:pt>
                <c:pt idx="10">
                  <c:v>80007.807499999995</c:v>
                </c:pt>
                <c:pt idx="11">
                  <c:v>52061.916999999994</c:v>
                </c:pt>
                <c:pt idx="12">
                  <c:v>68625.310999999987</c:v>
                </c:pt>
                <c:pt idx="13">
                  <c:v>113384.7485</c:v>
                </c:pt>
                <c:pt idx="14">
                  <c:v>91339.696499999976</c:v>
                </c:pt>
                <c:pt idx="15">
                  <c:v>76711.420500000022</c:v>
                </c:pt>
                <c:pt idx="16">
                  <c:v>61620.004500000003</c:v>
                </c:pt>
                <c:pt idx="17">
                  <c:v>47791.204499999993</c:v>
                </c:pt>
                <c:pt idx="18">
                  <c:v>56036.59599999999</c:v>
                </c:pt>
                <c:pt idx="19">
                  <c:v>73905.825999999986</c:v>
                </c:pt>
                <c:pt idx="20">
                  <c:v>88457.325500000021</c:v>
                </c:pt>
                <c:pt idx="21">
                  <c:v>36962.2745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230-4CA5-BBB5-33F624EC2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823559"/>
        <c:axId val="1140825607"/>
      </c:lineChart>
      <c:catAx>
        <c:axId val="1140823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825607"/>
        <c:crosses val="autoZero"/>
        <c:auto val="1"/>
        <c:lblAlgn val="ctr"/>
        <c:lblOffset val="100"/>
        <c:noMultiLvlLbl val="0"/>
      </c:catAx>
      <c:valAx>
        <c:axId val="1140825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823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9</xdr:row>
      <xdr:rowOff>161925</xdr:rowOff>
    </xdr:from>
    <xdr:to>
      <xdr:col>3</xdr:col>
      <xdr:colOff>695325</xdr:colOff>
      <xdr:row>28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6BC58-7903-A375-1439-30B79D04E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2</xdr:row>
      <xdr:rowOff>57150</xdr:rowOff>
    </xdr:from>
    <xdr:to>
      <xdr:col>8</xdr:col>
      <xdr:colOff>209550</xdr:colOff>
      <xdr:row>17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CF85A5-61EA-FBE2-040D-0CCEBDA14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9</xdr:row>
      <xdr:rowOff>9525</xdr:rowOff>
    </xdr:from>
    <xdr:to>
      <xdr:col>2</xdr:col>
      <xdr:colOff>1390650</xdr:colOff>
      <xdr:row>24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A6A53A-400A-09CB-5774-FD2BB19214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85725</xdr:colOff>
      <xdr:row>9</xdr:row>
      <xdr:rowOff>104775</xdr:rowOff>
    </xdr:from>
    <xdr:to>
      <xdr:col>8</xdr:col>
      <xdr:colOff>76200</xdr:colOff>
      <xdr:row>23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70D3AB-6FB0-492F-041A-B2F78C432DCD}"/>
            </a:ext>
            <a:ext uri="{147F2762-F138-4A5C-976F-8EAC2B608ADB}">
              <a16:predDERef xmlns:a16="http://schemas.microsoft.com/office/drawing/2014/main" pred="{55A6A53A-400A-09CB-5774-FD2BB19214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4</xdr:row>
      <xdr:rowOff>47625</xdr:rowOff>
    </xdr:from>
    <xdr:to>
      <xdr:col>10</xdr:col>
      <xdr:colOff>9525</xdr:colOff>
      <xdr:row>24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563A26-C330-BAD4-D31D-9952C55569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95.619317245371" createdVersion="8" refreshedVersion="8" minRefreshableVersion="3" recordCount="912" xr:uid="{410F9F26-069E-484C-8568-E29A2C808A8D}">
  <cacheSource type="worksheet">
    <worksheetSource name="Table1"/>
  </cacheSource>
  <cacheFields count="52">
    <cacheField name="order_id" numFmtId="0">
      <sharedItems/>
    </cacheField>
    <cacheField name="order_date" numFmtId="164">
      <sharedItems/>
    </cacheField>
    <cacheField name="order_year_month" numFmtId="164">
      <sharedItems count="22">
        <s v="2024-07"/>
        <s v="2024-08"/>
        <s v="2024-06"/>
        <s v="2024-11"/>
        <s v="2025-08"/>
        <s v="2024-05"/>
        <s v="2025-04"/>
        <s v="2025-02"/>
        <s v="2025-09"/>
        <s v="2025-05"/>
        <s v="2024-12"/>
        <s v="2025-10"/>
        <s v="2024-01"/>
        <s v="2025-07"/>
        <s v="2025-01"/>
        <s v="2024-03"/>
        <s v="2024-10"/>
        <s v="2024-02"/>
        <s v="2025-06"/>
        <s v="2024-04"/>
        <s v="2025-03"/>
        <s v="2024-09"/>
      </sharedItems>
    </cacheField>
    <cacheField name="clean_order_date" numFmtId="164">
      <sharedItems containsSemiMixedTypes="0" containsNonDate="0" containsDate="1" containsString="0" minDate="2024-01-01T00:00:00" maxDate="2025-10-13T00:00:00"/>
    </cacheField>
    <cacheField name="ship_date" numFmtId="164">
      <sharedItems/>
    </cacheField>
    <cacheField name="clean_ship_date" numFmtId="164">
      <sharedItems containsSemiMixedTypes="0" containsNonDate="0" containsDate="1" containsString="0" minDate="2024-01-05T00:00:00" maxDate="2025-10-17T00:00:00"/>
    </cacheField>
    <cacheField name="date_issue_flag" numFmtId="0">
      <sharedItems/>
    </cacheField>
    <cacheField name="shipping_delay_days" numFmtId="0">
      <sharedItems containsSemiMixedTypes="0" containsString="0" containsNumber="1" containsInteger="1" minValue="-4" maxValue="8"/>
    </cacheField>
    <cacheField name="customer_id" numFmtId="0">
      <sharedItems/>
    </cacheField>
    <cacheField name="customer_name" numFmtId="0">
      <sharedItems/>
    </cacheField>
    <cacheField name="clean_customer_name" numFmtId="0">
      <sharedItems/>
    </cacheField>
    <cacheField name="segment" numFmtId="0">
      <sharedItems/>
    </cacheField>
    <cacheField name="clean_segment" numFmtId="0">
      <sharedItems count="4">
        <s v="Consumer"/>
        <s v="Small Business"/>
        <s v="Corporate"/>
        <s v="Home Office"/>
      </sharedItems>
    </cacheField>
    <cacheField name="region" numFmtId="0">
      <sharedItems containsBlank="1"/>
    </cacheField>
    <cacheField name="clean_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lean_state" numFmtId="0">
      <sharedItems/>
    </cacheField>
    <cacheField name="city" numFmtId="0">
      <sharedItems/>
    </cacheField>
    <cacheField name="clean_city" numFmtId="0">
      <sharedItems/>
    </cacheField>
    <cacheField name="category" numFmtId="0">
      <sharedItems/>
    </cacheField>
    <cacheField name="clean_category" numFmtId="0">
      <sharedItems count="3">
        <s v="Office Supplies"/>
        <s v="Furniture"/>
        <s v="Technology"/>
      </sharedItems>
    </cacheField>
    <cacheField name="sub_category" numFmtId="0">
      <sharedItems/>
    </cacheField>
    <cacheField name="clean_sub_category" numFmtId="0">
      <sharedItems count="13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</sharedItems>
    </cacheField>
    <cacheField name="product_name" numFmtId="0">
      <sharedItems/>
    </cacheField>
    <cacheField name="ship_mode" numFmtId="0">
      <sharedItems containsBlank="1"/>
    </cacheField>
    <cacheField name="clean_ship_mode" numFmtId="0">
      <sharedItems count="5">
        <s v="Second Class"/>
        <s v="Same Day"/>
        <s v="First Class"/>
        <s v="Standard Class"/>
        <s v="Unknown"/>
      </sharedItems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Blank="1" containsMixedTypes="1" containsNumber="1" minValue="-0.24" maxValue="0.6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/>
    </cacheField>
    <cacheField name="clean_payment_status" numFmtId="0">
      <sharedItems count="4">
        <s v="Paid"/>
        <s v="Refunded"/>
        <s v="Pending"/>
        <s v="Failed"/>
      </sharedItems>
    </cacheField>
    <cacheField name="order_status" numFmtId="0">
      <sharedItems/>
    </cacheField>
    <cacheField name="clean_order_status" numFmtId="0">
      <sharedItems count="3">
        <s v="Completed"/>
        <s v="Cancelled"/>
        <s v="Returned"/>
      </sharedItems>
    </cacheField>
    <cacheField name="row_signature" numFmtId="0">
      <sharedItems/>
    </cacheField>
    <cacheField name="exact_duplicate_action" numFmtId="0">
      <sharedItems/>
    </cacheField>
    <cacheField name="duplicate_order_id_count" numFmtId="0">
      <sharedItems containsSemiMixedTypes="0" containsString="0" containsNumber="1" containsInteger="1" minValue="1" maxValue="2"/>
    </cacheField>
    <cacheField name="duplicate_order_id_flag" numFmtId="0">
      <sharedItems/>
    </cacheField>
    <cacheField name="duplicate_review_flag" numFmtId="0">
      <sharedItems/>
    </cacheField>
    <cacheField name="cleaned_discount" numFmtId="0">
      <sharedItems containsSemiMixedTypes="0" containsString="0" containsNumber="1" minValue="-0.24" maxValue="0.85"/>
    </cacheField>
    <cacheField name="calculated_sales" numFmtId="4">
      <sharedItems containsSemiMixedTypes="0" containsString="0" containsNumber="1" minValue="36.447000000000003" maxValue="36782.271000000008"/>
    </cacheField>
    <cacheField name="calculated_profit" numFmtId="4">
      <sharedItems containsSemiMixedTypes="0" containsString="0" containsNumber="1" minValue="-23452.5635" maxValue="15225.999000000003"/>
    </cacheField>
    <cacheField name="profit_margin" numFmtId="10">
      <sharedItems containsSemiMixedTypes="0" containsString="0" containsNumber="1" minValue="-4.5764791949555343" maxValue="0.63731759836591895"/>
    </cacheField>
    <cacheField name="order_month" numFmtId="0">
      <sharedItems containsSemiMixedTypes="0" containsString="0" containsNumber="1" containsInteger="1" minValue="1" maxValue="12"/>
    </cacheField>
    <cacheField name="order_year" numFmtId="0">
      <sharedItems containsSemiMixedTypes="0" containsString="0" containsNumber="1" containsInteger="1" minValue="2024" maxValue="2025"/>
    </cacheField>
    <cacheField name="sales_mismatch" numFmtId="0">
      <sharedItems/>
    </cacheField>
    <cacheField name="profit_mismatch" numFmtId="0">
      <sharedItems/>
    </cacheField>
    <cacheField name="completed_sales_include" numFmtId="0">
      <sharedItems count="2">
        <s v="Yes"/>
        <s v="No"/>
      </sharedItems>
    </cacheField>
    <cacheField name="business_rule_notes" numFmtId="0">
      <sharedItems/>
    </cacheField>
    <cacheField name="data_quality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s v="ORD-2024-10001"/>
    <s v="21 Jul 2024"/>
    <x v="0"/>
    <d v="2024-07-21T00:00:00"/>
    <s v="07/27/2024"/>
    <d v="2024-07-27T00:00:00"/>
    <s v="OK"/>
    <n v="6"/>
    <s v="CUST-4655"/>
    <s v="Karan Malhotra"/>
    <s v="Karan Malhotra"/>
    <s v="Consumer"/>
    <x v="0"/>
    <s v="  North "/>
    <x v="0"/>
    <s v="Rajasthan"/>
    <s v="Rajasthan"/>
    <s v="Jaipur"/>
    <s v="Jaipur"/>
    <s v="Office Supplies"/>
    <x v="0"/>
    <s v="Paper"/>
    <x v="0"/>
    <s v="Pro Paper 122"/>
    <s v="Second Class"/>
    <x v="0"/>
    <n v="8"/>
    <n v="2976.45"/>
    <n v="0.2"/>
    <n v="19049.28"/>
    <n v="15841.89"/>
    <n v="3207.39"/>
    <s v="Paid"/>
    <x v="0"/>
    <s v="Completed"/>
    <x v="0"/>
    <s v="ORD-2024-10001|07-21-2024|07-27-2024|CUST-4655|Karan Malhotra|Consumer|  North |Rajasthan|Jaipur|Office Supplies|Paper|Pro Paper 122|Second Class|8|2976.45|0.2|19049.28|15841.89|3207.39|Paid|Completed"/>
    <s v="Keep"/>
    <n v="1"/>
    <s v="Unique"/>
    <s v=""/>
    <n v="0.2"/>
    <n v="19049.28"/>
    <n v="3207.3899999999994"/>
    <n v="0.16837329284886357"/>
    <n v="7"/>
    <n v="2024"/>
    <b v="0"/>
    <b v="0"/>
    <x v="0"/>
    <s v=""/>
    <s v="Clean"/>
  </r>
  <r>
    <s v="ORD-2024-10002"/>
    <s v="08/31/2024"/>
    <x v="1"/>
    <d v="2024-08-31T00:00:00"/>
    <s v="05 Sep 2024"/>
    <d v="2024-09-05T00:00:00"/>
    <s v="OK"/>
    <n v="5"/>
    <s v="CUST-2054"/>
    <s v="Mira Das"/>
    <s v="Mira Das"/>
    <s v="Small Business"/>
    <x v="1"/>
    <s v="East"/>
    <x v="1"/>
    <s v="Odisha"/>
    <s v="Odisha"/>
    <s v="Bhubaneswar"/>
    <s v="Bhubaneswar"/>
    <s v="Furniture"/>
    <x v="1"/>
    <s v="Tables"/>
    <x v="1"/>
    <s v="Pro Tables 258"/>
    <s v="Same Day"/>
    <x v="1"/>
    <n v="3"/>
    <n v="2437.5"/>
    <n v="0"/>
    <n v="7312.5"/>
    <n v="4904.7299999999996"/>
    <n v="2407.77"/>
    <s v="Paid"/>
    <x v="0"/>
    <s v="Completed"/>
    <x v="0"/>
    <s v="ORD-2024-10002|08-31-2024|09-05-2024|CUST-2054|Mira Das|Small Business|East|Odisha|Bhubaneswar|Furniture|Tables|Pro Tables 258|Same Day|3|2437.5|0|7312.5|4904.73|2407.77|Paid|Completed"/>
    <s v="Keep"/>
    <n v="1"/>
    <s v="Unique"/>
    <s v=""/>
    <n v="0"/>
    <n v="7312.5"/>
    <n v="2407.7700000000004"/>
    <n v="0.32926769230769237"/>
    <n v="8"/>
    <n v="2024"/>
    <b v="0"/>
    <b v="0"/>
    <x v="0"/>
    <s v=""/>
    <s v="Clean"/>
  </r>
  <r>
    <s v="ORD-2024-10003"/>
    <s v="06/08/2024"/>
    <x v="2"/>
    <d v="2024-06-08T00:00:00"/>
    <s v="15 Jun 2024"/>
    <d v="2024-06-15T00:00:00"/>
    <s v="OK"/>
    <n v="7"/>
    <s v="CUST-6843"/>
    <s v="Isha Nair"/>
    <s v="Isha Nair"/>
    <s v="Consumer"/>
    <x v="0"/>
    <s v="East"/>
    <x v="1"/>
    <s v="Odisha"/>
    <s v="Odisha"/>
    <s v="Bhubaneswar"/>
    <s v="Bhubaneswar"/>
    <s v="Office Supplies"/>
    <x v="0"/>
    <s v="Art"/>
    <x v="2"/>
    <s v="Elite Art 525"/>
    <s v="First Class"/>
    <x v="2"/>
    <n v="4"/>
    <n v="1065.43"/>
    <n v="0.55000000000000004"/>
    <n v="4261.72"/>
    <n v="2465.69"/>
    <n v="1796.03"/>
    <s v="Paid"/>
    <x v="0"/>
    <s v="Completed"/>
    <x v="0"/>
    <s v="ORD-2024-10003|06-08-2024|06-15-2024|CUST-6843|Isha Nair|Consumer|East|Odisha|Bhubaneswar|Office Supplies|Art|Elite Art 525|First Class|4|1065.43|0.55|4261.72|2465.69|1796.03|Paid|Completed"/>
    <s v="Keep"/>
    <n v="1"/>
    <s v="Unique"/>
    <s v=""/>
    <n v="0.55000000000000004"/>
    <n v="1917.7739999999999"/>
    <n v="-547.91600000000017"/>
    <n v="-0.28570415492127865"/>
    <n v="6"/>
    <n v="2024"/>
    <b v="1"/>
    <b v="1"/>
    <x v="1"/>
    <s v="Discount above 50%; Sales mismatch; Profit mismatch"/>
    <s v="Invalid"/>
  </r>
  <r>
    <s v="ORD-2024-10004"/>
    <s v="28-11-2024"/>
    <x v="3"/>
    <d v="2024-11-28T00:00:00"/>
    <s v="11/29/2024"/>
    <d v="2024-11-29T00:00:00"/>
    <s v="OK"/>
    <n v="1"/>
    <s v="CUST-3722"/>
    <s v="Arjun Bose"/>
    <s v="Arjun Bose"/>
    <s v="Small Business"/>
    <x v="1"/>
    <s v="South"/>
    <x v="2"/>
    <s v="Telangana"/>
    <s v="Telangana"/>
    <s v="Hyderabad"/>
    <s v="Hyderabad"/>
    <s v="Furniture"/>
    <x v="1"/>
    <s v="Furnishings"/>
    <x v="3"/>
    <s v="Smart Furnishings 294"/>
    <s v="Standard Class"/>
    <x v="3"/>
    <n v="6"/>
    <n v="1848.43"/>
    <n v="0.25"/>
    <n v="8317.93"/>
    <n v="6796.77"/>
    <n v="1521.16"/>
    <s v="Paid"/>
    <x v="0"/>
    <s v="Completed"/>
    <x v="0"/>
    <s v="ORD-2024-10004|28-11-2024|11-29-2024|CUST-3722|Arjun Bose|Small Business|South|Telangana|Hyderabad|Furniture|Furnishings|Smart Furnishings 294|Standard Class|6|1848.43|0.25|8317.93|6796.77|1521.16|Paid|Completed"/>
    <s v="Keep"/>
    <n v="1"/>
    <s v="Unique"/>
    <s v=""/>
    <n v="0.25"/>
    <n v="8317.9349999999995"/>
    <n v="1521.1649999999991"/>
    <n v="0.18287772145370204"/>
    <n v="11"/>
    <n v="2024"/>
    <b v="0"/>
    <b v="0"/>
    <x v="0"/>
    <s v=""/>
    <s v="Clean"/>
  </r>
  <r>
    <s v="ORD-2025-10005"/>
    <s v="29 Aug 2025"/>
    <x v="4"/>
    <d v="2025-08-29T00:00:00"/>
    <s v="2025-09-01"/>
    <d v="2025-09-01T00:00:00"/>
    <s v="OK"/>
    <n v="3"/>
    <s v="CUST-8130"/>
    <s v="Ananya Rao"/>
    <s v="Ananya Rao"/>
    <s v="Small Business"/>
    <x v="1"/>
    <s v="West"/>
    <x v="3"/>
    <s v="Maharashtra"/>
    <s v="Maharashtra"/>
    <s v="Mumbai"/>
    <s v="Mumbai"/>
    <s v="Furniture"/>
    <x v="1"/>
    <s v="Chairs"/>
    <x v="4"/>
    <s v="Elite Chairs 543"/>
    <s v="First Class"/>
    <x v="2"/>
    <n v="7"/>
    <n v="2973.76"/>
    <n v="0"/>
    <n v="20816.32"/>
    <n v="17705.37"/>
    <n v="3110.95"/>
    <s v="Paid"/>
    <x v="0"/>
    <s v="Cancelled"/>
    <x v="1"/>
    <s v="ORD-2025-10005|08-29-2025|09-01-2025|CUST-8130|Ananya Rao|Small Business|West|Maharashtra|Mumbai|Furniture|Chairs|Elite Chairs 543|First Class|7|2973.76|0|20816.32|17705.37|3110.95|Paid|Cancelled"/>
    <s v="Keep"/>
    <n v="1"/>
    <s v="Unique"/>
    <s v=""/>
    <n v="0"/>
    <n v="20816.32"/>
    <n v="3110.9500000000007"/>
    <n v="0.14944764492475138"/>
    <n v="8"/>
    <n v="2025"/>
    <b v="0"/>
    <b v="0"/>
    <x v="1"/>
    <s v="Cancelled order excluded"/>
    <s v="Warning"/>
  </r>
  <r>
    <s v="ORD-2024-10006"/>
    <s v="2024-05-24"/>
    <x v="5"/>
    <d v="2024-05-24T00:00:00"/>
    <s v="28-05-2024"/>
    <d v="2024-05-28T00:00:00"/>
    <s v="OK"/>
    <n v="4"/>
    <s v="CUST-6056"/>
    <s v="Vikram Iyer"/>
    <s v="Vikram Iyer"/>
    <s v="Small Business"/>
    <x v="1"/>
    <s v="West"/>
    <x v="3"/>
    <s v="Madhya Pradesh"/>
    <s v="Madhya Pradesh"/>
    <s v="Indore"/>
    <s v="Indore"/>
    <s v="Technology"/>
    <x v="2"/>
    <s v="Accessories"/>
    <x v="5"/>
    <s v="Pro Accessories 821"/>
    <s v="Same Day"/>
    <x v="1"/>
    <n v="3"/>
    <n v="1053.1099999999999"/>
    <n v="0.2"/>
    <n v="2527.46"/>
    <n v="1533.58"/>
    <n v="993.88"/>
    <s v="Paid"/>
    <x v="0"/>
    <s v="Completed"/>
    <x v="0"/>
    <s v="ORD-2024-10006|05-24-2024|28-05-2024|CUST-6056|Vikram Iyer|Small Business|West|Madhya Pradesh|Indore|Technology|Accessories|Pro Accessories 821|Same Day|3|1053.11|0.2|2527.46|1533.58|993.88|Paid|Completed"/>
    <s v="Keep"/>
    <n v="1"/>
    <s v="Unique"/>
    <s v=""/>
    <n v="0.2"/>
    <n v="2527.4639999999999"/>
    <n v="993.88400000000001"/>
    <n v="0.39323369195367375"/>
    <n v="5"/>
    <n v="2024"/>
    <b v="0"/>
    <b v="0"/>
    <x v="0"/>
    <s v=""/>
    <s v="Clean"/>
  </r>
  <r>
    <s v="ORD-2025-10007"/>
    <s v="04/10/2025"/>
    <x v="6"/>
    <d v="2025-04-10T00:00:00"/>
    <s v="04/16/2025"/>
    <d v="2025-04-16T00:00:00"/>
    <s v="OK"/>
    <n v="6"/>
    <s v="CUST-3656"/>
    <s v="Neha Gupta"/>
    <s v="Neha Gupta"/>
    <s v="Consumer"/>
    <x v="0"/>
    <s v="East"/>
    <x v="1"/>
    <s v="Odisha"/>
    <s v="Odisha"/>
    <s v="Bhubaneswar"/>
    <s v="Bhubaneswar"/>
    <s v="Technology"/>
    <x v="2"/>
    <s v="Copiers"/>
    <x v="6"/>
    <s v="Eco Copiers 790"/>
    <s v="Standard Class"/>
    <x v="3"/>
    <n v="4"/>
    <n v="1719.87"/>
    <n v="0.15"/>
    <n v="5847.56"/>
    <n v="4727.25"/>
    <n v="1120.31"/>
    <s v="Paid"/>
    <x v="0"/>
    <s v="Completed"/>
    <x v="0"/>
    <s v="ORD-2025-10007|04-10-2025|04-16-2025|CUST-3656|Neha Gupta|Consumer|East|Odisha|Bhubaneswar|Technology|Copiers|Eco Copiers 790|Standard Class|4|1719.87|0.15|5847.56|4727.25|1120.31|Paid|Completed"/>
    <s v="Keep"/>
    <n v="1"/>
    <s v="Unique"/>
    <s v=""/>
    <n v="0.15"/>
    <n v="5847.5579999999991"/>
    <n v="1120.3079999999991"/>
    <n v="0.19158561573908275"/>
    <n v="4"/>
    <n v="2025"/>
    <b v="0"/>
    <b v="0"/>
    <x v="0"/>
    <s v=""/>
    <s v="Clean"/>
  </r>
  <r>
    <s v="ORD-2025-10008"/>
    <s v="2025-02-23"/>
    <x v="7"/>
    <d v="2025-02-23T00:00:00"/>
    <s v="26-02-2025"/>
    <d v="2025-02-26T00:00:00"/>
    <s v="OK"/>
    <n v="3"/>
    <s v="CUST-4683"/>
    <s v="Isha Nair"/>
    <s v="Isha Nair"/>
    <s v="Small Business"/>
    <x v="1"/>
    <s v="South"/>
    <x v="2"/>
    <s v="Andhra Pradesh"/>
    <s v="Andhra Pradesh"/>
    <s v="Vijayawada"/>
    <s v="Vijayawada"/>
    <s v="Office Supplies"/>
    <x v="0"/>
    <s v="Art"/>
    <x v="2"/>
    <s v="Eco Art 848"/>
    <s v="First Class"/>
    <x v="2"/>
    <n v="1"/>
    <n v="2980.71"/>
    <n v="0"/>
    <n v="2980.71"/>
    <n v="2357.2199999999998"/>
    <n v="623.49"/>
    <s v="Paid"/>
    <x v="0"/>
    <s v="Completed"/>
    <x v="0"/>
    <s v="ORD-2025-10008|02-23-2025|26-02-2025|CUST-4683|Isha Nair|Small Business|South|Andhra Pradesh|Vijayawada|Office Supplies|Art|Eco Art 848|First Class|1|2980.71|0|2980.71|2357.22|623.49|Paid|Completed"/>
    <s v="Keep"/>
    <n v="1"/>
    <s v="Unique"/>
    <s v=""/>
    <n v="0"/>
    <n v="2980.71"/>
    <n v="623.49000000000024"/>
    <n v="0.20917499521925992"/>
    <n v="2"/>
    <n v="2025"/>
    <b v="0"/>
    <b v="0"/>
    <x v="0"/>
    <s v=""/>
    <s v="Clean"/>
  </r>
  <r>
    <s v="ORD-2024-10009"/>
    <s v="11/05/2024"/>
    <x v="3"/>
    <d v="2024-11-05T00:00:00"/>
    <s v="11/10/2024"/>
    <d v="2024-11-10T00:00:00"/>
    <s v="OK"/>
    <n v="5"/>
    <s v="CUST-2598"/>
    <s v="Aditi Sen"/>
    <s v="Aditi Sen"/>
    <s v="Corporate"/>
    <x v="2"/>
    <s v="South"/>
    <x v="2"/>
    <s v="Telangana"/>
    <s v="Telangana"/>
    <s v="Hyderabad"/>
    <s v="Hyderabad"/>
    <s v="Office Supplies"/>
    <x v="0"/>
    <s v="Labels"/>
    <x v="7"/>
    <s v="Classic Labels 815"/>
    <s v="First Class"/>
    <x v="2"/>
    <n v="8"/>
    <n v="3134.2"/>
    <n v="0"/>
    <n v="25073.599999999999"/>
    <n v="17347.23"/>
    <n v="7726.37"/>
    <s v="Paid"/>
    <x v="0"/>
    <s v="Completed"/>
    <x v="0"/>
    <s v="ORD-2024-10009|11-05-2024|11-10-2024|CUST-2598|Aditi Sen|Corporate|South|Telangana|Hyderabad|Office Supplies|Labels|Classic Labels 815|First Class|8|3134.2|0|25073.6|17347.23|7726.37|Paid|Completed"/>
    <s v="Keep"/>
    <n v="1"/>
    <s v="Unique"/>
    <s v=""/>
    <n v="0"/>
    <n v="25073.599999999999"/>
    <n v="7726.369999999999"/>
    <n v="0.30814761342607361"/>
    <n v="11"/>
    <n v="2024"/>
    <b v="0"/>
    <b v="0"/>
    <x v="0"/>
    <s v=""/>
    <s v="Clean"/>
  </r>
  <r>
    <s v="ORD-2025-10010"/>
    <s v="07-09-2025"/>
    <x v="8"/>
    <d v="2025-09-07T00:00:00"/>
    <s v="09/12/2025"/>
    <d v="2025-09-12T00:00:00"/>
    <s v="OK"/>
    <n v="5"/>
    <s v="CUST-2483"/>
    <s v="Mira Das"/>
    <s v="Mira Das"/>
    <s v="Home Office"/>
    <x v="3"/>
    <s v="South"/>
    <x v="2"/>
    <s v="Telangana"/>
    <s v="Telangana"/>
    <s v="Hyderabad"/>
    <s v="Hyderabad"/>
    <s v="Office Supplies"/>
    <x v="0"/>
    <s v="Paper"/>
    <x v="0"/>
    <s v="Pro Paper 622"/>
    <s v="Second Class"/>
    <x v="0"/>
    <n v="9"/>
    <n v="852.04"/>
    <n v="0.2"/>
    <n v="6134.69"/>
    <n v="3800.19"/>
    <n v="2334.5"/>
    <s v="Paid"/>
    <x v="0"/>
    <s v="Completed"/>
    <x v="0"/>
    <s v="ORD-2025-10010|07-09-2025|09-12-2025|CUST-2483|Mira Das|Home Office|South|Telangana|Hyderabad|Office Supplies|Paper|Pro Paper 622|Second Class|9|852.04|0.2|6134.69|3800.19|2334.5|Paid|Completed"/>
    <s v="Keep"/>
    <n v="1"/>
    <s v="Unique"/>
    <s v=""/>
    <n v="0.2"/>
    <n v="6134.6880000000001"/>
    <n v="2334.498"/>
    <n v="0.38054062407085737"/>
    <n v="9"/>
    <n v="2025"/>
    <b v="0"/>
    <b v="0"/>
    <x v="0"/>
    <s v=""/>
    <s v="Clean"/>
  </r>
  <r>
    <s v="ORD-2025-10011"/>
    <s v="20 May 2025"/>
    <x v="9"/>
    <d v="2025-05-20T00:00:00"/>
    <s v="05/20/2025"/>
    <d v="2025-05-20T00:00:00"/>
    <s v="OK"/>
    <n v="0"/>
    <s v="CUST-8092"/>
    <s v="Ananya Rao"/>
    <s v="Ananya Rao"/>
    <s v="Corporate"/>
    <x v="2"/>
    <s v="East"/>
    <x v="1"/>
    <s v="West Bengal"/>
    <s v="West Bengal"/>
    <s v="Kolkata"/>
    <s v="Kolkata"/>
    <s v="Office Supplies"/>
    <x v="0"/>
    <s v="Labels"/>
    <x v="7"/>
    <s v="Prime Labels 644"/>
    <s v="Second Class"/>
    <x v="0"/>
    <n v="3"/>
    <n v="3534.83"/>
    <n v="0.05"/>
    <n v="10074.27"/>
    <n v="6048.27"/>
    <n v="4026"/>
    <s v="Refunded"/>
    <x v="1"/>
    <s v="Returned"/>
    <x v="2"/>
    <s v="ORD-2025-10011|05-20-2025|05-20-2025|CUST-8092|Ananya Rao|Corporate|East|West Bengal|Kolkata|Office Supplies|Labels|Prime Labels 644|Second Class|3|3534.83|0.05|10074.27|6048.27|4026|Refunded|Returned"/>
    <s v="Keep"/>
    <n v="1"/>
    <s v="Unique"/>
    <s v=""/>
    <n v="0.05"/>
    <n v="10074.2655"/>
    <n v="4025.9954999999991"/>
    <n v="0.39963166545491574"/>
    <n v="5"/>
    <n v="2025"/>
    <b v="0"/>
    <b v="0"/>
    <x v="1"/>
    <s v="Refunded order summarized separately; Returned order excluded"/>
    <s v="Warning"/>
  </r>
  <r>
    <s v="ORD-2024-10012"/>
    <s v="2024-07-22"/>
    <x v="0"/>
    <d v="2024-07-22T00:00:00"/>
    <s v="23-07-2024"/>
    <d v="2024-07-23T00:00:00"/>
    <s v="OK"/>
    <n v="1"/>
    <s v="CUST-6528"/>
    <s v="Vikram Iyer"/>
    <s v="Vikram Iyer"/>
    <s v="Small Business"/>
    <x v="1"/>
    <s v="East"/>
    <x v="1"/>
    <s v="Odisha"/>
    <s v="Odisha"/>
    <s v="Bhubaneswar"/>
    <s v="Bhubaneswar"/>
    <s v="Technology"/>
    <x v="2"/>
    <s v="Accessories"/>
    <x v="5"/>
    <s v="Smart Accessories 603"/>
    <s v="Same Day"/>
    <x v="1"/>
    <n v="6"/>
    <n v="2005.95"/>
    <n v="0.2"/>
    <n v="9628.56"/>
    <n v="8038.59"/>
    <n v="1589.97"/>
    <s v="Paid"/>
    <x v="0"/>
    <s v="Completed"/>
    <x v="0"/>
    <s v="ORD-2024-10012|07-22-2024|23-07-2024|CUST-6528|Vikram Iyer|Small Business|East|Odisha|Bhubaneswar|Technology|Accessories|Smart Accessories 603|Same Day|6|2005.95|0.2|9628.56|8038.59|1589.97|Paid|Completed"/>
    <s v="Keep"/>
    <n v="1"/>
    <s v="Unique"/>
    <s v=""/>
    <n v="0.2"/>
    <n v="9628.5600000000013"/>
    <n v="1589.9700000000012"/>
    <n v="0.16513061143099289"/>
    <n v="7"/>
    <n v="2024"/>
    <b v="0"/>
    <b v="0"/>
    <x v="0"/>
    <s v=""/>
    <s v="Clean"/>
  </r>
  <r>
    <s v="ORD-2024-10013"/>
    <s v="20 Dec 2024"/>
    <x v="10"/>
    <d v="2024-12-20T00:00:00"/>
    <s v="12/21/2024"/>
    <d v="2024-12-21T00:00:00"/>
    <s v="OK"/>
    <n v="1"/>
    <s v="CUST-2648"/>
    <s v="Ananya Rao"/>
    <s v="Ananya Rao"/>
    <s v="Corporate "/>
    <x v="2"/>
    <s v="West"/>
    <x v="3"/>
    <s v="Rajasthan"/>
    <s v="Rajasthan"/>
    <s v="Udaipur"/>
    <s v="Udaipur"/>
    <s v="Office Supplies"/>
    <x v="0"/>
    <s v="Paper"/>
    <x v="0"/>
    <s v="Pro Paper 481"/>
    <s v="First Class"/>
    <x v="2"/>
    <n v="1"/>
    <n v="702.14"/>
    <n v="0.15"/>
    <n v="596.82000000000005"/>
    <n v="380.25"/>
    <n v="216.57"/>
    <s v="Pending"/>
    <x v="2"/>
    <s v="Returned"/>
    <x v="2"/>
    <s v="ORD-2024-10013|12-20-2024|12-21-2024|CUST-2648|Ananya Rao|Corporate |West|Rajasthan|Udaipur|Office Supplies|Paper|Pro Paper 481|First Class|1|702.14|0.15|596.82|380.25|216.57|Pending|Returned"/>
    <s v="Keep"/>
    <n v="1"/>
    <s v="Unique"/>
    <s v=""/>
    <n v="0.15"/>
    <n v="596.81899999999996"/>
    <n v="216.56899999999996"/>
    <n v="0.36287216057129545"/>
    <n v="12"/>
    <n v="2024"/>
    <b v="0"/>
    <b v="0"/>
    <x v="1"/>
    <s v="Returned order excluded"/>
    <s v="Warning"/>
  </r>
  <r>
    <s v="ORD-2025-10014"/>
    <s v="2025-10-12"/>
    <x v="11"/>
    <d v="2025-10-12T00:00:00"/>
    <s v="16-10-2025"/>
    <d v="2025-10-16T00:00:00"/>
    <s v="OK"/>
    <n v="4"/>
    <s v="CUST-7482"/>
    <s v="Priya Menon"/>
    <s v="Priya Menon"/>
    <s v="Small Business"/>
    <x v="1"/>
    <s v="West"/>
    <x v="3"/>
    <s v="Maharashtra"/>
    <s v="Maharashtra"/>
    <s v="Mumbai"/>
    <s v="Mumbai"/>
    <s v="Office Supplies"/>
    <x v="0"/>
    <s v="Art"/>
    <x v="2"/>
    <s v="Smart Art 795"/>
    <s v="Second Class"/>
    <x v="0"/>
    <n v="7"/>
    <n v="3964.72"/>
    <n v="0.05"/>
    <n v="26365.39"/>
    <n v="22306.240000000002"/>
    <n v="4059.15"/>
    <s v="Paid"/>
    <x v="0"/>
    <s v="Completed"/>
    <x v="0"/>
    <s v="ORD-2025-10014|10-12-2025|16-10-2025|CUST-7482|Priya Menon|Small Business|West|Maharashtra|Mumbai|Office Supplies|Art|Smart Art 795|Second Class|7|3964.72|0.05|26365.39|22306.24|4059.15|Paid|Completed"/>
    <s v="Keep"/>
    <n v="1"/>
    <s v="Unique"/>
    <s v=""/>
    <n v="0.05"/>
    <n v="26365.387999999995"/>
    <n v="4059.1479999999938"/>
    <n v="0.15395745361304733"/>
    <n v="10"/>
    <n v="2025"/>
    <b v="0"/>
    <b v="0"/>
    <x v="0"/>
    <s v=""/>
    <s v="Clean"/>
  </r>
  <r>
    <s v="ORD-2024-10015"/>
    <s v="27 Dec 2024"/>
    <x v="10"/>
    <d v="2024-12-27T00:00:00"/>
    <s v="12/28/2024"/>
    <d v="2024-12-28T00:00:00"/>
    <s v="OK"/>
    <n v="1"/>
    <s v="CUST-4912"/>
    <s v="Rahul Verma"/>
    <s v="Rahul Verma"/>
    <s v="Consumer"/>
    <x v="0"/>
    <s v="West"/>
    <x v="3"/>
    <s v="Rajasthan"/>
    <s v="Rajasthan"/>
    <s v="Udaipur"/>
    <s v="Udaipur"/>
    <s v="Technology"/>
    <x v="2"/>
    <s v="Copiers"/>
    <x v="6"/>
    <s v="Max Copiers 983"/>
    <s v="Standard Class"/>
    <x v="3"/>
    <n v="2"/>
    <n v="2737.83"/>
    <n v="0.25"/>
    <n v="4106.74"/>
    <n v="2666.3"/>
    <n v="1440.44"/>
    <s v="Paid"/>
    <x v="0"/>
    <s v="Completed"/>
    <x v="0"/>
    <s v="ORD-2024-10015|12-27-2024|12-28-2024|CUST-4912|Rahul Verma|Consumer|West|Rajasthan|Udaipur|Technology|Copiers|Max Copiers 983|Standard Class|2|2737.83|0.25|4106.74|2666.3|1440.44|Paid|Completed"/>
    <s v="Keep"/>
    <n v="1"/>
    <s v="Unique"/>
    <s v=""/>
    <n v="0.25"/>
    <n v="4106.7449999999999"/>
    <n v="1440.4449999999997"/>
    <n v="0.35075102057712365"/>
    <n v="12"/>
    <n v="2024"/>
    <b v="0"/>
    <b v="0"/>
    <x v="0"/>
    <s v=""/>
    <s v="Clean"/>
  </r>
  <r>
    <s v="ORD-2024-10016"/>
    <s v="07/09/2024"/>
    <x v="0"/>
    <d v="2024-07-09T00:00:00"/>
    <s v="09 Jul 2024"/>
    <d v="2024-07-09T00:00:00"/>
    <s v="OK"/>
    <n v="0"/>
    <s v="CUST-7656"/>
    <s v="Karan Malhotra"/>
    <s v="Karan Malhotra"/>
    <s v="Small Business"/>
    <x v="1"/>
    <s v="North"/>
    <x v="0"/>
    <s v="Punjab"/>
    <s v="Punjab"/>
    <s v="Ludhiana"/>
    <s v="Ludhiana"/>
    <s v="Office Supplies"/>
    <x v="0"/>
    <s v="Storage"/>
    <x v="8"/>
    <s v="Classic Storage 198"/>
    <s v="Second Class"/>
    <x v="0"/>
    <n v="6"/>
    <n v="3965.76"/>
    <n v="0"/>
    <n v="23794.560000000001"/>
    <n v="15698.47"/>
    <n v="8096.09"/>
    <s v="Paid"/>
    <x v="0"/>
    <s v="Completed"/>
    <x v="0"/>
    <s v="ORD-2024-10016|07-09-2024|07-09-2024|CUST-7656|Karan Malhotra|Small Business|North|Punjab|Ludhiana|Office Supplies|Storage|Classic Storage 198|Second Class|6|3965.76|0|23794.56|15698.47|8096.09|Paid|Completed"/>
    <s v="Keep"/>
    <n v="1"/>
    <s v="Unique"/>
    <s v=""/>
    <n v="0"/>
    <n v="23794.560000000001"/>
    <n v="8096.090000000002"/>
    <n v="0.34024962008122872"/>
    <n v="7"/>
    <n v="2024"/>
    <b v="0"/>
    <b v="0"/>
    <x v="0"/>
    <s v=""/>
    <s v="Clean"/>
  </r>
  <r>
    <s v="ORD-2024-10017"/>
    <s v="05/08/2024"/>
    <x v="5"/>
    <d v="2024-05-08T00:00:00"/>
    <s v="15-05-2024"/>
    <d v="2024-05-15T00:00:00"/>
    <s v="OK"/>
    <n v="7"/>
    <s v="CUST-6214"/>
    <s v="Aarav Sharma"/>
    <s v="Aarav Sharma"/>
    <s v="Consumer"/>
    <x v="0"/>
    <s v="South"/>
    <x v="2"/>
    <s v="Telangana"/>
    <s v="Telangana"/>
    <s v="Hyderabad"/>
    <s v="Hyderabad"/>
    <s v="Office Supplies"/>
    <x v="0"/>
    <s v="Art"/>
    <x v="2"/>
    <s v="Basic Art 204"/>
    <s v="First Class"/>
    <x v="2"/>
    <n v="4"/>
    <n v="3323.51"/>
    <n v="0.25"/>
    <n v="9970.5300000000007"/>
    <n v="5668.17"/>
    <n v="4302.3599999999997"/>
    <s v="Paid"/>
    <x v="0"/>
    <s v="Completed"/>
    <x v="0"/>
    <s v="ORD-2024-10017|05-08-2024|15-05-2024|CUST-6214|Aarav Sharma|Consumer|South|Telangana|Hyderabad|Office Supplies|Art|Basic Art 204|First Class|4|3323.51|0.25|9970.53|5668.17|4302.36|Paid|Completed"/>
    <s v="Keep"/>
    <n v="1"/>
    <s v="Unique"/>
    <s v=""/>
    <n v="0.25"/>
    <n v="9970.5300000000007"/>
    <n v="4302.3600000000006"/>
    <n v="0.43150765305354882"/>
    <n v="5"/>
    <n v="2024"/>
    <b v="0"/>
    <b v="0"/>
    <x v="0"/>
    <s v=""/>
    <s v="Clean"/>
  </r>
  <r>
    <s v="ORD-2024-10018"/>
    <s v="01/07/2024"/>
    <x v="12"/>
    <d v="2024-01-07T00:00:00"/>
    <s v="2024-01-08"/>
    <d v="2024-01-08T00:00:00"/>
    <s v="OK"/>
    <n v="1"/>
    <s v="CUST-1626"/>
    <s v="Sneha Kapoor"/>
    <s v="Sneha Kapoor"/>
    <s v="Small Business"/>
    <x v="1"/>
    <s v="North"/>
    <x v="0"/>
    <s v="Rajasthan"/>
    <s v="Rajasthan"/>
    <s v="Jaipur"/>
    <s v="Jaipur"/>
    <s v="Furniture"/>
    <x v="1"/>
    <s v="Furnishings"/>
    <x v="3"/>
    <s v="Basic Furnishings 434"/>
    <s v="Same Day"/>
    <x v="1"/>
    <n v="5"/>
    <n v="1526.78"/>
    <n v="0"/>
    <n v="7633.9"/>
    <n v="4706.91"/>
    <n v="2926.99"/>
    <s v="Paid"/>
    <x v="0"/>
    <s v="Completed"/>
    <x v="0"/>
    <s v="ORD-2024-10018|01-07-2024|01-08-2024|CUST-1626|Sneha Kapoor|Small Business|North|Rajasthan|Jaipur|Furniture|Furnishings|Basic Furnishings 434|Same Day|5|1526.78|0|7633.9|4706.91|2926.99|Paid|Completed"/>
    <s v="Keep"/>
    <n v="1"/>
    <s v="Unique"/>
    <s v=""/>
    <n v="0"/>
    <n v="7633.9"/>
    <n v="2926.99"/>
    <n v="0.38342000812166782"/>
    <n v="1"/>
    <n v="2024"/>
    <b v="0"/>
    <b v="0"/>
    <x v="0"/>
    <s v=""/>
    <s v="Clean"/>
  </r>
  <r>
    <s v="ORD-2025-10019"/>
    <s v="07/15/2025"/>
    <x v="13"/>
    <d v="2025-07-15T00:00:00"/>
    <s v="17-07-2025"/>
    <d v="2025-07-17T00:00:00"/>
    <s v="OK"/>
    <n v="2"/>
    <s v="CUST-2110"/>
    <s v="Aarav Sharma"/>
    <s v="Aarav Sharma"/>
    <s v="Home Office"/>
    <x v="3"/>
    <s v="North"/>
    <x v="0"/>
    <s v="Uttar Pradesh"/>
    <s v="Uttar Pradesh"/>
    <s v="Noida"/>
    <s v="Noida"/>
    <s v="Technology"/>
    <x v="2"/>
    <s v="Copiers"/>
    <x v="6"/>
    <s v="Eco Copiers 755"/>
    <s v="First Class"/>
    <x v="2"/>
    <n v="2"/>
    <n v="1997.99"/>
    <n v="0"/>
    <n v="3995.98"/>
    <n v="2633.2"/>
    <n v="1362.78"/>
    <s v="Refunded"/>
    <x v="1"/>
    <s v="Cancelled"/>
    <x v="1"/>
    <s v="ORD-2025-10019|07-15-2025|17-07-2025|CUST-2110|Aarav Sharma|Home Office|North|Uttar Pradesh|Noida|Technology|Copiers|Eco Copiers 755|First Class|2|1997.99|0|3995.98|2633.2|1362.78|Refunded|Cancelled"/>
    <s v="Keep"/>
    <n v="1"/>
    <s v="Unique"/>
    <s v=""/>
    <n v="0"/>
    <n v="3995.98"/>
    <n v="1362.7800000000002"/>
    <n v="0.34103774293164635"/>
    <n v="7"/>
    <n v="2025"/>
    <b v="0"/>
    <b v="0"/>
    <x v="1"/>
    <s v="Refunded order summarized separately; Cancelled order excluded"/>
    <s v="Warning"/>
  </r>
  <r>
    <s v="ORD-2024-10020"/>
    <s v="07/27/2024"/>
    <x v="0"/>
    <d v="2024-07-27T00:00:00"/>
    <s v="31 Jul 2024"/>
    <d v="2024-07-31T00:00:00"/>
    <s v="OK"/>
    <n v="4"/>
    <s v="CUST-3186"/>
    <s v="Rohan Mehta"/>
    <s v="Rohan Mehta"/>
    <s v="Home Office"/>
    <x v="3"/>
    <s v="West"/>
    <x v="3"/>
    <s v="Madhya Pradesh"/>
    <s v="Madhya Pradesh"/>
    <s v="Indore"/>
    <s v="Indore"/>
    <s v="Office Supplies"/>
    <x v="0"/>
    <s v="Storage"/>
    <x v="8"/>
    <s v="Prime Storage 121"/>
    <s v="Second Class"/>
    <x v="0"/>
    <n v="3"/>
    <n v="3887.94"/>
    <n v="-0.19"/>
    <n v="9331.06"/>
    <n v="7529.31"/>
    <n v="1801.75"/>
    <s v="Paid"/>
    <x v="0"/>
    <s v="Completed"/>
    <x v="0"/>
    <s v="ORD-2024-10020|07-27-2024|07-31-2024|CUST-3186|Rohan Mehta|Home Office|West|Madhya Pradesh|Indore|Office Supplies|Storage|Prime Storage 121|Second Class|3|3887.94|-0.19|9331.06|7529.31|1801.75|Paid|Completed"/>
    <s v="Keep"/>
    <n v="1"/>
    <s v="Unique"/>
    <s v=""/>
    <n v="-0.19"/>
    <n v="13879.9458"/>
    <n v="6350.6357999999991"/>
    <n v="0.45754038895454474"/>
    <n v="7"/>
    <n v="2024"/>
    <b v="1"/>
    <b v="1"/>
    <x v="1"/>
    <s v="Negative discount; Sales mismatch; Profit mismatch"/>
    <s v="Invalid"/>
  </r>
  <r>
    <s v="ORD-2025-10021"/>
    <s v="21-01-2025"/>
    <x v="14"/>
    <d v="2025-01-21T00:00:00"/>
    <s v="23 Jan 2025"/>
    <d v="2025-01-23T00:00:00"/>
    <s v="OK"/>
    <n v="2"/>
    <s v="CUST-3190"/>
    <s v="Aditi Sen"/>
    <s v="Aditi Sen"/>
    <s v="Home Office"/>
    <x v="3"/>
    <s v="East"/>
    <x v="1"/>
    <s v="Bihar"/>
    <s v="Bihar"/>
    <s v="Patna"/>
    <s v="Patna"/>
    <s v="Technology"/>
    <x v="2"/>
    <s v="Copiers"/>
    <x v="6"/>
    <s v="Elite Copiers 233"/>
    <s v="First Class"/>
    <x v="2"/>
    <n v="5"/>
    <n v="4373.0600000000004"/>
    <n v="0.25"/>
    <n v="16398.98"/>
    <n v="9556.52"/>
    <n v="6842.46"/>
    <s v="Paid"/>
    <x v="0"/>
    <s v="Completed"/>
    <x v="0"/>
    <s v="ORD-2025-10021|21-01-2025|01-23-2025|CUST-3190|Aditi Sen|Home Office|East|Bihar|Patna|Technology|Copiers|Elite Copiers 233|First Class|5|4373.06|0.25|16398.98|9556.52|6842.46|Paid|Completed"/>
    <s v="Keep"/>
    <n v="1"/>
    <s v="Unique"/>
    <s v=""/>
    <n v="0.25"/>
    <n v="16398.975000000002"/>
    <n v="6842.4550000000017"/>
    <n v="0.4172489439126531"/>
    <n v="1"/>
    <n v="2025"/>
    <b v="0"/>
    <b v="0"/>
    <x v="0"/>
    <s v=""/>
    <s v="Clean"/>
  </r>
  <r>
    <s v="ORD-2025-10022"/>
    <s v="24-01-2025"/>
    <x v="14"/>
    <d v="2025-01-24T00:00:00"/>
    <s v="01/30/2025"/>
    <d v="2025-01-30T00:00:00"/>
    <s v="OK"/>
    <n v="6"/>
    <s v="CUST-3036"/>
    <s v="Sneha Kapoor"/>
    <s v="Sneha Kapoor"/>
    <s v="Consumer"/>
    <x v="0"/>
    <s v="West"/>
    <x v="3"/>
    <s v="Madhya Pradesh"/>
    <s v="Madhya Pradesh"/>
    <s v="Indore"/>
    <s v="Indore"/>
    <s v="Furniture"/>
    <x v="1"/>
    <s v="Furnishings"/>
    <x v="3"/>
    <s v="Eco Furnishings 897"/>
    <s v="Second Class"/>
    <x v="0"/>
    <n v="4"/>
    <n v="697.69"/>
    <n v="-0.23"/>
    <n v="2790.76"/>
    <n v="2037.71"/>
    <n v="753.05"/>
    <s v="Paid"/>
    <x v="0"/>
    <s v="Completed"/>
    <x v="0"/>
    <s v="ORD-2025-10022|24-01-2025|01-30-2025|CUST-3036|Sneha Kapoor|Consumer|West|Madhya Pradesh|Indore|Furniture|Furnishings|Eco Furnishings 897|Second Class|4|697.69|-0.23|2790.76|2037.71|753.05|Paid|Completed"/>
    <s v="Keep"/>
    <n v="1"/>
    <s v="Unique"/>
    <s v=""/>
    <n v="-0.23"/>
    <n v="3432.6348000000003"/>
    <n v="1394.9248000000002"/>
    <n v="0.40637145553613807"/>
    <n v="1"/>
    <n v="2025"/>
    <b v="1"/>
    <b v="1"/>
    <x v="1"/>
    <s v="Negative discount; Sales mismatch; Profit mismatch"/>
    <s v="Invalid"/>
  </r>
  <r>
    <s v="ORD-2025-10023"/>
    <s v="19 Jan 2025"/>
    <x v="14"/>
    <d v="2025-01-19T00:00:00"/>
    <s v="2025-01-21"/>
    <d v="2025-01-21T00:00:00"/>
    <s v="OK"/>
    <n v="2"/>
    <s v="CUST-3588"/>
    <s v="Mira Das"/>
    <s v="Mira Das"/>
    <s v="Consumer"/>
    <x v="0"/>
    <s v="South"/>
    <x v="2"/>
    <s v="Telangana"/>
    <s v="Telangana"/>
    <s v="Hyderabad"/>
    <s v="Hyderabad"/>
    <s v="Office Supplies"/>
    <x v="0"/>
    <s v="Binders"/>
    <x v="9"/>
    <s v="Max Binders 355"/>
    <s v="Standard Class"/>
    <x v="3"/>
    <n v="8"/>
    <n v="1219.3399999999999"/>
    <n v="0.15"/>
    <n v="8291.51"/>
    <n v="6685.03"/>
    <n v="1606.48"/>
    <s v="Failed"/>
    <x v="3"/>
    <s v="Returned"/>
    <x v="2"/>
    <s v="ORD-2025-10023|01-19-2025|01-21-2025|CUST-3588|Mira Das|Consumer|South|Telangana|Hyderabad|Office Supplies|Binders|Max Binders 355|Standard Class|8|1219.34|0.15|8291.51|6685.03|1606.48|Failed|Returned"/>
    <s v="Keep"/>
    <n v="1"/>
    <s v="Unique"/>
    <s v=""/>
    <n v="0.15"/>
    <n v="8291.5119999999988"/>
    <n v="1606.4819999999991"/>
    <n v="0.19375018693816029"/>
    <n v="1"/>
    <n v="2025"/>
    <b v="0"/>
    <b v="0"/>
    <x v="1"/>
    <s v="Failed payment excluded; Returned order excluded"/>
    <s v="Warning"/>
  </r>
  <r>
    <s v="ORD-2025-10024"/>
    <s v="29 Aug 2025"/>
    <x v="4"/>
    <d v="2025-08-29T00:00:00"/>
    <s v="31-08-2025"/>
    <d v="2025-08-31T00:00:00"/>
    <s v="OK"/>
    <n v="2"/>
    <s v="CUST-7098"/>
    <s v="Rahul Verma"/>
    <s v="Rahul Verma"/>
    <s v="Home Office"/>
    <x v="3"/>
    <s v="East"/>
    <x v="1"/>
    <s v="Bihar"/>
    <s v="Bihar"/>
    <s v="Patna"/>
    <s v="Patna"/>
    <s v="Furniture"/>
    <x v="1"/>
    <s v="Bookcases"/>
    <x v="10"/>
    <s v="Pro Bookcases 394"/>
    <s v="First Class"/>
    <x v="2"/>
    <n v="4"/>
    <n v="1958.01"/>
    <n v="0.2"/>
    <n v="6265.63"/>
    <n v="4321.8599999999997"/>
    <n v="1943.77"/>
    <s v="Paid"/>
    <x v="0"/>
    <s v="Completed"/>
    <x v="0"/>
    <s v="ORD-2025-10024|08-29-2025|31-08-2025|CUST-7098|Rahul Verma|Home Office|East|Bihar|Patna|Furniture|Bookcases|Pro Bookcases 394|First Class|4|1958.01|0.2|6265.63|4321.86|1943.77|Paid|Completed"/>
    <s v="Keep"/>
    <n v="1"/>
    <s v="Unique"/>
    <s v=""/>
    <n v="0.2"/>
    <n v="6265.6320000000005"/>
    <n v="1943.7720000000008"/>
    <n v="0.31022760353624351"/>
    <n v="8"/>
    <n v="2025"/>
    <b v="0"/>
    <b v="0"/>
    <x v="0"/>
    <s v=""/>
    <s v="Clean"/>
  </r>
  <r>
    <s v="ORD-2024-10025"/>
    <s v="2024-03-04"/>
    <x v="15"/>
    <d v="2024-03-04T00:00:00"/>
    <s v="03/01/2024"/>
    <d v="2024-03-01T00:00:00"/>
    <s v="Ship date before order date"/>
    <n v="-3"/>
    <s v="CUST-1747"/>
    <s v="Diya Patel"/>
    <s v="Diya Patel"/>
    <s v="Consumer"/>
    <x v="0"/>
    <s v="North"/>
    <x v="0"/>
    <s v="Punjab"/>
    <s v="Punjab"/>
    <s v="Ludhiana"/>
    <s v="Ludhiana"/>
    <s v="Office Supplies"/>
    <x v="0"/>
    <s v="Art"/>
    <x v="2"/>
    <s v="Max Art 215"/>
    <s v="Standard Class"/>
    <x v="3"/>
    <n v="4"/>
    <n v="4492.9399999999996"/>
    <n v="0.25"/>
    <n v="13478.82"/>
    <n v="10937.35"/>
    <n v="2541.4699999999998"/>
    <s v="Pending"/>
    <x v="2"/>
    <s v="Cancelled"/>
    <x v="1"/>
    <s v="ORD-2024-10025|03-04-2024|03-01-2024|CUST-1747|Diya Patel|Consumer|North|Punjab|Ludhiana|Office Supplies|Art|Max Art 215|Standard Class|4|4492.94|0.25|13478.82|10937.35|2541.47|Pending|Cancelled"/>
    <s v="Keep"/>
    <n v="1"/>
    <s v="Unique"/>
    <s v=""/>
    <n v="0.25"/>
    <n v="13478.82"/>
    <n v="2541.4699999999993"/>
    <n v="0.18855285551702591"/>
    <n v="3"/>
    <n v="2024"/>
    <b v="0"/>
    <b v="0"/>
    <x v="1"/>
    <s v="Ship date before order date; Cancelled order excluded"/>
    <s v="Invalid"/>
  </r>
  <r>
    <s v="ORD-2024-10026"/>
    <s v="11-10-2024"/>
    <x v="16"/>
    <d v="2024-10-11T00:00:00"/>
    <s v="2024-10-19"/>
    <d v="2024-10-19T00:00:00"/>
    <s v="OK"/>
    <n v="8"/>
    <s v="CUST-1731"/>
    <s v="Arjun Bose"/>
    <s v="Arjun Bose"/>
    <s v="Corporate"/>
    <x v="2"/>
    <s v="East"/>
    <x v="1"/>
    <s v="Assam"/>
    <s v="Assam"/>
    <s v="Guwahati"/>
    <s v="Guwahati"/>
    <s v="Technology"/>
    <x v="2"/>
    <s v="Accessories"/>
    <x v="5"/>
    <s v="Classic Accessories 478"/>
    <s v="First Class"/>
    <x v="2"/>
    <n v="2"/>
    <n v="4315.2"/>
    <n v="0.15"/>
    <n v="7335.84"/>
    <n v="4968.41"/>
    <n v="2367.4299999999998"/>
    <s v="Paid"/>
    <x v="0"/>
    <s v="Completed"/>
    <x v="0"/>
    <s v="ORD-2024-10026|11-10-2024|10-19-2024|CUST-1731|Arjun Bose|Corporate|East|Assam|Guwahati|Technology|Accessories|Classic Accessories 478|First Class|2|4315.2|0.15|7335.84|4968.41|2367.43|Paid|Completed"/>
    <s v="Keep"/>
    <n v="1"/>
    <s v="Unique"/>
    <s v=""/>
    <n v="0.15"/>
    <n v="7335.8399999999992"/>
    <n v="2367.4299999999994"/>
    <n v="0.32272105171323251"/>
    <n v="10"/>
    <n v="2024"/>
    <b v="0"/>
    <b v="0"/>
    <x v="0"/>
    <s v=""/>
    <s v="Clean"/>
  </r>
  <r>
    <s v="ORD-2024-10027"/>
    <s v="23-11-2024"/>
    <x v="3"/>
    <d v="2024-11-23T00:00:00"/>
    <s v="23 Nov 2024"/>
    <d v="2024-11-23T00:00:00"/>
    <s v="OK"/>
    <n v="0"/>
    <s v="CUST-4401"/>
    <s v="Diya Patel"/>
    <s v="Diya Patel"/>
    <s v="Corporate"/>
    <x v="2"/>
    <s v="North"/>
    <x v="0"/>
    <s v="Uttar Pradesh"/>
    <s v="Uttar Pradesh"/>
    <s v="Noida"/>
    <s v="Noida"/>
    <s v="Technology"/>
    <x v="2"/>
    <s v="Phones"/>
    <x v="11"/>
    <s v="Pro Phones 243"/>
    <s v="Standard Class"/>
    <x v="3"/>
    <n v="4"/>
    <n v="716.13"/>
    <n v="0.1"/>
    <n v="2578.0700000000002"/>
    <n v="1527.55"/>
    <n v="1050.52"/>
    <s v="Paid "/>
    <x v="0"/>
    <s v="Returned"/>
    <x v="2"/>
    <s v="ORD-2024-10027|23-11-2024|11-23-2024|CUST-4401|Diya Patel|Corporate|North|Uttar Pradesh|Noida|Technology|Phones|Pro Phones 243|Standard Class|4|716.13|0.1|2578.07|1527.55|1050.52|Paid |Returned"/>
    <s v="Keep"/>
    <n v="1"/>
    <s v="Unique"/>
    <s v=""/>
    <n v="0.1"/>
    <n v="2578.0680000000002"/>
    <n v="1050.5180000000003"/>
    <n v="0.40748265755596835"/>
    <n v="11"/>
    <n v="2024"/>
    <b v="0"/>
    <b v="0"/>
    <x v="1"/>
    <s v="Returned order excluded"/>
    <s v="Warning"/>
  </r>
  <r>
    <s v="ORD-2025-10028"/>
    <s v="29 Sep 2025"/>
    <x v="8"/>
    <d v="2025-09-29T00:00:00"/>
    <s v="05-10-2025"/>
    <d v="2025-10-05T00:00:00"/>
    <s v="OK"/>
    <n v="6"/>
    <s v="CUST-9875"/>
    <s v="Arjun Bose"/>
    <s v="Arjun Bose"/>
    <s v="Small Business"/>
    <x v="1"/>
    <s v="South"/>
    <x v="2"/>
    <s v="Karnataka"/>
    <s v="Karnataka"/>
    <s v="Bengaluru"/>
    <s v="Bengaluru"/>
    <s v="Office Supplies"/>
    <x v="0"/>
    <s v="Paper"/>
    <x v="0"/>
    <s v="Basic Paper 613"/>
    <s v="Second Class"/>
    <x v="0"/>
    <n v="5"/>
    <n v="1806.51"/>
    <n v="0.25"/>
    <n v="6774.41"/>
    <n v="4710.3599999999997"/>
    <n v="2064.0500000000002"/>
    <s v="Failed"/>
    <x v="3"/>
    <s v="Returned"/>
    <x v="2"/>
    <s v="ORD-2025-10028|09-29-2025|05-10-2025|CUST-9875|Arjun Bose|Small Business|South|Karnataka|Bengaluru|Office Supplies|Paper|Basic Paper 613|Second Class|5|1806.51|0.25|6774.41|4710.36|2064.05|Failed|Returned"/>
    <s v="Keep"/>
    <n v="1"/>
    <s v="Unique"/>
    <s v=""/>
    <n v="0.25"/>
    <n v="6774.4124999999995"/>
    <n v="2064.0524999999998"/>
    <n v="0.30468361647596748"/>
    <n v="9"/>
    <n v="2025"/>
    <b v="0"/>
    <b v="0"/>
    <x v="1"/>
    <s v="Failed payment excluded; Returned order excluded"/>
    <s v="Warning"/>
  </r>
  <r>
    <s v="ORD-2024-10029"/>
    <s v="11-10-2024"/>
    <x v="16"/>
    <d v="2024-10-11T00:00:00"/>
    <s v="18-10-2024"/>
    <d v="2024-10-18T00:00:00"/>
    <s v="OK"/>
    <n v="7"/>
    <s v="CUST-1569"/>
    <s v="Ananya Rao"/>
    <s v="Ananya Rao"/>
    <s v="Home Office"/>
    <x v="3"/>
    <s v="West"/>
    <x v="3"/>
    <s v="Gujarat"/>
    <s v="Gujarat"/>
    <s v="Ahmedabad"/>
    <s v="Ahmedabad"/>
    <s v="Technology"/>
    <x v="2"/>
    <s v="Phones"/>
    <x v="11"/>
    <s v="Prime Phones 698"/>
    <s v="Second Class"/>
    <x v="0"/>
    <n v="2"/>
    <n v="1942.22"/>
    <n v="0.25"/>
    <n v="2913.33"/>
    <n v="2122.33"/>
    <n v="791"/>
    <s v="Refunded"/>
    <x v="1"/>
    <s v="Cancelled"/>
    <x v="1"/>
    <s v="ORD-2024-10029|11-10-2024|18-10-2024|CUST-1569|Ananya Rao|Home Office|West|Gujarat|Ahmedabad|Technology|Phones|Prime Phones 698|Second Class|2|1942.22|0.25|2913.33|2122.33|791|Refunded|Cancelled"/>
    <s v="Keep"/>
    <n v="1"/>
    <s v="Unique"/>
    <s v=""/>
    <n v="0.25"/>
    <n v="2913.33"/>
    <n v="791"/>
    <n v="0.27151060813570727"/>
    <n v="10"/>
    <n v="2024"/>
    <b v="0"/>
    <b v="0"/>
    <x v="1"/>
    <s v="Refunded order summarized separately; Cancelled order excluded"/>
    <s v="Warning"/>
  </r>
  <r>
    <s v="ORD-2025-10030"/>
    <s v="13 Aug 2025"/>
    <x v="4"/>
    <d v="2025-08-13T00:00:00"/>
    <s v="13-08-2025"/>
    <d v="2025-08-13T00:00:00"/>
    <s v="OK"/>
    <n v="0"/>
    <s v="CUST-5936"/>
    <s v="Rohan Mehta"/>
    <s v="Rohan Mehta"/>
    <s v="Home Office"/>
    <x v="3"/>
    <s v="South"/>
    <x v="2"/>
    <s v="Kerala"/>
    <s v="Kerala"/>
    <s v="Kochi"/>
    <s v="Kochi"/>
    <s v="Technology"/>
    <x v="2"/>
    <s v="Phones"/>
    <x v="11"/>
    <s v="Pro Phones 442"/>
    <s v="Standard Class"/>
    <x v="3"/>
    <n v="1"/>
    <n v="256.01"/>
    <n v="0.15"/>
    <n v="217.61"/>
    <n v="119.77"/>
    <n v="97.84"/>
    <s v="Paid"/>
    <x v="0"/>
    <s v="Completed"/>
    <x v="0"/>
    <s v="ORD-2025-10030|08-13-2025|13-08-2025|CUST-5936|Rohan Mehta|Home Office|South|Kerala|Kochi|Technology|Phones|Pro Phones 442|Standard Class|1|256.01|0.15|217.61|119.77|97.84|Paid|Completed"/>
    <s v="Keep"/>
    <n v="1"/>
    <s v="Unique"/>
    <s v=""/>
    <n v="0.15"/>
    <n v="217.60849999999999"/>
    <n v="97.838499999999996"/>
    <n v="0.44960789675035673"/>
    <n v="8"/>
    <n v="2025"/>
    <b v="0"/>
    <b v="0"/>
    <x v="0"/>
    <s v=""/>
    <s v="Clean"/>
  </r>
  <r>
    <s v="ORD-2024-10031"/>
    <s v="09 Feb 2024"/>
    <x v="17"/>
    <d v="2024-02-09T00:00:00"/>
    <s v="02/12/2024"/>
    <d v="2024-02-12T00:00:00"/>
    <s v="OK"/>
    <n v="3"/>
    <s v="CUST-8759"/>
    <s v="Ananya Rao"/>
    <s v="Ananya Rao"/>
    <s v="Corporate"/>
    <x v="2"/>
    <s v="West"/>
    <x v="3"/>
    <s v="Goa"/>
    <s v="Goa"/>
    <s v="Panaji"/>
    <s v="Panaji"/>
    <s v="Office Supplies"/>
    <x v="0"/>
    <s v="Labels"/>
    <x v="7"/>
    <s v="Pro Labels 355"/>
    <s v="First Class"/>
    <x v="2"/>
    <n v="1"/>
    <n v="3421.77"/>
    <n v="0.1"/>
    <n v="3079.59"/>
    <n v="2001.89"/>
    <n v="1077.7"/>
    <s v="Paid"/>
    <x v="0"/>
    <s v="Completed"/>
    <x v="0"/>
    <s v="ORD-2024-10031|02-09-2024|02-12-2024|CUST-8759|Ananya Rao|Corporate|West|Goa|Panaji|Office Supplies|Labels|Pro Labels 355|First Class|1|3421.77|0.1|3079.59|2001.89|1077.7|Paid|Completed"/>
    <s v="Keep"/>
    <n v="1"/>
    <s v="Unique"/>
    <s v=""/>
    <n v="0.1"/>
    <n v="3079.5929999999998"/>
    <n v="1077.7029999999997"/>
    <n v="0.34994981479695525"/>
    <n v="2"/>
    <n v="2024"/>
    <b v="0"/>
    <b v="0"/>
    <x v="0"/>
    <s v=""/>
    <s v="Clean"/>
  </r>
  <r>
    <s v="ORD-2025-10032"/>
    <s v="15-06-2025"/>
    <x v="18"/>
    <d v="2025-06-15T00:00:00"/>
    <s v="19-06-2025"/>
    <d v="2025-06-19T00:00:00"/>
    <s v="OK"/>
    <n v="4"/>
    <s v="CUST-7867"/>
    <s v="Karan Malhotra"/>
    <s v="Karan Malhotra"/>
    <s v="Small Business"/>
    <x v="1"/>
    <s v="West"/>
    <x v="3"/>
    <s v="Madhya Pradesh"/>
    <s v="Madhya Pradesh"/>
    <s v="Indore"/>
    <s v="Indore"/>
    <s v="Office Supplies"/>
    <x v="0"/>
    <s v="Paper"/>
    <x v="0"/>
    <s v="Pro Paper 959"/>
    <s v="Second Class"/>
    <x v="0"/>
    <n v="9"/>
    <n v="3092.55"/>
    <n v="0"/>
    <n v="27832.95"/>
    <n v="17769.75"/>
    <n v="10063.200000000001"/>
    <s v="Failed"/>
    <x v="3"/>
    <s v="Returned"/>
    <x v="2"/>
    <s v="ORD-2025-10032|15-06-2025|19-06-2025|CUST-7867|Karan Malhotra|Small Business|West|Madhya Pradesh|Indore|Office Supplies|Paper|Pro Paper 959|Second Class|9|3092.55|0|27832.95|17769.75|10063.2|Failed|Returned"/>
    <s v="Keep"/>
    <n v="1"/>
    <s v="Unique"/>
    <s v=""/>
    <n v="0"/>
    <n v="27832.95"/>
    <n v="10063.200000000001"/>
    <n v="0.36155707533696574"/>
    <n v="6"/>
    <n v="2025"/>
    <b v="0"/>
    <b v="0"/>
    <x v="1"/>
    <s v="Failed payment excluded; Returned order excluded"/>
    <s v="Warning"/>
  </r>
  <r>
    <s v="ORD-2024-10033"/>
    <s v="22-11-2024"/>
    <x v="3"/>
    <d v="2024-11-22T00:00:00"/>
    <s v="2024-11-26"/>
    <d v="2024-11-26T00:00:00"/>
    <s v="OK"/>
    <n v="4"/>
    <s v="CUST-6509"/>
    <s v="Aarav Sharma"/>
    <s v="Aarav Sharma"/>
    <s v="Corporate"/>
    <x v="2"/>
    <s v="South"/>
    <x v="2"/>
    <s v="Andhra Pradesh"/>
    <s v="Andhra Pradesh"/>
    <s v="Vijayawada"/>
    <s v="Vijayawada"/>
    <s v="Technology"/>
    <x v="2"/>
    <s v="Phones"/>
    <x v="11"/>
    <s v="Basic Phones 242"/>
    <s v="Second Class"/>
    <x v="0"/>
    <n v="3"/>
    <n v="4001.25"/>
    <m/>
    <n v="9002.81"/>
    <n v="7529.92"/>
    <n v="1472.89"/>
    <s v="Paid"/>
    <x v="0"/>
    <s v="Completed"/>
    <x v="0"/>
    <s v="ORD-2024-10033|22-11-2024|11-26-2024|CUST-6509|Aarav Sharma|Corporate|South|Andhra Pradesh|Vijayawada|Technology|Phones|Basic Phones 242|Second Class|3|4001.25||9002.81|7529.92|1472.89|Paid|Completed"/>
    <s v="Keep"/>
    <n v="1"/>
    <s v="Unique"/>
    <s v=""/>
    <n v="0"/>
    <n v="12003.75"/>
    <n v="4473.83"/>
    <n v="0.37270269707383108"/>
    <n v="11"/>
    <n v="2024"/>
    <b v="1"/>
    <b v="1"/>
    <x v="1"/>
    <s v="Missing discount treated as 0; Sales mismatch; Profit mismatch"/>
    <s v="Invalid"/>
  </r>
  <r>
    <s v="ORD-2024-10034"/>
    <s v="07/22/2024"/>
    <x v="0"/>
    <d v="2024-07-22T00:00:00"/>
    <s v="27-07-2024"/>
    <d v="2024-07-27T00:00:00"/>
    <s v="OK"/>
    <n v="5"/>
    <s v="CUST-6660"/>
    <s v="Priya Menon"/>
    <s v="Priya Menon"/>
    <s v="Home Office"/>
    <x v="3"/>
    <s v="West"/>
    <x v="3"/>
    <s v="Goa"/>
    <s v="Goa"/>
    <s v="Panaji"/>
    <s v="Panaji"/>
    <s v="Furniture"/>
    <x v="1"/>
    <s v="Tables"/>
    <x v="1"/>
    <s v="Max Tables 836"/>
    <s v="Same Day"/>
    <x v="1"/>
    <n v="7"/>
    <n v="492.41"/>
    <n v="0.25"/>
    <n v="2585.15"/>
    <n v="2070.73"/>
    <n v="514.41999999999996"/>
    <s v="Paid"/>
    <x v="0"/>
    <s v="Completed"/>
    <x v="0"/>
    <s v="ORD-2024-10034|07-22-2024|27-07-2024|CUST-6660|Priya Menon|Home Office|West|Goa|Panaji|Furniture|Tables|Max Tables 836|Same Day|7|492.41|0.25|2585.15|2070.73|514.42|Paid|Completed"/>
    <s v="Keep"/>
    <n v="1"/>
    <s v="Unique"/>
    <s v=""/>
    <n v="0.25"/>
    <n v="2585.1525000000001"/>
    <n v="514.42250000000013"/>
    <n v="0.19899116203009304"/>
    <n v="7"/>
    <n v="2024"/>
    <b v="0"/>
    <b v="0"/>
    <x v="0"/>
    <s v=""/>
    <s v="Clean"/>
  </r>
  <r>
    <s v="ORD-2025-10035"/>
    <s v="2025-01-31"/>
    <x v="14"/>
    <d v="2025-01-31T00:00:00"/>
    <s v="2025-02-05"/>
    <d v="2025-02-05T00:00:00"/>
    <s v="OK"/>
    <n v="5"/>
    <s v="CUST-2392"/>
    <s v="Priya Menon"/>
    <s v="Priya Menon"/>
    <s v="Home Office"/>
    <x v="3"/>
    <s v="East"/>
    <x v="1"/>
    <s v="West Bengal"/>
    <s v="West Bengal"/>
    <s v="Kolkata"/>
    <s v="Kolkata"/>
    <s v="Furniture"/>
    <x v="1"/>
    <s v="Chairs"/>
    <x v="4"/>
    <s v="Elite Chairs 862"/>
    <m/>
    <x v="4"/>
    <n v="2"/>
    <n v="4159.6899999999996"/>
    <n v="0.2"/>
    <n v="6655.5"/>
    <n v="4340.21"/>
    <n v="2607.3200000000002"/>
    <s v="Paid"/>
    <x v="0"/>
    <s v="Completed"/>
    <x v="0"/>
    <s v="ORD-2025-10035|01-31-2025|02-05-2025|CUST-2392|Priya Menon|Home Office|East|West Bengal|Kolkata|Furniture|Chairs|Elite Chairs 862||2|4159.69|0.2|6655.5|4340.21|2607.32|Paid|Completed"/>
    <s v="Keep"/>
    <n v="1"/>
    <s v="Unique"/>
    <s v=""/>
    <n v="0.2"/>
    <n v="6655.5039999999999"/>
    <n v="2315.2939999999999"/>
    <n v="0.34787658455317583"/>
    <n v="1"/>
    <n v="2025"/>
    <b v="0"/>
    <b v="1"/>
    <x v="1"/>
    <s v="Missing ship mode filled as Unknown; Profit mismatch"/>
    <s v="Invalid"/>
  </r>
  <r>
    <s v="ORD-2024-10036"/>
    <s v="29-05-2024"/>
    <x v="5"/>
    <d v="2024-05-29T00:00:00"/>
    <s v="29 May 2024"/>
    <d v="2024-05-29T00:00:00"/>
    <s v="OK"/>
    <n v="0"/>
    <s v="CUST-1611"/>
    <s v="Sneha Kapoor"/>
    <s v="Sneha Kapoor"/>
    <s v="Small Business"/>
    <x v="1"/>
    <s v="West"/>
    <x v="3"/>
    <s v="Gujarat"/>
    <s v="Gujarat"/>
    <s v="Ahmedabad"/>
    <s v="Ahmedabad"/>
    <s v="Furniture"/>
    <x v="1"/>
    <s v="Bookcases"/>
    <x v="10"/>
    <s v="Prime Bookcases 414"/>
    <s v="Second Class"/>
    <x v="0"/>
    <n v="8"/>
    <n v="2507.12"/>
    <n v="0.05"/>
    <n v="19054.11"/>
    <n v="15313.83"/>
    <n v="3740.28"/>
    <s v="Pending"/>
    <x v="2"/>
    <s v="Returned"/>
    <x v="2"/>
    <s v="ORD-2024-10036|29-05-2024|05-29-2024|CUST-1611|Sneha Kapoor|Small Business|West|Gujarat|Ahmedabad|Furniture|Bookcases|Prime Bookcases 414|Second Class|8|2507.12|0.05|19054.11|15313.83|3740.28|Pending|Returned"/>
    <s v="Keep"/>
    <n v="1"/>
    <s v="Unique"/>
    <s v=""/>
    <n v="0.05"/>
    <n v="19054.111999999997"/>
    <n v="3740.2819999999974"/>
    <n v="0.19629789097492437"/>
    <n v="5"/>
    <n v="2024"/>
    <b v="0"/>
    <b v="0"/>
    <x v="1"/>
    <s v="Returned order excluded"/>
    <s v="Warning"/>
  </r>
  <r>
    <s v="ORD-2024-10037"/>
    <s v="2024-10-25"/>
    <x v="16"/>
    <d v="2024-10-25T00:00:00"/>
    <s v="28 Oct 2024"/>
    <d v="2024-10-28T00:00:00"/>
    <s v="OK"/>
    <n v="3"/>
    <s v="CUST-8296"/>
    <s v="Rohan Mehta"/>
    <s v="Rohan Mehta"/>
    <s v="Corporate"/>
    <x v="2"/>
    <s v="West"/>
    <x v="3"/>
    <s v="Maharashtra"/>
    <s v="Maharashtra"/>
    <s v="Mumbai"/>
    <s v="Mumbai"/>
    <s v="Furniture"/>
    <x v="1"/>
    <s v="Bookcases"/>
    <x v="10"/>
    <s v="Eco Bookcases 220"/>
    <s v="Second Class"/>
    <x v="0"/>
    <n v="3"/>
    <n v="3126.47"/>
    <n v="0"/>
    <n v="9379.41"/>
    <n v="6670.85"/>
    <n v="2708.56"/>
    <s v="Paid"/>
    <x v="0"/>
    <s v="Returned"/>
    <x v="2"/>
    <s v="ORD-2024-10037|10-25-2024|10-28-2024|CUST-8296|Rohan Mehta|Corporate|West|Maharashtra|Mumbai|Furniture|Bookcases|Eco Bookcases 220|Second Class|3|3126.47|0|9379.41|6670.85|2708.56|Paid|Returned"/>
    <s v="Keep"/>
    <n v="1"/>
    <s v="Unique"/>
    <s v=""/>
    <n v="0"/>
    <n v="9379.41"/>
    <n v="2708.5599999999995"/>
    <n v="0.28877722585962223"/>
    <n v="10"/>
    <n v="2024"/>
    <b v="0"/>
    <b v="0"/>
    <x v="1"/>
    <s v="Returned order excluded"/>
    <s v="Warning"/>
  </r>
  <r>
    <s v="ORD-2025-10038"/>
    <s v="29-07-2025"/>
    <x v="13"/>
    <d v="2025-07-29T00:00:00"/>
    <s v="29-07-2025"/>
    <d v="2025-07-29T00:00:00"/>
    <s v="OK"/>
    <n v="0"/>
    <s v="CUST-4646"/>
    <s v="Diya Patel"/>
    <s v="Diya Patel"/>
    <s v="Consumer"/>
    <x v="0"/>
    <s v="West"/>
    <x v="3"/>
    <s v="Maharashtra"/>
    <s v="Maharashtra"/>
    <s v="Mumbai"/>
    <s v="Mumbai"/>
    <s v="Technology"/>
    <x v="2"/>
    <s v="Copiers"/>
    <x v="6"/>
    <s v="Pro Copiers 830"/>
    <s v="Standard Class"/>
    <x v="3"/>
    <n v="4"/>
    <n v="1327.54"/>
    <n v="0.2"/>
    <n v="4248.13"/>
    <n v="3321.09"/>
    <n v="927.04"/>
    <s v="Paid"/>
    <x v="0"/>
    <s v="Completed"/>
    <x v="0"/>
    <s v="ORD-2025-10038|29-07-2025|29-07-2025|CUST-4646|Diya Patel|Consumer|West|Maharashtra|Mumbai|Technology|Copiers|Pro Copiers 830|STANDARD CLASS|4|1327.54|0.2|4248.13|3321.09|927.04|Paid|Completed"/>
    <s v="Keep"/>
    <n v="1"/>
    <s v="Unique"/>
    <s v=""/>
    <n v="0.2"/>
    <n v="4248.1279999999997"/>
    <n v="927.03799999999956"/>
    <n v="0.21822270892025844"/>
    <n v="7"/>
    <n v="2025"/>
    <b v="0"/>
    <b v="0"/>
    <x v="0"/>
    <s v=""/>
    <s v="Clean"/>
  </r>
  <r>
    <s v="ORD-2024-10039"/>
    <s v="2024-06-17"/>
    <x v="2"/>
    <d v="2024-06-17T00:00:00"/>
    <s v="22-06-2024"/>
    <d v="2024-06-22T00:00:00"/>
    <s v="OK"/>
    <n v="5"/>
    <s v="CUST-8235"/>
    <s v="Aarav Sharma"/>
    <s v="Aarav Sharma"/>
    <s v="Corporate"/>
    <x v="2"/>
    <s v="West"/>
    <x v="3"/>
    <s v="Gujarat"/>
    <s v="Gujarat"/>
    <s v="Ahmedabad"/>
    <s v="Ahmedabad"/>
    <s v="Technology"/>
    <x v="2"/>
    <s v="Phones"/>
    <x v="11"/>
    <s v="Prime Phones 507"/>
    <s v="First Class"/>
    <x v="2"/>
    <n v="7"/>
    <n v="2210.6799999999998"/>
    <n v="0.1"/>
    <n v="13927.28"/>
    <n v="10504.87"/>
    <n v="3422.41"/>
    <s v="Paid"/>
    <x v="0"/>
    <s v="Completed"/>
    <x v="0"/>
    <s v="ORD-2024-10039|06-17-2024|22-06-2024|CUST-8235|Aarav Sharma|Corporate|West|Gujarat|Ahmedabad|Technology|Phones|Prime Phones 507|First Class|7|2210.68|0.1|13927.28|10504.87|3422.41|Paid|Completed"/>
    <s v="Keep"/>
    <n v="1"/>
    <s v="Unique"/>
    <s v=""/>
    <n v="0.1"/>
    <n v="13927.284"/>
    <n v="3422.4139999999989"/>
    <n v="0.24573448778670692"/>
    <n v="6"/>
    <n v="2024"/>
    <b v="0"/>
    <b v="0"/>
    <x v="0"/>
    <s v=""/>
    <s v="Clean"/>
  </r>
  <r>
    <s v="ORD-2024-10040"/>
    <s v="12/11/2024"/>
    <x v="10"/>
    <d v="2024-12-11T00:00:00"/>
    <s v="2024-12-11"/>
    <d v="2024-12-11T00:00:00"/>
    <s v="OK"/>
    <n v="0"/>
    <s v="CUST-5830"/>
    <s v="Mira Das"/>
    <s v="Mira Das"/>
    <s v="Small Business"/>
    <x v="1"/>
    <s v="West"/>
    <x v="3"/>
    <s v="Madhya Pradesh"/>
    <s v="Madhya Pradesh"/>
    <s v="Indore"/>
    <s v="Indore"/>
    <s v="Technology"/>
    <x v="2"/>
    <s v="Copiers"/>
    <x v="6"/>
    <s v="Classic Copiers 590"/>
    <s v="First Class"/>
    <x v="2"/>
    <n v="4"/>
    <n v="1370.92"/>
    <n v="0.1"/>
    <n v="4935.3100000000004"/>
    <n v="3374.77"/>
    <n v="1560.54"/>
    <s v="Pending"/>
    <x v="2"/>
    <s v="Returned"/>
    <x v="2"/>
    <s v="ORD-2024-10040|12-11-2024|12-11-2024|CUST-5830|Mira Das|Small Business|West|Madhya Pradesh|Indore|Technology|Copiers|Classic Copiers 590|First Class|4|1370.92|0.1|4935.31|3374.77|1560.54|Pending|Returned"/>
    <s v="Keep"/>
    <n v="1"/>
    <s v="Unique"/>
    <s v=""/>
    <n v="0.1"/>
    <n v="4935.3120000000008"/>
    <n v="1560.5420000000008"/>
    <n v="0.31619925954022776"/>
    <n v="12"/>
    <n v="2024"/>
    <b v="0"/>
    <b v="0"/>
    <x v="1"/>
    <s v="Returned order excluded"/>
    <s v="Warning"/>
  </r>
  <r>
    <s v="ORD-2024-10041"/>
    <s v="10-10-2024"/>
    <x v="16"/>
    <d v="2024-10-10T00:00:00"/>
    <s v="16 Oct 2024"/>
    <d v="2024-10-16T00:00:00"/>
    <s v="OK"/>
    <n v="6"/>
    <s v="CUST-7178"/>
    <s v="Isha Nair"/>
    <s v="Isha Nair"/>
    <s v="Home Office"/>
    <x v="3"/>
    <s v="West"/>
    <x v="3"/>
    <s v="Rajasthan"/>
    <s v="Rajasthan"/>
    <s v="Udaipur"/>
    <s v="Udaipur"/>
    <s v="Technology"/>
    <x v="2"/>
    <s v="Copiers"/>
    <x v="6"/>
    <s v="Eco Copiers 865"/>
    <s v="Standard Class"/>
    <x v="3"/>
    <n v="7"/>
    <n v="2509.27"/>
    <n v="0.2"/>
    <n v="14051.91"/>
    <n v="11990.37"/>
    <n v="2061.54"/>
    <s v="Paid"/>
    <x v="0"/>
    <s v="Completed"/>
    <x v="0"/>
    <s v="ORD-2024-10041|10-10-2024|10-16-2024|CUST-7178|Isha Nair|Home Office|West|Rajasthan|Udaipur|Technology|Copiers|Eco Copiers 865|Standard Class|7|2509.27|0.2|14051.91|11990.37|2061.54|Paid|Completed"/>
    <s v="Keep"/>
    <n v="1"/>
    <s v="Unique"/>
    <s v=""/>
    <n v="0.2"/>
    <n v="14051.912"/>
    <n v="2061.5419999999995"/>
    <n v="0.14670900301681361"/>
    <n v="10"/>
    <n v="2024"/>
    <b v="0"/>
    <b v="0"/>
    <x v="0"/>
    <s v=""/>
    <s v="Clean"/>
  </r>
  <r>
    <s v="ORD-2024-10042"/>
    <s v="03/12/2024"/>
    <x v="15"/>
    <d v="2024-03-12T00:00:00"/>
    <s v="17-03-2024"/>
    <d v="2024-03-17T00:00:00"/>
    <s v="OK"/>
    <n v="5"/>
    <s v="CUST-3829"/>
    <s v="Aarav Sharma"/>
    <s v="Aarav Sharma"/>
    <s v="Small Business"/>
    <x v="1"/>
    <s v="East"/>
    <x v="1"/>
    <s v="Odisha"/>
    <s v="Odisha"/>
    <s v="Bhubaneswar"/>
    <s v="Bhubaneswar"/>
    <s v="Furniture"/>
    <x v="1"/>
    <s v="Bookcases"/>
    <x v="10"/>
    <s v="Classic Bookcases 835"/>
    <s v="Same Day"/>
    <x v="1"/>
    <n v="8"/>
    <n v="855.81"/>
    <n v="0"/>
    <n v="6846.48"/>
    <n v="4239.8900000000003"/>
    <n v="2606.59"/>
    <s v="Pending"/>
    <x v="2"/>
    <s v="Cancelled"/>
    <x v="1"/>
    <s v="ORD-2024-10042|03-12-2024|17-03-2024|CUST-3829|Aarav Sharma|Small Business|East|Odisha|Bhubaneswar|Furniture|Bookcases|Classic Bookcases 835|Same Day|8|855.81|0|6846.48|4239.89|2606.59|Pending|Cancelled"/>
    <s v="Keep"/>
    <n v="1"/>
    <s v="Unique"/>
    <s v=""/>
    <n v="0"/>
    <n v="6846.48"/>
    <n v="2606.5899999999992"/>
    <n v="0.38071972750961069"/>
    <n v="3"/>
    <n v="2024"/>
    <b v="0"/>
    <b v="0"/>
    <x v="1"/>
    <s v="Cancelled order excluded"/>
    <s v="Warning"/>
  </r>
  <r>
    <s v="ORD-2025-10043"/>
    <s v="2025-10-10"/>
    <x v="11"/>
    <d v="2025-10-10T00:00:00"/>
    <s v="15 Oct 2025"/>
    <d v="2025-10-15T00:00:00"/>
    <s v="OK"/>
    <n v="5"/>
    <s v="CUST-6708"/>
    <s v="Arjun Bose"/>
    <s v="Arjun Bose"/>
    <s v="Corporate"/>
    <x v="2"/>
    <s v="East"/>
    <x v="1"/>
    <s v="Jharkhand"/>
    <s v="Jharkhand"/>
    <s v="Ranchi"/>
    <s v="Ranchi"/>
    <s v="Technology"/>
    <x v="2"/>
    <s v="Phones"/>
    <x v="11"/>
    <s v="Eco Phones 702"/>
    <s v="Standard Class"/>
    <x v="3"/>
    <n v="8"/>
    <n v="979.87"/>
    <n v="0.05"/>
    <n v="7447.01"/>
    <n v="4496.22"/>
    <n v="2950.79"/>
    <s v="Paid"/>
    <x v="0"/>
    <s v="Completed"/>
    <x v="0"/>
    <s v="ORD-2025-10043|10-10-2025|10-15-2025|CUST-6708|Arjun Bose|Corporate|East|Jharkhand|Ranchi|Technology|Phones|Eco Phones 702|Standard Class|8|979.87|0.05|7447.01|4496.22|2950.79|Paid|Completed"/>
    <s v="Keep"/>
    <n v="1"/>
    <s v="Unique"/>
    <s v=""/>
    <n v="0.05"/>
    <n v="7447.0119999999997"/>
    <n v="2950.7919999999995"/>
    <n v="0.39623838393170302"/>
    <n v="10"/>
    <n v="2025"/>
    <b v="0"/>
    <b v="0"/>
    <x v="0"/>
    <s v=""/>
    <s v="Clean"/>
  </r>
  <r>
    <s v="ORD-2024-10044"/>
    <s v="07/08/2024"/>
    <x v="0"/>
    <d v="2024-07-08T00:00:00"/>
    <s v="07/14/2024"/>
    <d v="2024-07-14T00:00:00"/>
    <s v="OK"/>
    <n v="6"/>
    <s v="CUST-7119"/>
    <s v="Priya Menon"/>
    <s v="Priya Menon"/>
    <s v="Small Business"/>
    <x v="1"/>
    <s v="East"/>
    <x v="1"/>
    <s v="Odisha"/>
    <s v="Odisha"/>
    <s v="Bhubaneswar"/>
    <s v="Bhubaneswar"/>
    <s v="Furniture"/>
    <x v="1"/>
    <s v="Furnishings"/>
    <x v="3"/>
    <s v="Smart Furnishings 956"/>
    <s v="Same Day"/>
    <x v="1"/>
    <n v="3"/>
    <n v="1010.23"/>
    <n v="0"/>
    <n v="3030.69"/>
    <n v="1721.08"/>
    <n v="1309.6099999999999"/>
    <s v="Paid"/>
    <x v="0"/>
    <s v="Completed"/>
    <x v="0"/>
    <s v="ORD-2024-10044|07-08-2024|07-14-2024|CUST-7119|Priya Menon|Small Business|East|Odisha|Bhubaneswar|Furniture|Furnishings|Smart Furnishings 956|Same Day|3|1010.23|0|3030.69|1721.08|1309.61|Paid|Completed"/>
    <s v="Keep"/>
    <n v="1"/>
    <s v="Unique"/>
    <s v=""/>
    <n v="0"/>
    <n v="3030.69"/>
    <n v="1309.6100000000001"/>
    <n v="0.43211611877163292"/>
    <n v="7"/>
    <n v="2024"/>
    <b v="0"/>
    <b v="0"/>
    <x v="0"/>
    <s v=""/>
    <s v="Clean"/>
  </r>
  <r>
    <s v="ORD-2024-10045"/>
    <s v="06/22/2024"/>
    <x v="2"/>
    <d v="2024-06-22T00:00:00"/>
    <s v="25-06-2024"/>
    <d v="2024-06-25T00:00:00"/>
    <s v="OK"/>
    <n v="3"/>
    <s v="CUST-3373"/>
    <s v="Rohan Mehta"/>
    <s v="Rohan Mehta"/>
    <s v="Small Business"/>
    <x v="1"/>
    <s v="North"/>
    <x v="0"/>
    <s v="Haryana"/>
    <s v="Haryana"/>
    <s v="Gurugram"/>
    <s v="Gurugram"/>
    <s v="Furniture"/>
    <x v="1"/>
    <s v="Chairs"/>
    <x v="4"/>
    <s v="Max Chairs 393"/>
    <s v="Standard Class"/>
    <x v="3"/>
    <n v="9"/>
    <n v="3329.77"/>
    <n v="0.1"/>
    <n v="26971.14"/>
    <n v="17376.2"/>
    <n v="9594.94"/>
    <s v="Paid"/>
    <x v="0"/>
    <s v="Completed"/>
    <x v="0"/>
    <s v="ORD-2024-10045|06-22-2024|25-06-2024|CUST-3373|Rohan Mehta|Small Business|North|Haryana|Gurugram|Furniture|Chairs|Max Chairs 393|Standard Class|9|3329.77|0.1|26971.14|17376.2|9594.94|Paid|Completed"/>
    <s v="Keep"/>
    <n v="1"/>
    <s v="Unique"/>
    <s v=""/>
    <n v="0.1"/>
    <n v="26971.137000000002"/>
    <n v="9594.9370000000017"/>
    <n v="0.35574833200394929"/>
    <n v="6"/>
    <n v="2024"/>
    <b v="0"/>
    <b v="0"/>
    <x v="0"/>
    <s v=""/>
    <s v="Clean"/>
  </r>
  <r>
    <s v="ORD-2024-10046"/>
    <s v="18 Jan 2024"/>
    <x v="12"/>
    <d v="2024-01-18T00:00:00"/>
    <s v="24-01-2024"/>
    <d v="2024-01-24T00:00:00"/>
    <s v="OK"/>
    <n v="6"/>
    <s v="CUST-8896"/>
    <s v="Isha Nair"/>
    <s v="Isha Nair"/>
    <s v="Home Office"/>
    <x v="3"/>
    <s v="East"/>
    <x v="1"/>
    <s v="Bihar"/>
    <s v="Bihar"/>
    <s v="Patna"/>
    <s v="Patna"/>
    <s v="Office Supplies"/>
    <x v="0"/>
    <s v="Art"/>
    <x v="2"/>
    <s v="Prime Art 221"/>
    <s v="Second Class"/>
    <x v="0"/>
    <n v="8"/>
    <n v="3927.82"/>
    <n v="0.05"/>
    <n v="29851.43"/>
    <n v="17487.48"/>
    <n v="12363.95"/>
    <s v="Pending"/>
    <x v="2"/>
    <s v="Returned"/>
    <x v="2"/>
    <s v="ORD-2024-10046|01-18-2024|24-01-2024|CUST-8896|Isha Nair|Home Office|East|Bihar|Patna|Office Supplies|Art|Prime Art 221|Second Class|8|3927.82|0.05|29851.43|17487.48|12363.95|Pending|Returned"/>
    <s v="Keep"/>
    <n v="1"/>
    <s v="Unique"/>
    <s v=""/>
    <n v="0.05"/>
    <n v="29851.432000000001"/>
    <n v="12363.952000000001"/>
    <n v="0.41418287739094062"/>
    <n v="1"/>
    <n v="2024"/>
    <b v="0"/>
    <b v="0"/>
    <x v="1"/>
    <s v="Returned order excluded"/>
    <s v="Warning"/>
  </r>
  <r>
    <s v="ORD-2024-10047"/>
    <s v="19-07-2024"/>
    <x v="0"/>
    <d v="2024-07-19T00:00:00"/>
    <s v="19-07-2024"/>
    <d v="2024-07-19T00:00:00"/>
    <s v="OK"/>
    <n v="0"/>
    <s v="CUST-8517"/>
    <s v="Ananya Rao"/>
    <s v="Ananya Rao"/>
    <s v="Small Business"/>
    <x v="1"/>
    <s v="South"/>
    <x v="2"/>
    <s v="Kerala"/>
    <s v="Kerala"/>
    <s v="Kochi"/>
    <s v="Kochi"/>
    <s v="Furniture"/>
    <x v="1"/>
    <s v="Bookcases"/>
    <x v="10"/>
    <s v="Elite Bookcases 671"/>
    <s v="Standard Class"/>
    <x v="3"/>
    <n v="9"/>
    <n v="2386.79"/>
    <n v="0.25"/>
    <n v="16110.83"/>
    <n v="10680.03"/>
    <n v="5430.8"/>
    <s v="Refunded"/>
    <x v="1"/>
    <s v="Returned"/>
    <x v="2"/>
    <s v="ORD-2024-10047|19-07-2024|19-07-2024|CUST-8517|Ananya Rao|Small Business|South|Kerala|Kochi|Furniture|Bookcases|Elite Bookcases 671|Standard Class|9|2386.79|0.25|16110.83|10680.03|5430.8|Refunded|Returned"/>
    <s v="Keep"/>
    <n v="1"/>
    <s v="Unique"/>
    <s v=""/>
    <n v="0.25"/>
    <n v="16110.8325"/>
    <n v="5430.8024999999998"/>
    <n v="0.33709012243780695"/>
    <n v="7"/>
    <n v="2024"/>
    <b v="0"/>
    <b v="0"/>
    <x v="1"/>
    <s v="Refunded order summarized separately; Returned order excluded"/>
    <s v="Warning"/>
  </r>
  <r>
    <s v="ORD-2024-10048"/>
    <s v="12-08-2024"/>
    <x v="1"/>
    <d v="2024-08-12T00:00:00"/>
    <s v="2024-08-12"/>
    <d v="2024-08-12T00:00:00"/>
    <s v="OK"/>
    <n v="0"/>
    <s v="CUST-1987"/>
    <s v="Rahul Verma"/>
    <s v="Rahul Verma"/>
    <s v="Corporate"/>
    <x v="2"/>
    <s v="South"/>
    <x v="2"/>
    <s v="Tamil Nadu"/>
    <s v="Tamil Nadu"/>
    <s v="Chennai"/>
    <s v="Chennai"/>
    <s v="Office Supplies"/>
    <x v="0"/>
    <s v="Storage"/>
    <x v="8"/>
    <s v="Max Storage 432"/>
    <s v="Standard Class"/>
    <x v="3"/>
    <n v="8"/>
    <n v="2445.31"/>
    <n v="0.1"/>
    <n v="17606.23"/>
    <n v="12438.96"/>
    <n v="5167.2700000000004"/>
    <s v="Paid"/>
    <x v="0"/>
    <s v="Completed"/>
    <x v="0"/>
    <s v="ORD-2024-10048|12-08-2024|08-12-2024|CUST-1987|Rahul Verma|Corporate|South|Tamil Nadu|Chennai|Office Supplies|Storage|Max Storage 432|Standard Class|8|2445.31|0.1|17606.23|12438.96|5167.27|Paid|Completed"/>
    <s v="Keep"/>
    <n v="1"/>
    <s v="Unique"/>
    <s v=""/>
    <n v="0.1"/>
    <n v="17606.232"/>
    <n v="5167.2720000000008"/>
    <n v="0.29349107747756592"/>
    <n v="8"/>
    <n v="2024"/>
    <b v="0"/>
    <b v="0"/>
    <x v="0"/>
    <s v=""/>
    <s v="Clean"/>
  </r>
  <r>
    <s v="ORD-2025-10049"/>
    <s v="30 Jan 2025"/>
    <x v="14"/>
    <d v="2025-01-30T00:00:00"/>
    <s v="05 Feb 2025"/>
    <d v="2025-02-05T00:00:00"/>
    <s v="OK"/>
    <n v="6"/>
    <s v="CUST-8183"/>
    <s v="Neha Gupta"/>
    <s v="Neha Gupta"/>
    <s v="Corporate"/>
    <x v="2"/>
    <s v="West"/>
    <x v="3"/>
    <s v="Maharashtra"/>
    <s v="Maharashtra"/>
    <s v="Mumbai"/>
    <s v="Mumbai"/>
    <s v="Furniture"/>
    <x v="1"/>
    <s v="Chairs"/>
    <x v="4"/>
    <s v="Basic Chairs 837"/>
    <s v="Second Class "/>
    <x v="0"/>
    <n v="7"/>
    <n v="4063.66"/>
    <n v="0"/>
    <n v="28445.62"/>
    <n v="20938.59"/>
    <n v="7507.03"/>
    <s v="Paid"/>
    <x v="0"/>
    <s v="Completed"/>
    <x v="0"/>
    <s v="ORD-2025-10049|01-30-2025|02-05-2025|CUST-8183|Neha Gupta|Corporate|West|Maharashtra|Mumbai|Furniture|Chairs|Basic Chairs 837|Second Class |7|4063.66|0|28445.62|20938.59|7507.03|Paid|Completed"/>
    <s v="Keep"/>
    <n v="1"/>
    <s v="Unique"/>
    <s v=""/>
    <n v="0"/>
    <n v="28445.62"/>
    <n v="7507.0299999999988"/>
    <n v="0.26390811660986818"/>
    <n v="1"/>
    <n v="2025"/>
    <b v="0"/>
    <b v="0"/>
    <x v="0"/>
    <s v=""/>
    <s v="Clean"/>
  </r>
  <r>
    <s v="ORD-2024-10050"/>
    <s v="2024-04-06"/>
    <x v="19"/>
    <d v="2024-04-06T00:00:00"/>
    <s v="13 Apr 2024"/>
    <d v="2024-04-13T00:00:00"/>
    <s v="OK"/>
    <n v="7"/>
    <s v="CUST-2380"/>
    <s v="Aarav Sharma"/>
    <s v="Aarav Sharma"/>
    <s v="Home Office"/>
    <x v="3"/>
    <s v="North"/>
    <x v="0"/>
    <s v="Uttar Pradesh"/>
    <s v="Uttar Pradesh"/>
    <s v="Noida"/>
    <s v="Noida"/>
    <s v="Technology"/>
    <x v="2"/>
    <s v="Copiers"/>
    <x v="6"/>
    <s v="Classic Copiers 295"/>
    <s v="Second Class"/>
    <x v="0"/>
    <n v="9"/>
    <n v="792.11"/>
    <n v="0.05"/>
    <n v="6772.54"/>
    <n v="5755.46"/>
    <n v="1017.08"/>
    <s v="Paid"/>
    <x v="0"/>
    <s v="Completed"/>
    <x v="0"/>
    <s v="ORD-2024-10050|04-06-2024|04-13-2024|CUST-2380|Aarav Sharma|Home Office|North|Uttar Pradesh|Noida|Technology|Copiers|Classic Copiers 295|Second Class|9|792.11|0.05|6772.54|5755.46|1017.08|Paid|Completed"/>
    <s v="Keep"/>
    <n v="1"/>
    <s v="Unique"/>
    <s v=""/>
    <n v="0.05"/>
    <n v="6772.5404999999992"/>
    <n v="1017.0804999999991"/>
    <n v="0.15017710119267641"/>
    <n v="4"/>
    <n v="2024"/>
    <b v="0"/>
    <b v="0"/>
    <x v="0"/>
    <s v=""/>
    <s v="Clean"/>
  </r>
  <r>
    <s v="ORD-2025-10051"/>
    <s v="05/11/2025"/>
    <x v="9"/>
    <d v="2025-05-11T00:00:00"/>
    <s v="19 May 2025"/>
    <d v="2025-05-19T00:00:00"/>
    <s v="OK"/>
    <n v="8"/>
    <s v="CUST-8787"/>
    <s v="Sneha Kapoor"/>
    <s v="Sneha Kapoor"/>
    <s v="Consumer"/>
    <x v="0"/>
    <s v="East"/>
    <x v="1"/>
    <s v="West Bengal"/>
    <s v="West Bengal"/>
    <s v="Kolkata"/>
    <s v="Kolkata"/>
    <s v="Technology"/>
    <x v="2"/>
    <s v="Copiers"/>
    <x v="6"/>
    <s v="Pro Copiers 963"/>
    <s v="Standard Class"/>
    <x v="3"/>
    <n v="1"/>
    <n v="2382.8000000000002"/>
    <n v="0.15"/>
    <n v="2025.38"/>
    <n v="1140.6500000000001"/>
    <n v="884.73"/>
    <s v="Paid"/>
    <x v="0"/>
    <s v="Completed"/>
    <x v="0"/>
    <s v="ORD-2025-10051|05-11-2025|05-19-2025|CUST-8787|Sneha Kapoor|Consumer|East|West Bengal|Kolkata|Technology|Copiers|Pro Copiers 963|Standard Class|1|2382.8|0.15|2025.38|1140.65|884.73|Paid|Completed"/>
    <s v="Keep"/>
    <n v="1"/>
    <s v="Unique"/>
    <s v=""/>
    <n v="0.15"/>
    <n v="2025.38"/>
    <n v="884.73"/>
    <n v="0.43682173221815163"/>
    <n v="5"/>
    <n v="2025"/>
    <b v="0"/>
    <b v="0"/>
    <x v="0"/>
    <s v=""/>
    <s v="Clean"/>
  </r>
  <r>
    <s v="ORD-2024-10052"/>
    <s v="24 Apr 2024"/>
    <x v="19"/>
    <d v="2024-04-24T00:00:00"/>
    <s v="29 Apr 2024"/>
    <d v="2024-04-29T00:00:00"/>
    <s v="OK"/>
    <n v="5"/>
    <s v="CUST-3557"/>
    <s v="Ananya Rao "/>
    <s v="Ananya Rao"/>
    <s v="Corporate"/>
    <x v="2"/>
    <s v="South"/>
    <x v="2"/>
    <s v="Telangana"/>
    <s v="Telangana"/>
    <s v="Hyderabad"/>
    <s v="Hyderabad"/>
    <s v="Office Supplies"/>
    <x v="0"/>
    <s v="Art"/>
    <x v="2"/>
    <s v="Pro Art 907"/>
    <s v="Standard Class"/>
    <x v="3"/>
    <n v="6"/>
    <n v="1528.08"/>
    <n v="0"/>
    <n v="9168.48"/>
    <n v="7439.77"/>
    <n v="1728.71"/>
    <s v="Paid"/>
    <x v="0"/>
    <s v="Completed"/>
    <x v="0"/>
    <s v="ORD-2024-10052|04-24-2024|04-29-2024|CUST-3557|Ananya Rao |Corporate|South|Telangana|Hyderabad|Office Supplies|Art|Pro Art 907|Standard Class|6|1528.08|0|9168.48|7439.77|1728.71|Paid|Completed"/>
    <s v="Keep"/>
    <n v="1"/>
    <s v="Unique"/>
    <s v=""/>
    <n v="0"/>
    <n v="9168.48"/>
    <n v="1728.7099999999991"/>
    <n v="0.18854924698532355"/>
    <n v="4"/>
    <n v="2024"/>
    <b v="0"/>
    <b v="0"/>
    <x v="0"/>
    <s v=""/>
    <s v="Clean"/>
  </r>
  <r>
    <s v="ORD-2024-10053"/>
    <s v="26-10-2024"/>
    <x v="16"/>
    <d v="2024-10-26T00:00:00"/>
    <s v="2024-10-28"/>
    <d v="2024-10-28T00:00:00"/>
    <s v="OK"/>
    <n v="2"/>
    <s v="CUST-2778"/>
    <s v="Kabir Singh"/>
    <s v="Kabir Singh"/>
    <s v="Small Business"/>
    <x v="1"/>
    <s v="North"/>
    <x v="0"/>
    <s v="Rajasthan"/>
    <s v="Rajasthan"/>
    <s v="Jaipur"/>
    <s v="Jaipur"/>
    <s v="Furniture"/>
    <x v="1"/>
    <s v="Chairs"/>
    <x v="4"/>
    <s v="Pro Chairs 526"/>
    <s v="First Class"/>
    <x v="2"/>
    <n v="9"/>
    <n v="1399.63"/>
    <n v="0"/>
    <n v="12596.67"/>
    <n v="10603.29"/>
    <n v="1993.38"/>
    <s v="Failed"/>
    <x v="3"/>
    <s v="Cancelled"/>
    <x v="1"/>
    <s v="ORD-2024-10053|26-10-2024|10-28-2024|CUST-2778|Kabir Singh|Small Business|North|Rajasthan|Jaipur|Furniture|Chairs|Pro Chairs 526|First Class|9|1399.63|0|12596.67|10603.29|1993.38|Failed|Cancelled"/>
    <s v="Keep"/>
    <n v="1"/>
    <s v="Unique"/>
    <s v=""/>
    <n v="0"/>
    <n v="12596.670000000002"/>
    <n v="1993.380000000001"/>
    <n v="0.15824658421630483"/>
    <n v="10"/>
    <n v="2024"/>
    <b v="0"/>
    <b v="0"/>
    <x v="1"/>
    <s v="Failed payment excluded; Cancelled order excluded"/>
    <s v="Warning"/>
  </r>
  <r>
    <s v="ORD-2025-10054"/>
    <s v="31 Mar 2025"/>
    <x v="20"/>
    <d v="2025-03-31T00:00:00"/>
    <s v="2025-03-31"/>
    <d v="2025-03-31T00:00:00"/>
    <s v="OK"/>
    <n v="0"/>
    <s v="CUST-7195"/>
    <s v="Kabir Singh"/>
    <s v="Kabir Singh"/>
    <s v="Home Office"/>
    <x v="3"/>
    <s v="West"/>
    <x v="3"/>
    <s v="Gujarat"/>
    <s v="Gujarat"/>
    <s v="Ahmedabad"/>
    <s v="Ahmedabad"/>
    <s v="Office Supplies"/>
    <x v="0"/>
    <s v="Storage"/>
    <x v="8"/>
    <s v="Elite Storage 924"/>
    <s v="First Class"/>
    <x v="2"/>
    <n v="5"/>
    <n v="1207.47"/>
    <n v="0.15"/>
    <n v="5131.75"/>
    <n v="2838.68"/>
    <n v="2293.0700000000002"/>
    <s v="Paid"/>
    <x v="0"/>
    <s v="Completed"/>
    <x v="0"/>
    <s v="ORD-2025-10054|03-31-2025|03-31-2025|CUST-7195|Kabir Singh|Home Office|West|Gujarat|Ahmedabad|Office Supplies|Storage|Elite Storage 924|First Class|5|1207.47|0.15|5131.75|2838.68|2293.07|Paid|Completed"/>
    <s v="Keep"/>
    <n v="1"/>
    <s v="Unique"/>
    <s v=""/>
    <n v="0.15"/>
    <n v="5131.7475000000004"/>
    <n v="2293.0675000000006"/>
    <n v="0.44683950252813498"/>
    <n v="3"/>
    <n v="2025"/>
    <b v="0"/>
    <b v="0"/>
    <x v="0"/>
    <s v=""/>
    <s v="Clean"/>
  </r>
  <r>
    <s v="ORD-2025-10055"/>
    <s v="30 May 2025"/>
    <x v="9"/>
    <d v="2025-05-30T00:00:00"/>
    <s v="2025-06-02"/>
    <d v="2025-06-02T00:00:00"/>
    <s v="OK"/>
    <n v="3"/>
    <s v="CUST-9039"/>
    <s v="Arjun Bose"/>
    <s v="Arjun Bose"/>
    <s v="Corporate"/>
    <x v="2"/>
    <s v="South"/>
    <x v="2"/>
    <s v="Tamil Nadu"/>
    <s v="Tamil Nadu"/>
    <s v="Chennai"/>
    <s v="Chennai"/>
    <s v="Office Supplies"/>
    <x v="0"/>
    <s v="Labels"/>
    <x v="7"/>
    <s v="Pro Labels 957"/>
    <s v="Same Day"/>
    <x v="1"/>
    <n v="8"/>
    <n v="474.37"/>
    <n v="0.1"/>
    <n v="3415.46"/>
    <n v="1993.23"/>
    <n v="1422.23"/>
    <s v="Failed"/>
    <x v="3"/>
    <s v="Cancelled"/>
    <x v="1"/>
    <s v="ORD-2025-10055|05-30-2025|06-02-2025|CUST-9039|Arjun Bose|Corporate|South|Tamil Nadu|Chennai|Office Supplies|Labels|Pro Labels 957|Same Day|8|474.37|0.1|3415.46|1993.23|1422.23|Failed|Cancelled"/>
    <s v="Keep"/>
    <n v="1"/>
    <s v="Unique"/>
    <s v=""/>
    <n v="0.1"/>
    <n v="3415.4639999999999"/>
    <n v="1422.2339999999999"/>
    <n v="0.4164101861416194"/>
    <n v="5"/>
    <n v="2025"/>
    <b v="0"/>
    <b v="0"/>
    <x v="1"/>
    <s v="Failed payment excluded; Cancelled order excluded"/>
    <s v="Warning"/>
  </r>
  <r>
    <s v="ORD-2025-10056"/>
    <s v="01-07-2025"/>
    <x v="13"/>
    <d v="2025-07-01T00:00:00"/>
    <s v="03-07-2025"/>
    <d v="2025-07-03T00:00:00"/>
    <s v="OK"/>
    <n v="2"/>
    <s v="CUST-9821"/>
    <s v="Mira Das"/>
    <s v="Mira Das"/>
    <s v="Small Business"/>
    <x v="1"/>
    <s v="South"/>
    <x v="2"/>
    <s v="Andhra Pradesh"/>
    <s v="Andhra Pradesh"/>
    <s v="Vijayawada"/>
    <s v="Vijayawada"/>
    <s v="Technology"/>
    <x v="2"/>
    <s v="Machines"/>
    <x v="12"/>
    <s v="Classic Machines 310"/>
    <s v="Same Day"/>
    <x v="1"/>
    <n v="3"/>
    <n v="1516.24"/>
    <n v="0.25"/>
    <n v="3411.54"/>
    <n v="2803.13"/>
    <n v="608.41"/>
    <s v="Paid"/>
    <x v="0"/>
    <s v="Completed"/>
    <x v="0"/>
    <s v="ORD-2025-10056|01-07-2025|03-07-2025|CUST-9821|Mira Das|Small Business|South|Andhra Pradesh|Vijayawada|Technology|Machines|Classic Machines 310|Same Day|3|1516.24|0.25|3411.54|2803.13|608.41|Paid|Completed"/>
    <s v="Keep"/>
    <n v="1"/>
    <s v="Unique"/>
    <s v=""/>
    <n v="0.25"/>
    <n v="3411.54"/>
    <n v="608.40999999999985"/>
    <n v="0.17833881472883209"/>
    <n v="7"/>
    <n v="2025"/>
    <b v="0"/>
    <b v="0"/>
    <x v="0"/>
    <s v=""/>
    <s v="Clean"/>
  </r>
  <r>
    <s v="ORD-2025-10057"/>
    <s v="2025-01-05"/>
    <x v="14"/>
    <d v="2025-01-05T00:00:00"/>
    <s v="06-01-2025"/>
    <d v="2025-01-06T00:00:00"/>
    <s v="OK"/>
    <n v="1"/>
    <s v="CUST-8701"/>
    <s v="Karan Malhotra"/>
    <s v="Karan Malhotra"/>
    <s v="Consumer"/>
    <x v="0"/>
    <s v="South"/>
    <x v="2"/>
    <s v="Karnataka"/>
    <s v="Karnataka"/>
    <s v="Bengaluru"/>
    <s v="Bengaluru"/>
    <s v="Office Supplies"/>
    <x v="0"/>
    <s v="Binders"/>
    <x v="9"/>
    <s v="Smart Binders 393"/>
    <s v="Second Class"/>
    <x v="0"/>
    <n v="3"/>
    <n v="3155.61"/>
    <n v="0"/>
    <n v="9466.83"/>
    <n v="6557.83"/>
    <n v="2909"/>
    <s v="Refunded"/>
    <x v="1"/>
    <s v="Cancelled"/>
    <x v="1"/>
    <s v="ORD-2025-10057|01-05-2025|06-01-2025|CUST-8701|Karan Malhotra|Consumer|South|Karnataka|Bengaluru|Office Supplies|Binders|Smart Binders 393|Second Class|3|3155.61|0|9466.83|6557.83|2909|Refunded|Cancelled"/>
    <s v="Keep"/>
    <n v="1"/>
    <s v="Unique"/>
    <s v=""/>
    <n v="0"/>
    <n v="9466.83"/>
    <n v="2909"/>
    <n v="0.30728343067320318"/>
    <n v="1"/>
    <n v="2025"/>
    <b v="0"/>
    <b v="0"/>
    <x v="1"/>
    <s v="Refunded order summarized separately; Cancelled order excluded"/>
    <s v="Warning"/>
  </r>
  <r>
    <s v="ORD-2024-10058"/>
    <s v="2024-02-07"/>
    <x v="17"/>
    <d v="2024-02-07T00:00:00"/>
    <s v="15 Feb 2024"/>
    <d v="2024-02-15T00:00:00"/>
    <s v="OK"/>
    <n v="8"/>
    <s v="CUST-9941"/>
    <s v="Priya Menon"/>
    <s v="Priya Menon"/>
    <s v="Consumer"/>
    <x v="0"/>
    <s v="West"/>
    <x v="3"/>
    <s v="Goa"/>
    <s v="Goa"/>
    <s v="Panaji"/>
    <s v="Panaji"/>
    <s v="Furniture"/>
    <x v="1"/>
    <s v="Chairs"/>
    <x v="4"/>
    <s v="Max Chairs 813"/>
    <s v="Same Day"/>
    <x v="1"/>
    <n v="5"/>
    <n v="255.87"/>
    <n v="0"/>
    <n v="1279.3499999999999"/>
    <n v="1091.54"/>
    <n v="187.81"/>
    <s v="Paid"/>
    <x v="0"/>
    <s v="Completed"/>
    <x v="0"/>
    <s v="ORD-2024-10058|02-07-2024|02-15-2024|CUST-9941|Priya Menon|Consumer|West|Goa|Panaji|Furniture|Chairs|Max Chairs 813|Same Day|5|255.87|0|1279.35|1091.54|187.81|Paid|Completed"/>
    <s v="Keep"/>
    <n v="1"/>
    <s v="Unique"/>
    <s v=""/>
    <n v="0"/>
    <n v="1279.3499999999999"/>
    <n v="187.80999999999995"/>
    <n v="0.14680110993864068"/>
    <n v="2"/>
    <n v="2024"/>
    <b v="0"/>
    <b v="0"/>
    <x v="0"/>
    <s v=""/>
    <s v="Clean"/>
  </r>
  <r>
    <s v="ORD-2024-10059"/>
    <s v="2024-09-01"/>
    <x v="21"/>
    <d v="2024-09-01T00:00:00"/>
    <s v="2024-09-07"/>
    <d v="2024-09-07T00:00:00"/>
    <s v="OK"/>
    <n v="6"/>
    <s v="CUST-3983"/>
    <s v="Isha Nair"/>
    <s v="Isha Nair"/>
    <s v="Home Office"/>
    <x v="3"/>
    <s v="North"/>
    <x v="0"/>
    <s v="Rajasthan"/>
    <s v="Rajasthan"/>
    <s v="Jaipur"/>
    <s v="Jaipur"/>
    <s v="Office Supplies"/>
    <x v="0"/>
    <s v="Storage"/>
    <x v="8"/>
    <s v="Basic Storage 872"/>
    <m/>
    <x v="4"/>
    <n v="9"/>
    <n v="1389.48"/>
    <n v="0.1"/>
    <n v="11254.79"/>
    <n v="6578.06"/>
    <n v="4676.7299999999996"/>
    <s v="Pending"/>
    <x v="2"/>
    <s v="Returned"/>
    <x v="2"/>
    <s v="ORD-2024-10059|09-01-2024|09-07-2024|CUST-3983|Isha Nair|Home Office|North|Rajasthan|Jaipur|Office Supplies|Storage|Basic Storage 872||9|1389.48|0.1|11254.79|6578.06|4676.73|Pending|Returned"/>
    <s v="Keep"/>
    <n v="1"/>
    <s v="Unique"/>
    <s v=""/>
    <n v="0.1"/>
    <n v="11254.788"/>
    <n v="4676.7280000000001"/>
    <n v="0.41553230500654476"/>
    <n v="9"/>
    <n v="2024"/>
    <b v="0"/>
    <b v="0"/>
    <x v="1"/>
    <s v="Missing ship mode filled as Unknown; Returned order excluded"/>
    <s v="Warning"/>
  </r>
  <r>
    <s v="ORD-2024-10060"/>
    <s v="20-07-2024"/>
    <x v="0"/>
    <d v="2024-07-20T00:00:00"/>
    <s v="25 Jul 2024"/>
    <d v="2024-07-25T00:00:00"/>
    <s v="OK"/>
    <n v="5"/>
    <s v="CUST-2418"/>
    <s v="Priya Menon"/>
    <s v="Priya Menon"/>
    <s v="Corporate"/>
    <x v="2"/>
    <s v="East"/>
    <x v="1"/>
    <s v="Assam"/>
    <s v="Assam"/>
    <s v="Guwahati"/>
    <s v="Guwahati"/>
    <s v="Office Supplies"/>
    <x v="0"/>
    <s v="Labels"/>
    <x v="7"/>
    <s v="Smart Labels 655"/>
    <s v="Same Day"/>
    <x v="1"/>
    <n v="5"/>
    <n v="4133.8500000000004"/>
    <n v="0.2"/>
    <n v="16535.400000000001"/>
    <n v="12990.21"/>
    <n v="3545.19"/>
    <s v="Paid"/>
    <x v="0"/>
    <s v="Cancelled"/>
    <x v="1"/>
    <s v="ORD-2024-10060|20-07-2024|07-25-2024|CUST-2418|Priya Menon|Corporate|East|Assam|Guwahati|Office Supplies|Labels|Smart Labels 655|Same Day|5|4133.85|0.2|16535.4|12990.21|3545.19|Paid|Cancelled"/>
    <s v="Keep"/>
    <n v="1"/>
    <s v="Unique"/>
    <s v=""/>
    <n v="0.2"/>
    <n v="16535.400000000001"/>
    <n v="3545.1900000000023"/>
    <n v="0.21440001451431487"/>
    <n v="7"/>
    <n v="2024"/>
    <b v="0"/>
    <b v="0"/>
    <x v="1"/>
    <s v="Cancelled order excluded"/>
    <s v="Warning"/>
  </r>
  <r>
    <s v="ORD-2024-10061"/>
    <s v="07/13/2024"/>
    <x v="0"/>
    <d v="2024-07-13T00:00:00"/>
    <s v="2024-07-19"/>
    <d v="2024-07-19T00:00:00"/>
    <s v="OK"/>
    <n v="6"/>
    <s v="CUST-2892"/>
    <s v="Ananya Rao"/>
    <s v="Ananya Rao"/>
    <s v="Corporate"/>
    <x v="2"/>
    <s v="East"/>
    <x v="1"/>
    <s v="Assam"/>
    <s v="Assam"/>
    <s v="Guwahati"/>
    <s v="Guwahati"/>
    <s v="Office Supplies"/>
    <x v="0"/>
    <s v="Labels"/>
    <x v="7"/>
    <s v="Eco Labels 210"/>
    <s v="Same Day"/>
    <x v="1"/>
    <n v="3"/>
    <n v="275.76"/>
    <n v="0.2"/>
    <n v="661.82"/>
    <n v="481.47"/>
    <n v="180.35"/>
    <s v="Refunded"/>
    <x v="1"/>
    <s v="Cancelled"/>
    <x v="1"/>
    <s v="ORD-2024-10061|07-13-2024|07-19-2024|CUST-2892|Ananya Rao|Corporate|East|Assam|Guwahati|Office Supplies|Labels|Eco Labels 210|Same Day|3|275.76|0.2|661.82|481.47|180.35|Refunded|Cancelled"/>
    <s v="Keep"/>
    <n v="1"/>
    <s v="Unique"/>
    <s v=""/>
    <n v="0.2"/>
    <n v="661.82400000000007"/>
    <n v="180.35400000000004"/>
    <n v="0.27251051639106472"/>
    <n v="7"/>
    <n v="2024"/>
    <b v="0"/>
    <b v="0"/>
    <x v="1"/>
    <s v="Refunded order summarized separately; Cancelled order excluded"/>
    <s v="Warning"/>
  </r>
  <r>
    <s v="ORD-2024-10062"/>
    <s v="16 Apr 2024"/>
    <x v="19"/>
    <d v="2024-04-16T00:00:00"/>
    <s v="04/16/2024"/>
    <d v="2024-04-16T00:00:00"/>
    <s v="OK"/>
    <n v="0"/>
    <s v="CUST-7008"/>
    <s v="Vikram Iyer"/>
    <s v="Vikram Iyer"/>
    <s v="Home Office"/>
    <x v="3"/>
    <s v="East"/>
    <x v="1"/>
    <s v="Bihar"/>
    <s v="Bihar"/>
    <s v="Patna"/>
    <s v="Patna"/>
    <s v="Furniture"/>
    <x v="1"/>
    <s v="Bookcases"/>
    <x v="10"/>
    <s v="Classic Bookcases 296"/>
    <s v="Standard Class"/>
    <x v="3"/>
    <n v="1"/>
    <n v="949.59"/>
    <n v="0"/>
    <n v="949.59"/>
    <n v="751.25"/>
    <n v="198.34"/>
    <s v="Paid"/>
    <x v="0"/>
    <s v="Completed"/>
    <x v="0"/>
    <s v="ORD-2024-10062|04-16-2024|04-16-2024|CUST-7008|Vikram Iyer|Home Office|East|Bihar|Patna|Furniture|Bookcases|Classic Bookcases 296|Standard Class|1|949.59|0|949.59|751.25|198.34|Paid|Completed"/>
    <s v="Keep"/>
    <n v="1"/>
    <s v="Unique"/>
    <s v=""/>
    <n v="0"/>
    <n v="949.59"/>
    <n v="198.34000000000003"/>
    <n v="0.20886909087079689"/>
    <n v="4"/>
    <n v="2024"/>
    <b v="0"/>
    <b v="0"/>
    <x v="0"/>
    <s v=""/>
    <s v="Clean"/>
  </r>
  <r>
    <s v="ORD-2024-10063"/>
    <s v="30 Oct 2024"/>
    <x v="16"/>
    <d v="2024-10-30T00:00:00"/>
    <s v="02-11-2024"/>
    <d v="2024-11-02T00:00:00"/>
    <s v="OK"/>
    <n v="3"/>
    <s v="CUST-4900"/>
    <s v="Sneha Kapoor"/>
    <s v="Sneha Kapoor"/>
    <s v="Home Office"/>
    <x v="3"/>
    <s v="North"/>
    <x v="0"/>
    <s v="Rajasthan"/>
    <s v="Rajasthan"/>
    <s v="Jaipur"/>
    <s v="Jaipur"/>
    <s v="Technology"/>
    <x v="2"/>
    <s v="Phones"/>
    <x v="11"/>
    <s v="Basic Phones 230"/>
    <s v="Standard Class"/>
    <x v="3"/>
    <n v="9"/>
    <n v="3042.29"/>
    <n v="0.2"/>
    <n v="21904.49"/>
    <n v="13570.55"/>
    <n v="8333.94"/>
    <s v="Paid"/>
    <x v="0"/>
    <s v="Completed"/>
    <x v="0"/>
    <s v="ORD-2024-10063|10-30-2024|02-11-2024|CUST-4900|Sneha Kapoor|Home Office|North|Rajasthan|Jaipur|Technology|Phones|Basic Phones 230|Standard Class|9|3042.29|0.2|21904.49|13570.55|8333.94|Paid|Completed"/>
    <s v="Keep"/>
    <n v="1"/>
    <s v="Unique"/>
    <s v=""/>
    <n v="0.2"/>
    <n v="21904.488000000001"/>
    <n v="8333.9380000000019"/>
    <n v="0.38046714445003244"/>
    <n v="10"/>
    <n v="2024"/>
    <b v="0"/>
    <b v="0"/>
    <x v="0"/>
    <s v=""/>
    <s v="Clean"/>
  </r>
  <r>
    <s v="ORD-2024-10064"/>
    <s v="2024-01-25"/>
    <x v="12"/>
    <d v="2024-01-25T00:00:00"/>
    <s v="01-02-2024"/>
    <d v="2024-02-01T00:00:00"/>
    <s v="OK"/>
    <n v="7"/>
    <s v="CUST-5382"/>
    <s v="Sneha Kapoor"/>
    <s v="Sneha Kapoor"/>
    <s v="Home Office"/>
    <x v="3"/>
    <s v="North"/>
    <x v="0"/>
    <s v="Haryana"/>
    <s v="Haryana"/>
    <s v="Gurugram"/>
    <s v="Gurugram"/>
    <s v="Office Supplies"/>
    <x v="0"/>
    <s v="Binders"/>
    <x v="9"/>
    <s v="Pro Binders 690"/>
    <s v="Same Day"/>
    <x v="1"/>
    <n v="2"/>
    <n v="2832.77"/>
    <n v="0.15"/>
    <n v="4815.71"/>
    <n v="3027.75"/>
    <n v="1917.47"/>
    <s v="Paid "/>
    <x v="0"/>
    <s v="Completed"/>
    <x v="0"/>
    <s v="ORD-2024-10064|01-25-2024|01-02-2024|CUST-5382|Sneha Kapoor|Home Office|North|Haryana|Gurugram|Office Supplies|Binders|Pro Binders 690|Same Day|2|2832.77|0.15|4815.71|3027.75|1917.47|Paid |Completed"/>
    <s v="Keep"/>
    <n v="1"/>
    <s v="Unique"/>
    <s v=""/>
    <n v="0.15"/>
    <n v="4815.7089999999998"/>
    <n v="1787.9589999999998"/>
    <n v="0.37127637903369992"/>
    <n v="1"/>
    <n v="2024"/>
    <b v="0"/>
    <b v="1"/>
    <x v="1"/>
    <s v="Profit mismatch"/>
    <s v="Invalid"/>
  </r>
  <r>
    <s v="ORD-2024-10065"/>
    <s v="2024-12-23"/>
    <x v="10"/>
    <d v="2024-12-23T00:00:00"/>
    <s v="12/29/2024"/>
    <d v="2024-12-29T00:00:00"/>
    <s v="OK"/>
    <n v="6"/>
    <s v="CUST-2749"/>
    <s v="Aarav Sharma"/>
    <s v="Aarav Sharma"/>
    <s v="Corporate"/>
    <x v="2"/>
    <s v="East"/>
    <x v="1"/>
    <s v="Jharkhand"/>
    <s v="Jharkhand"/>
    <s v="Ranchi"/>
    <s v="Ranchi"/>
    <s v="Office Supplies"/>
    <x v="0"/>
    <s v="Paper"/>
    <x v="0"/>
    <s v="Classic Paper 458"/>
    <s v="First Class"/>
    <x v="2"/>
    <n v="7"/>
    <n v="447.84"/>
    <n v="0"/>
    <n v="3134.88"/>
    <n v="2367.63"/>
    <n v="767.25"/>
    <s v="Refunded"/>
    <x v="1"/>
    <s v="Returned"/>
    <x v="2"/>
    <s v="ORD-2024-10065|12-23-2024|12-29-2024|CUST-2749|Aarav Sharma|Corporate|East|Jharkhand|Ranchi|Office Supplies|Paper|Classic Paper 458|First Class|7|447.84|0|3134.88|2367.63|767.25|Refunded|Returned"/>
    <s v="Keep"/>
    <n v="1"/>
    <s v="Unique"/>
    <s v=""/>
    <n v="0"/>
    <n v="3134.8799999999997"/>
    <n v="767.24999999999955"/>
    <n v="0.24474621038125849"/>
    <n v="12"/>
    <n v="2024"/>
    <b v="0"/>
    <b v="0"/>
    <x v="1"/>
    <s v="Refunded order summarized separately; Returned order excluded"/>
    <s v="Warning"/>
  </r>
  <r>
    <s v="ORD-2024-10066"/>
    <s v="22 Apr 2024"/>
    <x v="19"/>
    <d v="2024-04-22T00:00:00"/>
    <s v="2024-04-27"/>
    <d v="2024-04-27T00:00:00"/>
    <s v="OK"/>
    <n v="5"/>
    <s v="CUST-2463"/>
    <s v="Mira Das"/>
    <s v="Mira Das"/>
    <s v="Home Office"/>
    <x v="3"/>
    <s v="West"/>
    <x v="3"/>
    <s v="Maharashtra"/>
    <s v="Maharashtra"/>
    <s v="Mumbai"/>
    <s v="Mumbai"/>
    <s v="Office Supplies"/>
    <x v="0"/>
    <s v="Paper"/>
    <x v="0"/>
    <s v="Pro Paper 552"/>
    <s v="Second Class"/>
    <x v="0"/>
    <n v="1"/>
    <n v="4280.1899999999996"/>
    <n v="0.05"/>
    <n v="4066.18"/>
    <n v="2628.92"/>
    <n v="1437.26"/>
    <s v="Paid"/>
    <x v="0"/>
    <s v="Completed"/>
    <x v="0"/>
    <s v="ORD-2024-10066|04-22-2024|04-27-2024|CUST-2463|Mira Das|Home Office|West|Maharashtra|Mumbai|Office Supplies|Paper|Pro Paper 552|Second Class|1|4280.19|0.05|4066.18|2628.92|1437.26|Paid|Completed"/>
    <s v="Keep"/>
    <n v="1"/>
    <s v="Unique"/>
    <s v=""/>
    <n v="0.05"/>
    <n v="4066.1804999999995"/>
    <n v="1437.2604999999994"/>
    <n v="0.35346696980126674"/>
    <n v="4"/>
    <n v="2024"/>
    <b v="0"/>
    <b v="0"/>
    <x v="0"/>
    <s v=""/>
    <s v="Clean"/>
  </r>
  <r>
    <s v="ORD-2025-10067"/>
    <s v="08/28/2025"/>
    <x v="4"/>
    <d v="2025-08-28T00:00:00"/>
    <s v="01 Sep 2025"/>
    <d v="2025-09-01T00:00:00"/>
    <s v="OK"/>
    <n v="4"/>
    <s v="CUST-1504"/>
    <s v="Karan Malhotra"/>
    <s v="Karan Malhotra"/>
    <s v="Small Business"/>
    <x v="1"/>
    <s v="South"/>
    <x v="2"/>
    <s v="Tamil Nadu"/>
    <s v="Tamil Nadu"/>
    <s v="Chennai"/>
    <s v="Chennai"/>
    <s v="Technology"/>
    <x v="2"/>
    <s v="Accessories"/>
    <x v="5"/>
    <s v="Elite Accessories 187"/>
    <s v="Same Day"/>
    <x v="1"/>
    <n v="7"/>
    <n v="1057.46"/>
    <n v="0.05"/>
    <n v="7032.11"/>
    <n v="4610.34"/>
    <n v="2421.77"/>
    <s v="Paid"/>
    <x v="0"/>
    <s v="Completed"/>
    <x v="0"/>
    <s v="ORD-2025-10067|08-28-2025|09-01-2025|CUST-1504|Karan Malhotra|Small Business|South|Tamil Nadu|Chennai|Technology|Accessories|Elite Accessories 187|Same Day|7|1057.46|0.05|7032.11|4610.34|2421.77|Paid|Completed"/>
    <s v="Keep"/>
    <n v="1"/>
    <s v="Unique"/>
    <s v=""/>
    <n v="0.05"/>
    <n v="7032.1089999999995"/>
    <n v="2421.7689999999993"/>
    <n v="0.34438729547565311"/>
    <n v="8"/>
    <n v="2025"/>
    <b v="0"/>
    <b v="0"/>
    <x v="0"/>
    <s v=""/>
    <s v="Clean"/>
  </r>
  <r>
    <s v="ORD-2025-10068"/>
    <s v="03 Feb 2025"/>
    <x v="7"/>
    <d v="2025-02-03T00:00:00"/>
    <s v="07-02-2025"/>
    <d v="2025-02-07T00:00:00"/>
    <s v="OK"/>
    <n v="4"/>
    <s v="CUST-8282"/>
    <s v="Kabir Singh"/>
    <s v="Kabir Singh"/>
    <s v="Consumer"/>
    <x v="0"/>
    <s v="North"/>
    <x v="0"/>
    <s v="Haryana"/>
    <s v="Haryana"/>
    <s v="Gurugram"/>
    <s v="Gurugram"/>
    <s v="Office Supplies"/>
    <x v="0"/>
    <s v="Paper"/>
    <x v="0"/>
    <s v="Eco Paper 922"/>
    <s v="First Class"/>
    <x v="2"/>
    <n v="7"/>
    <n v="3609.34"/>
    <n v="0.05"/>
    <n v="24002.11"/>
    <n v="18707.57"/>
    <n v="5294.54"/>
    <s v="Paid"/>
    <x v="0"/>
    <s v="Completed"/>
    <x v="0"/>
    <s v="ORD-2025-10068|02-03-2025|07-02-2025|CUST-8282|Kabir Singh|Consumer|North|Haryana|Gurugram|Office Supplies|Paper|Eco Paper 922|First Class|7|3609.34|0.05|24002.11|18707.57|5294.54|Paid|Completed"/>
    <s v="Keep"/>
    <n v="1"/>
    <s v="Unique"/>
    <s v=""/>
    <n v="0.05"/>
    <n v="24002.111000000001"/>
    <n v="5294.5410000000011"/>
    <n v="0.2205864725815159"/>
    <n v="2"/>
    <n v="2025"/>
    <b v="0"/>
    <b v="0"/>
    <x v="0"/>
    <s v=""/>
    <s v="Clean"/>
  </r>
  <r>
    <s v="ORD-2024-10069"/>
    <s v="11/10/2024"/>
    <x v="3"/>
    <d v="2024-11-10T00:00:00"/>
    <s v="13 Nov 2024"/>
    <d v="2024-11-13T00:00:00"/>
    <s v="OK"/>
    <n v="3"/>
    <s v="CUST-6054"/>
    <s v="Isha Nair"/>
    <s v="Isha Nair"/>
    <s v="Corporate"/>
    <x v="2"/>
    <s v="East"/>
    <x v="1"/>
    <s v="Jharkhand"/>
    <s v="Jharkhand"/>
    <s v="Ranchi"/>
    <s v="Ranchi"/>
    <s v="Office Supplies"/>
    <x v="0"/>
    <s v="Storage"/>
    <x v="8"/>
    <s v="Pro Storage 975"/>
    <s v="Second Class"/>
    <x v="0"/>
    <n v="9"/>
    <n v="2211.12"/>
    <n v="0"/>
    <n v="19900.080000000002"/>
    <n v="10962.66"/>
    <n v="8937.42"/>
    <s v="Failed"/>
    <x v="3"/>
    <s v="Returned"/>
    <x v="2"/>
    <s v="ORD-2024-10069|11-10-2024|11-13-2024|CUST-6054|Isha Nair|Corporate|East|Jharkhand|Ranchi|Office Supplies|Storage|Pro Storage 975|Second Class|9|2211.12|0|19900.08|10962.66|8937.42|Failed|Returned"/>
    <s v="Keep"/>
    <n v="1"/>
    <s v="Unique"/>
    <s v=""/>
    <n v="0"/>
    <n v="19900.079999999998"/>
    <n v="8937.4199999999983"/>
    <n v="0.44911477742803041"/>
    <n v="11"/>
    <n v="2024"/>
    <b v="0"/>
    <b v="0"/>
    <x v="1"/>
    <s v="Failed payment excluded; Returned order excluded"/>
    <s v="Warning"/>
  </r>
  <r>
    <s v="ORD-2024-10070"/>
    <s v="09 Apr 2024"/>
    <x v="19"/>
    <d v="2024-04-09T00:00:00"/>
    <s v="04/14/2024"/>
    <d v="2024-04-14T00:00:00"/>
    <s v="OK"/>
    <n v="5"/>
    <s v="CUST-5979"/>
    <s v="Neha Gupta"/>
    <s v="Neha Gupta"/>
    <s v="Small Business"/>
    <x v="1"/>
    <s v="West"/>
    <x v="3"/>
    <s v="Gujarat"/>
    <s v="Gujarat"/>
    <s v="Ahmedabad"/>
    <s v="Ahmedabad"/>
    <s v="Technology"/>
    <x v="2"/>
    <s v="Machines"/>
    <x v="12"/>
    <s v="Prime Machines 782"/>
    <s v="Same Day"/>
    <x v="1"/>
    <n v="7"/>
    <n v="3417.09"/>
    <n v="0.1"/>
    <n v="21527.67"/>
    <n v="18287.580000000002"/>
    <n v="3240.09"/>
    <s v="Refunded"/>
    <x v="1"/>
    <s v="Returned"/>
    <x v="2"/>
    <s v="ORD-2024-10070|04-09-2024|04-14-2024|CUST-5979|Neha Gupta|Small Business|West|Gujarat|Ahmedabad|Technology|Machines|Prime Machines 782|Same Day|7|3417.09|0.1|21527.67|18287.58|3240.09|Refunded|Returned"/>
    <s v="Keep"/>
    <n v="1"/>
    <s v="Unique"/>
    <s v=""/>
    <n v="0.1"/>
    <n v="21527.667000000001"/>
    <n v="3240.0869999999995"/>
    <n v="0.15050804158202555"/>
    <n v="4"/>
    <n v="2024"/>
    <b v="0"/>
    <b v="0"/>
    <x v="1"/>
    <s v="Refunded order summarized separately; Returned order excluded"/>
    <s v="Warning"/>
  </r>
  <r>
    <s v="ORD-2025-10071"/>
    <s v="2025-08-22"/>
    <x v="4"/>
    <d v="2025-08-22T00:00:00"/>
    <s v="27 Aug 2025"/>
    <d v="2025-08-27T00:00:00"/>
    <s v="OK"/>
    <n v="5"/>
    <s v="CUST-5582"/>
    <s v="Karan Malhotra"/>
    <s v="Karan Malhotra"/>
    <s v="Corporate"/>
    <x v="2"/>
    <s v="South"/>
    <x v="2"/>
    <s v="Andhra Pradesh"/>
    <s v="Andhra Pradesh"/>
    <s v="Vijayawada"/>
    <s v="Vijayawada"/>
    <s v="Technology"/>
    <x v="2"/>
    <s v="Phones"/>
    <x v="11"/>
    <s v="Max Phones 661"/>
    <s v="First Class"/>
    <x v="2"/>
    <n v="2"/>
    <n v="905.87"/>
    <n v="0.15"/>
    <n v="1539.98"/>
    <n v="1070.2"/>
    <n v="469.78"/>
    <s v="Paid"/>
    <x v="0"/>
    <s v="Completed"/>
    <x v="0"/>
    <s v="ORD-2025-10071|08-22-2025|08-27-2025|CUST-5582|Karan Malhotra|Corporate|South|Andhra Pradesh|Vijayawada|Technology|Phones|Max Phones 661|First Class|2|905.87|0.15|1539.98|1070.2|469.78|Paid|Completed"/>
    <s v="Keep"/>
    <n v="1"/>
    <s v="Unique"/>
    <s v=""/>
    <n v="0.15"/>
    <n v="1539.979"/>
    <n v="469.779"/>
    <n v="0.30505545854846072"/>
    <n v="8"/>
    <n v="2025"/>
    <b v="0"/>
    <b v="0"/>
    <x v="0"/>
    <s v=""/>
    <s v="Clean"/>
  </r>
  <r>
    <s v="ORD-2025-10072"/>
    <s v="04/16/2025"/>
    <x v="6"/>
    <d v="2025-04-16T00:00:00"/>
    <s v="2025-04-23"/>
    <d v="2025-04-23T00:00:00"/>
    <s v="OK"/>
    <n v="7"/>
    <s v="CUST-3308"/>
    <s v="Mira Das"/>
    <s v="Mira Das"/>
    <s v="  Small Business "/>
    <x v="1"/>
    <s v="West"/>
    <x v="3"/>
    <s v="Goa"/>
    <s v="Goa"/>
    <s v="Panaji"/>
    <s v="Panaji"/>
    <s v="Technology"/>
    <x v="2"/>
    <s v="Machines"/>
    <x v="12"/>
    <s v="Elite Machines 836"/>
    <s v="Standard Class"/>
    <x v="3"/>
    <n v="6"/>
    <n v="2027.32"/>
    <n v="0.1"/>
    <n v="10947.53"/>
    <n v="6447.36"/>
    <n v="4500.17"/>
    <s v="Paid"/>
    <x v="0"/>
    <s v="Completed"/>
    <x v="0"/>
    <s v="ORD-2025-10072|04-16-2025|04-23-2025|CUST-3308|Mira Das|  Small Business |West|Goa|Panaji|Technology|Machines|Elite Machines 836|Standard Class|6|2027.32|0.1|10947.53|6447.36|4500.17|Paid|Completed"/>
    <s v="Keep"/>
    <n v="1"/>
    <s v="Unique"/>
    <s v=""/>
    <n v="0.1"/>
    <n v="10947.528"/>
    <n v="4500.1680000000006"/>
    <n v="0.41106704636882413"/>
    <n v="4"/>
    <n v="2025"/>
    <b v="0"/>
    <b v="0"/>
    <x v="0"/>
    <s v=""/>
    <s v="Clean"/>
  </r>
  <r>
    <s v="ORD-2024-10073"/>
    <s v="2024-02-11"/>
    <x v="17"/>
    <d v="2024-02-11T00:00:00"/>
    <s v="07 Feb 2024"/>
    <d v="2024-02-07T00:00:00"/>
    <s v="Ship date before order date"/>
    <n v="-4"/>
    <s v="CUST-5018"/>
    <s v="Karan Malhotra"/>
    <s v="Karan Malhotra"/>
    <s v="Home Office"/>
    <x v="3"/>
    <s v="South"/>
    <x v="2"/>
    <s v="Tamil Nadu"/>
    <s v="Tamil Nadu"/>
    <s v="Chennai"/>
    <s v="Chennai"/>
    <s v="Furniture"/>
    <x v="1"/>
    <s v="Tables"/>
    <x v="1"/>
    <s v="Prime Tables 902"/>
    <s v="First Class"/>
    <x v="2"/>
    <n v="7"/>
    <n v="2287.4699999999998"/>
    <n v="0.15"/>
    <n v="13610.45"/>
    <n v="10039.049999999999"/>
    <n v="3571.4"/>
    <s v="Paid"/>
    <x v="0"/>
    <s v="Completed"/>
    <x v="0"/>
    <s v="ORD-2024-10073|02-11-2024|02-07-2024|CUST-5018|Karan Malhotra|Home Office|South|Tamil Nadu|Chennai|Furniture|Tables|Prime Tables 902|First Class|7|2287.47|0.15|13610.45|10039.05|3571.4|Paid|Completed"/>
    <s v="Keep"/>
    <n v="1"/>
    <s v="Unique"/>
    <s v=""/>
    <n v="0.15"/>
    <n v="13610.446499999998"/>
    <n v="3571.3964999999989"/>
    <n v="0.26240112695788487"/>
    <n v="2"/>
    <n v="2024"/>
    <b v="0"/>
    <b v="0"/>
    <x v="1"/>
    <s v="Ship date before order date"/>
    <s v="Invalid"/>
  </r>
  <r>
    <s v="ORD-2025-10074"/>
    <s v="29-03-2025"/>
    <x v="20"/>
    <d v="2025-03-29T00:00:00"/>
    <s v="04/03/2025"/>
    <d v="2025-04-03T00:00:00"/>
    <s v="OK"/>
    <n v="5"/>
    <s v="CUST-2342"/>
    <s v="Sneha Kapoor"/>
    <s v="Sneha Kapoor"/>
    <s v="Corporate"/>
    <x v="2"/>
    <s v="East"/>
    <x v="1"/>
    <s v="West Bengal"/>
    <s v="West Bengal"/>
    <s v="Kolkata"/>
    <s v="Kolkata"/>
    <s v="Furniture"/>
    <x v="1"/>
    <s v="Bookcases"/>
    <x v="10"/>
    <s v="Smart Bookcases 167"/>
    <s v="First Class"/>
    <x v="2"/>
    <n v="5"/>
    <n v="1425.74"/>
    <n v="0"/>
    <n v="7128.7"/>
    <n v="4382.1499999999996"/>
    <n v="2746.55"/>
    <s v="Paid"/>
    <x v="0"/>
    <s v="Completed"/>
    <x v="0"/>
    <s v="ORD-2025-10074|29-03-2025|04-03-2025|CUST-2342|Sneha Kapoor|Corporate|East|West Bengal|Kolkata|Furniture|Bookcases|Smart Bookcases 167|First Class|5|1425.74|0|7128.7|4382.15|2746.55|Paid|Completed"/>
    <s v="Keep"/>
    <n v="1"/>
    <s v="Unique"/>
    <s v=""/>
    <n v="0"/>
    <n v="7128.7"/>
    <n v="2746.55"/>
    <n v="0.38528062620113068"/>
    <n v="3"/>
    <n v="2025"/>
    <b v="0"/>
    <b v="0"/>
    <x v="0"/>
    <s v=""/>
    <s v="Clean"/>
  </r>
  <r>
    <s v="ORD-2025-10075"/>
    <s v="02/27/2025"/>
    <x v="7"/>
    <d v="2025-02-27T00:00:00"/>
    <s v="2025-03-01"/>
    <d v="2025-03-01T00:00:00"/>
    <s v="OK"/>
    <n v="2"/>
    <s v="CUST-6201"/>
    <s v="Vikram Iyer"/>
    <s v="Vikram Iyer"/>
    <s v="Small Business"/>
    <x v="1"/>
    <s v="East"/>
    <x v="1"/>
    <s v="West Bengal"/>
    <s v="West Bengal"/>
    <s v="Kolkata"/>
    <s v="Kolkata"/>
    <s v="Furniture"/>
    <x v="1"/>
    <s v="Chairs"/>
    <x v="4"/>
    <s v="Max Chairs 244"/>
    <s v="Standard Class"/>
    <x v="3"/>
    <n v="6"/>
    <n v="551.64"/>
    <n v="0"/>
    <n v="3309.84"/>
    <n v="2671.08"/>
    <n v="638.76"/>
    <s v="Paid"/>
    <x v="0"/>
    <s v="Completed"/>
    <x v="0"/>
    <s v="ORD-2025-10075|02-27-2025|03-01-2025|CUST-6201|Vikram Iyer|Small Business|East|West Bengal|Kolkata|Furniture|Chairs|Max Chairs 244|Standard Class|6|551.64|0|3309.84|2671.08|638.76|Paid|Completed"/>
    <s v="Keep"/>
    <n v="1"/>
    <s v="Unique"/>
    <s v=""/>
    <n v="0"/>
    <n v="3309.84"/>
    <n v="638.76000000000022"/>
    <n v="0.19298818069755644"/>
    <n v="2"/>
    <n v="2025"/>
    <b v="0"/>
    <b v="0"/>
    <x v="0"/>
    <s v=""/>
    <s v="Clean"/>
  </r>
  <r>
    <s v="ORD-2025-10076"/>
    <s v="22-08-2025"/>
    <x v="4"/>
    <d v="2025-08-22T00:00:00"/>
    <s v="08/27/2025"/>
    <d v="2025-08-27T00:00:00"/>
    <s v="OK"/>
    <n v="5"/>
    <s v="CUST-5808"/>
    <s v="Priya Menon"/>
    <s v="Priya Menon"/>
    <s v="Small Business"/>
    <x v="1"/>
    <s v="East"/>
    <x v="1"/>
    <s v="Odisha"/>
    <s v="Odisha"/>
    <s v="Bhubaneswar"/>
    <s v="Bhubaneswar"/>
    <s v="Office Supplies"/>
    <x v="0"/>
    <s v="Labels"/>
    <x v="7"/>
    <s v="Eco Labels 653"/>
    <s v="First Class"/>
    <x v="2"/>
    <n v="3"/>
    <n v="3294.82"/>
    <n v="0.2"/>
    <n v="7907.57"/>
    <n v="5391.18"/>
    <n v="2516.39"/>
    <s v="Paid"/>
    <x v="0"/>
    <s v="Completed"/>
    <x v="0"/>
    <s v="ORD-2025-10076|22-08-2025|08-27-2025|CUST-5808|Priya Menon|Small Business|East|Odisha|Bhubaneswar|Office Supplies|Labels|Eco Labels 653|First Class|3|3294.82|0.2|7907.57|5391.18|2516.39|Paid|Completed"/>
    <s v="Keep"/>
    <n v="1"/>
    <s v="Unique"/>
    <s v=""/>
    <n v="0.2"/>
    <n v="7907.5680000000011"/>
    <n v="2516.3880000000008"/>
    <n v="0.31822527482533197"/>
    <n v="8"/>
    <n v="2025"/>
    <b v="0"/>
    <b v="0"/>
    <x v="0"/>
    <s v=""/>
    <s v="Clean"/>
  </r>
  <r>
    <s v="ORD-2024-10077"/>
    <s v="03 Nov 2024"/>
    <x v="3"/>
    <d v="2024-11-03T00:00:00"/>
    <s v="11-11-2024"/>
    <d v="2024-11-11T00:00:00"/>
    <s v="OK"/>
    <n v="8"/>
    <s v="CUST-2642"/>
    <s v="Ananya Rao"/>
    <s v="Ananya Rao"/>
    <s v="Corporate"/>
    <x v="2"/>
    <s v="East"/>
    <x v="1"/>
    <s v="Jharkhand"/>
    <s v="Jharkhand"/>
    <s v="Ranchi"/>
    <s v="Ranchi"/>
    <s v="Office Supplies"/>
    <x v="0"/>
    <s v="Labels"/>
    <x v="7"/>
    <s v="Max Labels 617"/>
    <s v="Second Class"/>
    <x v="0"/>
    <n v="3"/>
    <n v="3406.27"/>
    <n v="0"/>
    <n v="10218.81"/>
    <n v="7616.97"/>
    <n v="2601.84"/>
    <s v="Paid"/>
    <x v="0"/>
    <s v="Completed"/>
    <x v="0"/>
    <s v="ORD-2024-10077|11-03-2024|11-11-2024|CUST-2642|Ananya Rao|Corporate|East|Jharkhand|Ranchi|Office Supplies|Labels|Max Labels 617|Second Class|3|3406.27|0|10218.81|7616.97|2601.84|Paid|Completed"/>
    <s v="Keep"/>
    <n v="1"/>
    <s v="Unique"/>
    <s v=""/>
    <n v="0"/>
    <n v="10218.81"/>
    <n v="2601.8399999999992"/>
    <n v="0.2546128169522674"/>
    <n v="11"/>
    <n v="2024"/>
    <b v="0"/>
    <b v="0"/>
    <x v="0"/>
    <s v=""/>
    <s v="Clean"/>
  </r>
  <r>
    <s v="ORD-2025-10078"/>
    <s v="07/08/2025"/>
    <x v="13"/>
    <d v="2025-07-08T00:00:00"/>
    <s v="12-07-2025"/>
    <d v="2025-07-12T00:00:00"/>
    <s v="OK"/>
    <n v="4"/>
    <s v="CUST-4385"/>
    <s v="Rohan Mehta"/>
    <s v="Rohan Mehta"/>
    <s v="Home Office"/>
    <x v="3"/>
    <s v="North"/>
    <x v="0"/>
    <s v="Uttar Pradesh"/>
    <s v="Uttar Pradesh"/>
    <s v="Noida"/>
    <s v="Noida"/>
    <s v="Furniture"/>
    <x v="1"/>
    <s v="Furnishings"/>
    <x v="3"/>
    <s v="Pro Furnishings 529"/>
    <s v="Standard Class"/>
    <x v="3"/>
    <n v="1"/>
    <n v="2582.1999999999998"/>
    <n v="0.15"/>
    <n v="2194.87"/>
    <n v="1223.17"/>
    <n v="971.7"/>
    <s v="Refunded"/>
    <x v="1"/>
    <s v="Cancelled"/>
    <x v="1"/>
    <s v="ORD-2025-10078|07-08-2025|12-07-2025|CUST-4385|Rohan Mehta|Home Office|North|Uttar Pradesh|Noida|Furniture|Furnishings|Pro Furnishings 529|Standard Class|1|2582.2|0.15|2194.87|1223.17|971.7|Refunded|Cancelled"/>
    <s v="Keep"/>
    <n v="1"/>
    <s v="Unique"/>
    <s v=""/>
    <n v="0.15"/>
    <n v="2194.87"/>
    <n v="971.69999999999982"/>
    <n v="0.44271414707932583"/>
    <n v="7"/>
    <n v="2025"/>
    <b v="0"/>
    <b v="0"/>
    <x v="1"/>
    <s v="Refunded order summarized separately; Cancelled order excluded"/>
    <s v="Warning"/>
  </r>
  <r>
    <s v="ORD-2025-10079"/>
    <s v="07/16/2025"/>
    <x v="13"/>
    <d v="2025-07-16T00:00:00"/>
    <s v="21-07-2025"/>
    <d v="2025-07-21T00:00:00"/>
    <s v="OK"/>
    <n v="5"/>
    <s v="CUST-8043"/>
    <s v="Sneha Kapoor"/>
    <s v="Sneha Kapoor"/>
    <s v="Corporate"/>
    <x v="2"/>
    <s v="East"/>
    <x v="1"/>
    <s v="West Bengal"/>
    <s v="West Bengal"/>
    <s v="Kolkata"/>
    <s v="Kolkata"/>
    <s v="Furniture"/>
    <x v="1"/>
    <s v="Tables"/>
    <x v="1"/>
    <s v="Smart Tables 561"/>
    <s v="First Class"/>
    <x v="2"/>
    <n v="5"/>
    <n v="2129.5100000000002"/>
    <n v="0.15"/>
    <n v="9050.42"/>
    <n v="6778.85"/>
    <n v="2271.5700000000002"/>
    <s v="Paid"/>
    <x v="0"/>
    <s v="Completed"/>
    <x v="0"/>
    <s v="ORD-2025-10079|07-16-2025|21-07-2025|CUST-8043|Sneha Kapoor|Corporate|East|West Bengal|Kolkata|Furniture|Tables|Smart Tables 561|First Class|5|2129.51|0.15|9050.42|6778.85|2271.57|Paid|Completed"/>
    <s v="Keep"/>
    <n v="1"/>
    <s v="Unique"/>
    <s v=""/>
    <n v="0.15"/>
    <n v="9050.4175000000014"/>
    <n v="2271.567500000001"/>
    <n v="0.25099035486484472"/>
    <n v="7"/>
    <n v="2025"/>
    <b v="0"/>
    <b v="0"/>
    <x v="0"/>
    <s v=""/>
    <s v="Clean"/>
  </r>
  <r>
    <s v="ORD-2025-10080"/>
    <s v="2025-09-27"/>
    <x v="8"/>
    <d v="2025-09-27T00:00:00"/>
    <s v="2025-10-03"/>
    <d v="2025-10-03T00:00:00"/>
    <s v="OK"/>
    <n v="6"/>
    <s v="CUST-9978"/>
    <s v="Diya Patel"/>
    <s v="Diya Patel"/>
    <s v="Home Office"/>
    <x v="3"/>
    <s v="South"/>
    <x v="2"/>
    <s v="Tamil Nadu"/>
    <s v="Tamil Nadu"/>
    <s v="Chennai"/>
    <s v="Chennai"/>
    <s v="  Furniture "/>
    <x v="1"/>
    <s v="Chairs"/>
    <x v="4"/>
    <s v="Prime Chairs 838"/>
    <s v="Same Day"/>
    <x v="1"/>
    <n v="9"/>
    <n v="4131.5200000000004"/>
    <n v="0.1"/>
    <n v="33465.31"/>
    <n v="24781.26"/>
    <n v="8684.0499999999993"/>
    <s v="Paid"/>
    <x v="0"/>
    <s v="Completed"/>
    <x v="0"/>
    <s v="ORD-2025-10080|09-27-2025|10-03-2025|CUST-9978|Diya Patel|Home Office|South|Tamil Nadu|Chennai|  Furniture |Chairs|Prime Chairs 838|Same Day|9|4131.52|0.1|33465.31|24781.26|8684.05|Paid|Completed"/>
    <s v="Keep"/>
    <n v="1"/>
    <s v="Unique"/>
    <s v=""/>
    <n v="0.1"/>
    <n v="33465.312000000005"/>
    <n v="8684.052000000007"/>
    <n v="0.25949412932411942"/>
    <n v="9"/>
    <n v="2025"/>
    <b v="0"/>
    <b v="0"/>
    <x v="0"/>
    <s v=""/>
    <s v="Clean"/>
  </r>
  <r>
    <s v="ORD-2024-10081"/>
    <s v="2024-08-10"/>
    <x v="1"/>
    <d v="2024-08-10T00:00:00"/>
    <s v="2024-08-14"/>
    <d v="2024-08-14T00:00:00"/>
    <s v="OK"/>
    <n v="4"/>
    <s v="CUST-2094"/>
    <s v="Aarav Sharma"/>
    <s v="Aarav Sharma"/>
    <s v="Small Business"/>
    <x v="1"/>
    <s v="North"/>
    <x v="0"/>
    <s v="Delhi"/>
    <s v="Delhi"/>
    <s v="New Delhi"/>
    <s v="New Delhi"/>
    <s v="Office Supplies"/>
    <x v="0"/>
    <s v="Storage"/>
    <x v="8"/>
    <s v="Elite Storage 371"/>
    <s v="Second Class"/>
    <x v="0"/>
    <n v="4"/>
    <n v="1182.32"/>
    <n v="0.1"/>
    <n v="4256.3500000000004"/>
    <n v="2495.33"/>
    <n v="1761.02"/>
    <s v="Pending"/>
    <x v="2"/>
    <s v="Returned"/>
    <x v="2"/>
    <s v="ORD-2024-10081|08-10-2024|08-14-2024|CUST-2094|Aarav Sharma|Small Business|North|Delhi|New Delhi|Office Supplies|Storage|Elite Storage 371|Second Class|4|1182.32|0.1|4256.35|2495.33|1761.02|Pending|Returned"/>
    <s v="Keep"/>
    <n v="1"/>
    <s v="Unique"/>
    <s v=""/>
    <n v="0.1"/>
    <n v="4256.3519999999999"/>
    <n v="1761.0219999999999"/>
    <n v="0.41373974708858663"/>
    <n v="8"/>
    <n v="2024"/>
    <b v="0"/>
    <b v="0"/>
    <x v="1"/>
    <s v="Returned order excluded"/>
    <s v="Warning"/>
  </r>
  <r>
    <s v="ORD-2025-10082"/>
    <s v="2025-03-16"/>
    <x v="20"/>
    <d v="2025-03-16T00:00:00"/>
    <s v="17-03-2025"/>
    <d v="2025-03-17T00:00:00"/>
    <s v="OK"/>
    <n v="1"/>
    <s v="CUST-7907"/>
    <s v="Karan Malhotra"/>
    <s v="Karan Malhotra"/>
    <s v="Home Office"/>
    <x v="3"/>
    <s v="West"/>
    <x v="3"/>
    <s v="Goa"/>
    <s v="Goa"/>
    <s v="Panaji"/>
    <s v="Panaji"/>
    <s v="Office Supplies"/>
    <x v="0"/>
    <s v="Labels"/>
    <x v="7"/>
    <s v="Eco Labels 662"/>
    <s v="Same Day"/>
    <x v="1"/>
    <n v="3"/>
    <n v="1841.91"/>
    <n v="0"/>
    <n v="5525.73"/>
    <n v="3093.42"/>
    <n v="2432.31"/>
    <s v="Paid"/>
    <x v="0"/>
    <s v="Completed"/>
    <x v="0"/>
    <s v="ORD-2025-10082|03-16-2025|17-03-2025|CUST-7907|Karan Malhotra|Home Office|West|Goa|Panaji|Office Supplies|Labels|Eco Labels 662|Same Day|3|1841.91|0|5525.73|3093.42|2432.31|Paid|Completed"/>
    <s v="Keep"/>
    <n v="1"/>
    <s v="Unique"/>
    <s v=""/>
    <n v="0"/>
    <n v="5525.7300000000005"/>
    <n v="2432.3100000000004"/>
    <n v="0.44017894468242208"/>
    <n v="3"/>
    <n v="2025"/>
    <b v="0"/>
    <b v="0"/>
    <x v="0"/>
    <s v=""/>
    <s v="Clean"/>
  </r>
  <r>
    <s v="ORD-2024-10083"/>
    <s v="2024-08-03"/>
    <x v="1"/>
    <d v="2024-08-03T00:00:00"/>
    <s v="04-08-2024"/>
    <d v="2024-08-04T00:00:00"/>
    <s v="OK"/>
    <n v="1"/>
    <s v="CUST-6516"/>
    <s v="Arjun Bose"/>
    <s v="Arjun Bose"/>
    <s v="Consumer"/>
    <x v="0"/>
    <s v="North"/>
    <x v="0"/>
    <s v="Uttar Pradesh"/>
    <s v="Uttar Pradesh"/>
    <s v="Noida"/>
    <s v="Noida"/>
    <s v="Technology"/>
    <x v="2"/>
    <s v="Copiers"/>
    <x v="6"/>
    <s v="Smart Copiers 702"/>
    <s v="Second Class"/>
    <x v="0"/>
    <n v="6"/>
    <n v="1001.73"/>
    <n v="0"/>
    <n v="6010.38"/>
    <n v="3762.85"/>
    <n v="2247.5300000000002"/>
    <s v="Failed"/>
    <x v="3"/>
    <s v="Returned"/>
    <x v="2"/>
    <s v="ORD-2024-10083|08-03-2024|04-08-2024|CUST-6516|Arjun Bose|Consumer|North|Uttar Pradesh|Noida|Technology|Copiers|Smart Copiers 702|Second Class|6|1001.73|0|6010.38|3762.85|2247.53|Failed|Returned"/>
    <s v="Keep"/>
    <n v="1"/>
    <s v="Unique"/>
    <s v=""/>
    <n v="0"/>
    <n v="6010.38"/>
    <n v="2247.5300000000002"/>
    <n v="0.37394141468592673"/>
    <n v="8"/>
    <n v="2024"/>
    <b v="0"/>
    <b v="0"/>
    <x v="1"/>
    <s v="Failed payment excluded; Returned order excluded"/>
    <s v="Warning"/>
  </r>
  <r>
    <s v="ORD-2024-10084"/>
    <s v="26-10-2024"/>
    <x v="16"/>
    <d v="2024-10-26T00:00:00"/>
    <s v="29-10-2024"/>
    <d v="2024-10-29T00:00:00"/>
    <s v="OK"/>
    <n v="3"/>
    <s v="CUST-4989"/>
    <s v="Aditi Sen"/>
    <s v="Aditi Sen"/>
    <s v="Home Office"/>
    <x v="3"/>
    <s v="West"/>
    <x v="3"/>
    <s v="Maharashtra"/>
    <s v="Maharashtra"/>
    <s v="Mumbai"/>
    <s v="Mumbai"/>
    <s v="Furniture"/>
    <x v="1"/>
    <s v="Tables"/>
    <x v="1"/>
    <s v="Elite Tables 362"/>
    <s v="Second Class"/>
    <x v="0"/>
    <n v="9"/>
    <n v="131.74"/>
    <n v="0.2"/>
    <n v="948.53"/>
    <n v="674.62"/>
    <n v="273.91000000000003"/>
    <s v="Paid"/>
    <x v="0"/>
    <s v="Completed"/>
    <x v="0"/>
    <s v="ORD-2024-10084|26-10-2024|29-10-2024|CUST-4989|Aditi Sen|Home Office|West|Maharashtra|Mumbai|Furniture|Tables|Elite Tables 362|Second Class|9|131.74|0.2|948.53|674.62|273.91|Paid|Completed"/>
    <s v="Keep"/>
    <n v="1"/>
    <s v="Unique"/>
    <s v=""/>
    <n v="0.2"/>
    <n v="948.52800000000013"/>
    <n v="273.90800000000013"/>
    <n v="0.28877165460587362"/>
    <n v="10"/>
    <n v="2024"/>
    <b v="0"/>
    <b v="0"/>
    <x v="0"/>
    <s v=""/>
    <s v="Clean"/>
  </r>
  <r>
    <s v="ORD-2024-10085"/>
    <s v="01 Oct 2024"/>
    <x v="16"/>
    <d v="2024-10-01T00:00:00"/>
    <s v="2024-10-03"/>
    <d v="2024-10-03T00:00:00"/>
    <s v="OK"/>
    <n v="2"/>
    <s v="CUST-3758"/>
    <s v="Rohan Mehta"/>
    <s v="Rohan Mehta"/>
    <s v="Corporate"/>
    <x v="2"/>
    <s v="South"/>
    <x v="2"/>
    <s v="Tamil Nadu"/>
    <s v="Tamil Nadu"/>
    <s v="Chennai"/>
    <s v="Chennai"/>
    <s v="Technology "/>
    <x v="2"/>
    <s v="Phones"/>
    <x v="11"/>
    <s v="Elite Phones 781"/>
    <s v="Second Class"/>
    <x v="0"/>
    <n v="6"/>
    <n v="570.28"/>
    <n v="0.2"/>
    <n v="2737.34"/>
    <n v="2085.44"/>
    <n v="651.9"/>
    <s v="Paid"/>
    <x v="0"/>
    <s v="Completed"/>
    <x v="0"/>
    <s v="ORD-2024-10085|10-01-2024|10-03-2024|CUST-3758|Rohan Mehta|Corporate|South|Tamil Nadu|Chennai|Technology |Phones|Elite Phones 781|Second Class|6|570.28|0.2|2737.34|2085.44|651.9|Paid|Completed"/>
    <s v="Keep"/>
    <n v="1"/>
    <s v="Unique"/>
    <s v=""/>
    <n v="0.2"/>
    <n v="2737.3440000000001"/>
    <n v="651.904"/>
    <n v="0.23815201889130486"/>
    <n v="10"/>
    <n v="2024"/>
    <b v="0"/>
    <b v="0"/>
    <x v="0"/>
    <s v=""/>
    <s v="Clean"/>
  </r>
  <r>
    <s v="ORD-2024-10086"/>
    <s v="2024-07-30"/>
    <x v="0"/>
    <d v="2024-07-30T00:00:00"/>
    <s v="08/05/2024"/>
    <d v="2024-08-05T00:00:00"/>
    <s v="OK"/>
    <n v="6"/>
    <s v="CUST-6702"/>
    <s v="Kabir Singh"/>
    <s v="Kabir Singh"/>
    <s v="Corporate"/>
    <x v="2"/>
    <s v="North"/>
    <x v="0"/>
    <s v="Delhi"/>
    <s v="Delhi"/>
    <s v="New Delhi"/>
    <s v="New Delhi"/>
    <s v="Office Supplies"/>
    <x v="0"/>
    <s v="Binders"/>
    <x v="9"/>
    <s v="Eco Binders 456"/>
    <s v="Standard Class"/>
    <x v="3"/>
    <n v="1"/>
    <n v="608.64"/>
    <n v="0"/>
    <n v="608.64"/>
    <n v="343.99"/>
    <n v="264.64999999999998"/>
    <s v="Paid"/>
    <x v="0"/>
    <s v="Cancelled"/>
    <x v="1"/>
    <s v="ORD-2024-10086|07-30-2024|08-05-2024|CUST-6702|Kabir Singh|Corporate|North|Delhi|New Delhi|Office Supplies|Binders|Eco Binders 456|Standard Class|1|608.64|0|608.64|343.99|264.65|Paid|Cancelled"/>
    <s v="Keep"/>
    <n v="1"/>
    <s v="Unique"/>
    <s v=""/>
    <n v="0"/>
    <n v="608.64"/>
    <n v="264.64999999999998"/>
    <n v="0.43482189800210302"/>
    <n v="7"/>
    <n v="2024"/>
    <b v="0"/>
    <b v="0"/>
    <x v="1"/>
    <s v="Cancelled order excluded"/>
    <s v="Warning"/>
  </r>
  <r>
    <s v="ORD-2024-10087"/>
    <s v="01 Jul 2024"/>
    <x v="0"/>
    <d v="2024-07-01T00:00:00"/>
    <s v="01 Jul 2024"/>
    <d v="2024-07-01T00:00:00"/>
    <s v="OK"/>
    <n v="0"/>
    <s v="CUST-9148"/>
    <s v="Ananya Rao"/>
    <s v="Ananya Rao"/>
    <s v="Small Business"/>
    <x v="1"/>
    <s v="North"/>
    <x v="0"/>
    <s v="Delhi"/>
    <s v="Delhi"/>
    <s v="New Delhi"/>
    <s v="New Delhi"/>
    <s v="Technology"/>
    <x v="2"/>
    <s v="Copiers"/>
    <x v="6"/>
    <s v="Basic Copiers 525"/>
    <s v="Second Class"/>
    <x v="0"/>
    <n v="3"/>
    <n v="885.28"/>
    <n v="0.1"/>
    <n v="2390.2600000000002"/>
    <n v="1495.94"/>
    <n v="894.32"/>
    <s v="Refunded"/>
    <x v="1"/>
    <s v="Cancelled"/>
    <x v="1"/>
    <s v="ORD-2024-10087|07-01-2024|07-01-2024|CUST-9148|Ananya Rao|Small Business|North|Delhi|New Delhi|Technology|Copiers|Basic Copiers 525|Second Class|3|885.28|0.1|2390.26|1495.94|894.32|Refunded|Cancelled"/>
    <s v="Keep"/>
    <n v="1"/>
    <s v="Unique"/>
    <s v=""/>
    <n v="0.1"/>
    <n v="2390.2560000000003"/>
    <n v="894.31600000000026"/>
    <n v="0.37415071858411825"/>
    <n v="7"/>
    <n v="2024"/>
    <b v="0"/>
    <b v="0"/>
    <x v="1"/>
    <s v="Refunded order summarized separately; Cancelled order excluded"/>
    <s v="Warning"/>
  </r>
  <r>
    <s v="ORD-2024-10088"/>
    <s v="02-08-2024"/>
    <x v="1"/>
    <d v="2024-08-02T00:00:00"/>
    <s v="2024-08-03"/>
    <d v="2024-08-03T00:00:00"/>
    <s v="OK"/>
    <n v="1"/>
    <s v="CUST-5829"/>
    <s v="Vikram Iyer"/>
    <s v="Vikram Iyer"/>
    <s v="Consumer"/>
    <x v="0"/>
    <s v="East"/>
    <x v="1"/>
    <s v="Assam"/>
    <s v="Assam"/>
    <s v="Guwahati"/>
    <s v="Guwahati"/>
    <s v="Office Supplies"/>
    <x v="0"/>
    <s v="Binders"/>
    <x v="9"/>
    <s v="Eco Binders 258"/>
    <s v="Standard Class"/>
    <x v="3"/>
    <n v="7"/>
    <n v="3345.22"/>
    <n v="0"/>
    <n v="23416.54"/>
    <n v="15490.89"/>
    <n v="7925.65"/>
    <s v="Paid"/>
    <x v="0"/>
    <s v="Completed"/>
    <x v="0"/>
    <s v="ORD-2024-10088|02-08-2024|08-03-2024|CUST-5829|Vikram Iyer|Consumer|East|Assam|Guwahati|Office Supplies|Binders|Eco Binders 258|Standard Class|7|3345.22|0|23416.54|15490.89|7925.65|Paid|Completed"/>
    <s v="Keep"/>
    <n v="1"/>
    <s v="Unique"/>
    <s v=""/>
    <n v="0"/>
    <n v="23416.539999999997"/>
    <n v="7925.6499999999978"/>
    <n v="0.33846375254414185"/>
    <n v="8"/>
    <n v="2024"/>
    <b v="0"/>
    <b v="0"/>
    <x v="0"/>
    <s v=""/>
    <s v="Clean"/>
  </r>
  <r>
    <s v="ORD-2024-10089"/>
    <s v="03/24/2024"/>
    <x v="15"/>
    <d v="2024-03-24T00:00:00"/>
    <s v="27 Mar 2024"/>
    <d v="2024-03-27T00:00:00"/>
    <s v="OK"/>
    <n v="3"/>
    <s v="CUST-6059"/>
    <s v="Rohan Mehta"/>
    <s v="Rohan Mehta"/>
    <s v="Small Business"/>
    <x v="1"/>
    <s v="West"/>
    <x v="3"/>
    <s v="Maharashtra"/>
    <s v="Maharashtra"/>
    <s v="Mumbai"/>
    <s v="Mumbai"/>
    <s v="Furniture"/>
    <x v="1"/>
    <s v="Bookcases"/>
    <x v="10"/>
    <s v="Max Bookcases 398"/>
    <s v="Standard Class"/>
    <x v="3"/>
    <n v="2"/>
    <n v="3284.75"/>
    <n v="0.05"/>
    <n v="6241.02"/>
    <n v="5345.88"/>
    <n v="895.14"/>
    <s v="Paid"/>
    <x v="0"/>
    <s v="Completed"/>
    <x v="0"/>
    <s v="ORD-2024-10089|03-24-2024|03-27-2024|CUST-6059|Rohan Mehta|Small Business|West|Maharashtra|Mumbai|Furniture|Bookcases|Max Bookcases 398|Standard Class|2|3284.75|0.05|6241.02|5345.88|895.14|Paid|Completed"/>
    <s v="Keep"/>
    <n v="1"/>
    <s v="Unique"/>
    <s v=""/>
    <n v="0.05"/>
    <n v="6241.0249999999996"/>
    <n v="895.14499999999953"/>
    <n v="0.14342916427990587"/>
    <n v="3"/>
    <n v="2024"/>
    <b v="0"/>
    <b v="0"/>
    <x v="0"/>
    <s v=""/>
    <s v="Clean"/>
  </r>
  <r>
    <s v="ORD-2024-10090"/>
    <s v="05 Sep 2024"/>
    <x v="21"/>
    <d v="2024-09-05T00:00:00"/>
    <s v="05 Sep 2024"/>
    <d v="2024-09-05T00:00:00"/>
    <s v="OK"/>
    <n v="0"/>
    <s v="CUST-7744"/>
    <s v="Kabir Singh"/>
    <s v="Kabir Singh"/>
    <s v="Consumer"/>
    <x v="0"/>
    <s v="South"/>
    <x v="2"/>
    <s v="Andhra Pradesh"/>
    <s v="Andhra Pradesh"/>
    <s v="Vijayawada"/>
    <s v="Vijayawada"/>
    <s v="Furniture"/>
    <x v="1"/>
    <s v="Bookcases"/>
    <x v="10"/>
    <s v="Smart Bookcases 857"/>
    <s v="Standard Class"/>
    <x v="3"/>
    <n v="7"/>
    <n v="3761.09"/>
    <n v="0.2"/>
    <n v="21062.1"/>
    <n v="12057.13"/>
    <n v="9004.9699999999993"/>
    <s v="Pending"/>
    <x v="2"/>
    <s v="Cancelled"/>
    <x v="1"/>
    <s v="ORD-2024-10090|09-05-2024|09-05-2024|CUST-7744|Kabir Singh|Consumer|South|Andhra Pradesh|Vijayawada|Furniture|Bookcases|Smart Bookcases 857|Standard Class|7|3761.09|0.2|21062.1|12057.13|9004.97|Pending|Cancelled"/>
    <s v="Keep"/>
    <n v="1"/>
    <s v="Unique"/>
    <s v=""/>
    <n v="0.2"/>
    <n v="21062.104000000003"/>
    <n v="9004.9740000000038"/>
    <n v="0.42754389589947911"/>
    <n v="9"/>
    <n v="2024"/>
    <b v="0"/>
    <b v="0"/>
    <x v="1"/>
    <s v="Cancelled order excluded"/>
    <s v="Warning"/>
  </r>
  <r>
    <s v="ORD-2025-10091"/>
    <s v="08/24/2025"/>
    <x v="4"/>
    <d v="2025-08-24T00:00:00"/>
    <s v="29 Aug 2025"/>
    <d v="2025-08-29T00:00:00"/>
    <s v="OK"/>
    <n v="5"/>
    <s v="CUST-5909"/>
    <s v="Aarav Sharma"/>
    <s v="Aarav Sharma"/>
    <s v="Small Business"/>
    <x v="1"/>
    <s v="East"/>
    <x v="1"/>
    <s v="Bihar"/>
    <s v="Bihar"/>
    <s v="Patna"/>
    <s v="Patna"/>
    <s v="Technology"/>
    <x v="2"/>
    <s v="Copiers"/>
    <x v="6"/>
    <s v="Smart Copiers 556"/>
    <s v="First Class"/>
    <x v="2"/>
    <n v="3"/>
    <n v="3703.96"/>
    <n v="0.15"/>
    <n v="9445.1"/>
    <n v="5586.28"/>
    <n v="3858.82"/>
    <s v="Paid"/>
    <x v="0"/>
    <s v="Completed"/>
    <x v="0"/>
    <s v="ORD-2025-10091|08-24-2025|08-29-2025|CUST-5909|Aarav Sharma|Small Business|East|Bihar|Patna|Technology|Copiers|Smart Copiers 556|First Class|3|3703.96|0.15|9445.1|5586.28|3858.82|Paid|Completed"/>
    <s v="Keep"/>
    <n v="2"/>
    <s v="Duplicate order_id"/>
    <s v="Review conflicting duplicate"/>
    <n v="0.15"/>
    <n v="9445.098"/>
    <n v="3858.8180000000002"/>
    <n v="0.40855245758170006"/>
    <n v="8"/>
    <n v="2025"/>
    <b v="0"/>
    <b v="0"/>
    <x v="1"/>
    <s v="Duplicate order ID conflict"/>
    <s v="Warning"/>
  </r>
  <r>
    <s v="ORD-2025-10092"/>
    <s v="02-03-2025"/>
    <x v="20"/>
    <d v="2025-03-02T00:00:00"/>
    <s v="03/08/2025"/>
    <d v="2025-03-08T00:00:00"/>
    <s v="OK"/>
    <n v="6"/>
    <s v="CUST-6409"/>
    <s v="Sneha Kapoor"/>
    <s v="Sneha Kapoor"/>
    <s v="Corporate"/>
    <x v="2"/>
    <s v="West"/>
    <x v="3"/>
    <s v="Madhya Pradesh"/>
    <s v="Madhya Pradesh"/>
    <s v="Indore"/>
    <s v="Indore"/>
    <s v="Technology"/>
    <x v="2"/>
    <s v="Copiers"/>
    <x v="6"/>
    <s v="Prime Copiers 575"/>
    <s v="Second Class"/>
    <x v="0"/>
    <n v="9"/>
    <n v="269.68"/>
    <n v="0"/>
    <n v="2427.12"/>
    <n v="1538.35"/>
    <n v="804.53"/>
    <s v="Paid"/>
    <x v="0"/>
    <s v="Completed"/>
    <x v="0"/>
    <s v="ORD-2025-10092|02-03-2025|03-08-2025|CUST-6409|Sneha Kapoor|Corporate|West|Madhya Pradesh|Indore|Technology|Copiers|Prime Copiers 575|Second Class|9|269.68|0|2427.12|1538.35|804.53|Paid|Completed"/>
    <s v="Keep"/>
    <n v="1"/>
    <s v="Unique"/>
    <s v=""/>
    <n v="0"/>
    <n v="2427.12"/>
    <n v="888.77"/>
    <n v="0.36618296581957216"/>
    <n v="3"/>
    <n v="2025"/>
    <b v="0"/>
    <b v="1"/>
    <x v="1"/>
    <s v="Profit mismatch"/>
    <s v="Invalid"/>
  </r>
  <r>
    <s v="ORD-2025-10093"/>
    <s v="23 Jan 2025"/>
    <x v="14"/>
    <d v="2025-01-23T00:00:00"/>
    <s v="01/26/2025"/>
    <d v="2025-01-26T00:00:00"/>
    <s v="OK"/>
    <n v="3"/>
    <s v="CUST-3014"/>
    <s v="Aarav Sharma"/>
    <s v="Aarav Sharma"/>
    <s v="Consumer"/>
    <x v="0"/>
    <s v="West"/>
    <x v="3"/>
    <s v="Madhya Pradesh"/>
    <s v="Madhya Pradesh"/>
    <s v="Indore"/>
    <s v="Indore"/>
    <s v="Office Supplies"/>
    <x v="0"/>
    <s v="Paper"/>
    <x v="0"/>
    <s v="Elite Paper 669"/>
    <s v="Standard Class"/>
    <x v="3"/>
    <n v="9"/>
    <n v="4458.26"/>
    <n v="0.1"/>
    <n v="36111.910000000003"/>
    <n v="29194.5"/>
    <n v="6917.41"/>
    <s v="Paid"/>
    <x v="0"/>
    <s v="Completed"/>
    <x v="0"/>
    <s v="ORD-2025-10093|01-23-2025|01-26-2025|CUST-3014|Aarav Sharma|Consumer|West|Madhya Pradesh|Indore|Office Supplies|Paper|Elite Paper 669|Standard Class|9|4458.26|0.1|36111.91|29194.5|6917.41|Paid|Completed"/>
    <s v="Keep"/>
    <n v="1"/>
    <s v="Unique"/>
    <s v=""/>
    <n v="0.1"/>
    <n v="36111.906000000003"/>
    <n v="6917.4060000000027"/>
    <n v="0.19155471882320479"/>
    <n v="1"/>
    <n v="2025"/>
    <b v="0"/>
    <b v="0"/>
    <x v="0"/>
    <s v=""/>
    <s v="Clean"/>
  </r>
  <r>
    <s v="ORD-2024-10094"/>
    <s v="01/07/2024"/>
    <x v="12"/>
    <d v="2024-01-07T00:00:00"/>
    <s v="13-01-2024"/>
    <d v="2024-01-13T00:00:00"/>
    <s v="OK"/>
    <n v="6"/>
    <s v="CUST-6106"/>
    <s v="Rohan Mehta"/>
    <s v="Rohan Mehta"/>
    <s v="Corporate"/>
    <x v="2"/>
    <s v="North"/>
    <x v="0"/>
    <s v="Uttar Pradesh"/>
    <s v="Uttar Pradesh"/>
    <s v="Noida"/>
    <s v="Noida"/>
    <s v="Office Supplies"/>
    <x v="0"/>
    <s v="Binders"/>
    <x v="9"/>
    <s v="Eco Binders 780"/>
    <s v="Standard Class"/>
    <x v="3"/>
    <n v="7"/>
    <n v="2788.97"/>
    <n v="-0.09"/>
    <n v="19522.79"/>
    <n v="12455.78"/>
    <n v="7067.01"/>
    <s v="Paid"/>
    <x v="0"/>
    <s v="Completed"/>
    <x v="0"/>
    <s v="ORD-2024-10094|01-07-2024|13-01-2024|CUST-6106|Rohan Mehta|Corporate|North|Uttar Pradesh|Noida|Office Supplies|Binders|Eco Binders 780|Standard Class|7|2788.97|-0.09|19522.79|12455.78|7067.01|Paid|Completed"/>
    <s v="Keep"/>
    <n v="1"/>
    <s v="Unique"/>
    <s v=""/>
    <n v="-0.09"/>
    <n v="21279.841099999998"/>
    <n v="8824.0610999999972"/>
    <n v="0.41466762174272054"/>
    <n v="1"/>
    <n v="2024"/>
    <b v="1"/>
    <b v="1"/>
    <x v="1"/>
    <s v="Negative discount; Sales mismatch; Profit mismatch"/>
    <s v="Invalid"/>
  </r>
  <r>
    <s v="ORD-2024-10095"/>
    <s v="09/06/2024"/>
    <x v="21"/>
    <d v="2024-09-06T00:00:00"/>
    <s v="09 Sep 2024"/>
    <d v="2024-09-09T00:00:00"/>
    <s v="OK"/>
    <n v="3"/>
    <s v="CUST-1926"/>
    <s v="Diya Patel"/>
    <s v="Diya Patel"/>
    <s v="Consumer"/>
    <x v="0"/>
    <s v="North"/>
    <x v="0"/>
    <s v="Haryana"/>
    <s v="Haryana"/>
    <s v="Gurugram"/>
    <s v="Gurugram"/>
    <s v="Technology"/>
    <x v="2"/>
    <s v="Phones"/>
    <x v="11"/>
    <s v="Elite Phones 723"/>
    <s v="Second Class"/>
    <x v="0"/>
    <n v="7"/>
    <n v="3781.53"/>
    <n v="0"/>
    <n v="26470.71"/>
    <n v="21367.599999999999"/>
    <n v="5103.1099999999997"/>
    <s v="Pending"/>
    <x v="2"/>
    <s v="Cancelled"/>
    <x v="1"/>
    <s v="ORD-2024-10095|09-06-2024|09-09-2024|CUST-1926|Diya Patel|Consumer|North|Haryana|Gurugram|Technology|Phones|Elite Phones 723|Second Class|7|3781.53|0|26470.71|21367.6|5103.11|Pending|Cancelled"/>
    <s v="Keep"/>
    <n v="1"/>
    <s v="Unique"/>
    <s v=""/>
    <n v="0"/>
    <n v="26470.710000000003"/>
    <n v="5103.1100000000042"/>
    <n v="0.19278326875251944"/>
    <n v="9"/>
    <n v="2024"/>
    <b v="0"/>
    <b v="0"/>
    <x v="1"/>
    <s v="Cancelled order excluded"/>
    <s v="Warning"/>
  </r>
  <r>
    <s v="ORD-2025-10096"/>
    <s v="05-09-2025"/>
    <x v="8"/>
    <d v="2025-09-05T00:00:00"/>
    <s v="09/10/2025"/>
    <d v="2025-09-10T00:00:00"/>
    <s v="OK"/>
    <n v="5"/>
    <s v="CUST-2687"/>
    <s v="Sneha Kapoor"/>
    <s v="Sneha Kapoor"/>
    <s v="Corporate"/>
    <x v="2"/>
    <s v="West"/>
    <x v="3"/>
    <s v="Goa"/>
    <s v="Goa"/>
    <s v="Panaji"/>
    <s v="Panaji"/>
    <s v="Furniture"/>
    <x v="1"/>
    <s v="Bookcases"/>
    <x v="10"/>
    <s v="Classic Bookcases 988"/>
    <s v="Same Day"/>
    <x v="1"/>
    <n v="6"/>
    <n v="1754.13"/>
    <n v="0"/>
    <n v="10524.78"/>
    <n v="8841.0499999999993"/>
    <n v="1683.73"/>
    <s v="Paid"/>
    <x v="0"/>
    <s v="Completed"/>
    <x v="0"/>
    <s v="ORD-2025-10096|05-09-2025|09-10-2025|CUST-2687|Sneha Kapoor|Corporate|West|Goa|Panaji|Furniture|Bookcases|Classic Bookcases 988|Same Day|6|1754.13|0|10524.78|8841.05|1683.73|Paid|Completed"/>
    <s v="Keep"/>
    <n v="1"/>
    <s v="Unique"/>
    <s v=""/>
    <n v="0"/>
    <n v="10524.78"/>
    <n v="1683.7300000000014"/>
    <n v="0.15997769074507984"/>
    <n v="9"/>
    <n v="2025"/>
    <b v="0"/>
    <b v="0"/>
    <x v="0"/>
    <s v=""/>
    <s v="Clean"/>
  </r>
  <r>
    <s v="ORD-2024-10097"/>
    <s v="05 Jun 2024"/>
    <x v="2"/>
    <d v="2024-06-05T00:00:00"/>
    <s v="07-06-2024"/>
    <d v="2024-06-07T00:00:00"/>
    <s v="OK"/>
    <n v="2"/>
    <s v="CUST-7283"/>
    <s v="Rahul Verma"/>
    <s v="Rahul Verma"/>
    <s v="Home Office"/>
    <x v="3"/>
    <s v="East"/>
    <x v="1"/>
    <s v="Odisha"/>
    <s v="Odisha"/>
    <s v="Bhubaneswar"/>
    <s v="Bhubaneswar"/>
    <s v="Technology"/>
    <x v="2"/>
    <s v="Copiers"/>
    <x v="6"/>
    <s v="Smart Copiers 547"/>
    <s v="Second Class"/>
    <x v="0"/>
    <n v="2"/>
    <n v="2259.2399999999998"/>
    <n v="0.15"/>
    <n v="3840.71"/>
    <n v="2516.29"/>
    <n v="1324.42"/>
    <s v="Paid"/>
    <x v="0"/>
    <s v="Completed"/>
    <x v="0"/>
    <s v="ORD-2024-10097|06-05-2024|07-06-2024|CUST-7283|Rahul Verma|Home Office|East|Odisha|Bhubaneswar|Technology|Copiers|Smart Copiers 547|Second Class|2|2259.24|0.15|3840.71|2516.29|1324.42|Paid|Completed"/>
    <s v="Keep"/>
    <n v="1"/>
    <s v="Unique"/>
    <s v=""/>
    <n v="0.15"/>
    <n v="3840.7079999999996"/>
    <n v="1324.4179999999997"/>
    <n v="0.34483694152224009"/>
    <n v="6"/>
    <n v="2024"/>
    <b v="0"/>
    <b v="0"/>
    <x v="0"/>
    <s v=""/>
    <s v="Clean"/>
  </r>
  <r>
    <s v="ORD-2025-10098"/>
    <s v="08 Aug 2025"/>
    <x v="4"/>
    <d v="2025-08-08T00:00:00"/>
    <s v="2025-08-11"/>
    <d v="2025-08-11T00:00:00"/>
    <s v="OK"/>
    <n v="3"/>
    <s v="CUST-8111"/>
    <s v="Diya Patel"/>
    <s v="Diya Patel"/>
    <s v="Small Business"/>
    <x v="1"/>
    <s v="West"/>
    <x v="3"/>
    <s v="Gujarat"/>
    <s v="Gujarat"/>
    <s v="Ahmedabad"/>
    <s v="Ahmedabad"/>
    <s v="Office Supplies"/>
    <x v="0"/>
    <s v="Storage"/>
    <x v="8"/>
    <s v="Basic Storage 656"/>
    <s v="Same Day"/>
    <x v="1"/>
    <n v="5"/>
    <n v="3602.36"/>
    <n v="0.2"/>
    <n v="14409.44"/>
    <n v="8809.9699999999993"/>
    <n v="5599.47"/>
    <s v="Pending"/>
    <x v="2"/>
    <s v="Returned"/>
    <x v="2"/>
    <s v="ORD-2025-10098|08-08-2025|08-11-2025|CUST-8111|Diya Patel|Small Business|West|Gujarat|Ahmedabad|Office Supplies|Storage|Basic Storage 656|Same Day|5|3602.36|0.2|14409.44|8809.97|5599.47|Pending|Returned"/>
    <s v="Keep"/>
    <n v="1"/>
    <s v="Unique"/>
    <s v=""/>
    <n v="0.2"/>
    <n v="14409.44"/>
    <n v="5599.4700000000012"/>
    <n v="0.38859733619071951"/>
    <n v="8"/>
    <n v="2025"/>
    <b v="0"/>
    <b v="0"/>
    <x v="1"/>
    <s v="Returned order excluded"/>
    <s v="Warning"/>
  </r>
  <r>
    <s v="ORD-2024-10099"/>
    <s v="2024-01-26"/>
    <x v="12"/>
    <d v="2024-01-26T00:00:00"/>
    <s v="02/01/2024"/>
    <d v="2024-02-01T00:00:00"/>
    <s v="OK"/>
    <n v="6"/>
    <s v="CUST-5434"/>
    <s v="Rohan Mehta"/>
    <s v="Rohan Mehta"/>
    <s v="Home Office"/>
    <x v="3"/>
    <s v="South"/>
    <x v="2"/>
    <s v="Kerala"/>
    <s v="Kerala"/>
    <s v="Kochi"/>
    <s v="Kochi"/>
    <s v="Technology"/>
    <x v="2"/>
    <s v="Copiers"/>
    <x v="6"/>
    <s v="Elite Copiers 785"/>
    <m/>
    <x v="4"/>
    <n v="8"/>
    <n v="2108.9299999999998"/>
    <n v="0.1"/>
    <n v="15184.3"/>
    <n v="11270.74"/>
    <n v="3913.56"/>
    <s v="Paid"/>
    <x v="0"/>
    <s v="Completed"/>
    <x v="0"/>
    <s v="ORD-2024-10099|01-26-2024|02-01-2024|CUST-5434|Rohan Mehta|Home Office|South|Kerala|Kochi|Technology|Copiers|Elite Copiers 785||8|2108.93|0.1|15184.3|11270.74|3913.56|Paid|Completed"/>
    <s v="Keep"/>
    <n v="1"/>
    <s v="Unique"/>
    <s v=""/>
    <n v="0.1"/>
    <n v="15184.295999999998"/>
    <n v="3913.5559999999987"/>
    <n v="0.25773707256497103"/>
    <n v="1"/>
    <n v="2024"/>
    <b v="0"/>
    <b v="0"/>
    <x v="0"/>
    <s v="Missing ship mode filled as Unknown"/>
    <s v="Warning"/>
  </r>
  <r>
    <s v="ORD-2025-10100"/>
    <s v="11-01-2025"/>
    <x v="14"/>
    <d v="2025-01-11T00:00:00"/>
    <s v="11-01-2025"/>
    <d v="2025-01-11T00:00:00"/>
    <s v="OK"/>
    <n v="0"/>
    <s v="CUST-3865"/>
    <s v="Aditi Sen"/>
    <s v="Aditi Sen"/>
    <s v="Small Business"/>
    <x v="1"/>
    <s v="West"/>
    <x v="3"/>
    <s v="Rajasthan"/>
    <s v="Rajasthan"/>
    <s v="Udaipur"/>
    <s v="Udaipur"/>
    <s v="Technology"/>
    <x v="2"/>
    <s v="Accessories"/>
    <x v="5"/>
    <s v="Smart Accessories 542"/>
    <s v="Same Day"/>
    <x v="1"/>
    <n v="3"/>
    <n v="2165.29"/>
    <n v="0"/>
    <n v="6495.87"/>
    <n v="4700.8900000000003"/>
    <n v="1794.98"/>
    <s v="Paid"/>
    <x v="0"/>
    <s v="Completed"/>
    <x v="0"/>
    <s v="ORD-2025-10100|11-01-2025|11-01-2025|CUST-3865|Aditi Sen|Small Business|West|Rajasthan|Udaipur|Technology|Accessories|Smart Accessories 542|Same Day|3|2165.29|0|6495.87|4700.89|1794.98|Paid|Completed"/>
    <s v="Keep"/>
    <n v="1"/>
    <s v="Unique"/>
    <s v=""/>
    <n v="0"/>
    <n v="6495.87"/>
    <n v="1794.9799999999996"/>
    <n v="0.27632634273777024"/>
    <n v="1"/>
    <n v="2025"/>
    <b v="0"/>
    <b v="0"/>
    <x v="0"/>
    <s v=""/>
    <s v="Clean"/>
  </r>
  <r>
    <s v="ORD-2025-10101"/>
    <s v="12 Sep 2025"/>
    <x v="8"/>
    <d v="2025-09-12T00:00:00"/>
    <s v="18 Sep 2025"/>
    <d v="2025-09-18T00:00:00"/>
    <s v="OK"/>
    <n v="6"/>
    <s v="CUST-6015"/>
    <s v="Aarav Sharma"/>
    <s v="Aarav Sharma"/>
    <s v="Home Office"/>
    <x v="3"/>
    <s v="South"/>
    <x v="2"/>
    <s v="Kerala"/>
    <s v="Kerala"/>
    <s v="Kochi"/>
    <s v="Kochi"/>
    <s v="Office Supplies"/>
    <x v="0"/>
    <s v="Storage"/>
    <x v="8"/>
    <s v="Eco Storage 936"/>
    <s v="Standard Class"/>
    <x v="3"/>
    <n v="6"/>
    <n v="1673.8"/>
    <n v="0.05"/>
    <n v="9540.66"/>
    <n v="5561.49"/>
    <n v="3979.17"/>
    <s v="Paid"/>
    <x v="0"/>
    <s v="Completed"/>
    <x v="0"/>
    <s v="ORD-2025-10101|09-12-2025|09-18-2025|CUST-6015|Aarav Sharma|Home Office|South|Kerala|Kochi|Office Supplies|Storage|Eco Storage 936|Standard Class|6|1673.8|0.05|9540.66|5561.49|3979.17|Paid|Completed"/>
    <s v="Keep"/>
    <n v="1"/>
    <s v="Unique"/>
    <s v=""/>
    <n v="0.05"/>
    <n v="9540.659999999998"/>
    <n v="3979.1699999999983"/>
    <n v="0.41707491934520241"/>
    <n v="9"/>
    <n v="2025"/>
    <b v="0"/>
    <b v="0"/>
    <x v="0"/>
    <s v=""/>
    <s v="Clean"/>
  </r>
  <r>
    <s v="ORD-2024-10102"/>
    <s v="06/22/2024"/>
    <x v="2"/>
    <d v="2024-06-22T00:00:00"/>
    <s v="26-06-2024"/>
    <d v="2024-06-26T00:00:00"/>
    <s v="OK"/>
    <n v="4"/>
    <s v="CUST-7909"/>
    <s v="Rohan Mehta"/>
    <s v="Rohan Mehta"/>
    <s v="  Home Office "/>
    <x v="3"/>
    <s v="East"/>
    <x v="1"/>
    <s v="Bihar"/>
    <s v="Bihar"/>
    <s v="Patna"/>
    <s v="Patna"/>
    <s v="Furniture"/>
    <x v="1"/>
    <s v="Furnishings"/>
    <x v="3"/>
    <s v="Classic Furnishings 682"/>
    <s v="First Class"/>
    <x v="2"/>
    <n v="5"/>
    <n v="4396.5200000000004"/>
    <n v="0.25"/>
    <n v="16486.95"/>
    <n v="12054.14"/>
    <n v="4432.8100000000004"/>
    <s v="Paid"/>
    <x v="0"/>
    <s v="Completed"/>
    <x v="0"/>
    <s v="ORD-2024-10102|06-22-2024|26-06-2024|CUST-7909|Rohan Mehta|  Home Office |East|Bihar|Patna|Furniture|Furnishings|Classic Furnishings 682|First Class|5|4396.52|0.25|16486.95|12054.14|4432.81|Paid|Completed"/>
    <s v="Keep"/>
    <n v="1"/>
    <s v="Unique"/>
    <s v=""/>
    <n v="0.25"/>
    <n v="16486.95"/>
    <n v="4432.8100000000013"/>
    <n v="0.26886780150361356"/>
    <n v="6"/>
    <n v="2024"/>
    <b v="0"/>
    <b v="0"/>
    <x v="0"/>
    <s v=""/>
    <s v="Clean"/>
  </r>
  <r>
    <s v="ORD-2025-10103"/>
    <s v="12 Jul 2025"/>
    <x v="13"/>
    <d v="2025-07-12T00:00:00"/>
    <s v="2025-07-16"/>
    <d v="2025-07-16T00:00:00"/>
    <s v="OK"/>
    <n v="4"/>
    <s v="CUST-9603"/>
    <s v="Vikram Iyer"/>
    <s v="Vikram Iyer"/>
    <s v="Consumer"/>
    <x v="0"/>
    <s v="South"/>
    <x v="2"/>
    <s v="Karnataka"/>
    <s v="Karnataka"/>
    <s v="Bengaluru"/>
    <s v="Bengaluru"/>
    <s v="Furniture"/>
    <x v="1"/>
    <s v="Chairs"/>
    <x v="4"/>
    <s v="Classic Chairs 604"/>
    <s v="First Class"/>
    <x v="2"/>
    <n v="4"/>
    <n v="2865.71"/>
    <n v="0"/>
    <n v="11462.84"/>
    <n v="8979.7800000000007"/>
    <n v="2483.06"/>
    <s v="Refunded"/>
    <x v="1"/>
    <s v="Cancelled"/>
    <x v="1"/>
    <s v="ORD-2025-10103|07-12-2025|07-16-2025|CUST-9603|Vikram Iyer|Consumer|South|Karnataka|Bengaluru|Furniture|Chairs|Classic Chairs 604|First Class|4|2865.71|0|11462.84|8979.78|2483.06|Refunded|Cancelled"/>
    <s v="Keep"/>
    <n v="1"/>
    <s v="Unique"/>
    <s v=""/>
    <n v="0"/>
    <n v="11462.84"/>
    <n v="2483.0599999999995"/>
    <n v="0.21661822026653077"/>
    <n v="7"/>
    <n v="2025"/>
    <b v="0"/>
    <b v="0"/>
    <x v="1"/>
    <s v="Refunded order summarized separately; Cancelled order excluded"/>
    <s v="Warning"/>
  </r>
  <r>
    <s v="ORD-2025-10104"/>
    <s v="05/02/2025"/>
    <x v="9"/>
    <d v="2025-05-02T00:00:00"/>
    <s v="05/10/2025"/>
    <d v="2025-05-10T00:00:00"/>
    <s v="OK"/>
    <n v="8"/>
    <s v="CUST-6263"/>
    <s v="Kabir Singh"/>
    <s v="Kabir Singh"/>
    <s v="Corporate"/>
    <x v="2"/>
    <s v="West"/>
    <x v="3"/>
    <s v="Maharashtra"/>
    <s v="Maharashtra"/>
    <s v="Mumbai"/>
    <s v="Mumbai"/>
    <s v="Furniture"/>
    <x v="1"/>
    <s v="Tables"/>
    <x v="1"/>
    <s v="Prime Tables 377"/>
    <s v="First Class"/>
    <x v="2"/>
    <n v="4"/>
    <n v="2440.34"/>
    <n v="0.2"/>
    <n v="7809.09"/>
    <n v="6657.75"/>
    <n v="1151.3399999999999"/>
    <s v="Paid"/>
    <x v="0"/>
    <s v="Completed"/>
    <x v="0"/>
    <s v="ORD-2025-10104|05-02-2025|05-10-2025|CUST-6263|Kabir Singh|Corporate|West|Maharashtra|Mumbai|Furniture|Tables|Prime Tables 377|First Class|4|2440.34|0.2|7809.09|6657.75|1151.34|Paid|Completed"/>
    <s v="Keep"/>
    <n v="1"/>
    <s v="Unique"/>
    <s v=""/>
    <n v="0.2"/>
    <n v="7809.0880000000006"/>
    <n v="1151.3380000000006"/>
    <n v="0.14743565445798543"/>
    <n v="5"/>
    <n v="2025"/>
    <b v="0"/>
    <b v="0"/>
    <x v="0"/>
    <s v=""/>
    <s v="Clean"/>
  </r>
  <r>
    <s v="ORD-2025-10105"/>
    <s v="2025-02-01"/>
    <x v="7"/>
    <d v="2025-02-01T00:00:00"/>
    <s v="02/08/2025"/>
    <d v="2025-02-08T00:00:00"/>
    <s v="OK"/>
    <n v="7"/>
    <s v="CUST-1576"/>
    <s v="Ananya Rao"/>
    <s v="Ananya Rao"/>
    <s v="Consumer"/>
    <x v="0"/>
    <s v="South"/>
    <x v="2"/>
    <s v="Karnataka"/>
    <s v="Karnataka"/>
    <s v="Bengaluru"/>
    <s v="Bengaluru"/>
    <s v="Office Supplies"/>
    <x v="0"/>
    <s v="Labels"/>
    <x v="7"/>
    <s v="Prime Labels 807"/>
    <s v="Same Day"/>
    <x v="1"/>
    <n v="5"/>
    <n v="2112.54"/>
    <n v="0.25"/>
    <n v="8260.4599999999991"/>
    <n v="5619.95"/>
    <n v="2302.08"/>
    <s v="Paid"/>
    <x v="0"/>
    <s v="Cancelled"/>
    <x v="1"/>
    <s v="ORD-2025-10105|02-01-2025|02-08-2025|CUST-1576|Ananya Rao|Consumer|South|Karnataka|Bengaluru|Office Supplies|Labels|Prime Labels 807|Same Day|5|2112.54|0.25|8260.46|5619.95|2302.08|Paid|Cancelled"/>
    <s v="Keep"/>
    <n v="1"/>
    <s v="Unique"/>
    <s v=""/>
    <n v="0.25"/>
    <n v="7922.0250000000005"/>
    <n v="2302.0750000000007"/>
    <n v="0.29059173633004193"/>
    <n v="2"/>
    <n v="2025"/>
    <b v="1"/>
    <b v="0"/>
    <x v="1"/>
    <s v="Cancelled order excluded; Sales mismatch"/>
    <s v="Invalid"/>
  </r>
  <r>
    <s v="ORD-2024-10106"/>
    <s v="06/24/2024"/>
    <x v="2"/>
    <d v="2024-06-24T00:00:00"/>
    <s v="29-06-2024"/>
    <d v="2024-06-29T00:00:00"/>
    <s v="OK"/>
    <n v="5"/>
    <s v="CUST-6540"/>
    <s v="Mira Das"/>
    <s v="Mira Das"/>
    <s v="Home Office"/>
    <x v="3"/>
    <s v="East"/>
    <x v="1"/>
    <s v="West Bengal"/>
    <s v="West Bengal"/>
    <s v="Kolkata"/>
    <s v="Kolkata"/>
    <s v="Furniture"/>
    <x v="1"/>
    <s v="Tables"/>
    <x v="1"/>
    <s v="Eco Tables 575"/>
    <s v="Second Class"/>
    <x v="0"/>
    <n v="2"/>
    <n v="685"/>
    <n v="0.1"/>
    <n v="1233"/>
    <n v="1006.9"/>
    <n v="226.1"/>
    <s v="Paid"/>
    <x v="0"/>
    <s v="Completed"/>
    <x v="0"/>
    <s v="ORD-2024-10106|06-24-2024|29-06-2024|CUST-6540|Mira Das|Home Office|East|West Bengal|Kolkata|Furniture|Tables|Eco Tables 575|Second Class|2|685|0.1|1233|1006.9|226.1|Paid|Completed"/>
    <s v="Keep"/>
    <n v="1"/>
    <s v="Unique"/>
    <s v=""/>
    <n v="0.1"/>
    <n v="1233"/>
    <n v="226.10000000000002"/>
    <n v="0.18337388483373887"/>
    <n v="6"/>
    <n v="2024"/>
    <b v="0"/>
    <b v="0"/>
    <x v="0"/>
    <s v=""/>
    <s v="Clean"/>
  </r>
  <r>
    <s v="ORD-2024-10107"/>
    <s v="20-02-2024"/>
    <x v="17"/>
    <d v="2024-02-20T00:00:00"/>
    <s v="28 Feb 2024"/>
    <d v="2024-02-28T00:00:00"/>
    <s v="OK"/>
    <n v="8"/>
    <s v="CUST-4008"/>
    <s v="Arjun Bose"/>
    <s v="Arjun Bose"/>
    <s v="Home Office"/>
    <x v="3"/>
    <s v="East"/>
    <x v="1"/>
    <s v="West Bengal"/>
    <s v="West Bengal"/>
    <s v="Kolkata"/>
    <s v="Kolkata"/>
    <s v="Office Supplies"/>
    <x v="0"/>
    <s v="Paper"/>
    <x v="0"/>
    <s v="Eco Paper 918"/>
    <s v="Standard Class"/>
    <x v="3"/>
    <n v="2"/>
    <n v="4004.04"/>
    <m/>
    <n v="7207.27"/>
    <n v="5709.39"/>
    <n v="1497.88"/>
    <s v="Paid"/>
    <x v="0"/>
    <s v="Cancelled"/>
    <x v="1"/>
    <s v="ORD-2024-10107|20-02-2024|02-28-2024|CUST-4008|Arjun Bose|Home Office|East|West Bengal|Kolkata|Office Supplies|Paper|Eco Paper 918|Standard Class|2|4004.04||7207.27|5709.39|1497.88|Paid|Cancelled"/>
    <s v="Keep"/>
    <n v="1"/>
    <s v="Unique"/>
    <s v=""/>
    <n v="0"/>
    <n v="8008.08"/>
    <n v="2298.6899999999996"/>
    <n v="0.28704633320346445"/>
    <n v="2"/>
    <n v="2024"/>
    <b v="1"/>
    <b v="1"/>
    <x v="1"/>
    <s v="Missing discount treated as 0; Cancelled order excluded; Sales mismatch; Profit mismatch"/>
    <s v="Invalid"/>
  </r>
  <r>
    <s v="ORD-2024-10108"/>
    <s v="29 Oct 2024"/>
    <x v="16"/>
    <d v="2024-10-29T00:00:00"/>
    <s v="2024-11-04"/>
    <d v="2024-11-04T00:00:00"/>
    <s v="OK"/>
    <n v="6"/>
    <s v="CUST-6604"/>
    <s v="Rohan Mehta"/>
    <s v="Rohan Mehta"/>
    <s v="Home Office"/>
    <x v="3"/>
    <s v="East"/>
    <x v="1"/>
    <s v="West Bengal"/>
    <s v="West Bengal"/>
    <s v="Kolkata"/>
    <s v="Kolkata"/>
    <s v="Furniture"/>
    <x v="1"/>
    <s v="Furnishings"/>
    <x v="3"/>
    <s v="Prime Furnishings 952"/>
    <s v="First Class"/>
    <x v="2"/>
    <n v="3"/>
    <n v="4302.8900000000003"/>
    <n v="0.05"/>
    <n v="12263.24"/>
    <n v="8925.57"/>
    <n v="3337.67"/>
    <s v="Paid"/>
    <x v="0"/>
    <s v="Completed"/>
    <x v="0"/>
    <s v="ORD-2024-10108|10-29-2024|11-04-2024|CUST-6604|Rohan Mehta|Home Office|East|West Bengal|Kolkata|Furniture|Furnishings|Prime Furnishings 952|First Class|3|4302.89|0.05|12263.24|8925.57|3337.67|Paid|Completed"/>
    <s v="Keep"/>
    <n v="1"/>
    <s v="Unique"/>
    <s v=""/>
    <n v="0.05"/>
    <n v="12263.236500000001"/>
    <n v="3337.6665000000012"/>
    <n v="0.27216848504878799"/>
    <n v="10"/>
    <n v="2024"/>
    <b v="0"/>
    <b v="0"/>
    <x v="0"/>
    <s v=""/>
    <s v="Clean"/>
  </r>
  <r>
    <s v="ORD-2024-10109"/>
    <s v="15 Aug 2024"/>
    <x v="1"/>
    <d v="2024-08-15T00:00:00"/>
    <s v="08/23/2024"/>
    <d v="2024-08-23T00:00:00"/>
    <s v="OK"/>
    <n v="8"/>
    <s v="CUST-4337"/>
    <s v="Aditi Sen"/>
    <s v="Aditi Sen"/>
    <s v="Small Business"/>
    <x v="1"/>
    <s v="East"/>
    <x v="1"/>
    <s v="Odisha"/>
    <s v="Odisha"/>
    <s v="Bhubaneswar"/>
    <s v="Bhubaneswar"/>
    <s v="Furniture"/>
    <x v="1"/>
    <s v="Bookcases"/>
    <x v="10"/>
    <s v="Prime Bookcases 631"/>
    <s v="Same Day"/>
    <x v="1"/>
    <n v="2"/>
    <n v="537.54"/>
    <n v="0.25"/>
    <n v="806.31"/>
    <n v="498.5"/>
    <n v="307.81"/>
    <s v="Paid"/>
    <x v="0"/>
    <s v="Completed"/>
    <x v="0"/>
    <s v="ORD-2024-10109|08-15-2024|08-23-2024|CUST-4337|Aditi Sen|Small Business|East|Odisha|Bhubaneswar|Furniture|Bookcases|Prime Bookcases 631|Same Day|2|537.54|0.25|806.31|498.5|307.81|Paid|Completed"/>
    <s v="Keep"/>
    <n v="1"/>
    <s v="Unique"/>
    <s v=""/>
    <n v="0.25"/>
    <n v="806.31"/>
    <n v="307.80999999999995"/>
    <n v="0.38175143555208291"/>
    <n v="8"/>
    <n v="2024"/>
    <b v="0"/>
    <b v="0"/>
    <x v="0"/>
    <s v=""/>
    <s v="Clean"/>
  </r>
  <r>
    <s v="ORD-2025-10110"/>
    <s v="23-08-2025"/>
    <x v="4"/>
    <d v="2025-08-23T00:00:00"/>
    <s v="08/27/2025"/>
    <d v="2025-08-27T00:00:00"/>
    <s v="OK"/>
    <n v="4"/>
    <s v="CUST-3740"/>
    <s v="Sneha Kapoor"/>
    <s v="Sneha Kapoor"/>
    <s v="Consumer"/>
    <x v="0"/>
    <s v="North"/>
    <x v="0"/>
    <s v="Delhi"/>
    <s v="Delhi"/>
    <s v="New Delhi"/>
    <s v="New Delhi"/>
    <s v="Office Supplies"/>
    <x v="0"/>
    <s v="Binders"/>
    <x v="9"/>
    <s v="Classic Binders 660"/>
    <s v="Second Class"/>
    <x v="0"/>
    <n v="1"/>
    <n v="2788.62"/>
    <n v="0.25"/>
    <n v="2091.4699999999998"/>
    <n v="1317.22"/>
    <n v="774.25"/>
    <s v="Paid"/>
    <x v="0"/>
    <s v="Completed"/>
    <x v="0"/>
    <s v="ORD-2025-10110|23-08-2025|08-27-2025|CUST-3740|Sneha Kapoor|Consumer|North|Delhi|New Delhi|Office Supplies|Binders|Classic Binders 660|Second Class|1|2788.62|0.25|2091.47|1317.22|774.25|Paid|Completed"/>
    <s v="Keep"/>
    <n v="1"/>
    <s v="Unique"/>
    <s v=""/>
    <n v="0.25"/>
    <n v="2091.4650000000001"/>
    <n v="774.24500000000012"/>
    <n v="0.37019266399389905"/>
    <n v="8"/>
    <n v="2025"/>
    <b v="0"/>
    <b v="0"/>
    <x v="0"/>
    <s v=""/>
    <s v="Clean"/>
  </r>
  <r>
    <s v="ORD-2024-10111"/>
    <s v="10/18/2024"/>
    <x v="16"/>
    <d v="2024-10-18T00:00:00"/>
    <s v="2024-10-24"/>
    <d v="2024-10-24T00:00:00"/>
    <s v="OK"/>
    <n v="6"/>
    <s v="CUST-7128"/>
    <s v="Vikram Iyer"/>
    <s v="Vikram Iyer"/>
    <s v="Corporate"/>
    <x v="2"/>
    <s v="South"/>
    <x v="2"/>
    <s v="Kerala"/>
    <s v="Kerala"/>
    <s v="Kochi"/>
    <s v="Kochi"/>
    <s v="Office Supplies"/>
    <x v="0"/>
    <s v="Labels"/>
    <x v="7"/>
    <s v="Pro Labels 255"/>
    <s v="First Class"/>
    <x v="2"/>
    <n v="2"/>
    <n v="2250.4699999999998"/>
    <n v="0"/>
    <n v="4500.9399999999996"/>
    <n v="2607.73"/>
    <n v="1893.21"/>
    <s v="Refunded"/>
    <x v="1"/>
    <s v="Cancelled"/>
    <x v="1"/>
    <s v="ORD-2024-10111|10-18-2024|10-24-2024|CUST-7128|Vikram Iyer|Corporate|South|Kerala|Kochi|Office Supplies|Labels|Pro Labels 255|First Class|2|2250.47|0|4500.94|2607.73|1893.21|Refunded|Cancelled"/>
    <s v="Keep"/>
    <n v="1"/>
    <s v="Unique"/>
    <s v=""/>
    <n v="0"/>
    <n v="4500.9399999999996"/>
    <n v="1893.2099999999996"/>
    <n v="0.42062546934640316"/>
    <n v="10"/>
    <n v="2024"/>
    <b v="0"/>
    <b v="0"/>
    <x v="1"/>
    <s v="Refunded order summarized separately; Cancelled order excluded"/>
    <s v="Warning"/>
  </r>
  <r>
    <s v="ORD-2025-10112"/>
    <s v="06/27/2025"/>
    <x v="18"/>
    <d v="2025-06-27T00:00:00"/>
    <s v="2025-06-30"/>
    <d v="2025-06-30T00:00:00"/>
    <s v="OK"/>
    <n v="3"/>
    <s v="CUST-4743"/>
    <s v="Neha Gupta"/>
    <s v="Neha Gupta"/>
    <s v="Corporate"/>
    <x v="2"/>
    <s v="East"/>
    <x v="1"/>
    <s v="Bihar"/>
    <s v="Bihar"/>
    <s v="Patna"/>
    <s v="Patna"/>
    <s v="Technology"/>
    <x v="2"/>
    <s v="Accessories"/>
    <x v="5"/>
    <s v="Basic Accessories 187"/>
    <s v="First Class"/>
    <x v="2"/>
    <n v="1"/>
    <n v="1708.44"/>
    <n v="0.05"/>
    <n v="1623.02"/>
    <n v="1077.46"/>
    <n v="545.55999999999995"/>
    <s v="Pending"/>
    <x v="2"/>
    <s v="Cancelled"/>
    <x v="1"/>
    <s v="ORD-2025-10112|06-27-2025|06-30-2025|CUST-4743|Neha Gupta|Corporate|East|Bihar|Patna|Technology|Accessories|Basic Accessories 187|First Class|1|1708.44|0.05|1623.02|1077.46|545.56|Pending|Cancelled"/>
    <s v="Keep"/>
    <n v="1"/>
    <s v="Unique"/>
    <s v=""/>
    <n v="0.05"/>
    <n v="1623.018"/>
    <n v="545.55799999999999"/>
    <n v="0.3361379849145234"/>
    <n v="6"/>
    <n v="2025"/>
    <b v="0"/>
    <b v="0"/>
    <x v="1"/>
    <s v="Cancelled order excluded"/>
    <s v="Warning"/>
  </r>
  <r>
    <s v="ORD-2024-10113"/>
    <s v="10 Jan 2024"/>
    <x v="12"/>
    <d v="2024-01-10T00:00:00"/>
    <s v="14-01-2024"/>
    <d v="2024-01-14T00:00:00"/>
    <s v="OK"/>
    <n v="4"/>
    <s v="CUST-5213"/>
    <s v="Sneha Kapoor"/>
    <s v="Sneha Kapoor"/>
    <s v="  Consumer "/>
    <x v="0"/>
    <m/>
    <x v="4"/>
    <s v="Gujarat"/>
    <s v="Gujarat"/>
    <s v="Ahmedabad"/>
    <s v="Ahmedabad"/>
    <s v="Technology"/>
    <x v="2"/>
    <s v="Accessories"/>
    <x v="5"/>
    <s v="Max Accessories 451"/>
    <s v="Standard Class"/>
    <x v="3"/>
    <n v="3"/>
    <n v="3829.48"/>
    <n v="0.05"/>
    <n v="10914.02"/>
    <n v="6548.74"/>
    <n v="4365.28"/>
    <s v="Paid"/>
    <x v="0"/>
    <s v="Completed"/>
    <x v="0"/>
    <s v="ORD-2024-10113|01-10-2024|14-01-2024|CUST-5213|Sneha Kapoor|  Consumer ||Gujarat|Ahmedabad|Technology|Accessories|Max Accessories 451|Standard Class|3|3829.48|0.05|10914.02|6548.74|4365.28|Paid|Completed"/>
    <s v="Keep"/>
    <n v="1"/>
    <s v="Unique"/>
    <s v=""/>
    <n v="0.05"/>
    <n v="10914.018"/>
    <n v="4365.2780000000002"/>
    <n v="0.39996983695647198"/>
    <n v="1"/>
    <n v="2024"/>
    <b v="0"/>
    <b v="0"/>
    <x v="0"/>
    <s v="Missing region filled as Unknown"/>
    <s v="Warning"/>
  </r>
  <r>
    <s v="ORD-2024-10114"/>
    <s v="12-02-2024"/>
    <x v="17"/>
    <d v="2024-02-12T00:00:00"/>
    <s v="12-02-2024"/>
    <d v="2024-02-12T00:00:00"/>
    <s v="OK"/>
    <n v="0"/>
    <s v="CUST-4989"/>
    <s v="Isha Nair"/>
    <s v="Isha Nair"/>
    <s v="Home Office"/>
    <x v="3"/>
    <s v="South"/>
    <x v="2"/>
    <s v="Tamil Nadu"/>
    <s v="Tamil Nadu"/>
    <s v="Chennai"/>
    <s v="Chennai"/>
    <s v="Furniture"/>
    <x v="1"/>
    <s v="Tables"/>
    <x v="1"/>
    <s v="Classic Tables 752"/>
    <s v="Standard Class"/>
    <x v="3"/>
    <n v="3"/>
    <n v="1089.1500000000001"/>
    <n v="0.25"/>
    <n v="2450.59"/>
    <n v="1639.89"/>
    <n v="810.7"/>
    <s v="Paid"/>
    <x v="0"/>
    <s v="Completed"/>
    <x v="0"/>
    <s v="ORD-2024-10114|12-02-2024|12-02-2024|CUST-4989|Isha Nair|Home Office|South|Tamil Nadu|Chennai|Furniture|Tables|Classic Tables 752|Standard Class|3|1089.15|0.25|2450.59|1639.89|810.7|Paid|Completed"/>
    <s v="Keep"/>
    <n v="1"/>
    <s v="Unique"/>
    <s v=""/>
    <n v="0.25"/>
    <n v="2450.5875000000001"/>
    <n v="810.69749999999999"/>
    <n v="0.33081761006289306"/>
    <n v="2"/>
    <n v="2024"/>
    <b v="0"/>
    <b v="0"/>
    <x v="0"/>
    <s v=""/>
    <s v="Clean"/>
  </r>
  <r>
    <s v="ORD-2024-10115"/>
    <s v="2024-09-25"/>
    <x v="21"/>
    <d v="2024-09-25T00:00:00"/>
    <s v="30 Sep 2024"/>
    <d v="2024-09-30T00:00:00"/>
    <s v="OK"/>
    <n v="5"/>
    <s v="CUST-2927"/>
    <s v="Neha Gupta"/>
    <s v="Neha Gupta"/>
    <s v="Small Business"/>
    <x v="1"/>
    <s v="North"/>
    <x v="0"/>
    <s v="Rajasthan"/>
    <s v="Rajasthan"/>
    <s v="Jaipur"/>
    <s v="Jaipur"/>
    <s v="Technology"/>
    <x v="2"/>
    <s v="Accessories"/>
    <x v="5"/>
    <s v="Eco Accessories 452"/>
    <s v="Second Class"/>
    <x v="0"/>
    <n v="1"/>
    <n v="4388.3999999999996"/>
    <n v="0.1"/>
    <n v="3949.56"/>
    <n v="3186.73"/>
    <n v="762.83"/>
    <s v="Pending"/>
    <x v="2"/>
    <s v="Cancelled"/>
    <x v="1"/>
    <s v="ORD-2024-10115|09-25-2024|09-30-2024|CUST-2927|Neha Gupta|Small Business|North|Rajasthan|Jaipur|Technology|Accessories|Eco Accessories 452|Second Class|1|4388.4|0.1|3949.56|3186.73|762.83|Pending|Cancelled"/>
    <s v="Keep"/>
    <n v="1"/>
    <s v="Unique"/>
    <s v=""/>
    <n v="0.1"/>
    <n v="3949.56"/>
    <n v="762.82999999999993"/>
    <n v="0.19314303365438173"/>
    <n v="9"/>
    <n v="2024"/>
    <b v="0"/>
    <b v="0"/>
    <x v="1"/>
    <s v="Cancelled order excluded"/>
    <s v="Warning"/>
  </r>
  <r>
    <s v="ORD-2024-10116"/>
    <s v="2024-12-27"/>
    <x v="10"/>
    <d v="2024-12-27T00:00:00"/>
    <s v="01-01-2025"/>
    <d v="2025-01-01T00:00:00"/>
    <s v="OK"/>
    <n v="5"/>
    <s v="CUST-7764"/>
    <s v="Kabir Singh"/>
    <s v="Kabir Singh"/>
    <s v="Corporate"/>
    <x v="2"/>
    <s v="South"/>
    <x v="2"/>
    <s v="Tamil Nadu"/>
    <s v="Tamil Nadu"/>
    <s v="Chennai"/>
    <s v="Chennai"/>
    <s v="Office Supplies"/>
    <x v="0"/>
    <s v="Binders"/>
    <x v="9"/>
    <s v="Classic Binders 203"/>
    <s v="Same Day"/>
    <x v="1"/>
    <n v="2"/>
    <n v="446.34"/>
    <n v="0.15"/>
    <n v="758.78"/>
    <n v="490.74"/>
    <n v="268.04000000000002"/>
    <s v="Paid"/>
    <x v="0"/>
    <s v="Cancelled"/>
    <x v="1"/>
    <s v="ORD-2024-10116|12-27-2024|01-01-2025|CUST-7764|Kabir Singh|Corporate|South|Tamil Nadu|Chennai|Office Supplies|Binders|Classic Binders 203|Same Day|2|446.34|0.15|758.78|490.74|268.04|Paid|Cancelled"/>
    <s v="Keep"/>
    <n v="1"/>
    <s v="Unique"/>
    <s v=""/>
    <n v="0.15"/>
    <n v="758.77799999999991"/>
    <n v="268.0379999999999"/>
    <n v="0.35324956706704719"/>
    <n v="12"/>
    <n v="2024"/>
    <b v="0"/>
    <b v="0"/>
    <x v="1"/>
    <s v="Cancelled order excluded"/>
    <s v="Warning"/>
  </r>
  <r>
    <s v="ORD-2025-10117"/>
    <s v="2025-02-15"/>
    <x v="7"/>
    <d v="2025-02-15T00:00:00"/>
    <s v="19 Feb 2025"/>
    <d v="2025-02-19T00:00:00"/>
    <s v="OK"/>
    <n v="4"/>
    <s v="CUST-3632"/>
    <s v="Ananya Rao"/>
    <s v="Ananya Rao"/>
    <s v="Small Business"/>
    <x v="1"/>
    <m/>
    <x v="4"/>
    <s v="Madhya Pradesh"/>
    <s v="Madhya Pradesh"/>
    <s v="Indore"/>
    <s v="Indore"/>
    <s v="Office Supplies"/>
    <x v="0"/>
    <s v="Binders"/>
    <x v="9"/>
    <s v="Basic Binders 859"/>
    <s v="First Class"/>
    <x v="2"/>
    <n v="9"/>
    <n v="531.99"/>
    <n v="0.25"/>
    <n v="3590.93"/>
    <n v="3061.39"/>
    <n v="529.54"/>
    <s v="Failed"/>
    <x v="3"/>
    <s v="Cancelled"/>
    <x v="1"/>
    <s v="ORD-2025-10117|02-15-2025|02-19-2025|CUST-3632|Ananya Rao|Small Business||Madhya Pradesh|Indore|Office Supplies|Binders|Basic Binders 859|First Class|9|531.99|0.25|3590.93|3061.39|529.54|Failed|Cancelled"/>
    <s v="Keep"/>
    <n v="1"/>
    <s v="Unique"/>
    <s v=""/>
    <n v="0.25"/>
    <n v="3590.9324999999999"/>
    <n v="529.54250000000002"/>
    <n v="0.14746657031286442"/>
    <n v="2"/>
    <n v="2025"/>
    <b v="0"/>
    <b v="0"/>
    <x v="1"/>
    <s v="Missing region filled as Unknown; Failed payment excluded; Cancelled order excluded"/>
    <s v="Warning"/>
  </r>
  <r>
    <s v="ORD-2024-10118"/>
    <s v="2024-02-15"/>
    <x v="17"/>
    <d v="2024-02-15T00:00:00"/>
    <s v="17 Feb 2024"/>
    <d v="2024-02-17T00:00:00"/>
    <s v="OK"/>
    <n v="2"/>
    <s v="CUST-9608"/>
    <s v="Mira Das"/>
    <s v="Mira Das"/>
    <s v="Home Office"/>
    <x v="3"/>
    <s v="South"/>
    <x v="2"/>
    <s v="Tamil Nadu"/>
    <s v="Tamil Nadu"/>
    <s v="Chennai"/>
    <s v="Chennai"/>
    <s v="Technology"/>
    <x v="2"/>
    <s v="Machines"/>
    <x v="12"/>
    <s v="Elite Machines 705"/>
    <s v="Standard Class"/>
    <x v="3"/>
    <n v="9"/>
    <n v="3324.55"/>
    <s v="70%"/>
    <n v="25432.81"/>
    <n v="20370.16"/>
    <n v="5062.6499999999996"/>
    <s v="Paid"/>
    <x v="0"/>
    <s v="Completed"/>
    <x v="0"/>
    <s v="ORD-2024-10118|02-15-2024|02-17-2024|CUST-9608|Mira Das|Home Office|South|Tamil Nadu|Chennai|Technology|Machines|Elite Machines 705|Standard Class|9|3324.55|70%|25432.81|20370.16|5062.65|Paid|Completed"/>
    <s v="Keep"/>
    <n v="1"/>
    <s v="Unique"/>
    <s v=""/>
    <n v="0.7"/>
    <n v="8976.2850000000017"/>
    <n v="-11393.874999999998"/>
    <n v="-1.2693307977632167"/>
    <n v="2"/>
    <n v="2024"/>
    <b v="1"/>
    <b v="1"/>
    <x v="1"/>
    <s v="Discount above 50%; Sales mismatch; Profit mismatch"/>
    <s v="Invalid"/>
  </r>
  <r>
    <s v="ORD-2024-10119"/>
    <s v="06/10/2024"/>
    <x v="2"/>
    <d v="2024-06-10T00:00:00"/>
    <s v="2024-06-18"/>
    <d v="2024-06-18T00:00:00"/>
    <s v="OK"/>
    <n v="8"/>
    <s v="CUST-9135"/>
    <s v="Vikram  Iyer"/>
    <s v="Vikram Iyer"/>
    <s v="Home Office"/>
    <x v="3"/>
    <s v="South"/>
    <x v="2"/>
    <s v="Andhra Pradesh"/>
    <s v="Andhra Pradesh"/>
    <s v="Vijayawada"/>
    <s v="Vijayawada"/>
    <s v="Technology"/>
    <x v="2"/>
    <s v="Copiers"/>
    <x v="6"/>
    <s v="Pro Copiers 208"/>
    <s v="Same Day"/>
    <x v="1"/>
    <n v="5"/>
    <n v="1580.27"/>
    <n v="0.2"/>
    <n v="6321.08"/>
    <n v="4407.22"/>
    <n v="1913.86"/>
    <s v="Paid"/>
    <x v="0"/>
    <s v="Completed"/>
    <x v="0"/>
    <s v="ORD-2024-10119|06-10-2024|06-18-2024|CUST-9135|Vikram  Iyer|Home Office|South|Andhra Pradesh|Vijayawada|Technology|Copiers|Pro Copiers 208|Same Day|5|1580.27|0.2|6321.08|4407.22|1913.86|Paid|Completed"/>
    <s v="Keep"/>
    <n v="1"/>
    <s v="Unique"/>
    <s v=""/>
    <n v="0.2"/>
    <n v="6321.0800000000008"/>
    <n v="1913.8600000000006"/>
    <n v="0.30277420947053357"/>
    <n v="6"/>
    <n v="2024"/>
    <b v="0"/>
    <b v="0"/>
    <x v="0"/>
    <s v=""/>
    <s v="Clean"/>
  </r>
  <r>
    <s v="ORD-2024-10120"/>
    <s v="12 Jun 2024"/>
    <x v="2"/>
    <d v="2024-06-12T00:00:00"/>
    <s v="19 Jun 2024"/>
    <d v="2024-06-19T00:00:00"/>
    <s v="OK"/>
    <n v="7"/>
    <s v="CUST-7861"/>
    <s v="Aditi Sen"/>
    <s v="Aditi Sen"/>
    <s v="Small Business "/>
    <x v="1"/>
    <s v="South"/>
    <x v="2"/>
    <s v="Kerala"/>
    <s v="Kerala"/>
    <s v="Kochi"/>
    <s v="Kochi"/>
    <s v="Furniture"/>
    <x v="1"/>
    <s v="Chairs"/>
    <x v="4"/>
    <s v="Elite Chairs 921"/>
    <s v="Standard Class"/>
    <x v="3"/>
    <n v="8"/>
    <n v="314.05"/>
    <n v="0.25"/>
    <n v="1884.3"/>
    <n v="1517.69"/>
    <n v="366.61"/>
    <s v="Refunded"/>
    <x v="1"/>
    <s v="Returned"/>
    <x v="2"/>
    <s v="ORD-2024-10120|06-12-2024|06-19-2024|CUST-7861|Aditi Sen|Small Business |South|Kerala|Kochi|Furniture|Chairs|Elite Chairs 921|Standard Class|8|314.05|0.25|1884.3|1517.69|366.61|Refunded|Returned"/>
    <s v="Keep"/>
    <n v="1"/>
    <s v="Unique"/>
    <s v=""/>
    <n v="0.25"/>
    <n v="1884.3000000000002"/>
    <n v="366.61000000000013"/>
    <n v="0.19456031417502526"/>
    <n v="6"/>
    <n v="2024"/>
    <b v="0"/>
    <b v="0"/>
    <x v="1"/>
    <s v="Refunded order summarized separately; Returned order excluded"/>
    <s v="Warning"/>
  </r>
  <r>
    <s v="ORD-2024-10121"/>
    <s v="2024-08-10"/>
    <x v="1"/>
    <d v="2024-08-10T00:00:00"/>
    <s v="2024-08-18"/>
    <d v="2024-08-18T00:00:00"/>
    <s v="OK"/>
    <n v="8"/>
    <s v="CUST-6096"/>
    <s v="Sneha Kapoor"/>
    <s v="Sneha Kapoor"/>
    <s v="Small Business"/>
    <x v="1"/>
    <s v="East"/>
    <x v="1"/>
    <s v="Bihar"/>
    <s v="Bihar"/>
    <s v="Patna"/>
    <s v="Patna"/>
    <s v="Technology"/>
    <x v="2"/>
    <s v="Phones"/>
    <x v="11"/>
    <s v="Prime Phones 540"/>
    <s v="Standard Class"/>
    <x v="3"/>
    <n v="1"/>
    <n v="1823.67"/>
    <n v="0.2"/>
    <n v="1458.94"/>
    <n v="893.2"/>
    <n v="565.74"/>
    <s v="Paid"/>
    <x v="0"/>
    <s v="Returned"/>
    <x v="2"/>
    <s v="ORD-2024-10121|08-10-2024|08-18-2024|CUST-6096|Sneha Kapoor|Small Business|East|Bihar|Patna|Technology|Phones|Prime Phones 540|Standard Class|1|1823.67|0.2|1458.94|893.2|565.74|Paid|Returned"/>
    <s v="Keep"/>
    <n v="1"/>
    <s v="Unique"/>
    <s v=""/>
    <n v="0.2"/>
    <n v="1458.9360000000001"/>
    <n v="565.7360000000001"/>
    <n v="0.38777300717783375"/>
    <n v="8"/>
    <n v="2024"/>
    <b v="0"/>
    <b v="0"/>
    <x v="1"/>
    <s v="Returned order excluded"/>
    <s v="Warning"/>
  </r>
  <r>
    <s v="ORD-2025-10122"/>
    <s v="08/22/2025"/>
    <x v="4"/>
    <d v="2025-08-22T00:00:00"/>
    <s v="08/26/2025"/>
    <d v="2025-08-26T00:00:00"/>
    <s v="OK"/>
    <n v="4"/>
    <s v="CUST-2044"/>
    <s v="Kabir Singh"/>
    <s v="Kabir Singh"/>
    <s v="Small  Business"/>
    <x v="1"/>
    <s v="South"/>
    <x v="2"/>
    <s v="Andhra Pradesh"/>
    <s v="Andhra Pradesh"/>
    <s v="Vijayawada"/>
    <s v="Vijayawada"/>
    <s v="Technology"/>
    <x v="2"/>
    <s v="Machines"/>
    <x v="12"/>
    <s v="Max Machines 948"/>
    <s v="Second Class"/>
    <x v="0"/>
    <n v="5"/>
    <n v="3482.92"/>
    <n v="0"/>
    <n v="17414.599999999999"/>
    <n v="11760.91"/>
    <n v="5653.69"/>
    <s v="Refunded"/>
    <x v="1"/>
    <s v="Cancelled"/>
    <x v="1"/>
    <s v="ORD-2025-10122|08-22-2025|08-26-2025|CUST-2044|Kabir Singh|Small  Business|South|Andhra Pradesh|Vijayawada|Technology|Machines|Max Machines 948|Second Class|5|3482.92|0|17414.6|11760.91|5653.69|Refunded|Cancelled"/>
    <s v="Keep"/>
    <n v="1"/>
    <s v="Unique"/>
    <s v=""/>
    <n v="0"/>
    <n v="17414.599999999999"/>
    <n v="5653.6899999999987"/>
    <n v="0.3246523032398102"/>
    <n v="8"/>
    <n v="2025"/>
    <b v="0"/>
    <b v="0"/>
    <x v="1"/>
    <s v="Refunded order summarized separately; Cancelled order excluded"/>
    <s v="Warning"/>
  </r>
  <r>
    <s v="ORD-2024-10123"/>
    <s v="11/30/2024"/>
    <x v="3"/>
    <d v="2024-11-30T00:00:00"/>
    <s v="04-12-2024"/>
    <d v="2024-12-04T00:00:00"/>
    <s v="OK"/>
    <n v="4"/>
    <s v="CUST-1721"/>
    <s v="Ananya Rao"/>
    <s v="Ananya Rao"/>
    <s v="Small Business"/>
    <x v="1"/>
    <s v="East"/>
    <x v="1"/>
    <s v="Assam"/>
    <s v="Assam"/>
    <s v="Guwahati"/>
    <s v="Guwahati"/>
    <s v="Furniture"/>
    <x v="1"/>
    <s v="Chairs"/>
    <x v="4"/>
    <s v="Max Chairs 786"/>
    <s v="Second Class"/>
    <x v="0"/>
    <n v="3"/>
    <n v="170.35"/>
    <n v="0"/>
    <n v="511.05"/>
    <n v="367.18"/>
    <n v="143.87"/>
    <s v="Paid"/>
    <x v="0"/>
    <s v="Completed"/>
    <x v="0"/>
    <s v="ORD-2024-10123|11-30-2024|04-12-2024|CUST-1721|Ananya Rao|Small Business|East|Assam|Guwahati|Furniture|Chairs|Max Chairs 786|Second Class|3|170.35|0|511.05|367.18|143.87|Paid|Completed"/>
    <s v="Keep"/>
    <n v="1"/>
    <s v="Unique"/>
    <s v=""/>
    <n v="0"/>
    <n v="511.04999999999995"/>
    <n v="143.86999999999995"/>
    <n v="0.28151844242246349"/>
    <n v="11"/>
    <n v="2024"/>
    <b v="0"/>
    <b v="0"/>
    <x v="0"/>
    <s v=""/>
    <s v="Clean"/>
  </r>
  <r>
    <s v="ORD-2024-10124"/>
    <s v="05/24/2024"/>
    <x v="5"/>
    <d v="2024-05-24T00:00:00"/>
    <s v="25 May 2024"/>
    <d v="2024-05-25T00:00:00"/>
    <s v="OK"/>
    <n v="1"/>
    <s v="CUST-1007"/>
    <s v="Sneha Kapoor"/>
    <s v="Sneha Kapoor"/>
    <s v="Small Business"/>
    <x v="1"/>
    <s v="North"/>
    <x v="0"/>
    <s v="Punjab"/>
    <s v="Punjab"/>
    <s v="Ludhiana"/>
    <s v="Ludhiana"/>
    <s v="Technology"/>
    <x v="2"/>
    <s v="Copiers"/>
    <x v="6"/>
    <s v="Max Copiers 970"/>
    <s v="Same Day"/>
    <x v="1"/>
    <n v="1"/>
    <n v="634.13"/>
    <n v="0"/>
    <n v="634.13"/>
    <n v="453.35"/>
    <n v="180.78"/>
    <s v="Refunded"/>
    <x v="1"/>
    <s v="Cancelled"/>
    <x v="1"/>
    <s v="ORD-2024-10124|05-24-2024|05-25-2024|CUST-1007|Sneha Kapoor|Small Business|NORTH|Punjab|Ludhiana|Technology|Copiers|Max Copiers 970|Same Day|1|634.13|0|634.13|453.35|180.78|Refunded|Cancelled"/>
    <s v="Keep"/>
    <n v="2"/>
    <s v="Duplicate order_id"/>
    <s v="Review conflicting duplicate"/>
    <n v="0"/>
    <n v="634.13"/>
    <n v="180.77999999999997"/>
    <n v="0.28508350022865969"/>
    <n v="5"/>
    <n v="2024"/>
    <b v="0"/>
    <b v="0"/>
    <x v="1"/>
    <s v="Refunded order summarized separately; Cancelled order excluded; Duplicate order ID conflict"/>
    <s v="Warning"/>
  </r>
  <r>
    <s v="ORD-2024-10125"/>
    <s v="21 Jul 2024"/>
    <x v="0"/>
    <d v="2024-07-21T00:00:00"/>
    <s v="07/24/2024"/>
    <d v="2024-07-24T00:00:00"/>
    <s v="OK"/>
    <n v="3"/>
    <s v="CUST-4450"/>
    <s v="Isha Nair"/>
    <s v="Isha Nair"/>
    <s v="Corporate"/>
    <x v="2"/>
    <s v="South"/>
    <x v="2"/>
    <s v="Karnataka"/>
    <s v="Karnataka"/>
    <s v="Bengaluru"/>
    <s v="Bengaluru"/>
    <s v="Technology"/>
    <x v="2"/>
    <s v="Copiers"/>
    <x v="6"/>
    <s v="Pro Copiers 769"/>
    <s v="Standard Class"/>
    <x v="3"/>
    <n v="9"/>
    <n v="465.06"/>
    <n v="-0.15"/>
    <n v="4185.54"/>
    <n v="3443.74"/>
    <n v="741.8"/>
    <s v="Paid"/>
    <x v="0"/>
    <s v="Completed "/>
    <x v="0"/>
    <s v="ORD-2024-10125|07-21-2024|07-24-2024|CUST-4450|Isha Nair|Corporate|South|Karnataka|Bengaluru|Technology|Copiers|Pro Copiers 769|Standard Class|9|465.06|-0.15|4185.54|3443.74|741.8|Paid|Completed "/>
    <s v="Keep"/>
    <n v="1"/>
    <s v="Unique"/>
    <s v=""/>
    <n v="-0.15"/>
    <n v="4813.3709999999992"/>
    <n v="1369.6309999999994"/>
    <n v="0.28454715001191466"/>
    <n v="7"/>
    <n v="2024"/>
    <b v="1"/>
    <b v="1"/>
    <x v="1"/>
    <s v="Negative discount; Sales mismatch; Profit mismatch"/>
    <s v="Invalid"/>
  </r>
  <r>
    <s v="ORD-2025-10126"/>
    <s v="2025-07-17"/>
    <x v="13"/>
    <d v="2025-07-17T00:00:00"/>
    <s v="18-07-2025"/>
    <d v="2025-07-18T00:00:00"/>
    <s v="OK"/>
    <n v="1"/>
    <s v="CUST-7924"/>
    <s v="Neha Gupta"/>
    <s v="Neha Gupta"/>
    <s v="Small Business"/>
    <x v="1"/>
    <s v="West"/>
    <x v="3"/>
    <s v="Rajasthan"/>
    <s v="Rajasthan"/>
    <s v="Udaipur"/>
    <s v="Udaipur"/>
    <s v="Furniture"/>
    <x v="1"/>
    <s v="Tables"/>
    <x v="1"/>
    <s v="Basic Tables 753"/>
    <s v="Same Day"/>
    <x v="1"/>
    <n v="6"/>
    <n v="3235.27"/>
    <n v="0.25"/>
    <n v="14558.72"/>
    <n v="9591.48"/>
    <n v="4967.24"/>
    <s v="Refunded"/>
    <x v="1"/>
    <s v="Returned"/>
    <x v="2"/>
    <s v="ORD-2025-10126|07-17-2025|18-07-2025|CUST-7924|Neha Gupta|Small Business|West|Rajasthan|Udaipur|Furniture|Tables|Basic Tables 753|Same Day|6|3235.27|0.25|14558.72|9591.48|4967.24|Refunded|Returned"/>
    <s v="Keep"/>
    <n v="1"/>
    <s v="Unique"/>
    <s v=""/>
    <n v="0.25"/>
    <n v="14558.715"/>
    <n v="4967.2350000000006"/>
    <n v="0.34118636157105903"/>
    <n v="7"/>
    <n v="2025"/>
    <b v="0"/>
    <b v="0"/>
    <x v="1"/>
    <s v="Refunded order summarized separately; Returned order excluded"/>
    <s v="Warning"/>
  </r>
  <r>
    <s v="ORD-2025-10127"/>
    <s v="24-09-2025"/>
    <x v="8"/>
    <d v="2025-09-24T00:00:00"/>
    <s v="26 Sep 2025"/>
    <d v="2025-09-26T00:00:00"/>
    <s v="OK"/>
    <n v="2"/>
    <s v="CUST-1715"/>
    <s v="Priya Menon"/>
    <s v="Priya Menon"/>
    <s v="Corporate"/>
    <x v="2"/>
    <s v="North"/>
    <x v="0"/>
    <s v="Delhi"/>
    <s v="Delhi"/>
    <s v="New Delhi"/>
    <s v="New Delhi"/>
    <s v="Technology"/>
    <x v="2"/>
    <s v="Copiers"/>
    <x v="6"/>
    <s v="Prime Copiers 651"/>
    <s v="Standard Class"/>
    <x v="3"/>
    <n v="3"/>
    <n v="1593.86"/>
    <n v="0.1"/>
    <n v="4303.42"/>
    <n v="2568.5700000000002"/>
    <n v="1734.85"/>
    <s v="Paid"/>
    <x v="0"/>
    <s v="Completed"/>
    <x v="0"/>
    <s v="ORD-2025-10127|24-09-2025|09-26-2025|CUST-1715|Priya Menon|Corporate|North|Delhi|New Delhi|Technology|Copiers|Prime Copiers 651|Standard Class|3|1593.86|0.1|4303.42|2568.57|1734.85|Paid|Completed"/>
    <s v="Keep"/>
    <n v="1"/>
    <s v="Unique"/>
    <s v=""/>
    <n v="0.1"/>
    <n v="4303.4220000000005"/>
    <n v="1734.8520000000003"/>
    <n v="0.40313313451481175"/>
    <n v="9"/>
    <n v="2025"/>
    <b v="0"/>
    <b v="0"/>
    <x v="0"/>
    <s v=""/>
    <s v="Clean"/>
  </r>
  <r>
    <s v="ORD-2025-10128"/>
    <s v="01/30/2025"/>
    <x v="14"/>
    <d v="2025-01-30T00:00:00"/>
    <s v="26-01-2025"/>
    <d v="2025-01-26T00:00:00"/>
    <s v="Ship date before order date"/>
    <n v="-4"/>
    <s v="CUST-6802"/>
    <s v="Priya Menon"/>
    <s v="Priya Menon"/>
    <s v="Corporate"/>
    <x v="2"/>
    <s v="West"/>
    <x v="3"/>
    <s v="Madhya Pradesh"/>
    <s v="Madhya Pradesh"/>
    <s v="Indore"/>
    <s v="Indore"/>
    <s v="Office Supplies"/>
    <x v="0"/>
    <s v="Storage"/>
    <x v="8"/>
    <s v="Basic Storage 321"/>
    <s v="Second Class"/>
    <x v="0"/>
    <n v="2"/>
    <n v="3039.3"/>
    <n v="0.05"/>
    <n v="5774.67"/>
    <n v="3518.36"/>
    <n v="2256.31"/>
    <s v="Paid"/>
    <x v="0"/>
    <s v="Completed"/>
    <x v="0"/>
    <s v="ORD-2025-10128|01-30-2025|26-01-2025|CUST-6802|Priya Menon|Corporate|West|Madhya Pradesh|Indore|Office Supplies|Storage|Basic Storage 321|Second Class|2|3039.3|0.05|5774.67|3518.36|2256.31|Paid|Completed"/>
    <s v="Keep"/>
    <n v="1"/>
    <s v="Unique"/>
    <s v=""/>
    <n v="0.05"/>
    <n v="5774.67"/>
    <n v="2256.31"/>
    <n v="0.39072535746631409"/>
    <n v="1"/>
    <n v="2025"/>
    <b v="0"/>
    <b v="0"/>
    <x v="1"/>
    <s v="Ship date before order date"/>
    <s v="Invalid"/>
  </r>
  <r>
    <s v="ORD-2024-10129"/>
    <s v="13 Dec 2024"/>
    <x v="10"/>
    <d v="2024-12-13T00:00:00"/>
    <s v="16 Dec 2024"/>
    <d v="2024-12-16T00:00:00"/>
    <s v="OK"/>
    <n v="3"/>
    <s v="CUST-9328"/>
    <s v="Neha Gupta"/>
    <s v="Neha Gupta"/>
    <s v="Small Business"/>
    <x v="1"/>
    <s v="East"/>
    <x v="1"/>
    <s v="Odisha"/>
    <s v="Odisha"/>
    <s v="Bhubaneswar"/>
    <s v="Bhubaneswar"/>
    <s v="Furniture"/>
    <x v="1"/>
    <s v="Furnishings"/>
    <x v="3"/>
    <s v="Prime Furnishings 710"/>
    <s v="Standard Class"/>
    <x v="3"/>
    <n v="5"/>
    <n v="923.45"/>
    <n v="0.05"/>
    <n v="4386.3900000000003"/>
    <n v="3366.88"/>
    <n v="1019.51"/>
    <s v="Paid"/>
    <x v="0"/>
    <s v="Returned"/>
    <x v="2"/>
    <s v="ORD-2024-10129|12-13-2024|12-16-2024|CUST-9328|Neha Gupta|Small Business|East|Odisha|Bhubaneswar|Furniture|Furnishings|Prime Furnishings 710|Standard Class|5|923.45|0.05|4386.39|3366.88|1019.51|Paid|Returned"/>
    <s v="Keep"/>
    <n v="1"/>
    <s v="Unique"/>
    <s v=""/>
    <n v="0.05"/>
    <n v="4386.3874999999998"/>
    <n v="1019.5074999999997"/>
    <n v="0.2324253158208206"/>
    <n v="12"/>
    <n v="2024"/>
    <b v="0"/>
    <b v="0"/>
    <x v="1"/>
    <s v="Returned order excluded"/>
    <s v="Warning"/>
  </r>
  <r>
    <s v="ORD-2024-10130"/>
    <s v="2024-07-19"/>
    <x v="0"/>
    <d v="2024-07-19T00:00:00"/>
    <s v="25-07-2024"/>
    <d v="2024-07-25T00:00:00"/>
    <s v="OK"/>
    <n v="6"/>
    <s v="CUST-2588"/>
    <s v="Isha Nair"/>
    <s v="Isha Nair"/>
    <s v="Small Business"/>
    <x v="1"/>
    <s v="West"/>
    <x v="3"/>
    <s v="Goa"/>
    <s v="Goa"/>
    <s v="Panaji"/>
    <s v="Panaji"/>
    <s v="Office Supplies"/>
    <x v="0"/>
    <s v="Binders"/>
    <x v="9"/>
    <s v="Elite Binders 723"/>
    <s v="Standard Class"/>
    <x v="3"/>
    <n v="7"/>
    <n v="2741.29"/>
    <n v="0.05"/>
    <n v="18229.580000000002"/>
    <n v="15139.15"/>
    <n v="3090.43"/>
    <s v="Paid"/>
    <x v="0"/>
    <s v="Completed"/>
    <x v="0"/>
    <s v="ORD-2024-10130|07-19-2024|25-07-2024|CUST-2588|Isha Nair|Small Business|West|Goa|Panaji|Office Supplies|Binders|Elite Binders 723|Standard Class|7|2741.29|0.05|18229.58|15139.15|3090.43|Paid|Completed"/>
    <s v="Keep"/>
    <n v="1"/>
    <s v="Unique"/>
    <s v=""/>
    <n v="0.05"/>
    <n v="18229.5785"/>
    <n v="3090.4285"/>
    <n v="0.16952824773211295"/>
    <n v="7"/>
    <n v="2024"/>
    <b v="0"/>
    <b v="0"/>
    <x v="0"/>
    <s v=""/>
    <s v="Clean"/>
  </r>
  <r>
    <s v="ORD-2024-10131"/>
    <s v="2024-01-27"/>
    <x v="12"/>
    <d v="2024-01-27T00:00:00"/>
    <s v="02 Feb 2024"/>
    <d v="2024-02-02T00:00:00"/>
    <s v="OK"/>
    <n v="6"/>
    <s v="CUST-5435"/>
    <s v="Arjun Bose"/>
    <s v="Arjun Bose"/>
    <s v="Consumer"/>
    <x v="0"/>
    <s v="West"/>
    <x v="3"/>
    <s v="Gujarat"/>
    <s v="Gujarat"/>
    <s v="Ahmedabad"/>
    <s v="Ahmedabad"/>
    <s v="Office Supplies"/>
    <x v="0"/>
    <s v="Labels"/>
    <x v="7"/>
    <s v="Smart Labels 878"/>
    <s v="Same Day"/>
    <x v="1"/>
    <n v="5"/>
    <n v="218.42"/>
    <n v="0.2"/>
    <n v="873.68"/>
    <n v="661.72"/>
    <n v="211.96"/>
    <s v="Pending"/>
    <x v="2"/>
    <s v="Cancelled"/>
    <x v="1"/>
    <s v="ORD-2024-10131|01-27-2024|02-02-2024|CUST-5435|Arjun Bose|Consumer|West|Gujarat|Ahmedabad|Office Supplies|Labels|Smart Labels 878|Same Day|5|218.42|0.2|873.68|661.72|211.96|Pending|Cancelled"/>
    <s v="Keep"/>
    <n v="1"/>
    <s v="Unique"/>
    <s v=""/>
    <n v="0.2"/>
    <n v="873.68"/>
    <n v="211.95999999999992"/>
    <n v="0.24260598846259493"/>
    <n v="1"/>
    <n v="2024"/>
    <b v="0"/>
    <b v="0"/>
    <x v="1"/>
    <s v="Cancelled order excluded"/>
    <s v="Warning"/>
  </r>
  <r>
    <s v="ORD-2025-10132"/>
    <s v="09/29/2025"/>
    <x v="8"/>
    <d v="2025-09-29T00:00:00"/>
    <s v="2025-10-04"/>
    <d v="2025-10-04T00:00:00"/>
    <s v="OK"/>
    <n v="5"/>
    <s v="CUST-7637"/>
    <s v="Ananya Rao"/>
    <s v="Ananya Rao"/>
    <s v="Home Office"/>
    <x v="3"/>
    <s v="East"/>
    <x v="1"/>
    <s v="Jharkhand"/>
    <s v="Jharkhand"/>
    <s v="Ranchi"/>
    <s v="Ranchi"/>
    <s v="Office Supplies"/>
    <x v="0"/>
    <s v="Paper"/>
    <x v="0"/>
    <s v="Pro Paper 934"/>
    <s v="Same Day"/>
    <x v="1"/>
    <n v="9"/>
    <n v="373.91"/>
    <n v="0.2"/>
    <n v="2692.15"/>
    <n v="2044.49"/>
    <n v="647.66"/>
    <s v="Paid"/>
    <x v="0"/>
    <s v="Completed"/>
    <x v="0"/>
    <s v="ORD-2025-10132|09-29-2025|10-04-2025|CUST-7637|Ananya Rao|Home Office|East|Jharkhand|Ranchi|Office Supplies|Paper|Pro Paper 934|Same Day|9|373.91|0.2|2692.15|2044.49|647.66|Paid|Completed"/>
    <s v="Keep"/>
    <n v="1"/>
    <s v="Unique"/>
    <s v=""/>
    <n v="0.2"/>
    <n v="2692.152"/>
    <n v="647.66200000000003"/>
    <n v="0.24057408348414205"/>
    <n v="9"/>
    <n v="2025"/>
    <b v="0"/>
    <b v="0"/>
    <x v="0"/>
    <s v=""/>
    <s v="Clean"/>
  </r>
  <r>
    <s v="ORD-2024-10133"/>
    <s v="04 Nov 2024"/>
    <x v="3"/>
    <d v="2024-11-04T00:00:00"/>
    <s v="04 Nov 2024"/>
    <d v="2024-11-04T00:00:00"/>
    <s v="OK"/>
    <n v="0"/>
    <s v="CUST-3602"/>
    <s v="Kabir Singh"/>
    <s v="Kabir Singh"/>
    <s v="Corporate"/>
    <x v="2"/>
    <s v="East"/>
    <x v="1"/>
    <s v="Assam"/>
    <s v="Assam"/>
    <s v="Guwahati"/>
    <s v="Guwahati"/>
    <s v="Technology"/>
    <x v="2"/>
    <s v="Machines"/>
    <x v="12"/>
    <s v="Classic Machines 886"/>
    <s v="First Class"/>
    <x v="2"/>
    <n v="2"/>
    <n v="533.08000000000004"/>
    <n v="0"/>
    <n v="1066.1600000000001"/>
    <n v="656.3"/>
    <n v="409.86"/>
    <s v="Failed"/>
    <x v="3"/>
    <s v="Cancelled"/>
    <x v="1"/>
    <s v="ORD-2024-10133|11-04-2024|11-04-2024|CUST-3602|Kabir Singh|Corporate|East|Assam|Guwahati|Technology|Machines|Classic Machines 886|First Class|2|533.08|0|1066.16|656.3|409.86|Failed|Cancelled"/>
    <s v="Keep"/>
    <n v="1"/>
    <s v="Unique"/>
    <s v=""/>
    <n v="0"/>
    <n v="1066.1600000000001"/>
    <n v="409.86000000000013"/>
    <n v="0.38442635251744589"/>
    <n v="11"/>
    <n v="2024"/>
    <b v="0"/>
    <b v="0"/>
    <x v="1"/>
    <s v="Failed payment excluded; Cancelled order excluded"/>
    <s v="Warning"/>
  </r>
  <r>
    <s v="ORD-2024-10134"/>
    <s v="2024-12-13"/>
    <x v="10"/>
    <d v="2024-12-13T00:00:00"/>
    <s v="12/18/2024"/>
    <d v="2024-12-18T00:00:00"/>
    <s v="OK"/>
    <n v="5"/>
    <s v="CUST-9441"/>
    <s v="Karan Malhotra"/>
    <s v="Karan Malhotra"/>
    <s v="Consumer"/>
    <x v="0"/>
    <s v="West"/>
    <x v="3"/>
    <s v="Goa"/>
    <s v="Goa"/>
    <s v="Panaji"/>
    <s v="Panaji"/>
    <s v="Technology"/>
    <x v="2"/>
    <s v="Phones"/>
    <x v="11"/>
    <s v="Prime Phones 419"/>
    <s v="Second Class"/>
    <x v="0"/>
    <n v="8"/>
    <n v="3372.15"/>
    <n v="0.15"/>
    <n v="22930.62"/>
    <n v="16875.55"/>
    <n v="6055.07"/>
    <s v="Paid"/>
    <x v="0"/>
    <s v="Completed"/>
    <x v="0"/>
    <s v="ORD-2024-10134|12-13-2024|12-18-2024|CUST-9441|Karan Malhotra|Consumer|West|Goa|Panaji|Technology|Phones|Prime Phones 419|Second Class|8|3372.15|0.15|22930.62|16875.55|6055.07|Paid|Completed"/>
    <s v="Keep"/>
    <n v="1"/>
    <s v="Unique"/>
    <s v=""/>
    <n v="0.15"/>
    <n v="22930.62"/>
    <n v="6055.07"/>
    <n v="0.26406045715292475"/>
    <n v="12"/>
    <n v="2024"/>
    <b v="0"/>
    <b v="0"/>
    <x v="0"/>
    <s v=""/>
    <s v="Clean"/>
  </r>
  <r>
    <s v="ORD-2025-10135"/>
    <s v="07/14/2025"/>
    <x v="13"/>
    <d v="2025-07-14T00:00:00"/>
    <s v="2025-07-14"/>
    <d v="2025-07-14T00:00:00"/>
    <s v="OK"/>
    <n v="0"/>
    <s v="CUST-7361"/>
    <s v="Vikram Iyer"/>
    <s v="Vikram Iyer"/>
    <s v="Home Office"/>
    <x v="3"/>
    <s v="East"/>
    <x v="1"/>
    <s v="West Bengal"/>
    <s v="West Bengal"/>
    <s v="Kolkata"/>
    <s v="Kolkata"/>
    <s v="Furniture"/>
    <x v="1"/>
    <s v="Bookcases"/>
    <x v="10"/>
    <s v="Elite Bookcases 266"/>
    <m/>
    <x v="4"/>
    <n v="5"/>
    <n v="383.1"/>
    <n v="0.25"/>
    <n v="1436.62"/>
    <n v="912.52"/>
    <n v="524.1"/>
    <s v="Pending"/>
    <x v="2"/>
    <s v="Cancelled"/>
    <x v="1"/>
    <s v="ORD-2025-10135|07-14-2025|07-14-2025|CUST-7361|Vikram Iyer|Home Office|East|West Bengal|Kolkata|Furniture|Bookcases|Elite Bookcases 266||5|383.1|0.25|1436.62|912.52|524.1|Pending|Cancelled"/>
    <s v="Keep"/>
    <n v="1"/>
    <s v="Unique"/>
    <s v=""/>
    <n v="0.25"/>
    <n v="1436.625"/>
    <n v="524.10500000000002"/>
    <n v="0.36481684503610895"/>
    <n v="7"/>
    <n v="2025"/>
    <b v="0"/>
    <b v="0"/>
    <x v="1"/>
    <s v="Missing ship mode filled as Unknown; Cancelled order excluded"/>
    <s v="Warning"/>
  </r>
  <r>
    <s v="ORD-2025-10136"/>
    <s v="2025-08-24"/>
    <x v="4"/>
    <d v="2025-08-24T00:00:00"/>
    <s v="2025-08-24"/>
    <d v="2025-08-24T00:00:00"/>
    <s v="OK"/>
    <n v="0"/>
    <s v="CUST-1148"/>
    <s v="Diya Patel"/>
    <s v="Diya Patel"/>
    <s v="Small Business"/>
    <x v="1"/>
    <s v="South"/>
    <x v="2"/>
    <s v="Kerala"/>
    <s v="Kerala"/>
    <s v="Kochi"/>
    <s v="Kochi"/>
    <s v="Furniture "/>
    <x v="1"/>
    <s v="Bookcases"/>
    <x v="10"/>
    <s v="Prime Bookcases 954"/>
    <s v="Standard Class"/>
    <x v="3"/>
    <n v="1"/>
    <n v="3424.78"/>
    <n v="0"/>
    <n v="3424.78"/>
    <n v="1951.45"/>
    <n v="1473.33"/>
    <s v="Paid"/>
    <x v="0"/>
    <s v="Completed"/>
    <x v="0"/>
    <s v="ORD-2025-10136|08-24-2025|08-24-2025|CUST-1148|Diya Patel|Small Business|South|Kerala|Kochi|Furniture |Bookcases|Prime Bookcases 954|Standard Class|1|3424.78|0|3424.78|1951.45|1473.33|Paid|Completed"/>
    <s v="Keep"/>
    <n v="1"/>
    <s v="Unique"/>
    <s v=""/>
    <n v="0"/>
    <n v="3424.78"/>
    <n v="1473.3300000000002"/>
    <n v="0.43019697615613267"/>
    <n v="8"/>
    <n v="2025"/>
    <b v="0"/>
    <b v="0"/>
    <x v="0"/>
    <s v=""/>
    <s v="Clean"/>
  </r>
  <r>
    <s v="ORD-2025-10137"/>
    <s v="09-02-2025"/>
    <x v="7"/>
    <d v="2025-02-09T00:00:00"/>
    <s v="15-02-2025"/>
    <d v="2025-02-15T00:00:00"/>
    <s v="OK"/>
    <n v="6"/>
    <s v="CUST-3350"/>
    <s v="Mira Das"/>
    <s v="Mira Das"/>
    <s v="Home Office"/>
    <x v="3"/>
    <s v="East"/>
    <x v="1"/>
    <s v="Jharkhand"/>
    <s v="Jharkhand"/>
    <s v="Ranchi"/>
    <s v="Ranchi"/>
    <s v="Office Supplies"/>
    <x v="0"/>
    <s v="Binders"/>
    <x v="9"/>
    <s v="Max Binders 362"/>
    <s v="Standard  Class"/>
    <x v="3"/>
    <n v="9"/>
    <n v="4330.33"/>
    <n v="0.2"/>
    <n v="31178.38"/>
    <n v="21421.09"/>
    <n v="9757.2900000000009"/>
    <s v="Paid"/>
    <x v="0"/>
    <s v="Completed"/>
    <x v="0"/>
    <s v="ORD-2025-10137|09-02-2025|15-02-2025|CUST-3350|Mira Das|Home Office|East|Jharkhand|Ranchi|Office Supplies|Binders|Max Binders 362|Standard  Class|9|4330.33|0.2|31178.38|21421.09|9757.29|Paid|Completed"/>
    <s v="Keep"/>
    <n v="1"/>
    <s v="Unique"/>
    <s v=""/>
    <n v="0.2"/>
    <n v="31178.376000000004"/>
    <n v="9757.2860000000037"/>
    <n v="0.31295042435821552"/>
    <n v="2"/>
    <n v="2025"/>
    <b v="0"/>
    <b v="0"/>
    <x v="0"/>
    <s v=""/>
    <s v="Clean"/>
  </r>
  <r>
    <s v="ORD-2025-10138"/>
    <s v="01/09/2025"/>
    <x v="14"/>
    <d v="2025-01-09T00:00:00"/>
    <s v="2025-01-09"/>
    <d v="2025-01-09T00:00:00"/>
    <s v="OK"/>
    <n v="0"/>
    <s v="CUST-7932"/>
    <s v="Sneha Kapoor"/>
    <s v="Sneha Kapoor"/>
    <s v="Small Business"/>
    <x v="1"/>
    <s v="North"/>
    <x v="0"/>
    <s v="Rajasthan"/>
    <s v="Rajasthan"/>
    <s v="Jaipur"/>
    <s v="Jaipur"/>
    <s v="Furniture"/>
    <x v="1"/>
    <s v="Chairs"/>
    <x v="4"/>
    <s v="Prime Chairs 261"/>
    <s v="Same Day"/>
    <x v="1"/>
    <n v="8"/>
    <n v="2667.07"/>
    <n v="0.1"/>
    <n v="19202.900000000001"/>
    <n v="15526.62"/>
    <n v="3676.28"/>
    <s v="Paid"/>
    <x v="0"/>
    <s v="Completed"/>
    <x v="0"/>
    <s v="ORD-2025-10138|01-09-2025|01-09-2025|CUST-7932|Sneha Kapoor|Small Business|North|Rajasthan|Jaipur|Furniture|Chairs|Prime Chairs 261|Same Day|8|2667.07|0.1|19202.9|15526.62|3676.28|Paid|Completed"/>
    <s v="Keep"/>
    <n v="1"/>
    <s v="Unique"/>
    <s v=""/>
    <n v="0.1"/>
    <n v="19202.904000000002"/>
    <n v="3676.2840000000015"/>
    <n v="0.19144416906942829"/>
    <n v="1"/>
    <n v="2025"/>
    <b v="0"/>
    <b v="0"/>
    <x v="0"/>
    <s v=""/>
    <s v="Clean"/>
  </r>
  <r>
    <s v="ORD-2024-10139"/>
    <s v="2024-01-20"/>
    <x v="12"/>
    <d v="2024-01-20T00:00:00"/>
    <s v="26-01-2024"/>
    <d v="2024-01-26T00:00:00"/>
    <s v="OK"/>
    <n v="6"/>
    <s v="CUST-7173"/>
    <s v="Diya Patel"/>
    <s v="Diya Patel"/>
    <s v="Home Office"/>
    <x v="3"/>
    <s v="East"/>
    <x v="1"/>
    <s v="Jharkhand"/>
    <s v="Jharkhand"/>
    <s v="Ranchi"/>
    <s v="Ranchi"/>
    <s v="Technology"/>
    <x v="2"/>
    <s v="Machines"/>
    <x v="12"/>
    <s v="Basic Machines 185"/>
    <s v="Standard Class"/>
    <x v="3"/>
    <n v="8"/>
    <n v="4003.05"/>
    <n v="0.25"/>
    <n v="24018.3"/>
    <n v="14070.78"/>
    <n v="9947.52"/>
    <s v="Paid"/>
    <x v="0"/>
    <s v="Completed"/>
    <x v="0"/>
    <s v="ORD-2024-10139|01-20-2024|26-01-2024|CUST-7173|Diya Patel|Home Office|East|Jharkhand|Ranchi|Technology|Machines|Basic Machines 185|Standard Class|8|4003.05|0.25|24018.3|14070.78|9947.52|Paid|Completed"/>
    <s v="Keep"/>
    <n v="1"/>
    <s v="Unique"/>
    <s v=""/>
    <n v="0.25"/>
    <n v="24018.300000000003"/>
    <n v="9947.5200000000023"/>
    <n v="0.41416419979765434"/>
    <n v="1"/>
    <n v="2024"/>
    <b v="0"/>
    <b v="0"/>
    <x v="0"/>
    <s v=""/>
    <s v="Clean"/>
  </r>
  <r>
    <s v="ORD-2025-10140"/>
    <s v="03/02/2025"/>
    <x v="20"/>
    <d v="2025-03-02T00:00:00"/>
    <s v="07-03-2025"/>
    <d v="2025-03-07T00:00:00"/>
    <s v="OK"/>
    <n v="5"/>
    <s v="CUST-4225"/>
    <s v="Neha Gupta"/>
    <s v="Neha Gupta"/>
    <s v="Home Office"/>
    <x v="3"/>
    <s v="South"/>
    <x v="2"/>
    <s v="Karnataka"/>
    <s v="Karnataka"/>
    <s v="Bengaluru"/>
    <s v="Bengaluru"/>
    <s v="Office Supplies"/>
    <x v="0"/>
    <s v="Labels"/>
    <x v="7"/>
    <s v="Basic Labels 509"/>
    <s v="Standard Class"/>
    <x v="3"/>
    <n v="8"/>
    <n v="1287.6300000000001"/>
    <n v="0"/>
    <n v="10301.040000000001"/>
    <n v="6564.06"/>
    <n v="3736.98"/>
    <s v="Paid"/>
    <x v="0"/>
    <s v="Completed"/>
    <x v="0"/>
    <s v="ORD-2025-10140|03-02-2025|07-03-2025|CUST-4225|Neha Gupta|Home Office|South|Karnataka|Bengaluru|Office Supplies|Labels|Basic Labels 509|Standard Class|8|1287.63|0|10301.04|6564.06|3736.98|Paid|Completed"/>
    <s v="Keep"/>
    <n v="1"/>
    <s v="Unique"/>
    <s v=""/>
    <n v="0"/>
    <n v="10301.040000000001"/>
    <n v="3736.9800000000005"/>
    <n v="0.3627769623261341"/>
    <n v="3"/>
    <n v="2025"/>
    <b v="0"/>
    <b v="0"/>
    <x v="0"/>
    <s v=""/>
    <s v="Clean"/>
  </r>
  <r>
    <s v="ORD-2024-10141"/>
    <s v="31-05-2024"/>
    <x v="5"/>
    <d v="2024-05-31T00:00:00"/>
    <s v="01 Jun 2024"/>
    <d v="2024-06-01T00:00:00"/>
    <s v="OK"/>
    <n v="1"/>
    <s v="CUST-2149"/>
    <s v="Mira Das"/>
    <s v="Mira Das"/>
    <s v="Corporate"/>
    <x v="2"/>
    <s v="South"/>
    <x v="2"/>
    <s v="Karnataka"/>
    <s v="Karnataka"/>
    <s v="Bengaluru"/>
    <s v="Bengaluru"/>
    <s v="Furniture"/>
    <x v="1"/>
    <s v="Bookcases"/>
    <x v="10"/>
    <s v="Elite Bookcases 696"/>
    <s v="Same Day"/>
    <x v="1"/>
    <n v="3"/>
    <n v="2914.55"/>
    <n v="0"/>
    <n v="8743.65"/>
    <n v="6603.76"/>
    <n v="2139.89"/>
    <s v="Paid"/>
    <x v="0"/>
    <s v="Completed"/>
    <x v="0"/>
    <s v="ORD-2024-10141|31-05-2024|06-01-2024|CUST-2149|Mira Das|Corporate|South|Karnataka|Bengaluru|Furniture|Bookcases|Elite Bookcases 696|Same Day|3|2914.55|0|8743.65|6603.76|2139.89|Paid|Completed"/>
    <s v="Keep"/>
    <n v="1"/>
    <s v="Unique"/>
    <s v=""/>
    <n v="0"/>
    <n v="8743.6500000000015"/>
    <n v="2139.8900000000012"/>
    <n v="0.24473646589239059"/>
    <n v="5"/>
    <n v="2024"/>
    <b v="0"/>
    <b v="0"/>
    <x v="0"/>
    <s v=""/>
    <s v="Clean"/>
  </r>
  <r>
    <s v="ORD-2024-10142"/>
    <s v="03/23/2024"/>
    <x v="15"/>
    <d v="2024-03-23T00:00:00"/>
    <s v="2024-03-29"/>
    <d v="2024-03-29T00:00:00"/>
    <s v="OK"/>
    <n v="6"/>
    <s v="CUST-3314"/>
    <s v="Priya Menon"/>
    <s v="Priya Menon"/>
    <s v="Corporate"/>
    <x v="2"/>
    <s v="North"/>
    <x v="0"/>
    <s v="Delhi"/>
    <s v="Delhi"/>
    <s v="New Delhi"/>
    <s v="New Delhi"/>
    <s v="Furniture"/>
    <x v="1"/>
    <s v="Bookcases"/>
    <x v="10"/>
    <s v="Elite Bookcases 772"/>
    <s v="Same Day"/>
    <x v="1"/>
    <n v="7"/>
    <n v="634.29"/>
    <n v="0.1"/>
    <n v="3996.03"/>
    <n v="2859.51"/>
    <n v="1136.52"/>
    <s v="Paid"/>
    <x v="0"/>
    <s v="Returned"/>
    <x v="2"/>
    <s v="ORD-2024-10142|03-23-2024|03-29-2024|CUST-3314|Priya Menon|Corporate|North|Delhi|New Delhi|Furniture|Bookcases|Elite Bookcases 772|Same Day|7|634.29|0.1|3996.03|2859.51|1136.52|Paid|Returned"/>
    <s v="Keep"/>
    <n v="1"/>
    <s v="Unique"/>
    <s v=""/>
    <n v="0.1"/>
    <n v="3996.027"/>
    <n v="1136.5169999999998"/>
    <n v="0.28441174196270441"/>
    <n v="3"/>
    <n v="2024"/>
    <b v="0"/>
    <b v="0"/>
    <x v="1"/>
    <s v="Returned order excluded"/>
    <s v="Warning"/>
  </r>
  <r>
    <s v="ORD-2024-10143"/>
    <s v="30 Mar 2024"/>
    <x v="15"/>
    <d v="2024-03-30T00:00:00"/>
    <s v="26 Mar 2024"/>
    <d v="2024-03-26T00:00:00"/>
    <s v="Ship date before order date"/>
    <n v="-4"/>
    <s v="CUST-8944"/>
    <s v="Aditi Sen"/>
    <s v="Aditi Sen"/>
    <s v="Home Office"/>
    <x v="3"/>
    <s v="North"/>
    <x v="0"/>
    <s v="Rajasthan"/>
    <s v="Rajasthan"/>
    <s v="Jaipur"/>
    <s v="Jaipur"/>
    <s v="Technology"/>
    <x v="2"/>
    <s v="Phones"/>
    <x v="11"/>
    <s v="Classic Phones 142"/>
    <s v="Second Class"/>
    <x v="0"/>
    <n v="5"/>
    <n v="907.54"/>
    <n v="0.15"/>
    <n v="3857.04"/>
    <n v="2769.26"/>
    <n v="1087.78"/>
    <s v="Paid"/>
    <x v="0"/>
    <s v="Completed"/>
    <x v="0"/>
    <s v="ORD-2024-10143|03-30-2024|03-26-2024|CUST-8944|Aditi Sen|Home Office|North|Rajasthan|Jaipur|Technology|Phones|Classic Phones 142|Second Class|5|907.54|0.15|3857.04|2769.26|1087.78|Paid|Completed"/>
    <s v="Keep"/>
    <n v="2"/>
    <s v="Duplicate order_id"/>
    <s v="Review conflicting duplicate"/>
    <n v="0.15"/>
    <n v="3857.0449999999996"/>
    <n v="1087.7849999999994"/>
    <n v="0.28202548842442843"/>
    <n v="3"/>
    <n v="2024"/>
    <b v="0"/>
    <b v="0"/>
    <x v="1"/>
    <s v="Ship date before order date; Duplicate order ID conflict"/>
    <s v="Invalid"/>
  </r>
  <r>
    <s v="ORD-2024-10144"/>
    <s v="03/24/2024"/>
    <x v="15"/>
    <d v="2024-03-24T00:00:00"/>
    <s v="2024-03-26"/>
    <d v="2024-03-26T00:00:00"/>
    <s v="OK"/>
    <n v="2"/>
    <s v="CUST-3144"/>
    <s v="Priya Menon"/>
    <s v="Priya Menon"/>
    <s v="Consumer"/>
    <x v="0"/>
    <s v="West"/>
    <x v="3"/>
    <s v="Gujarat"/>
    <s v="Gujarat"/>
    <s v="Ahmedabad"/>
    <s v="Ahmedabad"/>
    <s v="Office Supplies"/>
    <x v="0"/>
    <s v="Paper"/>
    <x v="0"/>
    <s v="Pro Paper 575"/>
    <s v="Second Class"/>
    <x v="0"/>
    <n v="1"/>
    <n v="3409.5"/>
    <n v="0.1"/>
    <n v="3068.55"/>
    <n v="1916.16"/>
    <n v="1152.3900000000001"/>
    <s v="Paid"/>
    <x v="0"/>
    <s v="Returned"/>
    <x v="2"/>
    <s v="ORD-2024-10144|03-24-2024|03-26-2024|CUST-3144|Priya Menon|Consumer|West|Gujarat|Ahmedabad|Office Supplies|Paper|Pro Paper 575|Second Class|1|3409.5|0.1|3068.55|1916.16|1152.39|Paid|Returned"/>
    <s v="Keep"/>
    <n v="1"/>
    <s v="Unique"/>
    <s v=""/>
    <n v="0.1"/>
    <n v="3068.55"/>
    <n v="1152.3900000000001"/>
    <n v="0.3755487119323459"/>
    <n v="3"/>
    <n v="2024"/>
    <b v="0"/>
    <b v="0"/>
    <x v="1"/>
    <s v="Returned order excluded"/>
    <s v="Warning"/>
  </r>
  <r>
    <s v="ORD-2024-10145"/>
    <s v="07-06-2024"/>
    <x v="2"/>
    <d v="2024-06-07T00:00:00"/>
    <s v="2024-06-15"/>
    <d v="2024-06-15T00:00:00"/>
    <s v="OK"/>
    <n v="8"/>
    <s v="CUST-6747"/>
    <s v="Kabir Singh"/>
    <s v="Kabir Singh"/>
    <s v="Small Business"/>
    <x v="1"/>
    <s v="South"/>
    <x v="2"/>
    <s v="Telangana"/>
    <s v="Telangana"/>
    <s v="Hyderabad"/>
    <s v="Hyderabad"/>
    <s v="Technology"/>
    <x v="2"/>
    <s v="Accessories"/>
    <x v="5"/>
    <s v="Elite Accessories 905"/>
    <s v="First Class"/>
    <x v="2"/>
    <n v="7"/>
    <n v="2147.9899999999998"/>
    <n v="0.25"/>
    <n v="11276.95"/>
    <n v="6908.76"/>
    <n v="4368.1899999999996"/>
    <s v="Refunded"/>
    <x v="1"/>
    <s v="Returned"/>
    <x v="2"/>
    <s v="ORD-2024-10145|07-06-2024|06-15-2024|CUST-6747|Kabir Singh|Small Business|South|Telangana|Hyderabad|Technology|Accessories|Elite Accessories 905|First Class|7|2147.99|0.25|11276.95|6908.76|4368.19|Refunded|Returned"/>
    <s v="Keep"/>
    <n v="1"/>
    <s v="Unique"/>
    <s v=""/>
    <n v="0.25"/>
    <n v="11276.947499999998"/>
    <n v="4368.1874999999982"/>
    <n v="0.38735548782150481"/>
    <n v="6"/>
    <n v="2024"/>
    <b v="0"/>
    <b v="0"/>
    <x v="1"/>
    <s v="Refunded order summarized separately; Returned order excluded"/>
    <s v="Warning"/>
  </r>
  <r>
    <s v="ORD-2025-10146"/>
    <s v="11-04-2025"/>
    <x v="6"/>
    <d v="2025-04-11T00:00:00"/>
    <s v="04/13/2025"/>
    <d v="2025-04-13T00:00:00"/>
    <s v="OK"/>
    <n v="2"/>
    <s v="CUST-6161"/>
    <s v="Mira Das"/>
    <s v="Mira Das"/>
    <s v="Small Business"/>
    <x v="1"/>
    <s v="West"/>
    <x v="3"/>
    <s v="Goa"/>
    <s v="Goa"/>
    <s v="Panaji"/>
    <s v="Panaji"/>
    <s v="Office Supplies"/>
    <x v="0"/>
    <s v="Paper"/>
    <x v="0"/>
    <s v="Smart Paper 899"/>
    <s v="Standard Class"/>
    <x v="3"/>
    <n v="4"/>
    <n v="4182.1499999999996"/>
    <n v="0.1"/>
    <n v="15055.74"/>
    <n v="9808.83"/>
    <n v="5246.91"/>
    <s v="Paid"/>
    <x v="0"/>
    <s v="Completed"/>
    <x v="0"/>
    <s v="ORD-2025-10146|11-04-2025|04-13-2025|CUST-6161|Mira Das|Small Business|West|Goa|Panaji|Office Supplies|Paper|Smart Paper 899|Standard Class|4|4182.15|0.1|15055.74|9808.83|5246.91|Paid|Completed"/>
    <s v="Keep"/>
    <n v="1"/>
    <s v="Unique"/>
    <s v=""/>
    <n v="0.1"/>
    <n v="15055.74"/>
    <n v="5246.91"/>
    <n v="0.34849897779850075"/>
    <n v="4"/>
    <n v="2025"/>
    <b v="0"/>
    <b v="0"/>
    <x v="0"/>
    <s v=""/>
    <s v="Clean"/>
  </r>
  <r>
    <s v="ORD-2025-10147"/>
    <s v="30 Jul 2025"/>
    <x v="13"/>
    <d v="2025-07-30T00:00:00"/>
    <s v="08/01/2025"/>
    <d v="2025-08-01T00:00:00"/>
    <s v="OK"/>
    <n v="2"/>
    <s v="CUST-1460"/>
    <s v="Sneha Kapoor"/>
    <s v="Sneha Kapoor"/>
    <s v="Small Business"/>
    <x v="1"/>
    <s v="South"/>
    <x v="2"/>
    <s v="Tamil Nadu"/>
    <s v="Tamil Nadu"/>
    <s v="Chennai"/>
    <s v="Chennai"/>
    <s v="Office Supplies"/>
    <x v="0"/>
    <s v="Storage"/>
    <x v="8"/>
    <s v="Classic Storage 423"/>
    <s v="Same Day"/>
    <x v="1"/>
    <n v="9"/>
    <n v="3165.43"/>
    <n v="0.1"/>
    <n v="25639.98"/>
    <n v="21635.08"/>
    <n v="4004.9"/>
    <s v="Paid"/>
    <x v="0"/>
    <s v="Completed"/>
    <x v="0"/>
    <s v="ORD-2025-10147|07-30-2025|08-01-2025|CUST-1460|Sneha Kapoor|Small Business|South|Tamil Nadu|Chennai|Office Supplies|Storage|Classic Storage 423|Same Day|9|3165.43|0.1|25639.98|21635.08|4004.9|Paid|Completed"/>
    <s v="Keep"/>
    <n v="1"/>
    <s v="Unique"/>
    <s v=""/>
    <n v="0.1"/>
    <n v="25639.983"/>
    <n v="4004.9029999999984"/>
    <n v="0.1561975684617263"/>
    <n v="7"/>
    <n v="2025"/>
    <b v="0"/>
    <b v="0"/>
    <x v="0"/>
    <s v=""/>
    <s v="Clean"/>
  </r>
  <r>
    <s v="ORD-2024-10148"/>
    <s v="23-12-2024"/>
    <x v="10"/>
    <d v="2024-12-23T00:00:00"/>
    <s v="2024-12-30"/>
    <d v="2024-12-30T00:00:00"/>
    <s v="OK"/>
    <n v="7"/>
    <s v="CUST-2692"/>
    <s v="Priya Menon"/>
    <s v="Priya Menon"/>
    <s v="Home Office"/>
    <x v="3"/>
    <s v="West"/>
    <x v="3"/>
    <s v="Goa"/>
    <s v="Goa"/>
    <s v="Panaji"/>
    <s v="Panaji"/>
    <s v="Furniture"/>
    <x v="1"/>
    <s v="Furnishings"/>
    <x v="3"/>
    <s v="Classic Furnishings 743"/>
    <s v="First Class"/>
    <x v="2"/>
    <n v="8"/>
    <n v="386.1"/>
    <n v="0.1"/>
    <n v="2779.92"/>
    <n v="1744.05"/>
    <n v="1035.8699999999999"/>
    <s v="Paid"/>
    <x v="0"/>
    <s v="Completed"/>
    <x v="0"/>
    <s v="ORD-2024-10148|23-12-2024|12-30-2024|CUST-2692|Priya Menon|Home Office|West|Goa|Panaji|Furniture|Furnishings|Classic Furnishings 743|First Class|8|386.1|0.1|2779.92|1744.05|1035.87|Paid|Completed"/>
    <s v="Keep"/>
    <n v="1"/>
    <s v="Unique"/>
    <s v=""/>
    <n v="0.1"/>
    <n v="2779.92"/>
    <n v="1035.8700000000001"/>
    <n v="0.37262583095916435"/>
    <n v="12"/>
    <n v="2024"/>
    <b v="0"/>
    <b v="0"/>
    <x v="0"/>
    <s v=""/>
    <s v="Clean"/>
  </r>
  <r>
    <s v="ORD-2025-10149"/>
    <s v="09 Feb 2025"/>
    <x v="7"/>
    <d v="2025-02-09T00:00:00"/>
    <s v="13-02-2025"/>
    <d v="2025-02-13T00:00:00"/>
    <s v="OK"/>
    <n v="4"/>
    <s v="CUST-2822"/>
    <s v="Mira Das"/>
    <s v="Mira Das"/>
    <s v="Home Office"/>
    <x v="3"/>
    <s v="West"/>
    <x v="3"/>
    <s v="Madhya Pradesh"/>
    <s v="Madhya Pradesh"/>
    <s v="Indore"/>
    <s v="Indore"/>
    <s v="Technology"/>
    <x v="2"/>
    <s v="Phones"/>
    <x v="11"/>
    <s v="Smart Phones 336"/>
    <m/>
    <x v="4"/>
    <n v="8"/>
    <n v="1696.07"/>
    <n v="0.25"/>
    <n v="10176.42"/>
    <n v="7604.47"/>
    <n v="2571.9499999999998"/>
    <s v="Paid"/>
    <x v="0"/>
    <s v="Completed"/>
    <x v="0"/>
    <s v="ORD-2025-10149|02-09-2025|13-02-2025|CUST-2822|Mira Das|Home Office|West|Madhya Pradesh|Indore|Technology|Phones|Smart Phones 336||8|1696.07|0.25|10176.42|7604.47|2571.95|Paid|Completed"/>
    <s v="Keep"/>
    <n v="1"/>
    <s v="Unique"/>
    <s v=""/>
    <n v="0.25"/>
    <n v="10176.42"/>
    <n v="2571.9499999999998"/>
    <n v="0.252736227474888"/>
    <n v="2"/>
    <n v="2025"/>
    <b v="0"/>
    <b v="0"/>
    <x v="0"/>
    <s v="Missing ship mode filled as Unknown"/>
    <s v="Warning"/>
  </r>
  <r>
    <s v="ORD-2024-10150"/>
    <s v="30-01-2024"/>
    <x v="12"/>
    <d v="2024-01-30T00:00:00"/>
    <s v="30-01-2024"/>
    <d v="2024-01-30T00:00:00"/>
    <s v="OK"/>
    <n v="0"/>
    <s v="CUST-5876"/>
    <s v="Aarav Sharma"/>
    <s v="Aarav Sharma"/>
    <s v="Small Business"/>
    <x v="1"/>
    <s v="West"/>
    <x v="3"/>
    <s v="Rajasthan"/>
    <s v="Rajasthan"/>
    <s v="Udaipur"/>
    <s v="Udaipur"/>
    <s v="Technology"/>
    <x v="2"/>
    <s v="Copiers"/>
    <x v="6"/>
    <s v="Eco Copiers 381"/>
    <s v="Same Day"/>
    <x v="1"/>
    <n v="7"/>
    <n v="2527.61"/>
    <n v="0.25"/>
    <n v="13269.95"/>
    <n v="8977.1"/>
    <n v="4292.8500000000004"/>
    <s v="Paid"/>
    <x v="0"/>
    <s v="Completed"/>
    <x v="0"/>
    <s v="ORD-2024-10150|30-01-2024|30-01-2024|CUST-5876|Aarav Sharma|Small Business|west|Rajasthan|Udaipur|Technology|Copiers|Eco Copiers 381|Same Day|7|2527.61|0.25|13269.95|8977.1|4292.85|Paid|Completed"/>
    <s v="Keep"/>
    <n v="1"/>
    <s v="Unique"/>
    <s v=""/>
    <n v="0.25"/>
    <n v="13269.952499999999"/>
    <n v="4292.8524999999991"/>
    <n v="0.32350172315989822"/>
    <n v="1"/>
    <n v="2024"/>
    <b v="0"/>
    <b v="0"/>
    <x v="0"/>
    <s v=""/>
    <s v="Clean"/>
  </r>
  <r>
    <s v="ORD-2024-10151"/>
    <s v="04-03-2024"/>
    <x v="15"/>
    <d v="2024-03-04T00:00:00"/>
    <s v="2024-03-12"/>
    <d v="2024-03-12T00:00:00"/>
    <s v="OK"/>
    <n v="8"/>
    <s v="CUST-4661"/>
    <s v="Arjun Bose"/>
    <s v="Arjun Bose"/>
    <s v="Consumer"/>
    <x v="0"/>
    <m/>
    <x v="4"/>
    <s v="Gujarat"/>
    <s v="Gujarat"/>
    <s v="Ahmedabad"/>
    <s v="Ahmedabad"/>
    <s v="Furniture"/>
    <x v="1"/>
    <s v="Bookcases"/>
    <x v="10"/>
    <s v="Max Bookcases 595"/>
    <s v="First Class"/>
    <x v="2"/>
    <n v="1"/>
    <n v="1554.12"/>
    <n v="0.1"/>
    <n v="1398.71"/>
    <n v="1056.92"/>
    <n v="341.79"/>
    <s v="Paid"/>
    <x v="0"/>
    <s v="Completed"/>
    <x v="0"/>
    <s v="ORD-2024-10151|04-03-2024|03-12-2024|CUST-4661|Arjun Bose|Consumer||Gujarat|Ahmedabad|Furniture|Bookcases|Max Bookcases 595|First Class|1|1554.12|0.1|1398.71|1056.92|341.79|Paid|Completed"/>
    <s v="Keep"/>
    <n v="1"/>
    <s v="Unique"/>
    <s v=""/>
    <n v="0.1"/>
    <n v="1398.7079999999999"/>
    <n v="341.78799999999978"/>
    <n v="0.24435979489643286"/>
    <n v="3"/>
    <n v="2024"/>
    <b v="0"/>
    <b v="0"/>
    <x v="0"/>
    <s v="Missing region filled as Unknown"/>
    <s v="Warning"/>
  </r>
  <r>
    <s v="ORD-2024-10152"/>
    <s v="27 Jun 2024"/>
    <x v="2"/>
    <d v="2024-06-27T00:00:00"/>
    <s v="06/27/2024"/>
    <d v="2024-06-27T00:00:00"/>
    <s v="OK"/>
    <n v="0"/>
    <s v="CUST-6011"/>
    <s v="Neha Gupta"/>
    <s v="Neha Gupta"/>
    <s v="Home Office"/>
    <x v="3"/>
    <m/>
    <x v="4"/>
    <s v="Madhya Pradesh"/>
    <s v="Madhya Pradesh"/>
    <s v="Indore"/>
    <s v="Indore"/>
    <s v="Technology"/>
    <x v="2"/>
    <s v="Copiers"/>
    <x v="6"/>
    <s v="Max Copiers 992"/>
    <s v="Standard Class"/>
    <x v="3"/>
    <n v="2"/>
    <n v="3859.11"/>
    <n v="0"/>
    <n v="7718.22"/>
    <n v="5355.93"/>
    <n v="2362.29"/>
    <s v="Pending"/>
    <x v="2"/>
    <s v="Returned"/>
    <x v="2"/>
    <s v="ORD-2024-10152|06-27-2024|06-27-2024|CUST-6011|Neha Gupta|Home Office||Madhya Pradesh|Indore|Technology|Copiers|Max Copiers 992|Standard Class|2|3859.11|0|7718.22|5355.93|2362.29|Pending|Returned"/>
    <s v="Keep"/>
    <n v="1"/>
    <s v="Unique"/>
    <s v=""/>
    <n v="0"/>
    <n v="7718.22"/>
    <n v="2362.29"/>
    <n v="0.30606668376905555"/>
    <n v="6"/>
    <n v="2024"/>
    <b v="0"/>
    <b v="0"/>
    <x v="1"/>
    <s v="Missing region filled as Unknown; Returned order excluded"/>
    <s v="Warning"/>
  </r>
  <r>
    <s v="ORD-2024-10153"/>
    <s v="14 Jun 2024"/>
    <x v="2"/>
    <d v="2024-06-14T00:00:00"/>
    <s v="06/17/2024"/>
    <d v="2024-06-17T00:00:00"/>
    <s v="OK"/>
    <n v="3"/>
    <s v="CUST-6160"/>
    <s v="Kabir Singh"/>
    <s v="Kabir Singh"/>
    <s v="Small Business"/>
    <x v="1"/>
    <s v="South"/>
    <x v="2"/>
    <s v="Kerala"/>
    <s v="Kerala"/>
    <s v="Kochi"/>
    <s v="Kochi"/>
    <s v="Furniture"/>
    <x v="1"/>
    <s v="Tables"/>
    <x v="1"/>
    <s v="Pro Tables 407"/>
    <s v="Second Class"/>
    <x v="0"/>
    <n v="6"/>
    <n v="1088.04"/>
    <n v="0.1"/>
    <n v="5875.42"/>
    <n v="4380.55"/>
    <n v="1494.87"/>
    <s v="Pending"/>
    <x v="2"/>
    <s v="Returned"/>
    <x v="2"/>
    <s v="ORD-2024-10153|06-14-2024|06-17-2024|CUST-6160|Kabir Singh|Small Business|South|Kerala|Kochi|Furniture|Tables|Pro Tables 407|Second Class|6|1088.04|0.1|5875.42|4380.55|1494.87|Pending|Returned"/>
    <s v="Keep"/>
    <n v="1"/>
    <s v="Unique"/>
    <s v=""/>
    <n v="0.1"/>
    <n v="5875.4160000000002"/>
    <n v="1494.866"/>
    <n v="0.25442726098032886"/>
    <n v="6"/>
    <n v="2024"/>
    <b v="0"/>
    <b v="0"/>
    <x v="1"/>
    <s v="Returned order excluded"/>
    <s v="Warning"/>
  </r>
  <r>
    <s v="ORD-2025-10154"/>
    <s v="23 Sep 2025"/>
    <x v="8"/>
    <d v="2025-09-23T00:00:00"/>
    <s v="2025-09-25"/>
    <d v="2025-09-25T00:00:00"/>
    <s v="OK"/>
    <n v="2"/>
    <s v="CUST-6971"/>
    <s v="Aditi Sen"/>
    <s v="Aditi Sen"/>
    <s v="Consumer"/>
    <x v="0"/>
    <s v="East"/>
    <x v="1"/>
    <s v="Odisha"/>
    <s v="Odisha"/>
    <s v="Bhubaneswar"/>
    <s v="Bhubaneswar"/>
    <s v="Office Supplies"/>
    <x v="0"/>
    <s v="Labels"/>
    <x v="7"/>
    <s v="Prime Labels 559"/>
    <s v="Standard Class"/>
    <x v="3"/>
    <n v="7"/>
    <n v="3280.31"/>
    <n v="0"/>
    <n v="22962.17"/>
    <n v="15716.5"/>
    <n v="7245.67"/>
    <s v="Refunded"/>
    <x v="1"/>
    <s v="Returned"/>
    <x v="2"/>
    <s v="ORD-2025-10154|09-23-2025|09-25-2025|CUST-6971|Aditi Sen|Consumer|East|Odisha|Bhubaneswar|Office Supplies|Labels|Prime Labels 559|Standard Class|7|3280.31|0|22962.17|15716.5|7245.67|Refunded|Returned"/>
    <s v="Keep"/>
    <n v="1"/>
    <s v="Unique"/>
    <s v=""/>
    <n v="0"/>
    <n v="22962.17"/>
    <n v="7245.6699999999983"/>
    <n v="0.31554813852523517"/>
    <n v="9"/>
    <n v="2025"/>
    <b v="0"/>
    <b v="0"/>
    <x v="1"/>
    <s v="Refunded order summarized separately; Returned order excluded"/>
    <s v="Warning"/>
  </r>
  <r>
    <s v="ORD-2024-10155"/>
    <s v="12 Feb 2024"/>
    <x v="17"/>
    <d v="2024-02-12T00:00:00"/>
    <s v="02/11/2024"/>
    <d v="2024-02-11T00:00:00"/>
    <s v="Ship date before order date"/>
    <n v="-1"/>
    <s v="CUST-7764"/>
    <s v="Priya Menon"/>
    <s v="Priya Menon"/>
    <s v="Consumer"/>
    <x v="0"/>
    <s v="South"/>
    <x v="2"/>
    <s v="Tamil Nadu"/>
    <s v="Tamil Nadu"/>
    <s v="Chennai"/>
    <s v="Chennai"/>
    <s v="Furniture"/>
    <x v="1"/>
    <s v="Bookcases"/>
    <x v="10"/>
    <s v="Classic Bookcases 847"/>
    <s v="Same Day"/>
    <x v="1"/>
    <n v="1"/>
    <n v="2599.12"/>
    <n v="0.15"/>
    <n v="2209.25"/>
    <n v="1523.78"/>
    <n v="685.47"/>
    <s v="Paid"/>
    <x v="0"/>
    <s v="Completed"/>
    <x v="0"/>
    <s v="ORD-2024-10155|02-12-2024|02-11-2024|CUST-7764|Priya Menon|Consumer|South|Tamil Nadu|Chennai|Furniture|Bookcases|Classic Bookcases 847|Same Day|1|2599.12|0.15|2209.25|1523.78|685.47|Paid|Completed"/>
    <s v="Keep"/>
    <n v="1"/>
    <s v="Unique"/>
    <s v=""/>
    <n v="0.15"/>
    <n v="2209.252"/>
    <n v="685.47199999999998"/>
    <n v="0.31027334138432372"/>
    <n v="2"/>
    <n v="2024"/>
    <b v="0"/>
    <b v="0"/>
    <x v="1"/>
    <s v="Ship date before order date"/>
    <s v="Invalid"/>
  </r>
  <r>
    <s v="ORD-2025-10156"/>
    <s v="01/26/2025"/>
    <x v="14"/>
    <d v="2025-01-26T00:00:00"/>
    <s v="03 Feb 2025"/>
    <d v="2025-02-03T00:00:00"/>
    <s v="OK"/>
    <n v="8"/>
    <s v="CUST-8327"/>
    <s v="Karan Malhotra"/>
    <s v="Karan Malhotra"/>
    <s v="Corporate"/>
    <x v="2"/>
    <s v="West"/>
    <x v="3"/>
    <s v="Rajasthan"/>
    <s v="Rajasthan"/>
    <s v="Udaipur"/>
    <s v="Udaipur"/>
    <s v="Furniture"/>
    <x v="1"/>
    <s v="Furnishings"/>
    <x v="3"/>
    <s v="Classic Furnishings 655"/>
    <s v="Same Day"/>
    <x v="1"/>
    <n v="3"/>
    <n v="2859.32"/>
    <n v="0.1"/>
    <n v="7720.16"/>
    <n v="5881"/>
    <n v="1839.16"/>
    <s v="Refunded"/>
    <x v="1"/>
    <s v="Returned"/>
    <x v="2"/>
    <s v="ORD-2025-10156|01-26-2025|02-03-2025|CUST-8327|Karan Malhotra|Corporate|West|Rajasthan|Udaipur|Furniture|Furnishings|Classic Furnishings 655|Same Day|3|2859.32|0.1|7720.16|5881|1839.16|Refunded|Returned"/>
    <s v="Keep"/>
    <n v="1"/>
    <s v="Unique"/>
    <s v=""/>
    <n v="0.1"/>
    <n v="7720.1640000000007"/>
    <n v="1839.1640000000007"/>
    <n v="0.23822861794127695"/>
    <n v="1"/>
    <n v="2025"/>
    <b v="0"/>
    <b v="0"/>
    <x v="1"/>
    <s v="Refunded order summarized separately; Returned order excluded"/>
    <s v="Warning"/>
  </r>
  <r>
    <s v="ORD-2025-10157"/>
    <s v="27-03-2025"/>
    <x v="20"/>
    <d v="2025-03-27T00:00:00"/>
    <s v="27 Mar 2025"/>
    <d v="2025-03-27T00:00:00"/>
    <s v="OK"/>
    <n v="0"/>
    <s v="CUST-4058"/>
    <s v="Vikram Iyer"/>
    <s v="Vikram Iyer"/>
    <s v="Small Business"/>
    <x v="1"/>
    <s v="East"/>
    <x v="1"/>
    <s v="Bihar"/>
    <s v="Bihar"/>
    <s v="Patna"/>
    <s v="Patna"/>
    <s v="Technology"/>
    <x v="2"/>
    <s v="Machines"/>
    <x v="12"/>
    <s v="Eco Machines 657"/>
    <s v="Second Class"/>
    <x v="0"/>
    <n v="7"/>
    <n v="2305.37"/>
    <n v="0.25"/>
    <n v="12103.19"/>
    <n v="6717.87"/>
    <n v="5385.32"/>
    <s v="Paid"/>
    <x v="0"/>
    <s v="Completed "/>
    <x v="0"/>
    <s v="ORD-2025-10157|27-03-2025|03-27-2025|CUST-4058|Vikram Iyer|Small Business|East|Bihar|Patna|Technology|Machines|Eco Machines 657|Second Class|7|2305.37|0.25|12103.19|6717.87|5385.32|Paid|Completed "/>
    <s v="Keep"/>
    <n v="1"/>
    <s v="Unique"/>
    <s v=""/>
    <n v="0.25"/>
    <n v="12103.192500000001"/>
    <n v="5385.3225000000011"/>
    <n v="0.44495057812225997"/>
    <n v="3"/>
    <n v="2025"/>
    <b v="0"/>
    <b v="0"/>
    <x v="0"/>
    <s v=""/>
    <s v="Clean"/>
  </r>
  <r>
    <s v="ORD-2024-10158"/>
    <s v="10/22/2024"/>
    <x v="16"/>
    <d v="2024-10-22T00:00:00"/>
    <s v="24-10-2024"/>
    <d v="2024-10-24T00:00:00"/>
    <s v="OK"/>
    <n v="2"/>
    <s v="CUST-1142"/>
    <s v="Rohan Mehta"/>
    <s v="Rohan Mehta"/>
    <s v="Small Business"/>
    <x v="1"/>
    <s v="South"/>
    <x v="2"/>
    <s v="Andhra Pradesh"/>
    <s v="Andhra Pradesh"/>
    <s v="Vijayawada"/>
    <s v="Vijayawada"/>
    <s v="Furniture"/>
    <x v="1"/>
    <s v="Bookcases"/>
    <x v="10"/>
    <s v="Pro Bookcases 430"/>
    <s v="Standard Class"/>
    <x v="3"/>
    <n v="3"/>
    <n v="915.84"/>
    <n v="0.15"/>
    <n v="2335.39"/>
    <n v="1466.15"/>
    <n v="869.24"/>
    <s v="Paid"/>
    <x v="0"/>
    <s v="Completed"/>
    <x v="0"/>
    <s v="ORD-2024-10158|10-22-2024|24-10-2024|CUST-1142|Rohan Mehta|Small Business|South|Andhra Pradesh|Vijayawada|Furniture|Bookcases|Pro Bookcases 430|Standard Class|3|915.84|0.15|2335.39|1466.15|869.24|Paid|Completed"/>
    <s v="Keep"/>
    <n v="1"/>
    <s v="Unique"/>
    <s v=""/>
    <n v="0.15"/>
    <n v="2335.3919999999998"/>
    <n v="869.24199999999973"/>
    <n v="0.3722038955344541"/>
    <n v="10"/>
    <n v="2024"/>
    <b v="0"/>
    <b v="0"/>
    <x v="0"/>
    <s v=""/>
    <s v="Clean"/>
  </r>
  <r>
    <s v="ORD-2024-10159"/>
    <s v="2024-09-09"/>
    <x v="21"/>
    <d v="2024-09-09T00:00:00"/>
    <s v="09/11/2024"/>
    <d v="2024-09-11T00:00:00"/>
    <s v="OK"/>
    <n v="2"/>
    <s v="CUST-2324"/>
    <s v="Neha Gupta"/>
    <s v="Neha Gupta"/>
    <s v="Home Office"/>
    <x v="3"/>
    <s v="South"/>
    <x v="2"/>
    <s v="Telangana"/>
    <s v="Telangana"/>
    <s v="Hyderabad"/>
    <s v="Hyderabad"/>
    <s v="Furniture"/>
    <x v="1"/>
    <s v="Bookcases"/>
    <x v="10"/>
    <s v="Max Bookcases 881"/>
    <s v="First Class"/>
    <x v="2"/>
    <n v="1"/>
    <n v="4199.54"/>
    <n v="0.05"/>
    <n v="3989.56"/>
    <n v="2381.38"/>
    <n v="1608.18"/>
    <s v="Paid"/>
    <x v="0"/>
    <s v="Completed"/>
    <x v="0"/>
    <s v="ORD-2024-10159|09-09-2024|09-11-2024|CUST-2324|Neha Gupta|Home Office|South|Telangana|Hyderabad|Furniture|Bookcases|Max Bookcases 881|First Class|1|4199.54|0.05|3989.56|2381.38|1608.18|Paid|Completed"/>
    <s v="Keep"/>
    <n v="1"/>
    <s v="Unique"/>
    <s v=""/>
    <n v="0.05"/>
    <n v="3989.5629999999996"/>
    <n v="1608.1829999999995"/>
    <n v="0.40309753223598666"/>
    <n v="9"/>
    <n v="2024"/>
    <b v="0"/>
    <b v="0"/>
    <x v="0"/>
    <s v=""/>
    <s v="Clean"/>
  </r>
  <r>
    <s v="ORD-2025-10160"/>
    <s v="2025-01-30"/>
    <x v="14"/>
    <d v="2025-01-30T00:00:00"/>
    <s v="04-02-2025"/>
    <d v="2025-02-04T00:00:00"/>
    <s v="OK"/>
    <n v="5"/>
    <s v="CUST-7717"/>
    <s v="Priya Menon"/>
    <s v="Priya Menon"/>
    <s v="Corporate"/>
    <x v="2"/>
    <s v="North"/>
    <x v="0"/>
    <s v="Haryana"/>
    <s v="Haryana"/>
    <s v="Gurugram"/>
    <s v="Gurugram"/>
    <s v="Furniture"/>
    <x v="1"/>
    <s v="Chairs"/>
    <x v="4"/>
    <s v="Elite Chairs 998"/>
    <s v="Same Day"/>
    <x v="1"/>
    <n v="9"/>
    <n v="4430.5"/>
    <n v="0.15"/>
    <n v="33893.32"/>
    <n v="25750.35"/>
    <n v="8142.97"/>
    <s v="Pending"/>
    <x v="2"/>
    <s v="Cancelled"/>
    <x v="1"/>
    <s v="ORD-2025-10160|01-30-2025|04-02-2025|CUST-7717|Priya Menon|Corporate|North|Haryana|Gurugram|Furniture|Chairs|Elite Chairs 998|Same Day|9|4430.5|0.15|33893.32|25750.35|8142.97|Pending|Cancelled"/>
    <s v="Keep"/>
    <n v="1"/>
    <s v="Unique"/>
    <s v=""/>
    <n v="0.15"/>
    <n v="33893.324999999997"/>
    <n v="8142.9749999999985"/>
    <n v="0.24025305867748292"/>
    <n v="1"/>
    <n v="2025"/>
    <b v="0"/>
    <b v="0"/>
    <x v="1"/>
    <s v="Cancelled order excluded"/>
    <s v="Warning"/>
  </r>
  <r>
    <s v="ORD-2025-10161"/>
    <s v="08-10-2025"/>
    <x v="11"/>
    <d v="2025-10-08T00:00:00"/>
    <s v="10/06/2025"/>
    <d v="2025-10-06T00:00:00"/>
    <s v="Ship date before order date"/>
    <n v="-2"/>
    <s v="CUST-4932"/>
    <s v="Vikram Iyer"/>
    <s v="Vikram Iyer"/>
    <s v="Small Business"/>
    <x v="1"/>
    <s v="West"/>
    <x v="3"/>
    <s v="Maharashtra"/>
    <s v="Maharashtra"/>
    <s v="Mumbai"/>
    <s v="Mumbai"/>
    <s v="Office Supplies"/>
    <x v="0"/>
    <s v="Paper"/>
    <x v="0"/>
    <s v="Max Paper 113"/>
    <s v="Second Class"/>
    <x v="0"/>
    <n v="4"/>
    <n v="1260.42"/>
    <n v="0.05"/>
    <n v="4789.6000000000004"/>
    <n v="4037.64"/>
    <n v="751.96"/>
    <s v="Pending"/>
    <x v="2"/>
    <s v="Cancelled"/>
    <x v="1"/>
    <s v="ORD-2025-10161|08-10-2025|10-06-2025|CUST-4932|Vikram Iyer|Small Business|West|Maharashtra|Mumbai|Office Supplies|Paper|Max Paper 113|Second Class|4|1260.42|0.05|4789.6|4037.64|751.96|Pending|Cancelled"/>
    <s v="Keep"/>
    <n v="1"/>
    <s v="Unique"/>
    <s v=""/>
    <n v="0.05"/>
    <n v="4789.5960000000005"/>
    <n v="751.95600000000059"/>
    <n v="0.1569977927157114"/>
    <n v="10"/>
    <n v="2025"/>
    <b v="0"/>
    <b v="0"/>
    <x v="1"/>
    <s v="Ship date before order date; Cancelled order excluded"/>
    <s v="Invalid"/>
  </r>
  <r>
    <s v="ORD-2025-10162"/>
    <s v="2025-07-24"/>
    <x v="13"/>
    <d v="2025-07-24T00:00:00"/>
    <s v="30-07-2025"/>
    <d v="2025-07-30T00:00:00"/>
    <s v="OK"/>
    <n v="6"/>
    <s v="CUST-2367"/>
    <s v="Arjun Bose"/>
    <s v="Arjun Bose"/>
    <s v="Consumer"/>
    <x v="0"/>
    <s v="West"/>
    <x v="3"/>
    <s v="Rajasthan"/>
    <s v="Rajasthan"/>
    <s v="Udaipur"/>
    <s v="Udaipur"/>
    <s v="Office Supplies"/>
    <x v="0"/>
    <s v="Binders"/>
    <x v="9"/>
    <s v="Smart Binders 267"/>
    <s v="Standard Class"/>
    <x v="3"/>
    <n v="1"/>
    <n v="1643.41"/>
    <n v="0"/>
    <n v="1643.41"/>
    <n v="907.4"/>
    <n v="736.01"/>
    <s v="Pending"/>
    <x v="2"/>
    <s v="Cancelled"/>
    <x v="1"/>
    <s v="ORD-2025-10162|07-24-2025|30-07-2025|CUST-2367|Arjun Bose|Consumer|West|Rajasthan|Udaipur|Office Supplies|Binders|Smart Binders 267|Standard Class|1|1643.41|0|1643.41|907.4|736.01|Pending|Cancelled"/>
    <s v="Keep"/>
    <n v="1"/>
    <s v="Unique"/>
    <s v=""/>
    <n v="0"/>
    <n v="1643.41"/>
    <n v="736.0100000000001"/>
    <n v="0.44785537388722235"/>
    <n v="7"/>
    <n v="2025"/>
    <b v="0"/>
    <b v="0"/>
    <x v="1"/>
    <s v="Cancelled order excluded"/>
    <s v="Warning"/>
  </r>
  <r>
    <s v="ORD-2024-10163"/>
    <s v="2024-03-09"/>
    <x v="15"/>
    <d v="2024-03-09T00:00:00"/>
    <s v="14 Mar 2024"/>
    <d v="2024-03-14T00:00:00"/>
    <s v="OK"/>
    <n v="5"/>
    <s v="CUST-4830"/>
    <s v="Neha Gupta"/>
    <s v="Neha Gupta"/>
    <s v="Small Business"/>
    <x v="1"/>
    <s v="West"/>
    <x v="3"/>
    <s v="Goa"/>
    <s v="Goa"/>
    <s v="Panaji"/>
    <s v="Panaji"/>
    <s v="Furniture"/>
    <x v="1"/>
    <s v="Furnishings"/>
    <x v="3"/>
    <s v="Pro Furnishings 108"/>
    <s v="Second Class"/>
    <x v="0"/>
    <n v="8"/>
    <n v="4472.84"/>
    <n v="0"/>
    <n v="35997.620000000003"/>
    <n v="26424.41"/>
    <n v="9358.31"/>
    <s v="Pending"/>
    <x v="2"/>
    <s v="Returned"/>
    <x v="2"/>
    <s v="ORD-2024-10163|03-09-2024|03-14-2024|CUST-4830|Neha Gupta|Small Business|West|Goa|Panaji|Furniture|Furnishings|Pro Furnishings 108|Second Class|8|4472.84|0|35997.62|26424.41|9358.31|Pending|Returned"/>
    <s v="Keep"/>
    <n v="1"/>
    <s v="Unique"/>
    <s v=""/>
    <n v="0"/>
    <n v="35782.720000000001"/>
    <n v="9358.3100000000013"/>
    <n v="0.2615315437171909"/>
    <n v="3"/>
    <n v="2024"/>
    <b v="1"/>
    <b v="0"/>
    <x v="1"/>
    <s v="Returned order excluded; Sales mismatch"/>
    <s v="Invalid"/>
  </r>
  <r>
    <s v="ORD-2025-10164"/>
    <s v="09/21/2025"/>
    <x v="8"/>
    <d v="2025-09-21T00:00:00"/>
    <s v="26 Sep 2025"/>
    <d v="2025-09-26T00:00:00"/>
    <s v="OK"/>
    <n v="5"/>
    <s v="CUST-2548"/>
    <s v="Rohan Mehta"/>
    <s v="Rohan Mehta"/>
    <s v="Home Office"/>
    <x v="3"/>
    <s v="West"/>
    <x v="3"/>
    <s v="Gujarat"/>
    <s v="Gujarat"/>
    <s v="Ahmedabad"/>
    <s v="Ahmedabad"/>
    <s v="Furniture"/>
    <x v="1"/>
    <s v="Tables"/>
    <x v="1"/>
    <s v="Elite Tables 389"/>
    <m/>
    <x v="4"/>
    <n v="6"/>
    <n v="2903.58"/>
    <n v="0.1"/>
    <n v="15679.33"/>
    <n v="12477.82"/>
    <n v="3201.51"/>
    <s v="Pending"/>
    <x v="2"/>
    <s v="Returned"/>
    <x v="2"/>
    <s v="ORD-2025-10164|09-21-2025|09-26-2025|CUST-2548|Rohan Mehta|Home Office|West|Gujarat|Ahmedabad|Furniture|Tables|Elite Tables 389||6|2903.58|0.1|15679.33|12477.82|3201.51|Pending|Returned"/>
    <s v="Keep"/>
    <n v="1"/>
    <s v="Unique"/>
    <s v=""/>
    <n v="0.1"/>
    <n v="15679.332"/>
    <n v="3201.5120000000006"/>
    <n v="0.20418675999717339"/>
    <n v="9"/>
    <n v="2025"/>
    <b v="0"/>
    <b v="0"/>
    <x v="1"/>
    <s v="Missing ship mode filled as Unknown; Returned order excluded"/>
    <s v="Warning"/>
  </r>
  <r>
    <s v="ORD-2025-10165"/>
    <s v="09 Sep 2025"/>
    <x v="8"/>
    <d v="2025-09-09T00:00:00"/>
    <s v="09/14/2025"/>
    <d v="2025-09-14T00:00:00"/>
    <s v="OK"/>
    <n v="5"/>
    <s v="CUST-3833"/>
    <s v="Rahul Verma"/>
    <s v="Rahul Verma"/>
    <s v="Small Business"/>
    <x v="1"/>
    <s v="East"/>
    <x v="1"/>
    <s v="West Bengal"/>
    <s v="West Bengal"/>
    <s v="Kolkata"/>
    <s v="Kolkata"/>
    <s v="Furniture"/>
    <x v="1"/>
    <s v="Bookcases"/>
    <x v="10"/>
    <s v="Pro Bookcases 595"/>
    <s v="Second Class"/>
    <x v="0"/>
    <n v="1"/>
    <n v="3154.42"/>
    <n v="0.25"/>
    <n v="2365.8200000000002"/>
    <n v="1547.99"/>
    <n v="817.83"/>
    <s v="Paid"/>
    <x v="0"/>
    <s v="Completed"/>
    <x v="0"/>
    <s v="ORD-2025-10165|09-09-2025|09-14-2025|CUST-3833|Rahul Verma|Small Business|East|West Bengal|Kolkata|Furniture|Bookcases|Pro Bookcases 595|Second Class|1|3154.42|0.25|2365.82|1547.99|817.83|Paid|Completed"/>
    <s v="Keep"/>
    <n v="1"/>
    <s v="Unique"/>
    <s v=""/>
    <n v="0.25"/>
    <n v="2365.8150000000001"/>
    <n v="817.82500000000005"/>
    <n v="0.34568425679945392"/>
    <n v="9"/>
    <n v="2025"/>
    <b v="0"/>
    <b v="0"/>
    <x v="0"/>
    <s v=""/>
    <s v="Clean"/>
  </r>
  <r>
    <s v="ORD-2024-10166"/>
    <s v="11/22/2024"/>
    <x v="3"/>
    <d v="2024-11-22T00:00:00"/>
    <s v="29-11-2024"/>
    <d v="2024-11-29T00:00:00"/>
    <s v="OK"/>
    <n v="7"/>
    <s v="CUST-4598"/>
    <s v="Mira Das"/>
    <s v="Mira Das"/>
    <s v="Home Office"/>
    <x v="3"/>
    <s v="East"/>
    <x v="1"/>
    <s v="Bihar"/>
    <s v="Bihar"/>
    <s v="Patna"/>
    <s v="Patna"/>
    <s v="Furniture"/>
    <x v="1"/>
    <s v="Chairs"/>
    <x v="4"/>
    <s v="Max Chairs 148"/>
    <s v="Standard Class"/>
    <x v="3"/>
    <n v="4"/>
    <n v="3422.99"/>
    <n v="0.25"/>
    <n v="10268.969999999999"/>
    <n v="6470.92"/>
    <n v="3798.05"/>
    <s v="Paid"/>
    <x v="0"/>
    <s v="Completed"/>
    <x v="0"/>
    <s v="ORD-2024-10166|11-22-2024|29-11-2024|CUST-4598|Mira Das|Home Office|East|Bihar|Patna|Furniture|Chairs|Max Chairs 148|Standard Class|4|3422.99|0.25|10268.97|6470.92|3798.05|Paid|Completed"/>
    <s v="Keep"/>
    <n v="1"/>
    <s v="Unique"/>
    <s v=""/>
    <n v="0.25"/>
    <n v="10268.969999999999"/>
    <n v="3798.0499999999993"/>
    <n v="0.36985695741637181"/>
    <n v="11"/>
    <n v="2024"/>
    <b v="0"/>
    <b v="0"/>
    <x v="0"/>
    <s v=""/>
    <s v="Clean"/>
  </r>
  <r>
    <s v="ORD-2025-10167"/>
    <s v="20-02-2025"/>
    <x v="7"/>
    <d v="2025-02-20T00:00:00"/>
    <s v="26-02-2025"/>
    <d v="2025-02-26T00:00:00"/>
    <s v="OK"/>
    <n v="6"/>
    <s v="CUST-7215"/>
    <s v="Karan Malhotra"/>
    <s v="Karan Malhotra"/>
    <s v="Small Business"/>
    <x v="1"/>
    <s v="West"/>
    <x v="3"/>
    <s v="Gujarat"/>
    <s v="Gujarat"/>
    <s v="Ahmedabad"/>
    <s v="Ahmedabad"/>
    <s v="Office Supplies"/>
    <x v="0"/>
    <s v="Labels"/>
    <x v="7"/>
    <s v="Basic Labels 671"/>
    <s v="First Class"/>
    <x v="2"/>
    <n v="1"/>
    <n v="2557.85"/>
    <n v="0.2"/>
    <n v="2046.28"/>
    <n v="1449.54"/>
    <n v="596.74"/>
    <s v="Paid"/>
    <x v="0"/>
    <s v="Completed"/>
    <x v="0"/>
    <s v="ORD-2025-10167|20-02-2025|26-02-2025|CUST-7215|Karan Malhotra|Small Business|West|Gujarat|Ahmedabad|OFFICE SUPPLIES|Labels|Basic Labels 671|First Class|1|2557.85|0.2|2046.28|1449.54|596.74|Paid|Completed"/>
    <s v="Keep"/>
    <n v="1"/>
    <s v="Unique"/>
    <s v=""/>
    <n v="0.2"/>
    <n v="2046.28"/>
    <n v="596.74"/>
    <n v="0.29162186992982386"/>
    <n v="2"/>
    <n v="2025"/>
    <b v="0"/>
    <b v="0"/>
    <x v="0"/>
    <s v=""/>
    <s v="Clean"/>
  </r>
  <r>
    <s v="ORD-2025-10168"/>
    <s v="2025-08-18"/>
    <x v="4"/>
    <d v="2025-08-18T00:00:00"/>
    <s v="08/18/2025"/>
    <d v="2025-08-18T00:00:00"/>
    <s v="OK"/>
    <n v="0"/>
    <s v="CUST-7770"/>
    <s v="Arjun Bose"/>
    <s v="Arjun Bose"/>
    <s v="Home Office"/>
    <x v="3"/>
    <s v="South"/>
    <x v="2"/>
    <s v="Karnataka"/>
    <s v="Karnataka"/>
    <s v="Bengaluru"/>
    <s v="Bengaluru"/>
    <s v="Office Supplies"/>
    <x v="0"/>
    <s v="Storage"/>
    <x v="8"/>
    <s v="Elite Storage 628"/>
    <s v="First Class"/>
    <x v="2"/>
    <n v="9"/>
    <n v="3030.93"/>
    <n v="0.15"/>
    <n v="23186.61"/>
    <n v="17906.54"/>
    <n v="5280.07"/>
    <s v="Paid"/>
    <x v="0"/>
    <s v="Returned"/>
    <x v="2"/>
    <s v="ORD-2025-10168|08-18-2025|08-18-2025|CUST-7770|Arjun Bose|Home Office|South|Karnataka|Bengaluru|Office Supplies|Storage|Elite Storage 628|First Class|9|3030.93|0.15|23186.61|17906.54|5280.07|Paid|Returned"/>
    <s v="Keep"/>
    <n v="1"/>
    <s v="Unique"/>
    <s v=""/>
    <n v="0.15"/>
    <n v="23186.6145"/>
    <n v="5280.0744999999988"/>
    <n v="0.22772080417345961"/>
    <n v="8"/>
    <n v="2025"/>
    <b v="0"/>
    <b v="0"/>
    <x v="1"/>
    <s v="Returned order excluded"/>
    <s v="Warning"/>
  </r>
  <r>
    <s v="ORD-2025-10169"/>
    <s v="01/20/2025"/>
    <x v="14"/>
    <d v="2025-01-20T00:00:00"/>
    <s v="23 Jan 2025"/>
    <d v="2025-01-23T00:00:00"/>
    <s v="OK"/>
    <n v="3"/>
    <s v="CUST-9756"/>
    <s v="Kabir Singh"/>
    <s v="Kabir Singh"/>
    <s v="Consumer"/>
    <x v="0"/>
    <s v="West"/>
    <x v="3"/>
    <s v="Maharashtra"/>
    <s v="Maharashtra"/>
    <s v="Mumbai"/>
    <s v="Mumbai"/>
    <s v="Technology"/>
    <x v="2"/>
    <s v="Accessories"/>
    <x v="5"/>
    <s v="Eco Accessories 590"/>
    <s v="Same Day"/>
    <x v="1"/>
    <n v="5"/>
    <n v="639.27"/>
    <n v="0.2"/>
    <n v="2557.08"/>
    <n v="2025.69"/>
    <n v="531.39"/>
    <s v="Paid"/>
    <x v="0"/>
    <s v="Cancelled"/>
    <x v="1"/>
    <s v="ORD-2025-10169|01-20-2025|01-23-2025|CUST-9756|Kabir Singh|Consumer|West|Maharashtra|Mumbai|Technology|Accessories|Eco Accessories 590|Same Day|5|639.27|0.2|2557.08|2025.69|531.39|Paid|Cancelled"/>
    <s v="Keep"/>
    <n v="1"/>
    <s v="Unique"/>
    <s v=""/>
    <n v="0.2"/>
    <n v="2557.08"/>
    <n v="531.38999999999987"/>
    <n v="0.2078112534609789"/>
    <n v="1"/>
    <n v="2025"/>
    <b v="0"/>
    <b v="0"/>
    <x v="1"/>
    <s v="Cancelled order excluded"/>
    <s v="Warning"/>
  </r>
  <r>
    <s v="ORD-2025-10170"/>
    <s v="2025-09-13"/>
    <x v="8"/>
    <d v="2025-09-13T00:00:00"/>
    <s v="09/13/2025"/>
    <d v="2025-09-13T00:00:00"/>
    <s v="OK"/>
    <n v="0"/>
    <s v="CUST-2261"/>
    <s v="Diya Patel"/>
    <s v="Diya Patel"/>
    <s v="Consumer"/>
    <x v="0"/>
    <s v="East"/>
    <x v="1"/>
    <s v="Assam"/>
    <s v="Assam"/>
    <s v="Guwahati"/>
    <s v="Guwahati"/>
    <s v="Office Supplies"/>
    <x v="0"/>
    <s v="Art"/>
    <x v="2"/>
    <s v="Pro Art 734"/>
    <s v="Standard Class"/>
    <x v="3"/>
    <n v="8"/>
    <n v="733.9"/>
    <n v="0.05"/>
    <n v="5577.64"/>
    <n v="3541.29"/>
    <n v="2036.35"/>
    <s v="Pending"/>
    <x v="2"/>
    <s v="Returned"/>
    <x v="2"/>
    <s v="ORD-2025-10170|09-13-2025|09-13-2025|CUST-2261|Diya Patel|Consumer|East|Assam|Guwahati|Office Supplies|Art|Pro Art 734|Standard Class|8|733.9|0.05|5577.64|3541.29|2036.35|Pending|Returned"/>
    <s v="Keep"/>
    <n v="1"/>
    <s v="Unique"/>
    <s v=""/>
    <n v="0.05"/>
    <n v="5577.6399999999994"/>
    <n v="2036.3499999999995"/>
    <n v="0.36509168752375548"/>
    <n v="9"/>
    <n v="2025"/>
    <b v="0"/>
    <b v="0"/>
    <x v="1"/>
    <s v="Returned order excluded"/>
    <s v="Warning"/>
  </r>
  <r>
    <s v="ORD-2025-10171"/>
    <s v="07-09-2025"/>
    <x v="8"/>
    <d v="2025-09-07T00:00:00"/>
    <s v="09/15/2025"/>
    <d v="2025-09-15T00:00:00"/>
    <s v="OK"/>
    <n v="8"/>
    <s v="CUST-3734"/>
    <s v="Rohan Mehta"/>
    <s v="Rohan Mehta"/>
    <s v="Corporate"/>
    <x v="2"/>
    <s v="East"/>
    <x v="1"/>
    <s v="Bihar"/>
    <s v="Bihar"/>
    <s v="Patna"/>
    <s v="Patna"/>
    <s v="Technology"/>
    <x v="2"/>
    <s v="Copiers"/>
    <x v="6"/>
    <s v="Eco Copiers 102"/>
    <s v="Standard Class"/>
    <x v="3"/>
    <n v="3"/>
    <n v="1711.32"/>
    <n v="0"/>
    <n v="5133.96"/>
    <n v="3930"/>
    <n v="1203.96"/>
    <s v="Paid"/>
    <x v="0"/>
    <s v="Completed"/>
    <x v="0"/>
    <s v="ORD-2025-10171|07-09-2025|09-15-2025|CUST-3734|Rohan Mehta|Corporate|East|Bihar|Patna|Technology|Copiers|Eco Copiers 102|Standard Class|3|1711.32|0|5133.96|3930|1203.96|Paid|Completed"/>
    <s v="Keep"/>
    <n v="2"/>
    <s v="Duplicate order_id"/>
    <s v="Review conflicting duplicate"/>
    <n v="0"/>
    <n v="5133.96"/>
    <n v="1203.96"/>
    <n v="0.23450903396208775"/>
    <n v="9"/>
    <n v="2025"/>
    <b v="0"/>
    <b v="0"/>
    <x v="1"/>
    <s v="Duplicate order ID conflict"/>
    <s v="Warning"/>
  </r>
  <r>
    <s v="ORD-2025-10172"/>
    <s v="2025-02-23"/>
    <x v="7"/>
    <d v="2025-02-23T00:00:00"/>
    <s v="02/25/2025"/>
    <d v="2025-02-25T00:00:00"/>
    <s v="OK"/>
    <n v="2"/>
    <s v="CUST-3436"/>
    <s v="Karan Malhotra"/>
    <s v="Karan Malhotra"/>
    <s v="Corporate"/>
    <x v="2"/>
    <s v="East"/>
    <x v="1"/>
    <s v="Bihar"/>
    <s v="Bihar"/>
    <s v="Patna"/>
    <s v="Patna"/>
    <s v="Office Supplies"/>
    <x v="0"/>
    <s v="Labels"/>
    <x v="7"/>
    <s v="Basic Labels 876"/>
    <s v="Same Day"/>
    <x v="1"/>
    <n v="5"/>
    <n v="4246.2700000000004"/>
    <n v="0.25"/>
    <n v="15923.51"/>
    <n v="11291.8"/>
    <n v="4631.71"/>
    <s v="Paid"/>
    <x v="0"/>
    <s v="Completed"/>
    <x v="0"/>
    <s v="ORD-2025-10172|02-23-2025|02-25-2025|CUST-3436|Karan Malhotra|Corporate|East|Bihar|Patna|Office Supplies|Labels|Basic Labels 876|Same Day|5|4246.27|0.25|15923.51|11291.8|4631.71|Paid|Completed"/>
    <s v="Keep"/>
    <n v="1"/>
    <s v="Unique"/>
    <s v=""/>
    <n v="0.25"/>
    <n v="15923.512500000001"/>
    <n v="4631.7125000000015"/>
    <n v="0.29087253832971849"/>
    <n v="2"/>
    <n v="2025"/>
    <b v="0"/>
    <b v="0"/>
    <x v="0"/>
    <s v=""/>
    <s v="Clean"/>
  </r>
  <r>
    <s v="ORD-2025-10173"/>
    <s v="02-08-2025"/>
    <x v="4"/>
    <d v="2025-08-02T00:00:00"/>
    <s v="10-08-2025"/>
    <d v="2025-08-10T00:00:00"/>
    <s v="OK"/>
    <n v="8"/>
    <s v="CUST-4845"/>
    <s v="Karan Malhotra"/>
    <s v="Karan Malhotra"/>
    <s v="Corporate"/>
    <x v="2"/>
    <s v="North"/>
    <x v="0"/>
    <s v="Delhi"/>
    <s v="Delhi"/>
    <s v="New Delhi"/>
    <s v="New Delhi"/>
    <s v="Furniture"/>
    <x v="1"/>
    <s v="Furnishings"/>
    <x v="3"/>
    <s v="Prime Furnishings 381"/>
    <s v="Same Day"/>
    <x v="1"/>
    <n v="9"/>
    <n v="2962.62"/>
    <n v="0.1"/>
    <n v="23997.22"/>
    <n v="16134.63"/>
    <n v="7862.59"/>
    <s v="Refunded"/>
    <x v="1"/>
    <s v="Returned"/>
    <x v="2"/>
    <s v="ORD-2025-10173|02-08-2025|10-08-2025|CUST-4845|Karan Malhotra|Corporate|North|Delhi|New Delhi|Furniture|Furnishings|Prime Furnishings 381|Same Day|9|2962.62|0.1|23997.22|16134.63|7862.59|Refunded|Returned"/>
    <s v="Keep"/>
    <n v="1"/>
    <s v="Unique"/>
    <s v=""/>
    <n v="0.1"/>
    <n v="23997.221999999998"/>
    <n v="7862.5919999999987"/>
    <n v="0.32764592501582057"/>
    <n v="8"/>
    <n v="2025"/>
    <b v="0"/>
    <b v="0"/>
    <x v="1"/>
    <s v="Refunded order summarized separately; Returned order excluded"/>
    <s v="Warning"/>
  </r>
  <r>
    <s v="ORD-2024-10174"/>
    <s v="02-05-2024"/>
    <x v="5"/>
    <d v="2024-05-02T00:00:00"/>
    <s v="08 May 2024"/>
    <d v="2024-05-08T00:00:00"/>
    <s v="OK"/>
    <n v="6"/>
    <s v="CUST-6153"/>
    <s v="Priya Menon"/>
    <s v="Priya Menon"/>
    <s v="Home Office"/>
    <x v="3"/>
    <s v="North"/>
    <x v="0"/>
    <s v="Punjab"/>
    <s v="Punjab"/>
    <s v="Ludhiana"/>
    <s v="Ludhiana"/>
    <s v="Technology"/>
    <x v="2"/>
    <s v="Copiers"/>
    <x v="6"/>
    <s v="Prime Copiers 440"/>
    <s v="Second Class"/>
    <x v="0"/>
    <n v="1"/>
    <n v="2312.25"/>
    <n v="0.25"/>
    <n v="1734.19"/>
    <n v="1386.07"/>
    <n v="348.12"/>
    <s v="Paid"/>
    <x v="0"/>
    <s v="Completed"/>
    <x v="0"/>
    <s v="ORD-2024-10174|02-05-2024|05-08-2024|CUST-6153|PRIYA MENON|Home Office|North|Punjab|Ludhiana|Technology|Copiers|Prime Copiers 440|Second Class|1|2312.25|0.25|1734.19|1386.07|348.12|Paid|Completed"/>
    <s v="Keep"/>
    <n v="1"/>
    <s v="Unique"/>
    <s v=""/>
    <n v="0.25"/>
    <n v="1734.1875"/>
    <n v="348.11750000000006"/>
    <n v="0.20073809781237614"/>
    <n v="5"/>
    <n v="2024"/>
    <b v="0"/>
    <b v="0"/>
    <x v="0"/>
    <s v=""/>
    <s v="Clean"/>
  </r>
  <r>
    <s v="ORD-2025-10175"/>
    <s v="28 Sep 2025"/>
    <x v="8"/>
    <d v="2025-09-28T00:00:00"/>
    <s v="04-10-2025"/>
    <d v="2025-10-04T00:00:00"/>
    <s v="OK"/>
    <n v="6"/>
    <s v="CUST-5475"/>
    <s v="Karan Malhotra"/>
    <s v="Karan Malhotra"/>
    <s v="Small Business"/>
    <x v="1"/>
    <s v="South"/>
    <x v="2"/>
    <s v="Karnataka"/>
    <s v="Karnataka"/>
    <s v="Bengaluru"/>
    <s v="Bengaluru"/>
    <s v="Furniture"/>
    <x v="1"/>
    <s v="Bookcases"/>
    <x v="10"/>
    <s v="Pro Bookcases 319"/>
    <s v="First Class"/>
    <x v="2"/>
    <n v="6"/>
    <n v="1620.53"/>
    <n v="0.15"/>
    <n v="8264.7000000000007"/>
    <n v="4768.75"/>
    <n v="3495.95"/>
    <s v="Pending"/>
    <x v="2"/>
    <s v="Returned"/>
    <x v="2"/>
    <s v="ORD-2025-10175|09-28-2025|04-10-2025|CUST-5475|Karan Malhotra|Small Business|South|Karnataka|Bengaluru|Furniture|Bookcases|Pro Bookcases 319|First Class|6|1620.53|0.15|8264.7|4768.75|3495.95|Pending|Returned"/>
    <s v="Keep"/>
    <n v="1"/>
    <s v="Unique"/>
    <s v=""/>
    <n v="0.15"/>
    <n v="8264.7029999999995"/>
    <n v="3495.9529999999995"/>
    <n v="0.42299801940856191"/>
    <n v="9"/>
    <n v="2025"/>
    <b v="0"/>
    <b v="0"/>
    <x v="1"/>
    <s v="Returned order excluded"/>
    <s v="Warning"/>
  </r>
  <r>
    <s v="ORD-2024-10176"/>
    <s v="2024-01-27"/>
    <x v="12"/>
    <d v="2024-01-27T00:00:00"/>
    <s v="2024-02-03"/>
    <d v="2024-02-03T00:00:00"/>
    <s v="OK"/>
    <n v="7"/>
    <s v="CUST-5580"/>
    <s v="Arjun Bose"/>
    <s v="Arjun Bose"/>
    <s v="Small Business"/>
    <x v="1"/>
    <s v="East"/>
    <x v="1"/>
    <s v="Bihar"/>
    <s v="Bihar"/>
    <s v="Patna"/>
    <s v="Patna"/>
    <s v="Technology"/>
    <x v="2"/>
    <s v="Machines"/>
    <x v="12"/>
    <s v="Basic Machines 584"/>
    <s v="Same Day"/>
    <x v="1"/>
    <n v="7"/>
    <n v="2673.42"/>
    <n v="0.15"/>
    <n v="15906.85"/>
    <n v="11014.46"/>
    <n v="4892.3900000000003"/>
    <s v="Paid"/>
    <x v="0"/>
    <s v="Returned"/>
    <x v="2"/>
    <s v="ORD-2024-10176|01-27-2024|02-03-2024|CUST-5580|Arjun Bose|Small Business|East|Bihar|Patna|Technology|Machines|Basic Machines 584|Same Day|7|2673.42|0.15|15906.85|11014.46|4892.39|Paid|Returned"/>
    <s v="Keep"/>
    <n v="1"/>
    <s v="Unique"/>
    <s v=""/>
    <n v="0.15"/>
    <n v="15906.849000000002"/>
    <n v="4892.3890000000029"/>
    <n v="0.30756493633654297"/>
    <n v="1"/>
    <n v="2024"/>
    <b v="0"/>
    <b v="0"/>
    <x v="1"/>
    <s v="Returned order excluded"/>
    <s v="Warning"/>
  </r>
  <r>
    <s v="ORD-2025-10177"/>
    <s v="18-03-2025"/>
    <x v="20"/>
    <d v="2025-03-18T00:00:00"/>
    <s v="03/26/2025"/>
    <d v="2025-03-26T00:00:00"/>
    <s v="OK"/>
    <n v="8"/>
    <s v="CUST-3027"/>
    <s v="Vikram Iyer"/>
    <s v="Vikram Iyer"/>
    <s v="Corporate"/>
    <x v="2"/>
    <s v="East"/>
    <x v="1"/>
    <s v="Jharkhand"/>
    <s v="Jharkhand"/>
    <s v="Ranchi"/>
    <s v="Ranchi"/>
    <s v="Furniture"/>
    <x v="1"/>
    <s v="Bookcases"/>
    <x v="10"/>
    <s v="Pro Bookcases 612"/>
    <s v="Standard Class"/>
    <x v="3"/>
    <n v="8"/>
    <n v="3563.09"/>
    <n v="0.15"/>
    <n v="24229.01"/>
    <n v="13910.64"/>
    <n v="10318.370000000001"/>
    <s v="Paid"/>
    <x v="0"/>
    <s v="Completed"/>
    <x v="0"/>
    <s v="ORD-2025-10177|18-03-2025|03-26-2025|CUST-3027|Vikram Iyer|Corporate|East|Jharkhand|Ranchi|Furniture|Bookcases|Pro Bookcases 612|Standard Class|8|3563.09|0.15|24229.01|13910.64|10318.37|Paid|Completed"/>
    <s v="Keep"/>
    <n v="1"/>
    <s v="Unique"/>
    <s v=""/>
    <n v="0.15"/>
    <n v="24229.011999999999"/>
    <n v="10318.371999999999"/>
    <n v="0.42586845885420338"/>
    <n v="3"/>
    <n v="2025"/>
    <b v="0"/>
    <b v="0"/>
    <x v="0"/>
    <s v=""/>
    <s v="Clean"/>
  </r>
  <r>
    <s v="ORD-2024-10178"/>
    <s v="01-06-2024"/>
    <x v="2"/>
    <d v="2024-06-01T00:00:00"/>
    <s v="06/03/2024"/>
    <d v="2024-06-03T00:00:00"/>
    <s v="OK"/>
    <n v="2"/>
    <s v="CUST-4399"/>
    <s v="Sneha Kapoor"/>
    <s v="Sneha Kapoor"/>
    <s v="Home Office"/>
    <x v="3"/>
    <m/>
    <x v="4"/>
    <s v="Bihar"/>
    <s v="Bihar"/>
    <s v="Patna"/>
    <s v="Patna"/>
    <s v="Office Supplies"/>
    <x v="0"/>
    <s v="Art"/>
    <x v="2"/>
    <s v="Classic Art 573"/>
    <s v="Same Day"/>
    <x v="1"/>
    <n v="8"/>
    <n v="3879.95"/>
    <n v="0"/>
    <n v="31039.599999999999"/>
    <n v="20866.72"/>
    <n v="10172.879999999999"/>
    <s v="Paid"/>
    <x v="0"/>
    <s v="Completed"/>
    <x v="0"/>
    <s v="ORD-2024-10178|01-06-2024|06-03-2024|CUST-4399|Sneha Kapoor|Home Office||Bihar|Patna|Office Supplies|Art|Classic Art 573|Same Day|8|3879.95|0|31039.6|20866.72|10172.88|Paid|Completed"/>
    <s v="Keep"/>
    <n v="1"/>
    <s v="Unique"/>
    <s v=""/>
    <n v="0"/>
    <n v="31039.599999999999"/>
    <n v="10172.879999999997"/>
    <n v="0.32773875952009685"/>
    <n v="6"/>
    <n v="2024"/>
    <b v="0"/>
    <b v="0"/>
    <x v="0"/>
    <s v="Missing region filled as Unknown"/>
    <s v="Warning"/>
  </r>
  <r>
    <s v="ORD-2024-10179"/>
    <s v="30-09-2024"/>
    <x v="21"/>
    <d v="2024-09-30T00:00:00"/>
    <s v="2024-09-30"/>
    <d v="2024-09-30T00:00:00"/>
    <s v="OK"/>
    <n v="0"/>
    <s v="CUST-3092"/>
    <s v="Isha Nair"/>
    <s v="Isha Nair"/>
    <s v="Corporate"/>
    <x v="2"/>
    <s v="South"/>
    <x v="2"/>
    <s v="Telangana"/>
    <s v="Telangana"/>
    <s v="Hyderabad"/>
    <s v="Hyderabad"/>
    <s v="Office Supplies"/>
    <x v="0"/>
    <s v="Art"/>
    <x v="2"/>
    <s v="Eco Art 854"/>
    <s v="Standard Class"/>
    <x v="3"/>
    <n v="4"/>
    <n v="3281.74"/>
    <n v="0"/>
    <n v="13126.96"/>
    <n v="10732.44"/>
    <n v="2394.52"/>
    <s v="Paid"/>
    <x v="0"/>
    <s v="Completed"/>
    <x v="0"/>
    <s v="ORD-2024-10179|30-09-2024|09-30-2024|CUST-3092|Isha Nair|Corporate|South|Telangana|Hyderabad|Office Supplies|Art|Eco Art 854|Standard Class|4|3281.74|0|13126.96|10732.44|2394.52|Paid|Completed"/>
    <s v="Keep"/>
    <n v="1"/>
    <s v="Unique"/>
    <s v=""/>
    <n v="0"/>
    <n v="13126.96"/>
    <n v="2394.5199999999986"/>
    <n v="0.18241237879905162"/>
    <n v="9"/>
    <n v="2024"/>
    <b v="0"/>
    <b v="0"/>
    <x v="0"/>
    <s v=""/>
    <s v="Clean"/>
  </r>
  <r>
    <s v="ORD-2024-10180"/>
    <s v="2024-03-15"/>
    <x v="15"/>
    <d v="2024-03-15T00:00:00"/>
    <s v="03/19/2024"/>
    <d v="2024-03-19T00:00:00"/>
    <s v="OK"/>
    <n v="4"/>
    <s v="CUST-1778"/>
    <s v="Ananya Rao"/>
    <s v="Ananya Rao"/>
    <s v="Small Business"/>
    <x v="1"/>
    <s v="South"/>
    <x v="2"/>
    <s v="Tamil Nadu"/>
    <s v="Tamil Nadu"/>
    <s v="Chennai"/>
    <s v="Chennai"/>
    <s v="Furniture"/>
    <x v="1"/>
    <s v="Furnishings"/>
    <x v="3"/>
    <s v="Classic Furnishings 996"/>
    <s v="Standard Class"/>
    <x v="3"/>
    <n v="4"/>
    <n v="3186.3"/>
    <n v="0.25"/>
    <n v="9558.9"/>
    <n v="5516.76"/>
    <n v="4042.14"/>
    <s v="Refunded"/>
    <x v="1"/>
    <s v="Returned"/>
    <x v="2"/>
    <s v="ORD-2024-10180|03-15-2024|03-19-2024|CUST-1778|Ananya Rao|Small Business|South|Tamil Nadu|Chennai|Furniture|Furnishings|Classic Furnishings 996|Standard Class|4|3186.3|0.25|9558.9|5516.76|4042.14|Refunded|Returned"/>
    <s v="Keep"/>
    <n v="1"/>
    <s v="Unique"/>
    <s v=""/>
    <n v="0.25"/>
    <n v="9558.9000000000015"/>
    <n v="4042.1400000000012"/>
    <n v="0.42286664783604816"/>
    <n v="3"/>
    <n v="2024"/>
    <b v="0"/>
    <b v="0"/>
    <x v="1"/>
    <s v="Refunded order summarized separately; Returned order excluded"/>
    <s v="Warning"/>
  </r>
  <r>
    <s v="ORD-2024-10181"/>
    <s v="2024-08-26"/>
    <x v="1"/>
    <d v="2024-08-26T00:00:00"/>
    <s v="26-08-2024"/>
    <d v="2024-08-26T00:00:00"/>
    <s v="OK"/>
    <n v="0"/>
    <s v="CUST-3787"/>
    <s v="Mira Das"/>
    <s v="Mira Das"/>
    <s v="Home Office"/>
    <x v="3"/>
    <s v="North"/>
    <x v="0"/>
    <s v="Uttar Pradesh"/>
    <s v="Uttar Pradesh"/>
    <s v="Noida"/>
    <s v="Noida"/>
    <s v="Office Supplies"/>
    <x v="0"/>
    <s v="Binders"/>
    <x v="9"/>
    <s v="Prime Binders 735"/>
    <s v="First Class"/>
    <x v="2"/>
    <n v="7"/>
    <n v="844.59"/>
    <n v="0.1"/>
    <n v="5320.92"/>
    <n v="3041.5"/>
    <n v="2279.42"/>
    <s v="Paid"/>
    <x v="0"/>
    <s v="Completed"/>
    <x v="0"/>
    <s v="ORD-2024-10181|08-26-2024|26-08-2024|CUST-3787|Mira Das|Home Office|North|Uttar Pradesh|Noida|OFFICE SUPPLIES|Binders|Prime Binders 735|First Class|7|844.59|0.1|5320.92|3041.5|2279.42|Paid|Completed"/>
    <s v="Keep"/>
    <n v="1"/>
    <s v="Unique"/>
    <s v=""/>
    <n v="0.1"/>
    <n v="5320.9170000000004"/>
    <n v="2279.4170000000004"/>
    <n v="0.42838800154183954"/>
    <n v="8"/>
    <n v="2024"/>
    <b v="0"/>
    <b v="0"/>
    <x v="0"/>
    <s v=""/>
    <s v="Clean"/>
  </r>
  <r>
    <s v="ORD-2025-10182"/>
    <s v="09/09/2025"/>
    <x v="8"/>
    <d v="2025-09-09T00:00:00"/>
    <s v="10-09-2025"/>
    <d v="2025-09-10T00:00:00"/>
    <s v="OK"/>
    <n v="1"/>
    <s v="CUST-5119"/>
    <s v="Priya Menon"/>
    <s v="Priya Menon"/>
    <s v="Home Office"/>
    <x v="3"/>
    <s v="South"/>
    <x v="2"/>
    <s v="Tamil Nadu"/>
    <s v="Tamil Nadu"/>
    <s v="Chennai"/>
    <s v="Chennai"/>
    <s v="Office Supplies"/>
    <x v="0"/>
    <s v="Art"/>
    <x v="2"/>
    <s v="Pro Art 587"/>
    <s v="Second Class"/>
    <x v="0"/>
    <n v="4"/>
    <n v="2551.4499999999998"/>
    <n v="0"/>
    <n v="10205.799999999999"/>
    <n v="5986.31"/>
    <n v="4219.49"/>
    <s v="Paid"/>
    <x v="0"/>
    <s v="Completed"/>
    <x v="0"/>
    <s v="ORD-2025-10182|09-09-2025|10-09-2025|CUST-5119|Priya Menon|Home Office|South|Tamil Nadu|Chennai|Office Supplies|Art|Pro Art 587|Second Class|4|2551.45|0|10205.8|5986.31|4219.49|Paid|Completed"/>
    <s v="Keep"/>
    <n v="1"/>
    <s v="Unique"/>
    <s v=""/>
    <n v="0"/>
    <n v="10205.799999999999"/>
    <n v="4219.4899999999989"/>
    <n v="0.41344039663720622"/>
    <n v="9"/>
    <n v="2025"/>
    <b v="0"/>
    <b v="0"/>
    <x v="0"/>
    <s v=""/>
    <s v="Clean"/>
  </r>
  <r>
    <s v="ORD-2024-10183"/>
    <s v="16 Oct 2024"/>
    <x v="16"/>
    <d v="2024-10-16T00:00:00"/>
    <s v="16 Oct 2024"/>
    <d v="2024-10-16T00:00:00"/>
    <s v="OK"/>
    <n v="0"/>
    <s v="CUST-4121"/>
    <s v="Ananya Rao"/>
    <s v="Ananya Rao"/>
    <s v="Home Office"/>
    <x v="3"/>
    <s v="East"/>
    <x v="1"/>
    <s v="Bihar"/>
    <s v="Bihar"/>
    <s v="Patna"/>
    <s v="Patna"/>
    <s v="Technology"/>
    <x v="2"/>
    <s v="Machines"/>
    <x v="12"/>
    <s v="Basic Machines 575"/>
    <s v="Standard Class"/>
    <x v="3"/>
    <n v="7"/>
    <n v="775.77"/>
    <n v="0"/>
    <n v="5430.39"/>
    <n v="3707.66"/>
    <n v="1722.73"/>
    <s v="Paid"/>
    <x v="0"/>
    <s v="Completed"/>
    <x v="0"/>
    <s v="ORD-2024-10183|10-16-2024|10-16-2024|CUST-4121|Ananya Rao|Home Office|East|Bihar|Patna|Technology|Machines|Basic Machines 575|Standard Class|7|775.77|0|5430.39|3707.66|1722.73|Paid|Completed"/>
    <s v="Keep"/>
    <n v="1"/>
    <s v="Unique"/>
    <s v=""/>
    <n v="0"/>
    <n v="5430.3899999999994"/>
    <n v="1722.7299999999996"/>
    <n v="0.31723872502711586"/>
    <n v="10"/>
    <n v="2024"/>
    <b v="0"/>
    <b v="0"/>
    <x v="0"/>
    <s v=""/>
    <s v="Clean"/>
  </r>
  <r>
    <s v="ORD-2025-10184"/>
    <s v="2025-06-24"/>
    <x v="18"/>
    <d v="2025-06-24T00:00:00"/>
    <s v="27-06-2025"/>
    <d v="2025-06-27T00:00:00"/>
    <s v="OK"/>
    <n v="3"/>
    <s v="CUST-3366"/>
    <s v="Vikram Iyer"/>
    <s v="Vikram Iyer"/>
    <s v="Home Office"/>
    <x v="3"/>
    <s v="South"/>
    <x v="2"/>
    <s v="Telangana"/>
    <s v="Telangana"/>
    <s v="Hyderabad"/>
    <s v="Hyderabad"/>
    <s v="Technology"/>
    <x v="2"/>
    <s v="Copiers"/>
    <x v="6"/>
    <s v="Elite Copiers 788"/>
    <s v="Standard Class"/>
    <x v="3"/>
    <n v="7"/>
    <n v="2304.86"/>
    <n v="0.2"/>
    <n v="12907.22"/>
    <n v="8327.89"/>
    <n v="4579.33"/>
    <s v="Paid"/>
    <x v="0"/>
    <s v="Returned"/>
    <x v="2"/>
    <s v="ORD-2025-10184|06-24-2025|27-06-2025|CUST-3366|Vikram Iyer|Home Office|South|Telangana|Hyderabad|Technology|Copiers|Elite Copiers 788|Standard Class|7|2304.86|0.2|12907.22|8327.89|4579.33|Paid|Returned"/>
    <s v="Keep"/>
    <n v="1"/>
    <s v="Unique"/>
    <s v=""/>
    <n v="0.2"/>
    <n v="12907.216"/>
    <n v="4579.3260000000009"/>
    <n v="0.3547880503433119"/>
    <n v="6"/>
    <n v="2025"/>
    <b v="0"/>
    <b v="0"/>
    <x v="1"/>
    <s v="Returned order excluded"/>
    <s v="Warning"/>
  </r>
  <r>
    <s v="ORD-2024-10185"/>
    <s v="2024-04-02"/>
    <x v="19"/>
    <d v="2024-04-02T00:00:00"/>
    <s v="2024-04-06"/>
    <d v="2024-04-06T00:00:00"/>
    <s v="OK"/>
    <n v="4"/>
    <s v="CUST-1358"/>
    <s v="Vikram Iyer"/>
    <s v="Vikram Iyer"/>
    <s v="Corporate"/>
    <x v="2"/>
    <s v="West"/>
    <x v="3"/>
    <s v="Madhya Pradesh"/>
    <s v="Madhya Pradesh"/>
    <s v="Indore"/>
    <s v="Indore"/>
    <s v="Furniture"/>
    <x v="1"/>
    <s v="Bookcases"/>
    <x v="10"/>
    <s v="Max Bookcases 472"/>
    <s v="Standard Class"/>
    <x v="3"/>
    <n v="2"/>
    <n v="888.98"/>
    <n v="0"/>
    <n v="1777.96"/>
    <n v="1021.16"/>
    <n v="756.8"/>
    <s v="Refunded"/>
    <x v="1"/>
    <s v="Returned"/>
    <x v="2"/>
    <s v="ORD-2024-10185|04-02-2024|04-06-2024|CUST-1358|Vikram Iyer|Corporate|West|Madhya Pradesh|Indore|Furniture|Bookcases|Max Bookcases 472|Standard Class|2|888.98|0|1777.96|1021.16|756.8|Refunded|Returned"/>
    <s v="Keep"/>
    <n v="1"/>
    <s v="Unique"/>
    <s v=""/>
    <n v="0"/>
    <n v="1777.96"/>
    <n v="756.80000000000007"/>
    <n v="0.42565637022205227"/>
    <n v="4"/>
    <n v="2024"/>
    <b v="0"/>
    <b v="0"/>
    <x v="1"/>
    <s v="Refunded order summarized separately; Returned order excluded"/>
    <s v="Warning"/>
  </r>
  <r>
    <s v="ORD-2024-10186"/>
    <s v="11/05/2024"/>
    <x v="3"/>
    <d v="2024-11-05T00:00:00"/>
    <s v="2024-11-13"/>
    <d v="2024-11-13T00:00:00"/>
    <s v="OK"/>
    <n v="8"/>
    <s v="CUST-4968"/>
    <s v="Arjun Bose"/>
    <s v="Arjun Bose"/>
    <s v="Consumer"/>
    <x v="0"/>
    <m/>
    <x v="4"/>
    <s v="Punjab"/>
    <s v="Punjab"/>
    <s v="Ludhiana"/>
    <s v="Ludhiana"/>
    <s v="Office Supplies"/>
    <x v="0"/>
    <s v="Labels"/>
    <x v="7"/>
    <s v="Smart Labels 475"/>
    <s v="Second Class"/>
    <x v="0"/>
    <n v="2"/>
    <n v="1003.17"/>
    <n v="0.2"/>
    <n v="1605.07"/>
    <n v="1337.28"/>
    <n v="267.79000000000002"/>
    <s v="Paid"/>
    <x v="0"/>
    <s v="Completed"/>
    <x v="0"/>
    <s v="ORD-2024-10186|11-05-2024|11-13-2024|CUST-4968|Arjun Bose|Consumer||Punjab|Ludhiana|Office Supplies|Labels|Smart Labels 475|Second Class|2|1003.17|0.2|1605.07|1337.28|267.79|Paid|Completed"/>
    <s v="Keep"/>
    <n v="1"/>
    <s v="Unique"/>
    <s v=""/>
    <n v="0.2"/>
    <n v="1605.0720000000001"/>
    <n v="267.79200000000014"/>
    <n v="0.16684111366966722"/>
    <n v="11"/>
    <n v="2024"/>
    <b v="0"/>
    <b v="0"/>
    <x v="0"/>
    <s v="Missing region filled as Unknown"/>
    <s v="Warning"/>
  </r>
  <r>
    <s v="ORD-2024-10187"/>
    <s v="19-07-2024"/>
    <x v="0"/>
    <d v="2024-07-19T00:00:00"/>
    <s v="20 Jul 2024"/>
    <d v="2024-07-20T00:00:00"/>
    <s v="OK"/>
    <n v="1"/>
    <s v="CUST-2778"/>
    <s v="Vikram Iyer"/>
    <s v="Vikram Iyer"/>
    <s v="Consumer"/>
    <x v="0"/>
    <s v="South"/>
    <x v="2"/>
    <s v="Tamil Nadu"/>
    <s v="Tamil Nadu"/>
    <s v="Chennai"/>
    <s v="Chennai"/>
    <s v="Furniture"/>
    <x v="1"/>
    <s v="Tables"/>
    <x v="1"/>
    <s v="Basic Tables 417"/>
    <s v="First Class"/>
    <x v="2"/>
    <n v="7"/>
    <n v="3608.43"/>
    <n v="0.05"/>
    <n v="23996.06"/>
    <n v="20167.28"/>
    <n v="3828.78"/>
    <s v="Paid"/>
    <x v="0"/>
    <s v="Completed"/>
    <x v="0"/>
    <s v="ORD-2024-10187|19-07-2024|07-20-2024|CUST-2778|Vikram Iyer|Consumer|South|Tamil Nadu|Chennai|Furniture|Tables|Basic Tables 417|First Class|7|3608.43|0.05|23996.06|20167.28|3828.78|Paid|Completed"/>
    <s v="Keep"/>
    <n v="1"/>
    <s v="Unique"/>
    <s v=""/>
    <n v="0.05"/>
    <n v="23996.059499999996"/>
    <n v="3828.7794999999969"/>
    <n v="0.15955867670689838"/>
    <n v="7"/>
    <n v="2024"/>
    <b v="0"/>
    <b v="0"/>
    <x v="0"/>
    <s v=""/>
    <s v="Clean"/>
  </r>
  <r>
    <s v="ORD-2025-10188"/>
    <s v="2025-05-01"/>
    <x v="9"/>
    <d v="2025-05-01T00:00:00"/>
    <s v="02 May 2025"/>
    <d v="2025-05-02T00:00:00"/>
    <s v="OK"/>
    <n v="1"/>
    <s v="CUST-3109"/>
    <s v="Mira Das"/>
    <s v="Mira Das"/>
    <s v="Consumer"/>
    <x v="0"/>
    <s v="West"/>
    <x v="3"/>
    <s v="Madhya Pradesh"/>
    <s v="Madhya Pradesh"/>
    <s v="Indore"/>
    <s v="Indore"/>
    <s v="Furniture"/>
    <x v="1"/>
    <s v="Chairs"/>
    <x v="4"/>
    <s v="Pro Chairs 844"/>
    <s v="Same Day"/>
    <x v="1"/>
    <n v="3"/>
    <n v="2905.74"/>
    <n v="0"/>
    <n v="8717.2199999999993"/>
    <n v="6215.96"/>
    <n v="2501.2600000000002"/>
    <s v="Paid"/>
    <x v="0"/>
    <s v="Returned"/>
    <x v="2"/>
    <s v="ORD-2025-10188|05-01-2025|05-02-2025|CUST-3109|Mira Das|Consumer|West|Madhya Pradesh|Indore|Furniture|Chairs|Pro Chairs 844|Same Day|3|2905.74|0|8717.22|6215.96|2501.26|Paid|Returned"/>
    <s v="Keep"/>
    <n v="1"/>
    <s v="Unique"/>
    <s v=""/>
    <n v="0"/>
    <n v="8717.2199999999993"/>
    <n v="2501.2599999999993"/>
    <n v="0.28693321953558582"/>
    <n v="5"/>
    <n v="2025"/>
    <b v="0"/>
    <b v="0"/>
    <x v="1"/>
    <s v="Returned order excluded"/>
    <s v="Warning"/>
  </r>
  <r>
    <s v="ORD-2025-10189"/>
    <s v="2025-05-21"/>
    <x v="9"/>
    <d v="2025-05-21T00:00:00"/>
    <s v="28 May 2025"/>
    <d v="2025-05-28T00:00:00"/>
    <s v="OK"/>
    <n v="7"/>
    <s v="CUST-3422"/>
    <s v="Priya Menon"/>
    <s v="Priya Menon"/>
    <s v="Corporate"/>
    <x v="2"/>
    <s v="East"/>
    <x v="1"/>
    <s v="West Bengal"/>
    <s v="West Bengal"/>
    <s v="Kolkata"/>
    <s v="Kolkata"/>
    <s v="Furniture"/>
    <x v="1"/>
    <s v="Bookcases"/>
    <x v="10"/>
    <s v="Elite Bookcases 883"/>
    <s v="Same Day"/>
    <x v="1"/>
    <n v="2"/>
    <n v="3559.57"/>
    <n v="0.1"/>
    <n v="6553.95"/>
    <n v="4923.09"/>
    <n v="1484.14"/>
    <s v="Paid"/>
    <x v="0"/>
    <s v="Completed"/>
    <x v="0"/>
    <s v="ORD-2025-10189|05-21-2025|05-28-2025|CUST-3422|Priya Menon|Corporate|East|West Bengal|Kolkata|Furniture|Bookcases|Elite Bookcases 883|Same Day|2|3559.57|0.1|6553.95|4923.09|1484.14|Paid|Completed"/>
    <s v="Keep"/>
    <n v="1"/>
    <s v="Unique"/>
    <s v=""/>
    <n v="0.1"/>
    <n v="6407.2260000000006"/>
    <n v="1484.1360000000004"/>
    <n v="0.23163471992403581"/>
    <n v="5"/>
    <n v="2025"/>
    <b v="1"/>
    <b v="0"/>
    <x v="1"/>
    <s v="Sales mismatch"/>
    <s v="Invalid"/>
  </r>
  <r>
    <s v="ORD-2025-10190"/>
    <s v="2025-05-06"/>
    <x v="9"/>
    <d v="2025-05-06T00:00:00"/>
    <s v="07 May 2025"/>
    <d v="2025-05-07T00:00:00"/>
    <s v="OK"/>
    <n v="1"/>
    <s v="CUST-3375"/>
    <s v="Arjun Bose"/>
    <s v="Arjun Bose"/>
    <s v="Consumer"/>
    <x v="0"/>
    <s v="West"/>
    <x v="3"/>
    <s v="Rajasthan"/>
    <s v="Rajasthan"/>
    <s v="Udaipur"/>
    <s v="Udaipur"/>
    <s v="Furniture"/>
    <x v="1"/>
    <s v="Bookcases"/>
    <x v="10"/>
    <s v="Basic Bookcases 754"/>
    <s v="First Class"/>
    <x v="2"/>
    <n v="9"/>
    <n v="3318.24"/>
    <m/>
    <n v="25384.54"/>
    <n v="16872.39"/>
    <n v="8512.15"/>
    <s v="Paid"/>
    <x v="0"/>
    <s v="Completed"/>
    <x v="0"/>
    <s v="ORD-2025-10190|05-06-2025|05-07-2025|CUST-3375|Arjun Bose|Consumer|West|Rajasthan|Udaipur|Furniture|Bookcases|Basic Bookcases 754|First Class|9|3318.24||25384.54|16872.39|8512.15|Paid|completed"/>
    <s v="Keep"/>
    <n v="1"/>
    <s v="Unique"/>
    <s v=""/>
    <n v="0"/>
    <n v="29864.159999999996"/>
    <n v="12991.769999999997"/>
    <n v="0.43502881045373448"/>
    <n v="5"/>
    <n v="2025"/>
    <b v="1"/>
    <b v="1"/>
    <x v="1"/>
    <s v="Missing discount treated as 0; Sales mismatch; Profit mismatch"/>
    <s v="Invalid"/>
  </r>
  <r>
    <s v="ORD-2025-10191"/>
    <s v="20-04-2025"/>
    <x v="6"/>
    <d v="2025-04-20T00:00:00"/>
    <s v="04/21/2025"/>
    <d v="2025-04-21T00:00:00"/>
    <s v="OK"/>
    <n v="1"/>
    <s v="CUST-5138"/>
    <s v="Aditi Sen"/>
    <s v="Aditi Sen"/>
    <s v="Consumer"/>
    <x v="0"/>
    <s v="South"/>
    <x v="2"/>
    <s v="Tamil Nadu"/>
    <s v="Tamil Nadu"/>
    <s v="Chennai"/>
    <s v="Chennai"/>
    <s v="Office Supplies"/>
    <x v="0"/>
    <s v="Storage"/>
    <x v="8"/>
    <s v="Eco Storage 158"/>
    <s v="First Class"/>
    <x v="2"/>
    <n v="3"/>
    <n v="540.09"/>
    <n v="0.1"/>
    <n v="1458.24"/>
    <n v="943.32"/>
    <n v="514.91999999999996"/>
    <s v="Paid"/>
    <x v="0"/>
    <s v="  Completed "/>
    <x v="0"/>
    <s v="ORD-2025-10191|20-04-2025|04-21-2025|CUST-5138|Aditi Sen|Consumer|South|Tamil Nadu|Chennai|Office Supplies|Storage|Eco Storage 158|First Class|3|540.09|0.1|1458.24|943.32|514.92|Paid|  Completed "/>
    <s v="Keep"/>
    <n v="1"/>
    <s v="Unique"/>
    <s v=""/>
    <n v="0.1"/>
    <n v="1458.2429999999999"/>
    <n v="514.92299999999989"/>
    <n v="0.35311192990468659"/>
    <n v="4"/>
    <n v="2025"/>
    <b v="0"/>
    <b v="0"/>
    <x v="0"/>
    <s v=""/>
    <s v="Clean"/>
  </r>
  <r>
    <s v="ORD-2024-10192"/>
    <s v="19-10-2024"/>
    <x v="16"/>
    <d v="2024-10-19T00:00:00"/>
    <s v="2024-10-24"/>
    <d v="2024-10-24T00:00:00"/>
    <s v="OK"/>
    <n v="5"/>
    <s v="CUST-7410"/>
    <s v="Sneha Kapoor"/>
    <s v="Sneha Kapoor"/>
    <s v="Small Business"/>
    <x v="1"/>
    <s v="South"/>
    <x v="2"/>
    <s v="Tamil Nadu"/>
    <s v="Tamil Nadu"/>
    <s v="Chennai"/>
    <s v="Chennai"/>
    <s v="Furniture"/>
    <x v="1"/>
    <s v="Bookcases"/>
    <x v="10"/>
    <s v="Prime Bookcases 602"/>
    <s v="Second Class"/>
    <x v="0"/>
    <n v="6"/>
    <n v="4308.3999999999996"/>
    <n v="0.65"/>
    <n v="25850.400000000001"/>
    <n v="19397.68"/>
    <n v="6452.72"/>
    <s v="Paid"/>
    <x v="0"/>
    <s v="Completed"/>
    <x v="0"/>
    <s v="ORD-2024-10192|19-10-2024|10-24-2024|CUST-7410|Sneha Kapoor|Small Business|South|Tamil Nadu|Chennai|Furniture|Bookcases|Prime Bookcases 602|Second Class|6|4308.4|0.65|25850.4|19397.68|6452.72|Paid|Completed"/>
    <s v="Keep"/>
    <n v="1"/>
    <s v="Unique"/>
    <s v=""/>
    <n v="0.65"/>
    <n v="9047.64"/>
    <n v="-10350.040000000001"/>
    <n v="-1.1439491403283069"/>
    <n v="10"/>
    <n v="2024"/>
    <b v="1"/>
    <b v="1"/>
    <x v="1"/>
    <s v="Discount above 50%; Sales mismatch; Profit mismatch"/>
    <s v="Invalid"/>
  </r>
  <r>
    <s v="ORD-2024-10193"/>
    <s v="2024-12-09"/>
    <x v="10"/>
    <d v="2024-12-09T00:00:00"/>
    <s v="12/16/2024"/>
    <d v="2024-12-16T00:00:00"/>
    <s v="OK"/>
    <n v="7"/>
    <s v="CUST-7115"/>
    <s v="Isha Nair"/>
    <s v="Isha Nair"/>
    <s v="Home Office"/>
    <x v="3"/>
    <s v="West"/>
    <x v="3"/>
    <s v="Gujarat"/>
    <s v="Gujarat"/>
    <s v="Ahmedabad"/>
    <s v="Ahmedabad"/>
    <s v="Furniture"/>
    <x v="1"/>
    <s v="Chairs"/>
    <x v="4"/>
    <s v="Eco Chairs 438"/>
    <s v="First Class"/>
    <x v="2"/>
    <n v="4"/>
    <n v="2191.0300000000002"/>
    <n v="0"/>
    <n v="8764.1200000000008"/>
    <n v="7220.05"/>
    <n v="1544.07"/>
    <s v="Paid"/>
    <x v="0"/>
    <s v="Completed"/>
    <x v="0"/>
    <s v="ORD-2024-10193|12-09-2024|12-16-2024|CUST-7115|Isha Nair|Home Office|West|Gujarat|Ahmedabad|Furniture|Chairs|Eco Chairs 438|First Class|4|2191.03|0|8764.12|7220.05|1544.07|Paid|Completed"/>
    <s v="Keep"/>
    <n v="1"/>
    <s v="Unique"/>
    <s v=""/>
    <n v="0"/>
    <n v="8764.1200000000008"/>
    <n v="1544.0700000000006"/>
    <n v="0.17618083732308554"/>
    <n v="12"/>
    <n v="2024"/>
    <b v="0"/>
    <b v="0"/>
    <x v="0"/>
    <s v=""/>
    <s v="Clean"/>
  </r>
  <r>
    <s v="ORD-2024-10194"/>
    <s v="2024-06-23"/>
    <x v="2"/>
    <d v="2024-06-23T00:00:00"/>
    <s v="28-06-2024"/>
    <d v="2024-06-28T00:00:00"/>
    <s v="OK"/>
    <n v="5"/>
    <s v="CUST-9853"/>
    <s v="Priya Menon"/>
    <s v="Priya Menon"/>
    <s v="Small Business"/>
    <x v="1"/>
    <s v="North"/>
    <x v="0"/>
    <s v="Punjab"/>
    <s v="Punjab"/>
    <s v="Ludhiana"/>
    <s v="Ludhiana"/>
    <s v="Technology"/>
    <x v="2"/>
    <s v="Copiers"/>
    <x v="6"/>
    <s v="Prime Copiers 142"/>
    <s v="Same Day"/>
    <x v="1"/>
    <n v="6"/>
    <n v="1956.63"/>
    <n v="0.2"/>
    <n v="9391.82"/>
    <n v="6013.22"/>
    <n v="3378.6"/>
    <s v="Refunded"/>
    <x v="1"/>
    <s v="Returned"/>
    <x v="2"/>
    <s v="ORD-2024-10194|06-23-2024|28-06-2024|CUST-9853|Priya Menon|Small Business|North|Punjab|Ludhiana|Technology|Copiers|Prime Copiers 142|Same Day|6|1956.63|0.2|9391.82|6013.22|3378.6|Refunded|Returned"/>
    <s v="Keep"/>
    <n v="1"/>
    <s v="Unique"/>
    <s v=""/>
    <n v="0.2"/>
    <n v="9391.8240000000005"/>
    <n v="3378.6040000000003"/>
    <n v="0.35973885370935399"/>
    <n v="6"/>
    <n v="2024"/>
    <b v="0"/>
    <b v="0"/>
    <x v="1"/>
    <s v="Refunded order summarized separately; Returned order excluded"/>
    <s v="Warning"/>
  </r>
  <r>
    <s v="ORD-2025-10195"/>
    <s v="2025-01-28"/>
    <x v="14"/>
    <d v="2025-01-28T00:00:00"/>
    <s v="01/31/2025"/>
    <d v="2025-01-31T00:00:00"/>
    <s v="OK"/>
    <n v="3"/>
    <s v="CUST-3637"/>
    <s v="Priya Menon"/>
    <s v="Priya Menon"/>
    <s v="Consumer"/>
    <x v="0"/>
    <s v="West"/>
    <x v="3"/>
    <s v="Maharashtra"/>
    <s v="Maharashtra"/>
    <s v="Mumbai"/>
    <s v="Mumbai"/>
    <s v="Furniture"/>
    <x v="1"/>
    <s v="Furnishings"/>
    <x v="3"/>
    <s v="Prime Furnishings 433"/>
    <s v="First Class"/>
    <x v="2"/>
    <n v="9"/>
    <n v="858.39"/>
    <n v="0.05"/>
    <n v="7339.23"/>
    <n v="5434.12"/>
    <n v="1905.11"/>
    <s v="Pending"/>
    <x v="2"/>
    <s v="Returned"/>
    <x v="2"/>
    <s v="ORD-2025-10195|01-28-2025|01-31-2025|CUST-3637|Priya Menon|Consumer|WEST|Maharashtra|Mumbai|Furniture|Furnishings|Prime Furnishings 433|First Class|9|858.39|0.05|7339.23|5434.12|1905.11|Pending|Returned"/>
    <s v="Keep"/>
    <n v="1"/>
    <s v="Unique"/>
    <s v=""/>
    <n v="0.05"/>
    <n v="7339.2344999999996"/>
    <n v="1905.1144999999997"/>
    <n v="0.25957945614082772"/>
    <n v="1"/>
    <n v="2025"/>
    <b v="0"/>
    <b v="0"/>
    <x v="1"/>
    <s v="Returned order excluded"/>
    <s v="Warning"/>
  </r>
  <r>
    <s v="ORD-2025-10196"/>
    <s v="22 Jul 2025"/>
    <x v="13"/>
    <d v="2025-07-22T00:00:00"/>
    <s v="07/24/2025"/>
    <d v="2025-07-24T00:00:00"/>
    <s v="OK"/>
    <n v="2"/>
    <s v="CUST-4328"/>
    <s v="Neha Gupta"/>
    <s v="Neha Gupta"/>
    <s v="Home Office"/>
    <x v="3"/>
    <s v="South"/>
    <x v="2"/>
    <s v="Andhra Pradesh"/>
    <s v="Andhra Pradesh"/>
    <s v="Vijayawada"/>
    <s v="Vijayawada"/>
    <s v="Furniture"/>
    <x v="1"/>
    <s v="Furnishings"/>
    <x v="3"/>
    <s v="Smart Furnishings 685"/>
    <s v="Same Day"/>
    <x v="1"/>
    <n v="5"/>
    <n v="1922.83"/>
    <n v="0"/>
    <n v="9614.15"/>
    <n v="7576.84"/>
    <n v="2037.31"/>
    <s v="Paid"/>
    <x v="0"/>
    <s v="Completed"/>
    <x v="0"/>
    <s v="ORD-2025-10196|07-22-2025|07-24-2025|CUST-4328|Neha Gupta|Home Office|South|Andhra Pradesh|Vijayawada|Furniture|Furnishings|Smart Furnishings 685|Same Day|5|1922.83|0|9614.15|7576.84|2037.31|Paid|Completed"/>
    <s v="Keep"/>
    <n v="1"/>
    <s v="Unique"/>
    <s v=""/>
    <n v="0"/>
    <n v="9614.15"/>
    <n v="2037.3099999999995"/>
    <n v="0.21190744891644084"/>
    <n v="7"/>
    <n v="2025"/>
    <b v="0"/>
    <b v="0"/>
    <x v="0"/>
    <s v=""/>
    <s v="Clean"/>
  </r>
  <r>
    <s v="ORD-2024-10197"/>
    <s v="22-01-2024"/>
    <x v="12"/>
    <d v="2024-01-22T00:00:00"/>
    <s v="25 Jan 2024"/>
    <d v="2024-01-25T00:00:00"/>
    <s v="OK"/>
    <n v="3"/>
    <s v="CUST-8028"/>
    <s v="Kabir Singh"/>
    <s v="Kabir Singh"/>
    <s v="Home Office"/>
    <x v="3"/>
    <s v="North"/>
    <x v="0"/>
    <s v="Uttar Pradesh"/>
    <s v="Uttar Pradesh"/>
    <s v="Noida"/>
    <s v="Noida"/>
    <s v="Office Supplies"/>
    <x v="0"/>
    <s v="Storage"/>
    <x v="8"/>
    <s v="Elite Storage 915"/>
    <s v="First Class"/>
    <x v="2"/>
    <n v="3"/>
    <n v="1212.03"/>
    <n v="0.1"/>
    <n v="3272.48"/>
    <n v="2517.44"/>
    <n v="755.04"/>
    <s v="Paid"/>
    <x v="0"/>
    <s v="Completed"/>
    <x v="0"/>
    <s v="ORD-2024-10197|22-01-2024|01-25-2024|CUST-8028|Kabir Singh|Home Office|North|Uttar Pradesh|Noida|Office Supplies|Storage|Elite Storage 915|First Class|3|1212.03|0.1|3272.48|2517.44|755.04|Paid|Completed"/>
    <s v="Keep"/>
    <n v="1"/>
    <s v="Unique"/>
    <s v=""/>
    <n v="0.1"/>
    <n v="3272.4810000000002"/>
    <n v="755.04100000000017"/>
    <n v="0.23072433422837293"/>
    <n v="1"/>
    <n v="2024"/>
    <b v="0"/>
    <b v="0"/>
    <x v="0"/>
    <s v=""/>
    <s v="Clean"/>
  </r>
  <r>
    <s v="ORD-2025-10198"/>
    <s v="31 Mar 2025"/>
    <x v="20"/>
    <d v="2025-03-31T00:00:00"/>
    <s v="07-04-2025"/>
    <d v="2025-04-07T00:00:00"/>
    <s v="OK"/>
    <n v="7"/>
    <s v="CUST-6106"/>
    <s v="Rahul Verma"/>
    <s v="Rahul Verma"/>
    <s v="Small  Business"/>
    <x v="1"/>
    <s v="East"/>
    <x v="1"/>
    <s v="Bihar"/>
    <s v="Bihar"/>
    <s v="Patna"/>
    <s v="Patna"/>
    <s v="Office Supplies"/>
    <x v="0"/>
    <s v="Storage"/>
    <x v="8"/>
    <s v="Basic Storage 961"/>
    <s v="Second Class"/>
    <x v="0"/>
    <n v="5"/>
    <n v="4096.4399999999996"/>
    <n v="0.15"/>
    <n v="17409.87"/>
    <n v="14076.25"/>
    <n v="3333.62"/>
    <s v="Paid"/>
    <x v="0"/>
    <s v="Completed"/>
    <x v="0"/>
    <s v="ORD-2025-10198|03-31-2025|07-04-2025|CUST-6106|Rahul Verma|Small  Business|East|Bihar|Patna|Office Supplies|Storage|Basic Storage 961|Second Class|5|4096.44|0.15|17409.87|14076.25|3333.62|Paid|Completed"/>
    <s v="Keep"/>
    <n v="1"/>
    <s v="Unique"/>
    <s v=""/>
    <n v="0.15"/>
    <n v="17409.869999999995"/>
    <n v="3333.6199999999953"/>
    <n v="0.19147874165631312"/>
    <n v="3"/>
    <n v="2025"/>
    <b v="0"/>
    <b v="0"/>
    <x v="0"/>
    <s v=""/>
    <s v="Clean"/>
  </r>
  <r>
    <s v="ORD-2024-10199"/>
    <s v="05-06-2024"/>
    <x v="2"/>
    <d v="2024-06-05T00:00:00"/>
    <s v="06/06/2024"/>
    <d v="2024-06-06T00:00:00"/>
    <s v="OK"/>
    <n v="1"/>
    <s v="CUST-7820"/>
    <s v="Sneha Kapoor"/>
    <s v="Sneha Kapoor"/>
    <s v="Consumer"/>
    <x v="0"/>
    <s v="West"/>
    <x v="3"/>
    <s v="Gujarat"/>
    <s v="Gujarat"/>
    <s v="Ahmedabad"/>
    <s v="Ahmedabad"/>
    <s v="Office Supplies"/>
    <x v="0"/>
    <s v="Art"/>
    <x v="2"/>
    <s v="Classic Art 968"/>
    <s v="Second Class"/>
    <x v="0"/>
    <n v="1"/>
    <n v="1184.58"/>
    <n v="0.05"/>
    <n v="1125.3499999999999"/>
    <n v="676.97"/>
    <n v="448.38"/>
    <s v="Failed"/>
    <x v="3"/>
    <s v="Cancelled"/>
    <x v="1"/>
    <s v="ORD-2024-10199|05-06-2024|06-06-2024|CUST-7820|Sneha Kapoor|Consumer|West|Gujarat|Ahmedabad|Office Supplies|Art|Classic Art 968|Second Class|1|1184.58|0.05|1125.35|676.97|448.38|Failed|Cancelled"/>
    <s v="Keep"/>
    <n v="1"/>
    <s v="Unique"/>
    <s v=""/>
    <n v="0.05"/>
    <n v="1125.3509999999999"/>
    <n v="448.38099999999986"/>
    <n v="0.39843657667696558"/>
    <n v="6"/>
    <n v="2024"/>
    <b v="0"/>
    <b v="0"/>
    <x v="1"/>
    <s v="Failed payment excluded; Cancelled order excluded"/>
    <s v="Warning"/>
  </r>
  <r>
    <s v="ORD-2024-10200"/>
    <s v="03/12/2024"/>
    <x v="15"/>
    <d v="2024-03-12T00:00:00"/>
    <s v="12-03-2024"/>
    <d v="2024-03-12T00:00:00"/>
    <s v="OK"/>
    <n v="0"/>
    <s v="CUST-4536"/>
    <s v="Rahul Verma"/>
    <s v="Rahul Verma"/>
    <s v="Home Office"/>
    <x v="3"/>
    <s v="East"/>
    <x v="1"/>
    <s v="Bihar"/>
    <s v="Bihar"/>
    <s v="Patna"/>
    <s v="Patna"/>
    <s v="Technology"/>
    <x v="2"/>
    <s v="Machines"/>
    <x v="12"/>
    <s v="Prime Machines 806"/>
    <m/>
    <x v="4"/>
    <n v="6"/>
    <n v="2185.58"/>
    <n v="0.25"/>
    <n v="9835.11"/>
    <n v="5437.64"/>
    <n v="4397.47"/>
    <s v="Paid"/>
    <x v="0"/>
    <s v="Completed"/>
    <x v="0"/>
    <s v="ORD-2024-10200|03-12-2024|12-03-2024|CUST-4536|Rahul Verma|Home Office|East|Bihar|Patna|Technology|Machines|Prime Machines 806||6|2185.58|0.25|9835.11|5437.64|4397.47|Paid|Completed"/>
    <s v="Keep"/>
    <n v="1"/>
    <s v="Unique"/>
    <s v=""/>
    <n v="0.25"/>
    <n v="9835.11"/>
    <n v="4397.47"/>
    <n v="0.44711955433136996"/>
    <n v="3"/>
    <n v="2024"/>
    <b v="0"/>
    <b v="0"/>
    <x v="0"/>
    <s v="Missing ship mode filled as Unknown"/>
    <s v="Warning"/>
  </r>
  <r>
    <s v="ORD-2025-10201"/>
    <s v="27-06-2025"/>
    <x v="18"/>
    <d v="2025-06-27T00:00:00"/>
    <s v="05 Jul 2025"/>
    <d v="2025-07-05T00:00:00"/>
    <s v="OK"/>
    <n v="8"/>
    <s v="CUST-7047"/>
    <s v="Priya Menon"/>
    <s v="Priya Menon"/>
    <s v="Small Business"/>
    <x v="1"/>
    <s v="North"/>
    <x v="0"/>
    <s v="Rajasthan"/>
    <s v="Rajasthan"/>
    <s v="Jaipur"/>
    <s v="Jaipur"/>
    <s v="Technology"/>
    <x v="2"/>
    <s v="Copiers"/>
    <x v="6"/>
    <s v="Classic Copiers 479"/>
    <s v="First Class"/>
    <x v="2"/>
    <n v="5"/>
    <n v="2868.44"/>
    <n v="0.1"/>
    <n v="12907.98"/>
    <n v="9197.08"/>
    <n v="3710.9"/>
    <s v="Pending"/>
    <x v="2"/>
    <s v="Cancelled"/>
    <x v="1"/>
    <s v="ORD-2025-10201|27-06-2025|07-05-2025|CUST-7047|Priya Menon|Small Business|North|Rajasthan|Jaipur|Technology|Copiers|Classic Copiers 479|First Class|5|2868.44|0.1|12907.98|9197.08|3710.9|Pending|Cancelled"/>
    <s v="Keep"/>
    <n v="1"/>
    <s v="Unique"/>
    <s v=""/>
    <n v="0.1"/>
    <n v="12907.980000000001"/>
    <n v="3710.9000000000015"/>
    <n v="0.28748882474252369"/>
    <n v="6"/>
    <n v="2025"/>
    <b v="0"/>
    <b v="0"/>
    <x v="1"/>
    <s v="Cancelled order excluded"/>
    <s v="Warning"/>
  </r>
  <r>
    <s v="ORD-2025-10202"/>
    <s v="26-07-2025"/>
    <x v="13"/>
    <d v="2025-07-26T00:00:00"/>
    <s v="08/03/2025"/>
    <d v="2025-08-03T00:00:00"/>
    <s v="OK"/>
    <n v="8"/>
    <s v="CUST-8005"/>
    <s v="Vikram Iyer"/>
    <s v="Vikram Iyer"/>
    <s v="Consumer"/>
    <x v="0"/>
    <s v="West"/>
    <x v="3"/>
    <s v="Madhya Pradesh"/>
    <s v="Madhya Pradesh"/>
    <s v="Indore"/>
    <s v="Indore"/>
    <s v="Office Supplies"/>
    <x v="0"/>
    <s v="Labels"/>
    <x v="7"/>
    <s v="Basic Labels 511"/>
    <s v="Second Class"/>
    <x v="0"/>
    <n v="2"/>
    <n v="2503.5300000000002"/>
    <n v="-0.16"/>
    <n v="4756.71"/>
    <n v="2954.86"/>
    <n v="1801.85"/>
    <s v="Refunded"/>
    <x v="1"/>
    <s v="Cancelled"/>
    <x v="1"/>
    <s v="ORD-2025-10202|26-07-2025|08-03-2025|CUST-8005|Vikram Iyer|Consumer|West|Madhya Pradesh|Indore|Office Supplies|Labels|Basic Labels 511|Second Class|2|2503.53|-0.16|4756.71|2954.86|1801.85|Refunded|Cancelled"/>
    <s v="Keep"/>
    <n v="1"/>
    <s v="Unique"/>
    <s v=""/>
    <n v="-0.16"/>
    <n v="5808.1895999999997"/>
    <n v="2853.3295999999996"/>
    <n v="0.49125972058487893"/>
    <n v="7"/>
    <n v="2025"/>
    <b v="1"/>
    <b v="1"/>
    <x v="1"/>
    <s v="Negative discount; Refunded order summarized separately; Cancelled order excluded; Sales mismatch; Profit mismatch"/>
    <s v="Invalid"/>
  </r>
  <r>
    <s v="ORD-2025-10203"/>
    <s v="2025-03-28"/>
    <x v="20"/>
    <d v="2025-03-28T00:00:00"/>
    <s v="28 Mar 2025"/>
    <d v="2025-03-28T00:00:00"/>
    <s v="OK"/>
    <n v="0"/>
    <s v="CUST-9378"/>
    <s v="Sneha Kapoor"/>
    <s v="Sneha Kapoor"/>
    <s v="Corporate"/>
    <x v="2"/>
    <s v="West"/>
    <x v="3"/>
    <s v="Goa"/>
    <s v="Goa"/>
    <s v="Panaji"/>
    <s v="Panaji"/>
    <s v="Technology"/>
    <x v="2"/>
    <s v="Accessories"/>
    <x v="5"/>
    <s v="Prime Accessories 733"/>
    <s v="Standard Class"/>
    <x v="3"/>
    <n v="8"/>
    <n v="1740.94"/>
    <n v="0.05"/>
    <n v="13231.14"/>
    <n v="11290.06"/>
    <n v="1941.08"/>
    <s v="Paid"/>
    <x v="0"/>
    <s v="Completed"/>
    <x v="0"/>
    <s v="ORD-2025-10203|03-28-2025|03-28-2025|CUST-9378|Sneha Kapoor|Corporate|West|Goa|Panaji|Technology|Accessories|Prime Accessories 733|Standard Class|8|1740.94|0.05|13231.14|11290.06|1941.08|Paid|Completed"/>
    <s v="Keep"/>
    <n v="1"/>
    <s v="Unique"/>
    <s v=""/>
    <n v="0.05"/>
    <n v="13231.144"/>
    <n v="1941.0840000000007"/>
    <n v="0.14670568168557463"/>
    <n v="3"/>
    <n v="2025"/>
    <b v="0"/>
    <b v="0"/>
    <x v="0"/>
    <s v=""/>
    <s v="Clean"/>
  </r>
  <r>
    <s v="ORD-2024-10204"/>
    <s v="28 Mar 2024"/>
    <x v="15"/>
    <d v="2024-03-28T00:00:00"/>
    <s v="2024-03-30"/>
    <d v="2024-03-30T00:00:00"/>
    <s v="OK"/>
    <n v="2"/>
    <s v="CUST-3384"/>
    <s v="Sneha Kapoor"/>
    <s v="Sneha Kapoor"/>
    <s v="Corporate"/>
    <x v="2"/>
    <s v="West"/>
    <x v="3"/>
    <s v="Rajasthan"/>
    <s v="Rajasthan"/>
    <s v="Udaipur"/>
    <s v="Udaipur"/>
    <s v="Technology"/>
    <x v="2"/>
    <s v="Accessories"/>
    <x v="5"/>
    <s v="Max Accessories 186"/>
    <s v="Second Class"/>
    <x v="0"/>
    <n v="1"/>
    <n v="570.34"/>
    <n v="0.15"/>
    <n v="484.79"/>
    <n v="333.54"/>
    <n v="151.25"/>
    <s v="Paid"/>
    <x v="0"/>
    <s v="Completed"/>
    <x v="0"/>
    <s v="ORD-2024-10204|03-28-2024|03-30-2024|CUST-3384|Sneha Kapoor|Corporate|West|Rajasthan|Udaipur|Technology|Accessories|Max Accessories 186|Second Class|1|570.34|0.15|484.79|333.54|151.25|Paid|Completed"/>
    <s v="Keep"/>
    <n v="1"/>
    <s v="Unique"/>
    <s v=""/>
    <n v="0.15"/>
    <n v="484.78899999999999"/>
    <n v="151.24899999999997"/>
    <n v="0.3119893396921134"/>
    <n v="3"/>
    <n v="2024"/>
    <b v="0"/>
    <b v="0"/>
    <x v="0"/>
    <s v=""/>
    <s v="Clean"/>
  </r>
  <r>
    <s v="ORD-2025-10205"/>
    <s v="20-07-2025"/>
    <x v="13"/>
    <d v="2025-07-20T00:00:00"/>
    <s v="2025-07-23"/>
    <d v="2025-07-23T00:00:00"/>
    <s v="OK"/>
    <n v="3"/>
    <s v="CUST-1986"/>
    <s v="Mira Das"/>
    <s v="Mira Das"/>
    <s v="Home Office"/>
    <x v="3"/>
    <s v="East"/>
    <x v="1"/>
    <s v="West Bengal"/>
    <s v="West Bengal"/>
    <s v="Kolkata"/>
    <s v="Kolkata"/>
    <s v="Furniture"/>
    <x v="1"/>
    <s v="Tables"/>
    <x v="1"/>
    <s v="Elite Tables 318"/>
    <s v="Second Class"/>
    <x v="0"/>
    <n v="4"/>
    <n v="477.69"/>
    <n v="0.15"/>
    <n v="1624.15"/>
    <n v="1217.99"/>
    <n v="406.16"/>
    <s v="Paid"/>
    <x v="0"/>
    <s v="Completed"/>
    <x v="0"/>
    <s v="ORD-2025-10205|20-07-2025|07-23-2025|CUST-1986|Mira Das|Home Office|East|West Bengal|Kolkata|Furniture|Tables|Elite Tables 318|Second Class|4|477.69|0.15|1624.15|1217.99|406.16|Paid|Completed"/>
    <s v="Keep"/>
    <n v="1"/>
    <s v="Unique"/>
    <s v=""/>
    <n v="0.15"/>
    <n v="1624.146"/>
    <n v="406.15599999999995"/>
    <n v="0.25007357712914968"/>
    <n v="7"/>
    <n v="2025"/>
    <b v="0"/>
    <b v="0"/>
    <x v="0"/>
    <s v=""/>
    <s v="Clean"/>
  </r>
  <r>
    <s v="ORD-2025-10206"/>
    <s v="21-04-2025"/>
    <x v="6"/>
    <d v="2025-04-21T00:00:00"/>
    <s v="04/26/2025"/>
    <d v="2025-04-26T00:00:00"/>
    <s v="OK"/>
    <n v="5"/>
    <s v="CUST-3338"/>
    <s v="Ananya Rao"/>
    <s v="Ananya Rao"/>
    <s v="Consumer"/>
    <x v="0"/>
    <s v="West"/>
    <x v="3"/>
    <s v="Maharashtra"/>
    <s v="Maharashtra"/>
    <s v="Mumbai"/>
    <s v="Mumbai"/>
    <s v="Office Supplies"/>
    <x v="0"/>
    <s v="Labels"/>
    <x v="7"/>
    <s v="Smart Labels 354"/>
    <s v="Same Day"/>
    <x v="1"/>
    <n v="6"/>
    <n v="873.59"/>
    <n v="0.2"/>
    <n v="4193.2299999999996"/>
    <n v="3329.99"/>
    <n v="863.24"/>
    <s v="Paid"/>
    <x v="0"/>
    <s v="Completed"/>
    <x v="0"/>
    <s v="ORD-2025-10206|21-04-2025|04-26-2025|CUST-3338|Ananya Rao|Consumer|West|Maharashtra|Mumbai|OFFICE SUPPLIES|Labels|Smart Labels 354|Same Day|6|873.59|0.2|4193.23|3329.99|863.24|Paid|Completed"/>
    <s v="Keep"/>
    <n v="1"/>
    <s v="Unique"/>
    <s v=""/>
    <n v="0.2"/>
    <n v="4193.232"/>
    <n v="863.24200000000019"/>
    <n v="0.2058655471483572"/>
    <n v="4"/>
    <n v="2025"/>
    <b v="0"/>
    <b v="0"/>
    <x v="0"/>
    <s v=""/>
    <s v="Clean"/>
  </r>
  <r>
    <s v="ORD-2025-10207"/>
    <s v="05/18/2025"/>
    <x v="9"/>
    <d v="2025-05-18T00:00:00"/>
    <s v="20 May 2025"/>
    <d v="2025-05-20T00:00:00"/>
    <s v="OK"/>
    <n v="2"/>
    <s v="CUST-2343"/>
    <s v="Diya Patel"/>
    <s v="Diya Patel"/>
    <s v="Small Business"/>
    <x v="1"/>
    <s v="  North "/>
    <x v="0"/>
    <s v="Uttar Pradesh"/>
    <s v="Uttar Pradesh"/>
    <s v="Noida"/>
    <s v="Noida"/>
    <s v="Furniture"/>
    <x v="1"/>
    <s v="Furnishings"/>
    <x v="3"/>
    <s v="Pro Furnishings 981"/>
    <s v="First Class"/>
    <x v="2"/>
    <n v="2"/>
    <n v="215.13"/>
    <n v="0"/>
    <n v="430.26"/>
    <n v="286.38"/>
    <n v="143.88"/>
    <s v="Paid"/>
    <x v="0"/>
    <s v="Completed"/>
    <x v="0"/>
    <s v="ORD-2025-10207|05-18-2025|05-20-2025|CUST-2343|Diya Patel|Small Business|  North |Uttar Pradesh|Noida|Furniture|Furnishings|Pro Furnishings 981|First Class|2|215.13|0|430.26|286.38|143.88|Paid|Completed"/>
    <s v="Keep"/>
    <n v="1"/>
    <s v="Unique"/>
    <s v=""/>
    <n v="0"/>
    <n v="430.26"/>
    <n v="143.88"/>
    <n v="0.33440245432994004"/>
    <n v="5"/>
    <n v="2025"/>
    <b v="0"/>
    <b v="0"/>
    <x v="0"/>
    <s v=""/>
    <s v="Clean"/>
  </r>
  <r>
    <s v="ORD-2024-10208"/>
    <s v="10 Jul 2024"/>
    <x v="0"/>
    <d v="2024-07-10T00:00:00"/>
    <s v="2024-07-16"/>
    <d v="2024-07-16T00:00:00"/>
    <s v="OK"/>
    <n v="6"/>
    <s v="CUST-3362"/>
    <s v="Aarav Sharma"/>
    <s v="Aarav Sharma"/>
    <s v="Home Office"/>
    <x v="3"/>
    <s v="West"/>
    <x v="3"/>
    <s v="Goa"/>
    <s v="Goa"/>
    <s v="Panaji"/>
    <s v="Panaji"/>
    <s v="Furniture"/>
    <x v="1"/>
    <s v="Bookcases"/>
    <x v="10"/>
    <s v="Eco Bookcases 671"/>
    <s v="Second Class"/>
    <x v="0"/>
    <n v="2"/>
    <n v="1095.45"/>
    <n v="0.2"/>
    <n v="1752.72"/>
    <n v="996.41"/>
    <n v="756.31"/>
    <s v="Paid"/>
    <x v="0"/>
    <s v="Completed"/>
    <x v="0"/>
    <s v="ORD-2024-10208|07-10-2024|07-16-2024|CUST-3362|Aarav Sharma|Home Office|West|Goa|Panaji|Furniture|Bookcases|Eco Bookcases 671|Second Class|2|1095.45|0.2|1752.72|996.41|756.31|Paid|Completed"/>
    <s v="Keep"/>
    <n v="1"/>
    <s v="Unique"/>
    <s v=""/>
    <n v="0.2"/>
    <n v="1752.7200000000003"/>
    <n v="756.31000000000029"/>
    <n v="0.43150645853302305"/>
    <n v="7"/>
    <n v="2024"/>
    <b v="0"/>
    <b v="0"/>
    <x v="0"/>
    <s v=""/>
    <s v="Clean"/>
  </r>
  <r>
    <s v="ORD-2025-10209"/>
    <s v="06/29/2025"/>
    <x v="18"/>
    <d v="2025-06-29T00:00:00"/>
    <s v="05-07-2025"/>
    <d v="2025-07-05T00:00:00"/>
    <s v="OK"/>
    <n v="6"/>
    <s v="CUST-3662"/>
    <s v="Diya Patel"/>
    <s v="Diya Patel"/>
    <s v="Consumer"/>
    <x v="0"/>
    <s v="North"/>
    <x v="0"/>
    <s v="Punjab"/>
    <s v="Punjab"/>
    <s v="Ludhiana"/>
    <s v="Ludhiana"/>
    <s v="Furniture"/>
    <x v="1"/>
    <s v="Chairs"/>
    <x v="4"/>
    <s v="Max Chairs 151"/>
    <s v="Same Day"/>
    <x v="1"/>
    <n v="1"/>
    <n v="999.83"/>
    <n v="0"/>
    <n v="999.83"/>
    <n v="634.91"/>
    <n v="364.92"/>
    <s v="Paid"/>
    <x v="0"/>
    <s v="Completed"/>
    <x v="0"/>
    <s v="ORD-2025-10209|06-29-2025|05-07-2025|CUST-3662|Diya Patel|Consumer|North|Punjab|Ludhiana|Furniture|Chairs|Max Chairs 151|Same Day|1|999.83|0|999.83|634.91|364.92|Paid|Completed"/>
    <s v="Keep"/>
    <n v="1"/>
    <s v="Unique"/>
    <s v=""/>
    <n v="0"/>
    <n v="999.83"/>
    <n v="364.92000000000007"/>
    <n v="0.3649820469479812"/>
    <n v="6"/>
    <n v="2025"/>
    <b v="0"/>
    <b v="0"/>
    <x v="0"/>
    <s v=""/>
    <s v="Clean"/>
  </r>
  <r>
    <s v="ORD-2025-10210"/>
    <s v="08/13/2025"/>
    <x v="4"/>
    <d v="2025-08-13T00:00:00"/>
    <s v="08/14/2025"/>
    <d v="2025-08-14T00:00:00"/>
    <s v="OK"/>
    <n v="1"/>
    <s v="CUST-4947"/>
    <s v="Rohan Mehta"/>
    <s v="Rohan Mehta"/>
    <s v="Small Business"/>
    <x v="1"/>
    <s v="South"/>
    <x v="2"/>
    <s v="Andhra Pradesh"/>
    <s v="Andhra Pradesh"/>
    <s v="Vijayawada"/>
    <s v="Vijayawada"/>
    <s v="Office Supplies"/>
    <x v="0"/>
    <s v="Paper"/>
    <x v="0"/>
    <s v="Prime Paper 903"/>
    <s v="First Class"/>
    <x v="2"/>
    <n v="9"/>
    <n v="864.98"/>
    <n v="0.1"/>
    <n v="7006.34"/>
    <n v="4640.88"/>
    <n v="2365.46"/>
    <s v="Paid"/>
    <x v="0"/>
    <s v="Completed"/>
    <x v="0"/>
    <s v="ORD-2025-10210|08-13-2025|08-14-2025|CUST-4947|Rohan Mehta|Small Business|South|Andhra Pradesh|Vijayawada|Office Supplies|Paper|Prime Paper 903|First Class|9|864.98|0.1|7006.34|4640.88|2365.46|Paid|Completed"/>
    <s v="Keep"/>
    <n v="1"/>
    <s v="Unique"/>
    <s v=""/>
    <n v="0.1"/>
    <n v="7006.3379999999997"/>
    <n v="2365.4579999999996"/>
    <n v="0.33761688345609359"/>
    <n v="8"/>
    <n v="2025"/>
    <b v="0"/>
    <b v="0"/>
    <x v="0"/>
    <s v=""/>
    <s v="Clean"/>
  </r>
  <r>
    <s v="ORD-2024-10211"/>
    <s v="03/15/2024"/>
    <x v="15"/>
    <d v="2024-03-15T00:00:00"/>
    <s v="18-03-2024"/>
    <d v="2024-03-18T00:00:00"/>
    <s v="OK"/>
    <n v="3"/>
    <s v="CUST-3076"/>
    <s v="Kabir Singh"/>
    <s v="Kabir Singh"/>
    <s v="Home Office"/>
    <x v="3"/>
    <s v="South"/>
    <x v="2"/>
    <s v="Karnataka"/>
    <s v="Karnataka"/>
    <s v="Bengaluru"/>
    <s v="Bengaluru"/>
    <s v="Technology"/>
    <x v="2"/>
    <s v="Machines"/>
    <x v="12"/>
    <s v="Classic Machines 944"/>
    <s v="Second Class"/>
    <x v="0"/>
    <n v="1"/>
    <n v="4131.3599999999997"/>
    <n v="0"/>
    <n v="4131.3599999999997"/>
    <n v="2937.07"/>
    <n v="1194.29"/>
    <s v="Failed"/>
    <x v="3"/>
    <s v="Returned"/>
    <x v="2"/>
    <s v="ORD-2024-10211|03-15-2024|18-03-2024|CUST-3076|Kabir Singh|Home Office|South|Karnataka|Bengaluru|Technology|Machines|Classic Machines 944|Second Class|1|4131.36|0|4131.36|2937.07|1194.29|Failed|Returned"/>
    <s v="Keep"/>
    <n v="1"/>
    <s v="Unique"/>
    <s v=""/>
    <n v="0"/>
    <n v="4131.3599999999997"/>
    <n v="1194.2899999999995"/>
    <n v="0.28907914100925591"/>
    <n v="3"/>
    <n v="2024"/>
    <b v="0"/>
    <b v="0"/>
    <x v="1"/>
    <s v="Failed payment excluded; Returned order excluded"/>
    <s v="Warning"/>
  </r>
  <r>
    <s v="ORD-2024-10212"/>
    <s v="05/16/2024"/>
    <x v="5"/>
    <d v="2024-05-16T00:00:00"/>
    <s v="05/17/2024"/>
    <d v="2024-05-17T00:00:00"/>
    <s v="OK"/>
    <n v="1"/>
    <s v="CUST-2222"/>
    <s v="Rohan Mehta"/>
    <s v="Rohan Mehta"/>
    <s v="Corporate"/>
    <x v="2"/>
    <s v="East"/>
    <x v="1"/>
    <s v="West Bengal"/>
    <s v="West Bengal"/>
    <s v="Kolkata"/>
    <s v="Kolkata"/>
    <s v="Technology"/>
    <x v="2"/>
    <s v="Copiers"/>
    <x v="6"/>
    <s v="Basic Copiers 222"/>
    <s v="Second Class"/>
    <x v="0"/>
    <n v="8"/>
    <n v="4221.95"/>
    <n v="0.2"/>
    <n v="27020.48"/>
    <n v="22885.24"/>
    <n v="4135.24"/>
    <s v="Paid"/>
    <x v="0"/>
    <s v="Completed"/>
    <x v="0"/>
    <s v="ORD-2024-10212|05-16-2024|05-17-2024|CUST-2222|Rohan Mehta|Corporate|EAST|West Bengal|Kolkata|Technology|Copiers|Basic Copiers 222|Second Class|8|4221.95|0.2|27020.48|22885.24|4135.24|Paid|Completed"/>
    <s v="Keep"/>
    <n v="1"/>
    <s v="Unique"/>
    <s v=""/>
    <n v="0.2"/>
    <n v="27020.48"/>
    <n v="4135.239999999998"/>
    <n v="0.15304095264036752"/>
    <n v="5"/>
    <n v="2024"/>
    <b v="0"/>
    <b v="0"/>
    <x v="0"/>
    <s v=""/>
    <s v="Clean"/>
  </r>
  <r>
    <s v="ORD-2024-10213"/>
    <s v="09/21/2024"/>
    <x v="21"/>
    <d v="2024-09-21T00:00:00"/>
    <s v="2024-09-21"/>
    <d v="2024-09-21T00:00:00"/>
    <s v="OK"/>
    <n v="0"/>
    <s v="CUST-3610"/>
    <s v="Ananya Rao"/>
    <s v="Ananya Rao"/>
    <s v="Small Business"/>
    <x v="1"/>
    <s v="East"/>
    <x v="1"/>
    <s v="Odisha"/>
    <s v="Odisha"/>
    <s v="Bhubaneswar"/>
    <s v="Bhubaneswar"/>
    <s v="Technology"/>
    <x v="2"/>
    <s v="Phones"/>
    <x v="11"/>
    <s v="Max Phones 329"/>
    <s v="Same Day"/>
    <x v="1"/>
    <n v="2"/>
    <n v="214.5"/>
    <n v="0.15"/>
    <n v="364.65"/>
    <n v="280.74"/>
    <n v="83.91"/>
    <s v="Paid"/>
    <x v="0"/>
    <s v="Completed"/>
    <x v="0"/>
    <s v="ORD-2024-10213|09-21-2024|09-21-2024|CUST-3610|Ananya Rao|Small Business|East|Odisha|Bhubaneswar|Technology|Phones|Max Phones 329|Same Day|2|214.5|0.15|364.65|280.74|83.91|Paid|Completed"/>
    <s v="Keep"/>
    <n v="1"/>
    <s v="Unique"/>
    <s v=""/>
    <n v="0.15"/>
    <n v="364.65"/>
    <n v="83.909999999999968"/>
    <n v="0.23011106540518297"/>
    <n v="9"/>
    <n v="2024"/>
    <b v="0"/>
    <b v="0"/>
    <x v="0"/>
    <s v=""/>
    <s v="Clean"/>
  </r>
  <r>
    <s v="ORD-2024-10214"/>
    <s v="15 May 2024"/>
    <x v="5"/>
    <d v="2024-05-15T00:00:00"/>
    <s v="21-05-2024"/>
    <d v="2024-05-21T00:00:00"/>
    <s v="OK"/>
    <n v="6"/>
    <s v="CUST-9136"/>
    <s v="Isha Nair"/>
    <s v="Isha Nair"/>
    <s v="Small Business"/>
    <x v="1"/>
    <s v="East"/>
    <x v="1"/>
    <s v="Bihar"/>
    <s v="Bihar"/>
    <s v="Patna"/>
    <s v="Patna"/>
    <s v="Technology"/>
    <x v="2"/>
    <s v="Accessories"/>
    <x v="5"/>
    <s v="Classic Accessories 840"/>
    <s v="  Second Class "/>
    <x v="0"/>
    <n v="4"/>
    <n v="4332.7299999999996"/>
    <n v="0.2"/>
    <n v="13864.74"/>
    <n v="11294.06"/>
    <n v="2570.6799999999998"/>
    <s v="Paid"/>
    <x v="0"/>
    <s v="Completed"/>
    <x v="0"/>
    <s v="ORD-2024-10214|05-15-2024|21-05-2024|CUST-9136|Isha Nair|Small Business|East|Bihar|Patna|Technology|Accessories|Classic Accessories 840|  Second Class |4|4332.73|0.2|13864.74|11294.06|2570.68|Paid|Completed"/>
    <s v="Keep"/>
    <n v="1"/>
    <s v="Unique"/>
    <s v=""/>
    <n v="0.2"/>
    <n v="13864.735999999999"/>
    <n v="2570.6759999999995"/>
    <n v="0.18541110339208763"/>
    <n v="5"/>
    <n v="2024"/>
    <b v="0"/>
    <b v="0"/>
    <x v="0"/>
    <s v=""/>
    <s v="Clean"/>
  </r>
  <r>
    <s v="ORD-2024-10215"/>
    <s v="17 Mar 2024"/>
    <x v="15"/>
    <d v="2024-03-17T00:00:00"/>
    <s v="23-03-2024"/>
    <d v="2024-03-23T00:00:00"/>
    <s v="OK"/>
    <n v="6"/>
    <s v="CUST-1301"/>
    <s v="Rahul Verma"/>
    <s v="Rahul Verma"/>
    <s v="Consumer"/>
    <x v="0"/>
    <s v="North"/>
    <x v="0"/>
    <s v="Haryana"/>
    <s v="Haryana"/>
    <s v="Gurugram"/>
    <s v="Gurugram"/>
    <s v="Technology"/>
    <x v="2"/>
    <s v="Accessories"/>
    <x v="5"/>
    <s v="Classic Accessories 757"/>
    <s v="  First Class "/>
    <x v="2"/>
    <n v="3"/>
    <n v="248.18"/>
    <n v="0.05"/>
    <n v="707.31"/>
    <n v="569"/>
    <n v="138.31"/>
    <s v="Paid"/>
    <x v="0"/>
    <s v="Completed"/>
    <x v="0"/>
    <s v="ORD-2024-10215|03-17-2024|23-03-2024|CUST-1301|Rahul Verma|Consumer|North|Haryana|Gurugram|Technology|Accessories|Classic Accessories 757|  First Class |3|248.18|0.05|707.31|569|138.31|Paid|Completed"/>
    <s v="Keep"/>
    <n v="1"/>
    <s v="Unique"/>
    <s v=""/>
    <n v="0.05"/>
    <n v="707.31299999999999"/>
    <n v="138.31299999999999"/>
    <n v="0.19554709159876885"/>
    <n v="3"/>
    <n v="2024"/>
    <b v="0"/>
    <b v="0"/>
    <x v="0"/>
    <s v=""/>
    <s v="Clean"/>
  </r>
  <r>
    <s v="ORD-2024-10216"/>
    <s v="01-03-2024"/>
    <x v="15"/>
    <d v="2024-03-01T00:00:00"/>
    <s v="2024-03-04"/>
    <d v="2024-03-04T00:00:00"/>
    <s v="OK"/>
    <n v="3"/>
    <s v="CUST-8603"/>
    <s v="Mira Das"/>
    <s v="Mira Das"/>
    <s v="Consumer"/>
    <x v="0"/>
    <s v="West"/>
    <x v="3"/>
    <s v="Madhya Pradesh"/>
    <s v="Madhya Pradesh"/>
    <s v="Indore"/>
    <s v="Indore"/>
    <s v="Office Supplies"/>
    <x v="0"/>
    <s v="Paper"/>
    <x v="0"/>
    <s v="Prime Paper 286"/>
    <s v="First Class"/>
    <x v="2"/>
    <n v="8"/>
    <n v="3202.4"/>
    <n v="0.25"/>
    <n v="19214.400000000001"/>
    <n v="10916.01"/>
    <n v="8298.39"/>
    <s v="Paid"/>
    <x v="0"/>
    <s v="Completed"/>
    <x v="0"/>
    <s v="ORD-2024-10216|01-03-2024|03-04-2024|CUST-8603|Mira Das|Consumer|West|Madhya Pradesh|Indore|Office Supplies|Paper|Prime Paper 286|First Class|8|3202.4|0.25|19214.4|10916.01|8298.39|Paid|Completed"/>
    <s v="Keep"/>
    <n v="1"/>
    <s v="Unique"/>
    <s v=""/>
    <n v="0.25"/>
    <n v="19214.400000000001"/>
    <n v="8298.3900000000012"/>
    <n v="0.43188389957531853"/>
    <n v="3"/>
    <n v="2024"/>
    <b v="0"/>
    <b v="0"/>
    <x v="0"/>
    <s v=""/>
    <s v="Clean"/>
  </r>
  <r>
    <s v="ORD-2025-10217"/>
    <s v="04/10/2025"/>
    <x v="6"/>
    <d v="2025-04-10T00:00:00"/>
    <s v="15 Apr 2025"/>
    <d v="2025-04-15T00:00:00"/>
    <s v="OK"/>
    <n v="5"/>
    <s v="CUST-4330"/>
    <s v="Isha Nair"/>
    <s v="Isha Nair"/>
    <s v="Consumer"/>
    <x v="0"/>
    <s v="West"/>
    <x v="3"/>
    <s v="Gujarat"/>
    <s v="Gujarat"/>
    <s v="Ahmedabad"/>
    <s v="Ahmedabad"/>
    <s v="Furniture"/>
    <x v="1"/>
    <s v="Tables"/>
    <x v="1"/>
    <s v="Basic Tables 400"/>
    <s v="Standard Class"/>
    <x v="3"/>
    <n v="8"/>
    <n v="1839.87"/>
    <n v="0.25"/>
    <n v="11039.22"/>
    <n v="7642.91"/>
    <n v="3396.31"/>
    <s v="Failed"/>
    <x v="3"/>
    <s v="Returned"/>
    <x v="2"/>
    <s v="ORD-2025-10217|04-10-2025|04-15-2025|CUST-4330|Isha Nair|Consumer|West|Gujarat|Ahmedabad|Furniture|Tables|Basic Tables 400|Standard Class|8|1839.87|0.25|11039.22|7642.91|3396.31|Failed|Returned"/>
    <s v="Keep"/>
    <n v="1"/>
    <s v="Unique"/>
    <s v=""/>
    <n v="0.25"/>
    <n v="11039.22"/>
    <n v="3396.3099999999995"/>
    <n v="0.30765851210502188"/>
    <n v="4"/>
    <n v="2025"/>
    <b v="0"/>
    <b v="0"/>
    <x v="1"/>
    <s v="Failed payment excluded; Returned order excluded"/>
    <s v="Warning"/>
  </r>
  <r>
    <s v="ORD-2025-10218"/>
    <s v="01-04-2025"/>
    <x v="6"/>
    <d v="2025-04-01T00:00:00"/>
    <s v="04/08/2025"/>
    <d v="2025-04-08T00:00:00"/>
    <s v="OK"/>
    <n v="7"/>
    <s v="CUST-4533"/>
    <s v="Aditi Sen"/>
    <s v="Aditi Sen"/>
    <s v="Consumer"/>
    <x v="0"/>
    <s v="East"/>
    <x v="1"/>
    <s v="Odisha"/>
    <s v="Odisha"/>
    <s v="Bhubaneswar"/>
    <s v="Bhubaneswar"/>
    <s v="Furniture"/>
    <x v="1"/>
    <s v="Bookcases"/>
    <x v="10"/>
    <s v="Basic Bookcases 405"/>
    <s v="Second Class"/>
    <x v="0"/>
    <n v="5"/>
    <n v="1021.28"/>
    <n v="0.1"/>
    <n v="4595.76"/>
    <n v="3396.8"/>
    <n v="1198.96"/>
    <s v="Refunded"/>
    <x v="1"/>
    <s v="Cancelled"/>
    <x v="1"/>
    <s v="ORD-2025-10218|01-04-2025|04-08-2025|CUST-4533|Aditi Sen|Consumer|East|Odisha|Bhubaneswar|Furniture|Bookcases|Basic Bookcases 405|Second Class|5|1021.28|0.1|4595.76|3396.8|1198.96|Refunded|Cancelled"/>
    <s v="Keep"/>
    <n v="1"/>
    <s v="Unique"/>
    <s v=""/>
    <n v="0.1"/>
    <n v="4595.76"/>
    <n v="1198.96"/>
    <n v="0.26088394520166414"/>
    <n v="4"/>
    <n v="2025"/>
    <b v="0"/>
    <b v="0"/>
    <x v="1"/>
    <s v="Refunded order summarized separately; Cancelled order excluded"/>
    <s v="Warning"/>
  </r>
  <r>
    <s v="ORD-2025-10219"/>
    <s v="26 Feb 2025"/>
    <x v="7"/>
    <d v="2025-02-26T00:00:00"/>
    <s v="27-02-2025"/>
    <d v="2025-02-27T00:00:00"/>
    <s v="OK"/>
    <n v="1"/>
    <s v="CUST-8270"/>
    <s v="Priya Menon"/>
    <s v="Priya Menon"/>
    <s v="Corporate"/>
    <x v="2"/>
    <s v="West"/>
    <x v="3"/>
    <s v="Gujarat"/>
    <s v="Gujarat"/>
    <s v="Ahmedabad"/>
    <s v="Ahmedabad"/>
    <s v="Furniture"/>
    <x v="1"/>
    <s v="Bookcases"/>
    <x v="10"/>
    <s v="Classic Bookcases 139"/>
    <s v="Standard Class"/>
    <x v="3"/>
    <n v="5"/>
    <n v="258.27999999999997"/>
    <n v="0"/>
    <n v="1291.4000000000001"/>
    <n v="756.93"/>
    <n v="534.47"/>
    <s v="Paid"/>
    <x v="0"/>
    <s v="Completed"/>
    <x v="0"/>
    <s v="ORD-2025-10219|02-26-2025|27-02-2025|CUST-8270|Priya Menon|Corporate|West|Gujarat|Ahmedabad|Furniture|Bookcases|Classic Bookcases 139|Standard Class|5|258.28|0|1291.4|756.93|534.47|Paid|Completed"/>
    <s v="Keep"/>
    <n v="1"/>
    <s v="Unique"/>
    <s v=""/>
    <n v="0"/>
    <n v="1291.3999999999999"/>
    <n v="534.46999999999991"/>
    <n v="0.41386866966083319"/>
    <n v="2"/>
    <n v="2025"/>
    <b v="0"/>
    <b v="0"/>
    <x v="0"/>
    <s v=""/>
    <s v="Clean"/>
  </r>
  <r>
    <s v="ORD-2024-10220"/>
    <s v="2024-06-18"/>
    <x v="2"/>
    <d v="2024-06-18T00:00:00"/>
    <s v="06/19/2024"/>
    <d v="2024-06-19T00:00:00"/>
    <s v="OK"/>
    <n v="1"/>
    <s v="CUST-1472"/>
    <s v="Rahul Verma"/>
    <s v="Rahul Verma"/>
    <s v="Consumer"/>
    <x v="0"/>
    <s v="East"/>
    <x v="1"/>
    <s v="Bihar"/>
    <s v="Bihar"/>
    <s v="Patna"/>
    <s v="Patna"/>
    <s v="Technology"/>
    <x v="2"/>
    <s v="Machines"/>
    <x v="12"/>
    <s v="Elite Machines 290"/>
    <s v="First Class"/>
    <x v="2"/>
    <n v="2"/>
    <n v="121.49"/>
    <s v="85%"/>
    <n v="242.98"/>
    <n v="161.41999999999999"/>
    <n v="81.56"/>
    <s v="Paid"/>
    <x v="0"/>
    <s v="Completed"/>
    <x v="0"/>
    <s v="ORD-2024-10220|06-18-2024|06-19-2024|CUST-1472|Rahul Verma|Consumer|East|Bihar|Patna|Technology|Machines|Elite Machines 290|First Class|2|121.49|85%|242.98|161.42|81.56|Paid|Completed"/>
    <s v="Keep"/>
    <n v="1"/>
    <s v="Unique"/>
    <s v=""/>
    <n v="0.85"/>
    <n v="36.447000000000003"/>
    <n v="-124.97299999999998"/>
    <n v="-3.4288967541910162"/>
    <n v="6"/>
    <n v="2024"/>
    <b v="1"/>
    <b v="1"/>
    <x v="1"/>
    <s v="Discount above 50%; Sales mismatch; Profit mismatch"/>
    <s v="Invalid"/>
  </r>
  <r>
    <s v="ORD-2024-10221"/>
    <s v="09/03/2024"/>
    <x v="21"/>
    <d v="2024-09-03T00:00:00"/>
    <s v="09/03/2024"/>
    <d v="2024-09-03T00:00:00"/>
    <s v="OK"/>
    <n v="0"/>
    <s v="CUST-1031"/>
    <s v="Sneha Kapoor"/>
    <s v="Sneha Kapoor"/>
    <s v="Consumer"/>
    <x v="0"/>
    <s v="South"/>
    <x v="2"/>
    <s v="Kerala"/>
    <s v="Kerala"/>
    <s v="Kochi"/>
    <s v="Kochi"/>
    <s v="Office Supplies"/>
    <x v="0"/>
    <s v="Storage"/>
    <x v="8"/>
    <s v="Elite Storage 925"/>
    <s v="First Class"/>
    <x v="2"/>
    <n v="4"/>
    <n v="2810.17"/>
    <n v="0.15"/>
    <n v="9554.58"/>
    <n v="6068.47"/>
    <n v="3486.11"/>
    <s v="Refunded"/>
    <x v="1"/>
    <s v="Cancelled"/>
    <x v="1"/>
    <s v="ORD-2024-10221|09-03-2024|09-03-2024|CUST-1031|Sneha Kapoor|Consumer|South|Kerala|Kochi|Office Supplies|Storage|Elite Storage 925|First Class|4|2810.17|0.15|9554.58|6068.47|3486.11|Refunded|Cancelled"/>
    <s v="Keep"/>
    <n v="1"/>
    <s v="Unique"/>
    <s v=""/>
    <n v="0.15"/>
    <n v="9554.5779999999995"/>
    <n v="3486.1079999999993"/>
    <n v="0.36486258210462036"/>
    <n v="9"/>
    <n v="2024"/>
    <b v="0"/>
    <b v="0"/>
    <x v="1"/>
    <s v="Refunded order summarized separately; Cancelled order excluded"/>
    <s v="Warning"/>
  </r>
  <r>
    <s v="ORD-2025-10222"/>
    <s v="12-01-2025"/>
    <x v="14"/>
    <d v="2025-01-12T00:00:00"/>
    <s v="2025-01-15"/>
    <d v="2025-01-15T00:00:00"/>
    <s v="OK"/>
    <n v="3"/>
    <s v="CUST-2495"/>
    <s v="Mira Das"/>
    <s v="Mira Das"/>
    <s v="Corporate"/>
    <x v="2"/>
    <s v="South"/>
    <x v="2"/>
    <s v="Karnataka"/>
    <s v="Karnataka"/>
    <s v="Bengaluru"/>
    <s v="Bengaluru"/>
    <s v="Furniture"/>
    <x v="1"/>
    <s v="Chairs"/>
    <x v="4"/>
    <s v="Classic Chairs 231"/>
    <s v="Same Day"/>
    <x v="1"/>
    <n v="4"/>
    <n v="1531.53"/>
    <n v="0.2"/>
    <n v="4900.8999999999996"/>
    <n v="3552.69"/>
    <n v="1348.21"/>
    <s v="Paid"/>
    <x v="0"/>
    <s v="Completed"/>
    <x v="0"/>
    <s v="ORD-2025-10222|12-01-2025|01-15-2025|CUST-2495|Mira Das|Corporate|South|Karnataka|Bengaluru|Furniture|Chairs|Classic Chairs 231|Same Day|4|1531.53|0.2|4900.9|3552.69|1348.21|Paid|Completed"/>
    <s v="Keep"/>
    <n v="1"/>
    <s v="Unique"/>
    <s v=""/>
    <n v="0.2"/>
    <n v="4900.8959999999997"/>
    <n v="1348.2059999999997"/>
    <n v="0.27509377877024932"/>
    <n v="1"/>
    <n v="2025"/>
    <b v="0"/>
    <b v="0"/>
    <x v="0"/>
    <s v=""/>
    <s v="Clean"/>
  </r>
  <r>
    <s v="ORD-2025-10223"/>
    <s v="04/29/2025"/>
    <x v="6"/>
    <d v="2025-04-29T00:00:00"/>
    <s v="02 May 2025"/>
    <d v="2025-05-02T00:00:00"/>
    <s v="OK"/>
    <n v="3"/>
    <s v="CUST-4583"/>
    <s v="Vikram Iyer"/>
    <s v="Vikram Iyer"/>
    <s v="Small Business"/>
    <x v="1"/>
    <s v="West"/>
    <x v="3"/>
    <s v="Goa"/>
    <s v="Goa"/>
    <s v="Panaji"/>
    <s v="Panaji"/>
    <s v="Office Supplies"/>
    <x v="0"/>
    <s v="Storage"/>
    <x v="8"/>
    <s v="Prime Storage 818"/>
    <s v="First Class"/>
    <x v="2"/>
    <n v="6"/>
    <n v="4308.09"/>
    <n v="0"/>
    <n v="25848.54"/>
    <n v="17729.09"/>
    <n v="8119.45"/>
    <s v="Paid"/>
    <x v="0"/>
    <s v="Completed"/>
    <x v="0"/>
    <s v="ORD-2025-10223|04-29-2025|05-02-2025|CUST-4583|Vikram Iyer|Small Business|West|Goa|Panaji|Office Supplies|Storage|Prime Storage 818|First Class|6|4308.09|0|25848.54|17729.09|8119.45|Paid|Completed"/>
    <s v="Keep"/>
    <n v="1"/>
    <s v="Unique"/>
    <s v=""/>
    <n v="0"/>
    <n v="25848.54"/>
    <n v="8119.4500000000007"/>
    <n v="0.31411638723115504"/>
    <n v="4"/>
    <n v="2025"/>
    <b v="0"/>
    <b v="0"/>
    <x v="0"/>
    <s v=""/>
    <s v="Clean"/>
  </r>
  <r>
    <s v="ORD-2025-10224"/>
    <s v="19-02-2025"/>
    <x v="7"/>
    <d v="2025-02-19T00:00:00"/>
    <s v="02/26/2025"/>
    <d v="2025-02-26T00:00:00"/>
    <s v="OK"/>
    <n v="7"/>
    <s v="CUST-5319"/>
    <s v="Mira Das"/>
    <s v="Mira Das"/>
    <s v="Corporate"/>
    <x v="2"/>
    <s v="West"/>
    <x v="3"/>
    <s v="Maharashtra"/>
    <s v="Maharashtra"/>
    <s v="Mumbai"/>
    <s v="Mumbai"/>
    <s v="Furniture"/>
    <x v="1"/>
    <s v="Furnishings"/>
    <x v="3"/>
    <s v="Elite Furnishings 449"/>
    <s v="First Class"/>
    <x v="2"/>
    <n v="3"/>
    <n v="490.3"/>
    <n v="0.2"/>
    <n v="1176.72"/>
    <n v="654.33000000000004"/>
    <n v="522.39"/>
    <s v="Pending"/>
    <x v="2"/>
    <s v="Returned"/>
    <x v="2"/>
    <s v="ORD-2025-10224|19-02-2025|02-26-2025|CUST-5319|Mira Das|Corporate|West|Maharashtra|Mumbai|Furniture|Furnishings|Elite Furnishings 449|First Class|3|490.3|0.2|1176.72|654.33|522.39|Pending|Returned"/>
    <s v="Keep"/>
    <n v="1"/>
    <s v="Unique"/>
    <s v=""/>
    <n v="0.2"/>
    <n v="1176.72"/>
    <n v="522.39"/>
    <n v="0.44393738527432181"/>
    <n v="2"/>
    <n v="2025"/>
    <b v="0"/>
    <b v="0"/>
    <x v="1"/>
    <s v="Returned order excluded"/>
    <s v="Warning"/>
  </r>
  <r>
    <s v="ORD-2025-10225"/>
    <s v="10/02/2025"/>
    <x v="11"/>
    <d v="2025-10-02T00:00:00"/>
    <s v="08 Oct 2025"/>
    <d v="2025-10-08T00:00:00"/>
    <s v="OK"/>
    <n v="6"/>
    <s v="CUST-9871"/>
    <s v="Isha Nair"/>
    <s v="Isha Nair"/>
    <s v="Small Business"/>
    <x v="1"/>
    <s v="North"/>
    <x v="0"/>
    <s v="Punjab"/>
    <s v="Punjab"/>
    <s v="Ludhiana"/>
    <s v="Ludhiana"/>
    <s v="Furniture"/>
    <x v="1"/>
    <s v="Furnishings"/>
    <x v="3"/>
    <s v="Classic Furnishings 109"/>
    <s v="Standard Class"/>
    <x v="3"/>
    <n v="4"/>
    <n v="3944.64"/>
    <n v="0.25"/>
    <n v="11833.92"/>
    <n v="6682.92"/>
    <n v="5151"/>
    <s v="Paid"/>
    <x v="0"/>
    <s v="Cancelled"/>
    <x v="1"/>
    <s v="ORD-2025-10225|10-02-2025|10-08-2025|CUST-9871|Isha Nair|Small Business|North|Punjab|Ludhiana|Furniture|Furnishings|Classic Furnishings 109|Standard Class|4|3944.64|0.25|11833.92|6682.92|5151|Paid|Cancelled"/>
    <s v="Keep"/>
    <n v="2"/>
    <s v="Duplicate order_id"/>
    <s v="Review conflicting duplicate"/>
    <n v="0.25"/>
    <n v="11833.92"/>
    <n v="5151"/>
    <n v="0.43527419485681834"/>
    <n v="10"/>
    <n v="2025"/>
    <b v="0"/>
    <b v="0"/>
    <x v="1"/>
    <s v="Cancelled order excluded; Duplicate order ID conflict"/>
    <s v="Warning"/>
  </r>
  <r>
    <s v="ORD-2024-10226"/>
    <s v="02 Sep 2024"/>
    <x v="21"/>
    <d v="2024-09-02T00:00:00"/>
    <s v="2024-09-10"/>
    <d v="2024-09-10T00:00:00"/>
    <s v="OK"/>
    <n v="8"/>
    <s v="CUST-1266"/>
    <s v="Mira Das"/>
    <s v="Mira Das"/>
    <s v="Corporate"/>
    <x v="2"/>
    <s v="West"/>
    <x v="3"/>
    <s v="Goa"/>
    <s v="Goa"/>
    <s v="Panaji"/>
    <s v="Panaji"/>
    <s v="Technology"/>
    <x v="2"/>
    <s v="Phones"/>
    <x v="11"/>
    <s v="Classic Phones 548"/>
    <s v="Standard Class"/>
    <x v="3"/>
    <n v="6"/>
    <n v="1032.47"/>
    <n v="0.15"/>
    <n v="5265.6"/>
    <n v="4293.1099999999997"/>
    <n v="787.57"/>
    <s v="Paid"/>
    <x v="0"/>
    <s v="Completed"/>
    <x v="0"/>
    <s v="ORD-2024-10226|09-02-2024|09-10-2024|CUST-1266|Mira Das|Corporate|West|Goa|Panaji|Technology|Phones|Classic Phones 548|Standard Class|6|1032.47|0.15|5265.6|4293.11|787.57|Paid|Completed"/>
    <s v="Keep"/>
    <n v="1"/>
    <s v="Unique"/>
    <s v=""/>
    <n v="0.15"/>
    <n v="5265.5969999999998"/>
    <n v="972.48700000000008"/>
    <n v="0.18468694053114967"/>
    <n v="9"/>
    <n v="2024"/>
    <b v="0"/>
    <b v="1"/>
    <x v="1"/>
    <s v="Profit mismatch"/>
    <s v="Invalid"/>
  </r>
  <r>
    <s v="ORD-2025-10227"/>
    <s v="10-04-2025"/>
    <x v="6"/>
    <d v="2025-04-10T00:00:00"/>
    <s v="15 Apr 2025"/>
    <d v="2025-04-15T00:00:00"/>
    <s v="OK"/>
    <n v="5"/>
    <s v="CUST-2545"/>
    <s v="Diya Patel"/>
    <s v="Diya Patel"/>
    <s v="Home Office"/>
    <x v="3"/>
    <m/>
    <x v="4"/>
    <s v="Kerala"/>
    <s v="Kerala"/>
    <s v="Kochi"/>
    <s v="Kochi"/>
    <s v="Technology"/>
    <x v="2"/>
    <s v="Copiers"/>
    <x v="6"/>
    <s v="Max Copiers 363"/>
    <s v="Same Day"/>
    <x v="1"/>
    <n v="1"/>
    <n v="2208.27"/>
    <n v="0.1"/>
    <n v="1987.44"/>
    <n v="1110.23"/>
    <n v="877.21"/>
    <s v="Paid"/>
    <x v="0"/>
    <s v="Completed"/>
    <x v="0"/>
    <s v="ORD-2025-10227|10-04-2025|04-15-2025|CUST-2545|Diya Patel|Home Office||Kerala|Kochi|Technology|Copiers|Max Copiers 363|Same Day|1|2208.27|0.1|1987.44|1110.23|877.21|Paid|Completed"/>
    <s v="Keep"/>
    <n v="1"/>
    <s v="Unique"/>
    <s v=""/>
    <n v="0.1"/>
    <n v="1987.443"/>
    <n v="877.21299999999997"/>
    <n v="0.44137768982556985"/>
    <n v="4"/>
    <n v="2025"/>
    <b v="0"/>
    <b v="0"/>
    <x v="0"/>
    <s v="Missing region filled as Unknown"/>
    <s v="Warning"/>
  </r>
  <r>
    <s v="ORD-2024-10228"/>
    <s v="2024-07-05"/>
    <x v="0"/>
    <d v="2024-07-05T00:00:00"/>
    <s v="12 Jul 2024"/>
    <d v="2024-07-12T00:00:00"/>
    <s v="OK"/>
    <n v="7"/>
    <s v="CUST-2819"/>
    <s v="Ananya Rao"/>
    <s v="Ananya Rao"/>
    <s v="Small Business"/>
    <x v="1"/>
    <s v="West"/>
    <x v="3"/>
    <s v="Goa"/>
    <s v="Goa"/>
    <s v="Panaji"/>
    <s v="Panaji"/>
    <s v="Office Supplies"/>
    <x v="0"/>
    <s v="Binders"/>
    <x v="9"/>
    <s v="Prime Binders 507"/>
    <s v="First Class"/>
    <x v="2"/>
    <n v="3"/>
    <n v="577.75"/>
    <n v="0.15"/>
    <n v="1473.26"/>
    <n v="899.86"/>
    <n v="573.4"/>
    <s v="Paid"/>
    <x v="0"/>
    <s v="Completed"/>
    <x v="0"/>
    <s v="ORD-2024-10228|07-05-2024|07-12-2024|CUST-2819|Ananya Rao|SMALL BUSINESS|West|Goa|Panaji|Office Supplies|Binders|Prime Binders 507|First Class|3|577.75|0.15|1473.26|899.86|573.4|Paid|Completed"/>
    <s v="Keep"/>
    <n v="1"/>
    <s v="Unique"/>
    <s v=""/>
    <n v="0.15"/>
    <n v="1473.2625"/>
    <n v="573.40250000000003"/>
    <n v="0.38920592901808065"/>
    <n v="7"/>
    <n v="2024"/>
    <b v="0"/>
    <b v="0"/>
    <x v="0"/>
    <s v=""/>
    <s v="Clean"/>
  </r>
  <r>
    <s v="ORD-2024-10229"/>
    <s v="24-04-2024"/>
    <x v="19"/>
    <d v="2024-04-24T00:00:00"/>
    <s v="28 Apr 2024"/>
    <d v="2024-04-28T00:00:00"/>
    <s v="OK"/>
    <n v="4"/>
    <s v="CUST-1076"/>
    <s v="Karan Malhotra"/>
    <s v="Karan Malhotra"/>
    <s v="Small Business"/>
    <x v="1"/>
    <s v="South"/>
    <x v="2"/>
    <s v="Telangana"/>
    <s v="Telangana"/>
    <s v="Hyderabad"/>
    <s v="Hyderabad"/>
    <s v="Office Supplies"/>
    <x v="0"/>
    <s v="Labels"/>
    <x v="7"/>
    <s v="Smart Labels 914"/>
    <s v="Second Class"/>
    <x v="0"/>
    <n v="1"/>
    <n v="3194.37"/>
    <n v="0.15"/>
    <n v="2715.21"/>
    <n v="1551.55"/>
    <n v="1163.6600000000001"/>
    <s v="Paid"/>
    <x v="0"/>
    <s v="Completed"/>
    <x v="0"/>
    <s v="ORD-2024-10229|24-04-2024|04-28-2024|CUST-1076|Karan Malhotra|Small Business|South|Telangana|Hyderabad|Office Supplies|Labels|Smart Labels 914|Second Class|1|3194.37|0.15|2715.21|1551.55|1163.66|Paid|Completed"/>
    <s v="Keep"/>
    <n v="1"/>
    <s v="Unique"/>
    <s v=""/>
    <n v="0.15"/>
    <n v="2715.2145"/>
    <n v="1163.6645000000001"/>
    <n v="0.42857184948003191"/>
    <n v="4"/>
    <n v="2024"/>
    <b v="0"/>
    <b v="0"/>
    <x v="0"/>
    <s v=""/>
    <s v="Clean"/>
  </r>
  <r>
    <s v="ORD-2025-10230"/>
    <s v="2025-06-28"/>
    <x v="18"/>
    <d v="2025-06-28T00:00:00"/>
    <s v="07/04/2025"/>
    <d v="2025-07-04T00:00:00"/>
    <s v="OK"/>
    <n v="6"/>
    <s v="CUST-1943"/>
    <s v="Rohan Mehta"/>
    <s v="Rohan Mehta"/>
    <s v="Consumer"/>
    <x v="0"/>
    <s v="South"/>
    <x v="2"/>
    <s v="Telangana"/>
    <s v="Telangana"/>
    <s v="Hyderabad"/>
    <s v="Hyderabad"/>
    <s v="Furniture"/>
    <x v="1"/>
    <s v="Bookcases"/>
    <x v="10"/>
    <s v="Smart Bookcases 662"/>
    <s v="First Class"/>
    <x v="2"/>
    <n v="3"/>
    <n v="2886.23"/>
    <n v="0"/>
    <n v="8658.69"/>
    <n v="5535.94"/>
    <n v="3122.75"/>
    <s v="Refunded"/>
    <x v="1"/>
    <s v="Returned"/>
    <x v="2"/>
    <s v="ORD-2025-10230|06-28-2025|07-04-2025|CUST-1943|Rohan Mehta|Consumer|South|Telangana|Hyderabad|Furniture|Bookcases|Smart Bookcases 662|First Class|3|2886.23|0|8658.69|5535.94|3122.75|Refunded|Returned"/>
    <s v="Keep"/>
    <n v="1"/>
    <s v="Unique"/>
    <s v=""/>
    <n v="0"/>
    <n v="8658.69"/>
    <n v="3122.7500000000009"/>
    <n v="0.36064924370776652"/>
    <n v="6"/>
    <n v="2025"/>
    <b v="0"/>
    <b v="0"/>
    <x v="1"/>
    <s v="Refunded order summarized separately; Returned order excluded"/>
    <s v="Warning"/>
  </r>
  <r>
    <s v="ORD-2024-10231"/>
    <s v="28-05-2024"/>
    <x v="5"/>
    <d v="2024-05-28T00:00:00"/>
    <s v="03-06-2024"/>
    <d v="2024-06-03T00:00:00"/>
    <s v="OK"/>
    <n v="6"/>
    <s v="CUST-3434"/>
    <s v="Neha Gupta"/>
    <s v="Neha Gupta"/>
    <s v="Small Business"/>
    <x v="1"/>
    <s v="North"/>
    <x v="0"/>
    <s v="Rajasthan"/>
    <s v="Rajasthan"/>
    <s v="Jaipur"/>
    <s v="Jaipur"/>
    <s v="Office Supplies"/>
    <x v="0"/>
    <s v="Paper"/>
    <x v="0"/>
    <s v="Eco Paper 937"/>
    <s v="Standard Class"/>
    <x v="3"/>
    <n v="8"/>
    <n v="1540.33"/>
    <n v="0.1"/>
    <n v="11090.38"/>
    <n v="8840.9500000000007"/>
    <n v="2249.4299999999998"/>
    <s v="Paid"/>
    <x v="0"/>
    <s v="Completed"/>
    <x v="0"/>
    <s v="ORD-2024-10231|28-05-2024|03-06-2024|CUST-3434|Neha Gupta|Small Business|North|Rajasthan|Jaipur|Office Supplies|Paper|Eco Paper 937|Standard Class|8|1540.33|0.1|11090.38|8840.95|2249.43|Paid|Completed"/>
    <s v="Keep"/>
    <n v="1"/>
    <s v="Unique"/>
    <s v=""/>
    <n v="0.1"/>
    <n v="11090.376"/>
    <n v="2249.4259999999995"/>
    <n v="0.20282684734944958"/>
    <n v="5"/>
    <n v="2024"/>
    <b v="0"/>
    <b v="0"/>
    <x v="0"/>
    <s v=""/>
    <s v="Clean"/>
  </r>
  <r>
    <s v="ORD-2024-10232"/>
    <s v="2024-05-02"/>
    <x v="5"/>
    <d v="2024-05-02T00:00:00"/>
    <s v="05/02/2024"/>
    <d v="2024-05-02T00:00:00"/>
    <s v="OK"/>
    <n v="0"/>
    <s v="CUST-9139"/>
    <s v="Ananya Rao"/>
    <s v="Ananya Rao"/>
    <s v="Corporate"/>
    <x v="2"/>
    <s v="North"/>
    <x v="0"/>
    <s v="Rajasthan"/>
    <s v="Rajasthan"/>
    <s v="Jaipur"/>
    <s v="Jaipur"/>
    <s v="Office  Supplies"/>
    <x v="0"/>
    <s v="Labels"/>
    <x v="7"/>
    <s v="Max Labels 370"/>
    <s v="First Class"/>
    <x v="2"/>
    <n v="7"/>
    <n v="2183.38"/>
    <n v="0.25"/>
    <n v="11462.74"/>
    <n v="7163.54"/>
    <n v="4299.2"/>
    <s v="Refunded"/>
    <x v="1"/>
    <s v="Cancelled"/>
    <x v="1"/>
    <s v="ORD-2024-10232|05-02-2024|05-02-2024|CUST-9139|Ananya Rao|Corporate|North|Rajasthan|Jaipur|Office  Supplies|Labels|Max Labels 370|First Class|7|2183.38|0.25|11462.74|7163.54|4299.2|Refunded|Cancelled"/>
    <s v="Keep"/>
    <n v="1"/>
    <s v="Unique"/>
    <s v=""/>
    <n v="0.25"/>
    <n v="11462.744999999999"/>
    <n v="4299.204999999999"/>
    <n v="0.37505894094302888"/>
    <n v="5"/>
    <n v="2024"/>
    <b v="0"/>
    <b v="0"/>
    <x v="1"/>
    <s v="Refunded order summarized separately; Cancelled order excluded"/>
    <s v="Warning"/>
  </r>
  <r>
    <s v="ORD-2025-10233"/>
    <s v="2025-06-04"/>
    <x v="18"/>
    <d v="2025-06-04T00:00:00"/>
    <s v="2025-06-10"/>
    <d v="2025-06-10T00:00:00"/>
    <s v="OK"/>
    <n v="6"/>
    <s v="CUST-5341"/>
    <s v="Rahul Verma"/>
    <s v="Rahul Verma"/>
    <s v="Consumer"/>
    <x v="0"/>
    <s v="South"/>
    <x v="2"/>
    <s v="Andhra Pradesh"/>
    <s v="Andhra Pradesh"/>
    <s v="Vijayawada"/>
    <s v="Vijayawada"/>
    <s v="Technology"/>
    <x v="2"/>
    <s v="Phones"/>
    <x v="11"/>
    <s v="Classic Phones 530"/>
    <s v="Standard Class"/>
    <x v="3"/>
    <n v="4"/>
    <n v="223.37"/>
    <n v="0.25"/>
    <n v="670.11"/>
    <n v="559.57000000000005"/>
    <n v="110.54"/>
    <s v="Paid"/>
    <x v="0"/>
    <s v="Completed"/>
    <x v="0"/>
    <s v="ORD-2025-10233|06-04-2025|06-10-2025|CUST-5341|Rahul Verma|Consumer|South|Andhra Pradesh|Vijayawada|Technology|Phones|Classic Phones 530|Standard Class|4|223.37|0.25|670.11|559.57|110.54|Paid|Completed"/>
    <s v="Keep"/>
    <n v="1"/>
    <s v="Unique"/>
    <s v=""/>
    <n v="0.25"/>
    <n v="670.11"/>
    <n v="110.53999999999996"/>
    <n v="0.16495799197146732"/>
    <n v="6"/>
    <n v="2025"/>
    <b v="0"/>
    <b v="0"/>
    <x v="0"/>
    <s v=""/>
    <s v="Clean"/>
  </r>
  <r>
    <s v="ORD-2024-10234"/>
    <s v="14-10-2024"/>
    <x v="16"/>
    <d v="2024-10-14T00:00:00"/>
    <s v="10/14/2024"/>
    <d v="2024-10-14T00:00:00"/>
    <s v="OK"/>
    <n v="0"/>
    <s v="CUST-3710"/>
    <s v="Vikram Iyer"/>
    <s v="Vikram Iyer"/>
    <s v="Corporate"/>
    <x v="2"/>
    <s v="South"/>
    <x v="2"/>
    <s v="Karnataka"/>
    <s v="Karnataka"/>
    <s v="Bengaluru"/>
    <s v="Bengaluru"/>
    <s v="Furniture"/>
    <x v="1"/>
    <s v="Bookcases"/>
    <x v="10"/>
    <s v="Smart Bookcases 328"/>
    <m/>
    <x v="4"/>
    <n v="8"/>
    <n v="3904.59"/>
    <n v="0"/>
    <n v="31236.720000000001"/>
    <n v="26377.7"/>
    <n v="4859.0200000000004"/>
    <s v="Paid"/>
    <x v="0"/>
    <s v="Completed"/>
    <x v="0"/>
    <s v="ORD-2024-10234|14-10-2024|10-14-2024|CUST-3710|Vikram Iyer|Corporate|South|Karnataka|Bengaluru|Furniture|Bookcases|Smart Bookcases 328||8|3904.59|0|31236.72|26377.7|4859.02|Paid|Completed"/>
    <s v="Keep"/>
    <n v="1"/>
    <s v="Unique"/>
    <s v=""/>
    <n v="0"/>
    <n v="31236.720000000001"/>
    <n v="4859.0200000000004"/>
    <n v="0.15555474454424154"/>
    <n v="10"/>
    <n v="2024"/>
    <b v="0"/>
    <b v="0"/>
    <x v="0"/>
    <s v="Missing ship mode filled as Unknown"/>
    <s v="Warning"/>
  </r>
  <r>
    <s v="ORD-2024-10235"/>
    <s v="09/02/2024"/>
    <x v="21"/>
    <d v="2024-09-02T00:00:00"/>
    <s v="03 Sep 2024"/>
    <d v="2024-09-03T00:00:00"/>
    <s v="OK"/>
    <n v="1"/>
    <s v="CUST-9754"/>
    <s v="Kabir Singh"/>
    <s v="Kabir Singh"/>
    <s v="Home Office"/>
    <x v="3"/>
    <s v="North"/>
    <x v="0"/>
    <s v="Delhi"/>
    <s v="Delhi"/>
    <s v="New Delhi"/>
    <s v="New Delhi"/>
    <s v="Furniture"/>
    <x v="1"/>
    <s v="Furnishings"/>
    <x v="3"/>
    <s v="Eco Furnishings 981"/>
    <s v="First Class"/>
    <x v="2"/>
    <n v="9"/>
    <n v="1353.61"/>
    <n v="0.1"/>
    <n v="10964.24"/>
    <n v="9262.4699999999993"/>
    <n v="1701.77"/>
    <s v="Paid"/>
    <x v="0"/>
    <s v="Completed"/>
    <x v="0"/>
    <s v="ORD-2024-10235|09-02-2024|09-03-2024|CUST-9754|Kabir Singh|Home Office|North|Delhi|New Delhi|Furniture|Furnishings|Eco Furnishings 981|First Class|9|1353.61|0.1|10964.24|9262.47|1701.77|Paid|Completed"/>
    <s v="Keep"/>
    <n v="1"/>
    <s v="Unique"/>
    <s v=""/>
    <n v="0.1"/>
    <n v="10964.241"/>
    <n v="1701.7710000000006"/>
    <n v="0.15521101734265058"/>
    <n v="9"/>
    <n v="2024"/>
    <b v="0"/>
    <b v="0"/>
    <x v="0"/>
    <s v=""/>
    <s v="Clean"/>
  </r>
  <r>
    <s v="ORD-2024-10236"/>
    <s v="11/02/2024"/>
    <x v="3"/>
    <d v="2024-11-02T00:00:00"/>
    <s v="11/03/2024"/>
    <d v="2024-11-03T00:00:00"/>
    <s v="OK"/>
    <n v="1"/>
    <s v="CUST-6256"/>
    <s v="Rahul Verma"/>
    <s v="Rahul Verma"/>
    <s v="Small Business"/>
    <x v="1"/>
    <s v="West"/>
    <x v="3"/>
    <s v="Rajasthan"/>
    <s v="Rajasthan"/>
    <s v="Udaipur"/>
    <s v="Udaipur"/>
    <s v="Office Supplies"/>
    <x v="0"/>
    <s v="Storage"/>
    <x v="8"/>
    <s v="Basic Storage 195"/>
    <s v="Standard Class"/>
    <x v="3"/>
    <n v="6"/>
    <n v="2671.29"/>
    <n v="0.05"/>
    <n v="15226.35"/>
    <n v="11145.28"/>
    <n v="4081.07"/>
    <s v="Paid"/>
    <x v="0"/>
    <s v="Completed"/>
    <x v="0"/>
    <s v="ORD-2024-10236|11-02-2024|11-03-2024|CUST-6256|Rahul Verma|Small Business|West|Rajasthan|Udaipur|Office Supplies|Storage|Basic Storage 195|Standard Class|6|2671.29|0.05|15226.35|11145.28|4081.07|Paid|Completed"/>
    <s v="Keep"/>
    <n v="1"/>
    <s v="Unique"/>
    <s v=""/>
    <n v="0.05"/>
    <n v="15226.352999999999"/>
    <n v="4081.0729999999985"/>
    <n v="0.26802695300706603"/>
    <n v="11"/>
    <n v="2024"/>
    <b v="0"/>
    <b v="0"/>
    <x v="0"/>
    <s v=""/>
    <s v="Clean"/>
  </r>
  <r>
    <s v="ORD-2024-10237"/>
    <s v="10/14/2024"/>
    <x v="16"/>
    <d v="2024-10-14T00:00:00"/>
    <s v="21 Oct 2024"/>
    <d v="2024-10-21T00:00:00"/>
    <s v="OK"/>
    <n v="7"/>
    <s v="CUST-7113"/>
    <s v="Priya Menon"/>
    <s v="Priya Menon"/>
    <s v="Corporate"/>
    <x v="2"/>
    <s v="North"/>
    <x v="0"/>
    <s v="Uttar Pradesh"/>
    <s v="Uttar Pradesh"/>
    <s v="Noida"/>
    <s v="Noida"/>
    <s v="Furniture"/>
    <x v="1"/>
    <s v="Bookcases"/>
    <x v="10"/>
    <s v="Elite Bookcases 907"/>
    <s v="First Class"/>
    <x v="2"/>
    <n v="6"/>
    <n v="4062.78"/>
    <n v="0"/>
    <n v="24376.68"/>
    <n v="18533.39"/>
    <n v="5843.29"/>
    <s v="Paid"/>
    <x v="0"/>
    <s v="Completed"/>
    <x v="0"/>
    <s v="ORD-2024-10237|10-14-2024|10-21-2024|CUST-7113|Priya Menon|Corporate|North|Uttar Pradesh|Noida|Furniture|Bookcases|Elite Bookcases 907|First Class|6|4062.78|0|24376.68|18533.39|5843.29|Paid|Completed"/>
    <s v="Keep"/>
    <n v="1"/>
    <s v="Unique"/>
    <s v=""/>
    <n v="0"/>
    <n v="24376.68"/>
    <n v="5843.2900000000009"/>
    <n v="0.23970819652224998"/>
    <n v="10"/>
    <n v="2024"/>
    <b v="0"/>
    <b v="0"/>
    <x v="0"/>
    <s v=""/>
    <s v="Clean"/>
  </r>
  <r>
    <s v="ORD-2024-10238"/>
    <s v="2024-08-27"/>
    <x v="1"/>
    <d v="2024-08-27T00:00:00"/>
    <s v="2024-08-27"/>
    <d v="2024-08-27T00:00:00"/>
    <s v="OK"/>
    <n v="0"/>
    <s v="CUST-3827"/>
    <s v="Mira Das"/>
    <s v="Mira Das"/>
    <s v="Consumer"/>
    <x v="0"/>
    <s v="North"/>
    <x v="0"/>
    <s v="Haryana"/>
    <s v="Haryana"/>
    <s v="Gurugram"/>
    <s v="Gurugram"/>
    <s v="Technology"/>
    <x v="2"/>
    <s v="Copiers"/>
    <x v="6"/>
    <s v="Smart Copiers 471"/>
    <s v="Standard Class"/>
    <x v="3"/>
    <n v="9"/>
    <n v="2330.3000000000002"/>
    <n v="0"/>
    <n v="20972.7"/>
    <n v="13504.88"/>
    <n v="7467.82"/>
    <s v="Paid"/>
    <x v="0"/>
    <s v="Completed"/>
    <x v="0"/>
    <s v="ORD-2024-10238|08-27-2024|08-27-2024|CUST-3827|Mira Das|Consumer|North|Haryana|Gurugram|Technology|Copiers|Smart Copiers 471|Standard Class|9|2330.3|0|20972.7|13504.88|7467.82|Paid|Completed"/>
    <s v="Keep"/>
    <n v="1"/>
    <s v="Unique"/>
    <s v=""/>
    <n v="0"/>
    <n v="20972.7"/>
    <n v="7467.8200000000015"/>
    <n v="0.35607337157352181"/>
    <n v="8"/>
    <n v="2024"/>
    <b v="0"/>
    <b v="0"/>
    <x v="0"/>
    <s v=""/>
    <s v="Clean"/>
  </r>
  <r>
    <s v="ORD-2024-10239"/>
    <s v="01/12/2024"/>
    <x v="12"/>
    <d v="2024-01-12T00:00:00"/>
    <s v="01/17/2024"/>
    <d v="2024-01-17T00:00:00"/>
    <s v="OK"/>
    <n v="5"/>
    <s v="CUST-2375"/>
    <s v="Arjun Bose"/>
    <s v="Arjun Bose"/>
    <s v="Consumer"/>
    <x v="0"/>
    <s v="South"/>
    <x v="2"/>
    <s v="Andhra Pradesh"/>
    <s v="Andhra Pradesh"/>
    <s v="Vijayawada"/>
    <s v="Vijayawada"/>
    <s v="Office Supplies"/>
    <x v="0"/>
    <s v="Storage"/>
    <x v="8"/>
    <s v="Prime Storage 625"/>
    <s v="First Class"/>
    <x v="2"/>
    <n v="7"/>
    <n v="4005.05"/>
    <n v="0.55000000000000004"/>
    <n v="26633.58"/>
    <n v="18838.75"/>
    <n v="7794.83"/>
    <s v="Paid"/>
    <x v="0"/>
    <s v="Completed"/>
    <x v="0"/>
    <s v="ORD-2024-10239|01-12-2024|01-17-2024|CUST-2375|Arjun Bose|Consumer|South|Andhra Pradesh|Vijayawada|Office Supplies|Storage|Prime Storage 625|First Class|7|4005.05|0.55|26633.58|18838.75|7794.83|Paid|Completed"/>
    <s v="Keep"/>
    <n v="1"/>
    <s v="Unique"/>
    <s v=""/>
    <n v="0.55000000000000004"/>
    <n v="12615.907499999999"/>
    <n v="-6222.8425000000007"/>
    <n v="-0.4932536561480021"/>
    <n v="1"/>
    <n v="2024"/>
    <b v="1"/>
    <b v="1"/>
    <x v="1"/>
    <s v="Discount above 50%; Sales mismatch; Profit mismatch"/>
    <s v="Invalid"/>
  </r>
  <r>
    <s v="ORD-2024-10240"/>
    <s v="21-09-2024"/>
    <x v="21"/>
    <d v="2024-09-21T00:00:00"/>
    <s v="09/21/2024"/>
    <d v="2024-09-21T00:00:00"/>
    <s v="OK"/>
    <n v="0"/>
    <s v="CUST-2233"/>
    <s v="Kabir Singh"/>
    <s v="Kabir Singh"/>
    <s v="Corporate"/>
    <x v="2"/>
    <s v="South"/>
    <x v="2"/>
    <s v="Karnataka"/>
    <s v="Karnataka"/>
    <s v="Bengaluru"/>
    <s v="Bengaluru"/>
    <s v="Technology"/>
    <x v="2"/>
    <s v="Machines"/>
    <x v="12"/>
    <s v="Smart Machines 801"/>
    <s v="First Class"/>
    <x v="2"/>
    <n v="2"/>
    <n v="1960.06"/>
    <n v="0.2"/>
    <n v="3136.1"/>
    <n v="2279.4899999999998"/>
    <n v="856.61"/>
    <s v="Paid"/>
    <x v="0"/>
    <s v="Completed"/>
    <x v="0"/>
    <s v="ORD-2024-10240|21-09-2024|09-21-2024|CUST-2233|Kabir Singh|Corporate|South|Karnataka|Bengaluru|Technology|Machines|Smart Machines 801|First Class|2|1960.06|0.2|3136.1|2279.49|856.61|Paid|Completed"/>
    <s v="Keep"/>
    <n v="1"/>
    <s v="Unique"/>
    <s v=""/>
    <n v="0.2"/>
    <n v="3136.096"/>
    <n v="856.60600000000022"/>
    <n v="0.273144061916472"/>
    <n v="9"/>
    <n v="2024"/>
    <b v="0"/>
    <b v="0"/>
    <x v="0"/>
    <s v=""/>
    <s v="Clean"/>
  </r>
  <r>
    <s v="ORD-2024-10241"/>
    <s v="17 Dec 2024"/>
    <x v="10"/>
    <d v="2024-12-17T00:00:00"/>
    <s v="23-12-2024"/>
    <d v="2024-12-23T00:00:00"/>
    <s v="OK"/>
    <n v="6"/>
    <s v="CUST-9778"/>
    <s v="Aarav Sharma"/>
    <s v="Aarav Sharma"/>
    <s v="Corporate"/>
    <x v="2"/>
    <s v="South"/>
    <x v="2"/>
    <s v="Telangana"/>
    <s v="Telangana"/>
    <s v="Hyderabad"/>
    <s v="Hyderabad"/>
    <s v="Office Supplies"/>
    <x v="0"/>
    <s v="Binders"/>
    <x v="9"/>
    <s v="Max Binders 170"/>
    <s v="First Class"/>
    <x v="2"/>
    <n v="9"/>
    <n v="2315.1"/>
    <n v="0"/>
    <n v="20835.900000000001"/>
    <n v="13928.19"/>
    <n v="6907.71"/>
    <s v="Paid"/>
    <x v="0"/>
    <s v="Completed"/>
    <x v="0"/>
    <s v="ORD-2024-10241|12-17-2024|23-12-2024|CUST-9778|Aarav Sharma|Corporate|South|Telangana|Hyderabad|Office Supplies|Binders|Max Binders 170|First Class|9|2315.1|0|20835.9|13928.19|6907.71|Paid|Completed"/>
    <s v="Keep"/>
    <n v="1"/>
    <s v="Unique"/>
    <s v=""/>
    <n v="0"/>
    <n v="20835.899999999998"/>
    <n v="6907.7099999999973"/>
    <n v="0.33152923559817421"/>
    <n v="12"/>
    <n v="2024"/>
    <b v="0"/>
    <b v="0"/>
    <x v="0"/>
    <s v=""/>
    <s v="Clean"/>
  </r>
  <r>
    <s v="ORD-2025-10242"/>
    <s v="07/06/2025"/>
    <x v="13"/>
    <d v="2025-07-06T00:00:00"/>
    <s v="06-07-2025"/>
    <d v="2025-07-06T00:00:00"/>
    <s v="OK"/>
    <n v="0"/>
    <s v="CUST-6949"/>
    <s v="Sneha Kapoor"/>
    <s v="Sneha Kapoor"/>
    <s v="Corporate"/>
    <x v="2"/>
    <s v="North"/>
    <x v="0"/>
    <s v="Haryana"/>
    <s v="Haryana"/>
    <s v="Gurugram"/>
    <s v="Gurugram"/>
    <s v="Office Supplies"/>
    <x v="0"/>
    <s v="Storage"/>
    <x v="8"/>
    <s v="Basic Storage 737"/>
    <s v="Standard Class"/>
    <x v="3"/>
    <n v="1"/>
    <n v="1617.2"/>
    <n v="0.25"/>
    <n v="1212.9000000000001"/>
    <n v="690.52"/>
    <n v="522.38"/>
    <s v="Pending"/>
    <x v="2"/>
    <s v="Returned"/>
    <x v="2"/>
    <s v="ORD-2025-10242|07-06-2025|06-07-2025|CUST-6949|Sneha Kapoor|Corporate|North|Haryana|Gurugram|Office Supplies|Storage|Basic Storage 737|Standard Class|1|1617.2|0.25|1212.9|690.52|522.38|Pending|Returned"/>
    <s v="Keep"/>
    <n v="1"/>
    <s v="Unique"/>
    <s v=""/>
    <n v="0.25"/>
    <n v="1212.9000000000001"/>
    <n v="522.38000000000011"/>
    <n v="0.4306867837414462"/>
    <n v="7"/>
    <n v="2025"/>
    <b v="0"/>
    <b v="0"/>
    <x v="1"/>
    <s v="Returned order excluded"/>
    <s v="Warning"/>
  </r>
  <r>
    <s v="ORD-2025-10243"/>
    <s v="07 Feb 2025"/>
    <x v="7"/>
    <d v="2025-02-07T00:00:00"/>
    <s v="2025-02-07"/>
    <d v="2025-02-07T00:00:00"/>
    <s v="OK"/>
    <n v="0"/>
    <s v="CUST-3430"/>
    <s v="Arjun Bose"/>
    <s v="Arjun Bose"/>
    <s v="Consumer"/>
    <x v="0"/>
    <s v="North"/>
    <x v="0"/>
    <s v="Uttar Pradesh"/>
    <s v="Uttar Pradesh"/>
    <s v="Noida"/>
    <s v="Noida"/>
    <s v="Office Supplies"/>
    <x v="0"/>
    <s v="Art"/>
    <x v="2"/>
    <s v="Classic Art 126"/>
    <s v="Second Class"/>
    <x v="0"/>
    <n v="3"/>
    <n v="1999.24"/>
    <n v="0.05"/>
    <n v="5697.83"/>
    <n v="4251.5"/>
    <n v="1446.33"/>
    <s v="Paid"/>
    <x v="0"/>
    <s v="Completed"/>
    <x v="0"/>
    <s v="ORD-2025-10243|02-07-2025|02-07-2025|CUST-3430|Arjun Bose|Consumer|North|Uttar Pradesh|Noida|Office Supplies|Art|Classic Art 126|Second Class|3|1999.24|0.05|5697.83|4251.5|1446.33|Paid|Completed"/>
    <s v="Keep"/>
    <n v="1"/>
    <s v="Unique"/>
    <s v=""/>
    <n v="0.05"/>
    <n v="5697.8339999999998"/>
    <n v="1446.3339999999998"/>
    <n v="0.25383926593860051"/>
    <n v="2"/>
    <n v="2025"/>
    <b v="0"/>
    <b v="0"/>
    <x v="0"/>
    <s v=""/>
    <s v="Clean"/>
  </r>
  <r>
    <s v="ORD-2025-10244"/>
    <s v="29-07-2025"/>
    <x v="13"/>
    <d v="2025-07-29T00:00:00"/>
    <s v="02 Aug 2025"/>
    <d v="2025-08-02T00:00:00"/>
    <s v="OK"/>
    <n v="4"/>
    <s v="CUST-6310"/>
    <s v="Sneha Kapoor"/>
    <s v="Sneha Kapoor"/>
    <s v="Small Business"/>
    <x v="1"/>
    <m/>
    <x v="4"/>
    <s v="Madhya Pradesh"/>
    <s v="Madhya Pradesh"/>
    <s v="Indore"/>
    <s v="Indore"/>
    <s v="Technology"/>
    <x v="2"/>
    <s v="Accessories"/>
    <x v="5"/>
    <s v="Prime Accessories 243"/>
    <s v="First Class"/>
    <x v="2"/>
    <n v="1"/>
    <n v="4499.46"/>
    <n v="0.1"/>
    <n v="4049.51"/>
    <n v="2509.1999999999998"/>
    <n v="1540.31"/>
    <s v="Paid"/>
    <x v="0"/>
    <s v="Completed"/>
    <x v="0"/>
    <s v="ORD-2025-10244|29-07-2025|08-02-2025|CUST-6310|Sneha Kapoor|Small Business||Madhya Pradesh|Indore|Technology|Accessories|Prime Accessories 243|First Class|1|4499.46|0.1|4049.51|2509.2|1540.31|Paid|completed"/>
    <s v="Keep"/>
    <n v="1"/>
    <s v="Unique"/>
    <s v=""/>
    <n v="0.1"/>
    <n v="4049.5140000000001"/>
    <n v="1540.3140000000003"/>
    <n v="0.38037008885510715"/>
    <n v="7"/>
    <n v="2025"/>
    <b v="0"/>
    <b v="0"/>
    <x v="0"/>
    <s v="Missing region filled as Unknown"/>
    <s v="Warning"/>
  </r>
  <r>
    <s v="ORD-2024-10245"/>
    <s v="08/23/2024"/>
    <x v="1"/>
    <d v="2024-08-23T00:00:00"/>
    <s v="2024-08-24"/>
    <d v="2024-08-24T00:00:00"/>
    <s v="OK"/>
    <n v="1"/>
    <s v="CUST-6008"/>
    <s v="Neha Gupta"/>
    <s v="Neha Gupta"/>
    <s v="Consumer"/>
    <x v="0"/>
    <s v="South"/>
    <x v="2"/>
    <s v="Telangana"/>
    <s v="Telangana"/>
    <s v="Hyderabad"/>
    <s v="Hyderabad"/>
    <s v="Furniture"/>
    <x v="1"/>
    <s v="Bookcases"/>
    <x v="10"/>
    <s v="Eco Bookcases 768"/>
    <s v="Same Day"/>
    <x v="1"/>
    <n v="6"/>
    <n v="1021.89"/>
    <n v="0"/>
    <n v="6131.34"/>
    <n v="4060.88"/>
    <n v="2070.46"/>
    <s v="Paid"/>
    <x v="0"/>
    <s v="Completed"/>
    <x v="0"/>
    <s v="ORD-2024-10245|08-23-2024|08-24-2024|CUST-6008|Neha Gupta|Consumer|South|Telangana|Hyderabad|Furniture|Bookcases|Eco Bookcases 768|Same Day|6|1021.89|0|6131.34|4060.88|2070.46|Paid|Completed"/>
    <s v="Keep"/>
    <n v="1"/>
    <s v="Unique"/>
    <s v=""/>
    <n v="0"/>
    <n v="6131.34"/>
    <n v="2070.46"/>
    <n v="0.33768474754295147"/>
    <n v="8"/>
    <n v="2024"/>
    <b v="0"/>
    <b v="0"/>
    <x v="0"/>
    <s v=""/>
    <s v="Clean"/>
  </r>
  <r>
    <s v="ORD-2024-10246"/>
    <s v="10/18/2024"/>
    <x v="16"/>
    <d v="2024-10-18T00:00:00"/>
    <s v="24-10-2024"/>
    <d v="2024-10-24T00:00:00"/>
    <s v="OK"/>
    <n v="6"/>
    <s v="CUST-1704"/>
    <s v="Neha Gupta"/>
    <s v="Neha Gupta"/>
    <s v="Home Office"/>
    <x v="3"/>
    <s v="South"/>
    <x v="2"/>
    <s v="Kerala"/>
    <s v="Kerala"/>
    <s v="Kochi"/>
    <s v="Kochi"/>
    <s v="Furniture"/>
    <x v="1"/>
    <s v="Chairs"/>
    <x v="4"/>
    <s v="Pro Chairs 316"/>
    <s v="Second Class"/>
    <x v="0"/>
    <n v="3"/>
    <n v="3275.93"/>
    <n v="0"/>
    <n v="9827.7900000000009"/>
    <n v="5478.28"/>
    <n v="4349.51"/>
    <s v="Paid"/>
    <x v="0"/>
    <s v="Completed"/>
    <x v="0"/>
    <s v="ORD-2024-10246|10-18-2024|24-10-2024|CUST-1704|Neha Gupta|Home Office|South|Kerala|Kochi|FURNITURE|Chairs|Pro Chairs 316|Second Class|3|3275.93|0|9827.79|5478.28|4349.51|Paid|Completed"/>
    <s v="Keep"/>
    <n v="1"/>
    <s v="Unique"/>
    <s v=""/>
    <n v="0"/>
    <n v="9827.7899999999991"/>
    <n v="4349.5099999999993"/>
    <n v="0.44257254174132737"/>
    <n v="10"/>
    <n v="2024"/>
    <b v="0"/>
    <b v="0"/>
    <x v="0"/>
    <s v=""/>
    <s v="Clean"/>
  </r>
  <r>
    <s v="ORD-2024-10247"/>
    <s v="04 May 2024"/>
    <x v="5"/>
    <d v="2024-05-04T00:00:00"/>
    <s v="09 May 2024"/>
    <d v="2024-05-09T00:00:00"/>
    <s v="OK"/>
    <n v="5"/>
    <s v="CUST-1827"/>
    <s v="Ananya Rao"/>
    <s v="Ananya Rao"/>
    <s v="Corporate"/>
    <x v="2"/>
    <s v="North"/>
    <x v="0"/>
    <s v="Punjab"/>
    <s v="Punjab"/>
    <s v="Ludhiana"/>
    <s v="Ludhiana"/>
    <s v="Technology"/>
    <x v="2"/>
    <s v="Machines"/>
    <x v="12"/>
    <s v="Classic Machines 819"/>
    <s v="Same Day"/>
    <x v="1"/>
    <n v="3"/>
    <n v="231.95"/>
    <n v="0.25"/>
    <n v="521.89"/>
    <n v="444.52"/>
    <n v="77.37"/>
    <s v="Refunded"/>
    <x v="1"/>
    <s v="Cancelled"/>
    <x v="1"/>
    <s v="ORD-2024-10247|05-04-2024|05-09-2024|CUST-1827|Ananya Rao|Corporate|North|Punjab|Ludhiana|Technology|Machines|Classic Machines 819|Same Day|3|231.95|0.25|521.89|444.52|77.37|Refunded|Cancelled"/>
    <s v="Keep"/>
    <n v="1"/>
    <s v="Unique"/>
    <s v=""/>
    <n v="0.25"/>
    <n v="521.88749999999993"/>
    <n v="77.36749999999995"/>
    <n v="0.14824555100476627"/>
    <n v="5"/>
    <n v="2024"/>
    <b v="0"/>
    <b v="0"/>
    <x v="1"/>
    <s v="Refunded order summarized separately; Cancelled order excluded"/>
    <s v="Warning"/>
  </r>
  <r>
    <s v="ORD-2024-10248"/>
    <s v="07/25/2024"/>
    <x v="0"/>
    <d v="2024-07-25T00:00:00"/>
    <s v="01 Aug 2024"/>
    <d v="2024-08-01T00:00:00"/>
    <s v="OK"/>
    <n v="7"/>
    <s v="CUST-6663"/>
    <s v="Rahul Verma"/>
    <s v="Rahul Verma"/>
    <s v="Corporate"/>
    <x v="2"/>
    <s v="North"/>
    <x v="0"/>
    <s v="Rajasthan"/>
    <s v="Rajasthan"/>
    <s v="Jaipur"/>
    <s v="Jaipur"/>
    <s v="Technology"/>
    <x v="2"/>
    <s v="Accessories"/>
    <x v="5"/>
    <s v="Smart Accessories 572"/>
    <s v="Second Class"/>
    <x v="0"/>
    <n v="8"/>
    <n v="2493.4"/>
    <n v="0.25"/>
    <n v="14960.4"/>
    <n v="12500.84"/>
    <n v="2459.56"/>
    <s v="Paid"/>
    <x v="0"/>
    <s v="Completed"/>
    <x v="0"/>
    <s v="ORD-2024-10248|07-25-2024|08-01-2024|CUST-6663|Rahul Verma|Corporate|North|Rajasthan|Jaipur|Technology|Accessories|Smart Accessories 572|Second Class|8|2493.4|0.25|14960.4|12500.84|2459.56|Paid|Completed"/>
    <s v="Keep"/>
    <n v="1"/>
    <s v="Unique"/>
    <s v=""/>
    <n v="0.25"/>
    <n v="14960.400000000001"/>
    <n v="2459.5600000000013"/>
    <n v="0.16440469506162944"/>
    <n v="7"/>
    <n v="2024"/>
    <b v="0"/>
    <b v="0"/>
    <x v="0"/>
    <s v=""/>
    <s v="Clean"/>
  </r>
  <r>
    <s v="ORD-2024-10249"/>
    <s v="06/02/2024"/>
    <x v="2"/>
    <d v="2024-06-02T00:00:00"/>
    <s v="07-06-2024"/>
    <d v="2024-06-07T00:00:00"/>
    <s v="OK"/>
    <n v="5"/>
    <s v="CUST-6278"/>
    <s v="Rohan Mehta"/>
    <s v="Rohan Mehta"/>
    <s v="Home Office"/>
    <x v="3"/>
    <s v="East"/>
    <x v="1"/>
    <s v="Odisha"/>
    <s v="Odisha"/>
    <s v="Bhubaneswar"/>
    <s v="Bhubaneswar"/>
    <s v="Office Supplies"/>
    <x v="0"/>
    <s v="Labels"/>
    <x v="7"/>
    <s v="Basic Labels 432"/>
    <s v="Second Class"/>
    <x v="0"/>
    <n v="9"/>
    <n v="787.91"/>
    <n v="0.15"/>
    <n v="6027.51"/>
    <n v="4883.82"/>
    <n v="1143.69"/>
    <s v="Paid"/>
    <x v="0"/>
    <s v="Completed"/>
    <x v="0"/>
    <s v="ORD-2024-10249|06-02-2024|07-06-2024|CUST-6278|Rohan Mehta|Home Office|East|Odisha|Bhubaneswar|Office Supplies|Labels|Basic Labels 432|Second Class|9|787.91|0.15|6027.51|4883.82|1143.69|Paid|Completed"/>
    <s v="Keep"/>
    <n v="1"/>
    <s v="Unique"/>
    <s v=""/>
    <n v="0.15"/>
    <n v="6027.5114999999996"/>
    <n v="1143.6914999999999"/>
    <n v="0.18974522072666306"/>
    <n v="6"/>
    <n v="2024"/>
    <b v="0"/>
    <b v="0"/>
    <x v="0"/>
    <s v=""/>
    <s v="Clean"/>
  </r>
  <r>
    <s v="ORD-2025-10250"/>
    <s v="08/01/2025"/>
    <x v="4"/>
    <d v="2025-08-01T00:00:00"/>
    <s v="08/02/2025"/>
    <d v="2025-08-02T00:00:00"/>
    <s v="OK"/>
    <n v="1"/>
    <s v="CUST-2305"/>
    <s v="Mira Das"/>
    <s v="Mira Das"/>
    <s v="Corporate"/>
    <x v="2"/>
    <s v="North"/>
    <x v="0"/>
    <s v="Rajasthan"/>
    <s v="Rajasthan"/>
    <s v="Jaipur"/>
    <s v="Jaipur"/>
    <s v="Furniture"/>
    <x v="1"/>
    <s v="Furnishings"/>
    <x v="3"/>
    <s v="Classic Furnishings 378"/>
    <s v="First Class"/>
    <x v="2"/>
    <n v="4"/>
    <n v="2790.29"/>
    <n v="0.2"/>
    <n v="8928.93"/>
    <n v="5634.38"/>
    <n v="3294.55"/>
    <s v="Paid"/>
    <x v="0"/>
    <s v="Completed"/>
    <x v="0"/>
    <s v="ORD-2025-10250|08-01-2025|08-02-2025|CUST-2305|Mira Das|Corporate|North|Rajasthan|Jaipur|Furniture|Furnishings|Classic Furnishings 378|First Class|4|2790.29|0.2|8928.93|5634.38|3294.55|Paid|Completed"/>
    <s v="Keep"/>
    <n v="1"/>
    <s v="Unique"/>
    <s v=""/>
    <n v="0.2"/>
    <n v="8928.9279999999999"/>
    <n v="3294.5479999999998"/>
    <n v="0.36897464062875185"/>
    <n v="8"/>
    <n v="2025"/>
    <b v="0"/>
    <b v="0"/>
    <x v="0"/>
    <s v=""/>
    <s v="Clean"/>
  </r>
  <r>
    <s v="ORD-2024-10251"/>
    <s v="02/21/2024"/>
    <x v="17"/>
    <d v="2024-02-21T00:00:00"/>
    <s v="02/27/2024"/>
    <d v="2024-02-27T00:00:00"/>
    <s v="OK"/>
    <n v="6"/>
    <s v="CUST-5351"/>
    <s v="Arjun Bose"/>
    <s v="Arjun Bose"/>
    <s v="Small Business"/>
    <x v="1"/>
    <s v="East"/>
    <x v="1"/>
    <s v="West Bengal"/>
    <s v="West Bengal"/>
    <s v="Kolkata"/>
    <s v="Kolkata"/>
    <s v="Furniture"/>
    <x v="1"/>
    <s v="Furnishings"/>
    <x v="3"/>
    <s v="Prime Furnishings 781"/>
    <s v="Standard Class"/>
    <x v="3"/>
    <n v="5"/>
    <n v="3373.86"/>
    <n v="0.15"/>
    <n v="14338.9"/>
    <n v="11897.65"/>
    <n v="2441.25"/>
    <s v="Pending"/>
    <x v="2"/>
    <s v="Returned"/>
    <x v="2"/>
    <s v="ORD-2024-10251|02-21-2024|02-27-2024|CUST-5351|Arjun Bose|Small Business|East|West Bengal|Kolkata|Furniture|Furnishings|Prime Furnishings 781|Standard Class|5|3373.86|0.15|14338.9|11897.65|2441.25|Pending|Returned"/>
    <s v="Keep"/>
    <n v="1"/>
    <s v="Unique"/>
    <s v=""/>
    <n v="0.15"/>
    <n v="14338.904999999999"/>
    <n v="2441.2549999999992"/>
    <n v="0.17025393501107647"/>
    <n v="2"/>
    <n v="2024"/>
    <b v="0"/>
    <b v="0"/>
    <x v="1"/>
    <s v="Returned order excluded"/>
    <s v="Warning"/>
  </r>
  <r>
    <s v="ORD-2025-10252"/>
    <s v="2025-04-06"/>
    <x v="6"/>
    <d v="2025-04-06T00:00:00"/>
    <s v="04/10/2025"/>
    <d v="2025-04-10T00:00:00"/>
    <s v="OK"/>
    <n v="4"/>
    <s v="CUST-6268"/>
    <s v="Ananya Rao"/>
    <s v="Ananya Rao"/>
    <s v="Corporate"/>
    <x v="2"/>
    <s v="West"/>
    <x v="3"/>
    <s v="Gujarat"/>
    <s v="Gujarat"/>
    <s v="Ahmedabad"/>
    <s v="Ahmedabad"/>
    <s v="Furniture"/>
    <x v="1"/>
    <s v="Tables"/>
    <x v="1"/>
    <s v="Prime Tables 263"/>
    <s v="Second Class"/>
    <x v="0"/>
    <n v="6"/>
    <n v="1022.16"/>
    <n v="0"/>
    <n v="6132.96"/>
    <n v="4881.1000000000004"/>
    <n v="1251.8599999999999"/>
    <s v="Paid"/>
    <x v="0"/>
    <s v="Completed"/>
    <x v="0"/>
    <s v="ORD-2025-10252|04-06-2025|04-10-2025|CUST-6268|Ananya Rao|Corporate|West|Gujarat|Ahmedabad|Furniture|Tables|Prime Tables 263|Second Class|6|1022.16|0|6132.96|4881.1|1251.86|Paid|Completed"/>
    <s v="Keep"/>
    <n v="1"/>
    <s v="Unique"/>
    <s v=""/>
    <n v="0"/>
    <n v="6132.96"/>
    <n v="1251.8599999999997"/>
    <n v="0.20412003339333692"/>
    <n v="4"/>
    <n v="2025"/>
    <b v="0"/>
    <b v="0"/>
    <x v="0"/>
    <s v=""/>
    <s v="Clean"/>
  </r>
  <r>
    <s v="ORD-2025-10253"/>
    <s v="25-06-2025"/>
    <x v="18"/>
    <d v="2025-06-25T00:00:00"/>
    <s v="2025-06-28"/>
    <d v="2025-06-28T00:00:00"/>
    <s v="OK"/>
    <n v="3"/>
    <s v="CUST-2103"/>
    <s v="Arjun Bose"/>
    <s v="Arjun Bose"/>
    <s v="Corporate"/>
    <x v="2"/>
    <s v="North"/>
    <x v="0"/>
    <s v="Haryana"/>
    <s v="Haryana"/>
    <s v="Gurugram"/>
    <s v="Gurugram"/>
    <s v="Office Supplies"/>
    <x v="0"/>
    <s v="Storage"/>
    <x v="8"/>
    <s v="Basic Storage 269"/>
    <s v="First Class"/>
    <x v="2"/>
    <n v="2"/>
    <n v="1455.92"/>
    <n v="0.2"/>
    <n v="2329.4699999999998"/>
    <n v="1603.62"/>
    <n v="725.85"/>
    <s v="Pending"/>
    <x v="2"/>
    <s v="Returned"/>
    <x v="2"/>
    <s v="ORD-2025-10253|25-06-2025|06-28-2025|CUST-2103|Arjun Bose|Corporate|North|Haryana|Gurugram|Office Supplies|Storage|Basic Storage 269|First Class|2|1455.92|0.2|2329.47|1603.62|725.85|Pending|Returned"/>
    <s v="Keep"/>
    <n v="1"/>
    <s v="Unique"/>
    <s v=""/>
    <n v="0.2"/>
    <n v="2329.4720000000002"/>
    <n v="725.85200000000032"/>
    <n v="0.31159507390515973"/>
    <n v="6"/>
    <n v="2025"/>
    <b v="0"/>
    <b v="0"/>
    <x v="1"/>
    <s v="Returned order excluded"/>
    <s v="Warning"/>
  </r>
  <r>
    <s v="ORD-2024-10254"/>
    <s v="2024-09-12"/>
    <x v="21"/>
    <d v="2024-09-12T00:00:00"/>
    <s v="09/13/2024"/>
    <d v="2024-09-13T00:00:00"/>
    <s v="OK"/>
    <n v="1"/>
    <s v="CUST-5394"/>
    <s v="Priya Menon"/>
    <s v="Priya Menon"/>
    <s v="Small Business"/>
    <x v="1"/>
    <s v="North"/>
    <x v="0"/>
    <s v="Rajasthan"/>
    <s v="Rajasthan"/>
    <s v="Jaipur"/>
    <s v="Jaipur"/>
    <s v="Technology"/>
    <x v="2"/>
    <s v="Phones"/>
    <x v="11"/>
    <s v="Classic Phones 442"/>
    <s v="Same Day"/>
    <x v="1"/>
    <n v="6"/>
    <n v="832.79"/>
    <n v="0.05"/>
    <n v="4746.8999999999996"/>
    <n v="2825.38"/>
    <n v="1472.89"/>
    <s v="Refunded"/>
    <x v="1"/>
    <s v="Cancelled"/>
    <x v="1"/>
    <s v="ORD-2024-10254|09-12-2024|09-13-2024|CUST-5394|Priya Menon|Small Business|North|Rajasthan|Jaipur|Technology|Phones|Classic Phones 442|Same Day|6|832.79|0.05|4746.9|2825.38|1472.89|Refunded|Cancelled"/>
    <s v="Keep"/>
    <n v="1"/>
    <s v="Unique"/>
    <s v=""/>
    <n v="0.05"/>
    <n v="4746.9029999999993"/>
    <n v="1921.5229999999992"/>
    <n v="0.40479508428969363"/>
    <n v="9"/>
    <n v="2024"/>
    <b v="0"/>
    <b v="1"/>
    <x v="1"/>
    <s v="Refunded order summarized separately; Cancelled order excluded; Profit mismatch"/>
    <s v="Invalid"/>
  </r>
  <r>
    <s v="ORD-2025-10255"/>
    <s v="01/01/2025"/>
    <x v="14"/>
    <d v="2025-01-01T00:00:00"/>
    <s v="03-01-2025"/>
    <d v="2025-01-03T00:00:00"/>
    <s v="OK"/>
    <n v="2"/>
    <s v="CUST-6853"/>
    <s v="Ananya Rao"/>
    <s v="Ananya Rao"/>
    <s v="Consumer"/>
    <x v="0"/>
    <s v="West"/>
    <x v="3"/>
    <s v="Madhya Pradesh"/>
    <s v="Madhya Pradesh"/>
    <s v="Indore"/>
    <s v="Indore"/>
    <s v="Technology"/>
    <x v="2"/>
    <s v="Accessories"/>
    <x v="5"/>
    <s v="Elite Accessories 978"/>
    <s v="Same Day"/>
    <x v="1"/>
    <n v="7"/>
    <n v="1000.55"/>
    <n v="0.2"/>
    <n v="5603.08"/>
    <n v="3132.52"/>
    <n v="2470.56"/>
    <s v="Paid"/>
    <x v="0"/>
    <s v="Returned"/>
    <x v="2"/>
    <s v="ORD-2025-10255|01-01-2025|03-01-2025|CUST-6853|Ananya Rao|Consumer|West|Madhya Pradesh|Indore|Technology|Accessories|Elite Accessories 978|Same Day|7|1000.55|0.2|5603.08|3132.52|2470.56|Paid|Returned"/>
    <s v="Keep"/>
    <n v="1"/>
    <s v="Unique"/>
    <s v=""/>
    <n v="0.2"/>
    <n v="5603.08"/>
    <n v="2470.56"/>
    <n v="0.44092891766671188"/>
    <n v="1"/>
    <n v="2025"/>
    <b v="0"/>
    <b v="0"/>
    <x v="1"/>
    <s v="Returned order excluded"/>
    <s v="Warning"/>
  </r>
  <r>
    <s v="ORD-2025-10256"/>
    <s v="2025-02-04"/>
    <x v="7"/>
    <d v="2025-02-04T00:00:00"/>
    <s v="02/10/2025"/>
    <d v="2025-02-10T00:00:00"/>
    <s v="OK"/>
    <n v="6"/>
    <s v="CUST-1549"/>
    <s v="Isha Nair"/>
    <s v="Isha Nair"/>
    <s v="Corporate"/>
    <x v="2"/>
    <s v="West"/>
    <x v="3"/>
    <s v="Maharashtra"/>
    <s v="Maharashtra"/>
    <s v="Mumbai"/>
    <s v="Mumbai"/>
    <s v="Technology"/>
    <x v="2"/>
    <s v="Phones"/>
    <x v="11"/>
    <s v="Eco Phones 132"/>
    <s v="First Class"/>
    <x v="2"/>
    <n v="7"/>
    <n v="1830"/>
    <n v="0"/>
    <n v="12810"/>
    <n v="9334.1200000000008"/>
    <n v="3475.88"/>
    <s v="Paid"/>
    <x v="0"/>
    <s v="Completed"/>
    <x v="0"/>
    <s v="ORD-2025-10256|02-04-2025|02-10-2025|CUST-1549|Isha Nair|Corporate|West|Maharashtra|Mumbai|Technology|Phones|Eco Phones 132|First Class|7|1830|0|12810|9334.12|3475.88|Paid|Completed"/>
    <s v="Keep"/>
    <n v="1"/>
    <s v="Unique"/>
    <s v=""/>
    <n v="0"/>
    <n v="12810"/>
    <n v="3475.8799999999992"/>
    <n v="0.27134113973458229"/>
    <n v="2"/>
    <n v="2025"/>
    <b v="0"/>
    <b v="0"/>
    <x v="0"/>
    <s v=""/>
    <s v="Clean"/>
  </r>
  <r>
    <s v="ORD-2024-10257"/>
    <s v="2024-11-05"/>
    <x v="3"/>
    <d v="2024-11-05T00:00:00"/>
    <s v="03 Nov 2024"/>
    <d v="2024-11-03T00:00:00"/>
    <s v="Ship date before order date"/>
    <n v="-2"/>
    <s v="CUST-8411"/>
    <s v="Ananya Rao"/>
    <s v="Ananya Rao"/>
    <s v="Consumer"/>
    <x v="0"/>
    <s v="East"/>
    <x v="1"/>
    <s v="West Bengal"/>
    <s v="West Bengal"/>
    <s v="Kolkata"/>
    <s v="Kolkata"/>
    <s v="Furniture"/>
    <x v="1"/>
    <s v="Tables"/>
    <x v="1"/>
    <s v="Prime Tables 481"/>
    <s v="First Class"/>
    <x v="2"/>
    <n v="9"/>
    <n v="2260.61"/>
    <n v="0.05"/>
    <n v="19328.22"/>
    <n v="12039.5"/>
    <n v="7288.72"/>
    <s v="Paid"/>
    <x v="0"/>
    <s v="Completed"/>
    <x v="0"/>
    <s v="ORD-2024-10257|11-05-2024|11-03-2024|CUST-8411|Ananya Rao|Consumer|East|West Bengal|Kolkata|Furniture|Tables|Prime Tables 481|First Class|9|2260.61|0.05|19328.22|12039.5|7288.72|Paid|Completed"/>
    <s v="Keep"/>
    <n v="1"/>
    <s v="Unique"/>
    <s v=""/>
    <n v="0.05"/>
    <n v="19328.215500000002"/>
    <n v="7288.7155000000021"/>
    <n v="0.3771023507058891"/>
    <n v="11"/>
    <n v="2024"/>
    <b v="0"/>
    <b v="0"/>
    <x v="1"/>
    <s v="Ship date before order date"/>
    <s v="Invalid"/>
  </r>
  <r>
    <s v="ORD-2025-10258"/>
    <s v="2025-08-09"/>
    <x v="4"/>
    <d v="2025-08-09T00:00:00"/>
    <s v="2025-08-12"/>
    <d v="2025-08-12T00:00:00"/>
    <s v="OK"/>
    <n v="3"/>
    <s v="CUST-5615"/>
    <s v="Diya Patel"/>
    <s v="Diya Patel"/>
    <s v="Corporate"/>
    <x v="2"/>
    <s v="South"/>
    <x v="2"/>
    <s v="Karnataka"/>
    <s v="Karnataka"/>
    <s v="Bengaluru"/>
    <s v="Bengaluru"/>
    <s v="Technology"/>
    <x v="2"/>
    <s v="Accessories"/>
    <x v="5"/>
    <s v="Smart Accessories 180"/>
    <s v="Second Class"/>
    <x v="0"/>
    <n v="2"/>
    <n v="3237.27"/>
    <n v="0"/>
    <n v="6474.54"/>
    <n v="5095.91"/>
    <n v="1378.63"/>
    <s v="Paid"/>
    <x v="0"/>
    <s v="Cancelled"/>
    <x v="1"/>
    <s v="ORD-2025-10258|08-09-2025|08-12-2025|CUST-5615|Diya Patel|Corporate|South|Karnataka|Bengaluru|Technology|Accessories|Smart Accessories 180|Second Class|2|3237.27|0|6474.54|5095.91|1378.63|Paid|Cancelled"/>
    <s v="Keep"/>
    <n v="1"/>
    <s v="Unique"/>
    <s v=""/>
    <n v="0"/>
    <n v="6474.54"/>
    <n v="1378.63"/>
    <n v="0.21293095725719513"/>
    <n v="8"/>
    <n v="2025"/>
    <b v="0"/>
    <b v="0"/>
    <x v="1"/>
    <s v="Cancelled order excluded"/>
    <s v="Warning"/>
  </r>
  <r>
    <s v="ORD-2024-10259"/>
    <s v="2024-12-30"/>
    <x v="10"/>
    <d v="2024-12-30T00:00:00"/>
    <s v="2025-01-04"/>
    <d v="2025-01-04T00:00:00"/>
    <s v="OK"/>
    <n v="5"/>
    <s v="CUST-8467"/>
    <s v="Sneha Kapoor"/>
    <s v="Sneha Kapoor"/>
    <s v="Corporate"/>
    <x v="2"/>
    <s v="South"/>
    <x v="2"/>
    <s v="Tamil Nadu"/>
    <s v="Tamil Nadu"/>
    <s v="Chennai"/>
    <s v="Chennai"/>
    <s v="Furniture"/>
    <x v="1"/>
    <s v="Tables"/>
    <x v="1"/>
    <s v="Smart Tables 774"/>
    <s v="Same Day"/>
    <x v="1"/>
    <n v="2"/>
    <n v="3720.07"/>
    <n v="0.25"/>
    <n v="5580.11"/>
    <n v="4307.01"/>
    <n v="1273.0999999999999"/>
    <s v="Paid"/>
    <x v="0"/>
    <s v="Completed"/>
    <x v="0"/>
    <s v="ORD-2024-10259|12-30-2024|01-04-2025|CUST-8467|Sneha Kapoor|Corporate|South|Tamil Nadu|Chennai|Furniture|Tables|Smart Tables 774|Same Day|2|3720.07|0.25|5580.11|4307.01|1273.1|Paid|Completed"/>
    <s v="Keep"/>
    <n v="1"/>
    <s v="Unique"/>
    <s v=""/>
    <n v="0.25"/>
    <n v="5580.1050000000005"/>
    <n v="1273.0950000000003"/>
    <n v="0.22814893268137429"/>
    <n v="12"/>
    <n v="2024"/>
    <b v="0"/>
    <b v="0"/>
    <x v="0"/>
    <s v=""/>
    <s v="Clean"/>
  </r>
  <r>
    <s v="ORD-2024-10260"/>
    <s v="06/21/2024"/>
    <x v="2"/>
    <d v="2024-06-21T00:00:00"/>
    <s v="29 Jun 2024"/>
    <d v="2024-06-29T00:00:00"/>
    <s v="OK"/>
    <n v="8"/>
    <s v="CUST-5174"/>
    <s v="Neha Gupta"/>
    <s v="Neha Gupta"/>
    <s v="Consumer"/>
    <x v="0"/>
    <s v="South"/>
    <x v="2"/>
    <s v="Tamil Nadu"/>
    <s v="Tamil Nadu"/>
    <s v="Chennai"/>
    <s v="Chennai"/>
    <s v="Technology"/>
    <x v="2"/>
    <s v="Machines"/>
    <x v="12"/>
    <s v="Prime Machines 793"/>
    <s v="Standard Class"/>
    <x v="3"/>
    <n v="8"/>
    <n v="2853.92"/>
    <n v="0.2"/>
    <n v="18265.09"/>
    <n v="10437.14"/>
    <n v="7827.95"/>
    <s v="Paid"/>
    <x v="0"/>
    <s v="Completed"/>
    <x v="0"/>
    <s v="ORD-2024-10260|06-21-2024|06-29-2024|CUST-5174|Neha Gupta|Consumer|South|Tamil Nadu|Chennai|Technology|Machines|Prime Machines 793|Standard Class|8|2853.92|0.2|18265.09|10437.14|7827.95|Paid|Completed"/>
    <s v="Keep"/>
    <n v="1"/>
    <s v="Unique"/>
    <s v=""/>
    <n v="0.2"/>
    <n v="18265.088"/>
    <n v="7827.9480000000003"/>
    <n v="0.42857433810338064"/>
    <n v="6"/>
    <n v="2024"/>
    <b v="0"/>
    <b v="0"/>
    <x v="0"/>
    <s v=""/>
    <s v="Clean"/>
  </r>
  <r>
    <s v="ORD-2025-10261"/>
    <s v="2025-09-23"/>
    <x v="8"/>
    <d v="2025-09-23T00:00:00"/>
    <s v="09/27/2025"/>
    <d v="2025-09-27T00:00:00"/>
    <s v="OK"/>
    <n v="4"/>
    <s v="CUST-3543"/>
    <s v="Aditi Sen"/>
    <s v="Aditi Sen"/>
    <s v="Corporate"/>
    <x v="2"/>
    <s v="East"/>
    <x v="1"/>
    <s v="West Bengal"/>
    <s v="West Bengal"/>
    <s v="Kolkata"/>
    <s v="Kolkata"/>
    <s v="Office Supplies"/>
    <x v="0"/>
    <s v="Binders"/>
    <x v="9"/>
    <s v="Elite Binders 827"/>
    <s v="Same Day"/>
    <x v="1"/>
    <n v="7"/>
    <n v="2897.12"/>
    <n v="0.25"/>
    <n v="15209.88"/>
    <n v="10891.15"/>
    <n v="4318.7299999999996"/>
    <s v="Failed"/>
    <x v="3"/>
    <s v="Returned"/>
    <x v="2"/>
    <s v="ORD-2025-10261|09-23-2025|09-27-2025|CUST-3543|Aditi Sen|Corporate|East|West Bengal|Kolkata|Office Supplies|Binders|Elite Binders 827|Same Day|7|2897.12|0.25|15209.88|10891.15|4318.73|Failed|Returned"/>
    <s v="Keep"/>
    <n v="1"/>
    <s v="Unique"/>
    <s v=""/>
    <n v="0.25"/>
    <n v="15209.880000000001"/>
    <n v="4318.7300000000014"/>
    <n v="0.28394241111698454"/>
    <n v="9"/>
    <n v="2025"/>
    <b v="0"/>
    <b v="0"/>
    <x v="1"/>
    <s v="Failed payment excluded; Returned order excluded"/>
    <s v="Warning"/>
  </r>
  <r>
    <s v="ORD-2025-10262"/>
    <s v="06/18/2025"/>
    <x v="18"/>
    <d v="2025-06-18T00:00:00"/>
    <s v="06/24/2025"/>
    <d v="2025-06-24T00:00:00"/>
    <s v="OK"/>
    <n v="6"/>
    <s v="CUST-7623"/>
    <s v="Sneha Kapoor"/>
    <s v="Sneha Kapoor"/>
    <s v="Corporate"/>
    <x v="2"/>
    <s v="North"/>
    <x v="0"/>
    <s v="Rajasthan"/>
    <s v="Rajasthan"/>
    <s v="Jaipur"/>
    <s v="Jaipur"/>
    <s v="Office Supplies"/>
    <x v="0"/>
    <s v="Labels"/>
    <x v="7"/>
    <s v="Prime Labels 326"/>
    <s v="Standard Class"/>
    <x v="3"/>
    <n v="3"/>
    <n v="686.74"/>
    <n v="0.2"/>
    <n v="1648.18"/>
    <n v="987.91"/>
    <n v="660.27"/>
    <s v="Failed"/>
    <x v="3"/>
    <s v="Cancelled"/>
    <x v="1"/>
    <s v="ORD-2025-10262|06-18-2025|06-24-2025|CUST-7623|Sneha Kapoor|Corporate|North|Rajasthan|Jaipur|Office Supplies|Labels|Prime Labels 326|Standard Class|3|686.74|0.2|1648.18|987.91|660.27|Failed|Cancelled"/>
    <s v="Keep"/>
    <n v="1"/>
    <s v="Unique"/>
    <s v=""/>
    <n v="0.2"/>
    <n v="1648.1760000000004"/>
    <n v="660.26600000000042"/>
    <n v="0.40060406170214846"/>
    <n v="6"/>
    <n v="2025"/>
    <b v="0"/>
    <b v="0"/>
    <x v="1"/>
    <s v="Failed payment excluded; Cancelled order excluded"/>
    <s v="Warning"/>
  </r>
  <r>
    <s v="ORD-2025-10263"/>
    <s v="2025-05-26"/>
    <x v="9"/>
    <d v="2025-05-26T00:00:00"/>
    <s v="01 Jun 2025"/>
    <d v="2025-06-01T00:00:00"/>
    <s v="OK"/>
    <n v="6"/>
    <s v="CUST-6153"/>
    <s v="Arjun Bose"/>
    <s v="Arjun Bose"/>
    <s v="Small Business"/>
    <x v="1"/>
    <s v="North"/>
    <x v="0"/>
    <s v="Delhi"/>
    <s v="Delhi"/>
    <s v="New Delhi"/>
    <s v="New Delhi"/>
    <s v="Technology"/>
    <x v="2"/>
    <s v="Phones"/>
    <x v="11"/>
    <s v="Eco Phones 245"/>
    <s v="Same Day"/>
    <x v="1"/>
    <n v="4"/>
    <n v="3349.86"/>
    <n v="0"/>
    <n v="13399.44"/>
    <n v="8581.35"/>
    <n v="4818.09"/>
    <s v="Pending"/>
    <x v="2"/>
    <s v="Returned"/>
    <x v="2"/>
    <s v="ORD-2025-10263|05-26-2025|06-01-2025|CUST-6153|Arjun Bose|Small Business|North|Delhi|New Delhi|Technology|Phones|Eco Phones 245|Same Day|4|3349.86|0|13399.44|8581.35|4818.09|Pending|Returned"/>
    <s v="Keep"/>
    <n v="1"/>
    <s v="Unique"/>
    <s v=""/>
    <n v="0"/>
    <n v="13399.44"/>
    <n v="4818.09"/>
    <n v="0.3595739821962709"/>
    <n v="5"/>
    <n v="2025"/>
    <b v="0"/>
    <b v="0"/>
    <x v="1"/>
    <s v="Returned order excluded"/>
    <s v="Warning"/>
  </r>
  <r>
    <s v="ORD-2025-10264"/>
    <s v="06 Aug 2025"/>
    <x v="4"/>
    <d v="2025-08-06T00:00:00"/>
    <s v="10-08-2025"/>
    <d v="2025-08-10T00:00:00"/>
    <s v="OK"/>
    <n v="4"/>
    <s v="CUST-8265"/>
    <s v="Rohan Mehta"/>
    <s v="Rohan Mehta"/>
    <s v="Small Business"/>
    <x v="1"/>
    <s v="North"/>
    <x v="0"/>
    <s v="Delhi"/>
    <s v="Delhi"/>
    <s v="New Delhi"/>
    <s v="New Delhi"/>
    <s v="Office Supplies"/>
    <x v="0"/>
    <s v="Binders"/>
    <x v="9"/>
    <s v="Smart Binders 905"/>
    <s v="Second Class"/>
    <x v="0"/>
    <n v="9"/>
    <n v="4042.45"/>
    <n v="0.1"/>
    <n v="32743.84"/>
    <n v="22452.05"/>
    <n v="10291.790000000001"/>
    <s v="Pending"/>
    <x v="2"/>
    <s v="Returned"/>
    <x v="2"/>
    <s v="ORD-2025-10264|08-06-2025|10-08-2025|CUST-8265|Rohan Mehta|Small Business|North|Delhi|New Delhi|Office Supplies|Binders|Smart Binders 905|Second Class|9|4042.45|0.1|32743.84|22452.05|10291.79|Pending|Returned"/>
    <s v="Keep"/>
    <n v="1"/>
    <s v="Unique"/>
    <s v=""/>
    <n v="0.1"/>
    <n v="32743.844999999998"/>
    <n v="10291.794999999998"/>
    <n v="0.314312353970647"/>
    <n v="8"/>
    <n v="2025"/>
    <b v="0"/>
    <b v="0"/>
    <x v="1"/>
    <s v="Returned order excluded"/>
    <s v="Warning"/>
  </r>
  <r>
    <s v="ORD-2024-10265"/>
    <s v="16-05-2024"/>
    <x v="5"/>
    <d v="2024-05-16T00:00:00"/>
    <s v="05/21/2024"/>
    <d v="2024-05-21T00:00:00"/>
    <s v="OK"/>
    <n v="5"/>
    <s v="CUST-4750"/>
    <s v="Diya Patel"/>
    <s v="Diya Patel"/>
    <s v="Small Business"/>
    <x v="1"/>
    <s v="East"/>
    <x v="1"/>
    <s v="Bihar"/>
    <s v="Bihar"/>
    <s v="Patna"/>
    <s v="Patna"/>
    <s v="Technology"/>
    <x v="2"/>
    <s v="Copiers"/>
    <x v="6"/>
    <s v="Pro Copiers 599"/>
    <s v="Standard Class"/>
    <x v="3"/>
    <n v="4"/>
    <n v="1503.07"/>
    <n v="0"/>
    <n v="6012.28"/>
    <n v="3927.64"/>
    <n v="2084.64"/>
    <s v="Paid"/>
    <x v="0"/>
    <s v="Completed"/>
    <x v="0"/>
    <s v="ORD-2024-10265|16-05-2024|05-21-2024|CUST-4750|Diya Patel|Small Business|East|Bihar|Patna|Technology|Copiers|Pro Copiers 599|Standard Class|4|1503.07|0|6012.28|3927.64|2084.64|Paid|Completed"/>
    <s v="Keep"/>
    <n v="1"/>
    <s v="Unique"/>
    <s v=""/>
    <n v="0"/>
    <n v="6012.28"/>
    <n v="2084.64"/>
    <n v="0.34673035853286938"/>
    <n v="5"/>
    <n v="2024"/>
    <b v="0"/>
    <b v="0"/>
    <x v="0"/>
    <s v=""/>
    <s v="Clean"/>
  </r>
  <r>
    <s v="ORD-2024-10266"/>
    <s v="14 Nov 2024"/>
    <x v="3"/>
    <d v="2024-11-14T00:00:00"/>
    <s v="11/22/2024"/>
    <d v="2024-11-22T00:00:00"/>
    <s v="OK"/>
    <n v="8"/>
    <s v="CUST-3974"/>
    <s v="Priya Menon"/>
    <s v="Priya Menon"/>
    <s v="Corporate"/>
    <x v="2"/>
    <s v="East"/>
    <x v="1"/>
    <s v="Bihar"/>
    <s v="Bihar"/>
    <s v="Patna"/>
    <s v="Patna"/>
    <s v="Furniture"/>
    <x v="1"/>
    <s v="Bookcases"/>
    <x v="10"/>
    <s v="Basic Bookcases 570"/>
    <s v="Same Day"/>
    <x v="1"/>
    <n v="1"/>
    <n v="582.37"/>
    <n v="0.15"/>
    <n v="495.01"/>
    <n v="285.13"/>
    <n v="209.88"/>
    <s v="Refunded"/>
    <x v="1"/>
    <s v="  Cancelled "/>
    <x v="1"/>
    <s v="ORD-2024-10266|11-14-2024|11-22-2024|CUST-3974|Priya Menon|Corporate|East|Bihar|Patna|Furniture|Bookcases|Basic Bookcases 570|Same Day|1|582.37|0.15|495.01|285.13|209.88|Refunded|  Cancelled "/>
    <s v="Keep"/>
    <n v="1"/>
    <s v="Unique"/>
    <s v=""/>
    <n v="0.15"/>
    <n v="495.0145"/>
    <n v="209.8845"/>
    <n v="0.42399667080459258"/>
    <n v="11"/>
    <n v="2024"/>
    <b v="0"/>
    <b v="0"/>
    <x v="1"/>
    <s v="Refunded order summarized separately; Cancelled order excluded"/>
    <s v="Warning"/>
  </r>
  <r>
    <s v="ORD-2025-10267"/>
    <s v="2025-05-03"/>
    <x v="9"/>
    <d v="2025-05-03T00:00:00"/>
    <s v="2025-05-10"/>
    <d v="2025-05-10T00:00:00"/>
    <s v="OK"/>
    <n v="7"/>
    <s v="CUST-7114"/>
    <s v="Neha Gupta"/>
    <s v="Neha Gupta"/>
    <s v="Home Office"/>
    <x v="3"/>
    <s v="West"/>
    <x v="3"/>
    <s v="Maharashtra"/>
    <s v="Maharashtra"/>
    <s v="Mumbai"/>
    <s v="Mumbai"/>
    <s v="Office Supplies"/>
    <x v="0"/>
    <s v="Storage"/>
    <x v="8"/>
    <s v="Classic Storage 926"/>
    <s v="Second Class"/>
    <x v="0"/>
    <n v="3"/>
    <n v="4339.24"/>
    <n v="0"/>
    <n v="13017.72"/>
    <n v="10170.57"/>
    <n v="2847.15"/>
    <s v="Paid"/>
    <x v="0"/>
    <s v="Completed"/>
    <x v="0"/>
    <s v="ORD-2025-10267|05-03-2025|05-10-2025|CUST-7114|Neha Gupta|Home Office|West|Maharashtra|Mumbai|Office Supplies|Storage|Classic Storage 926|Second Class|3|4339.24|0|13017.72|10170.57|2847.15|Paid|Completed"/>
    <s v="Keep"/>
    <n v="1"/>
    <s v="Unique"/>
    <s v=""/>
    <n v="0"/>
    <n v="13017.72"/>
    <n v="2847.1499999999996"/>
    <n v="0.21871341525244051"/>
    <n v="5"/>
    <n v="2025"/>
    <b v="0"/>
    <b v="0"/>
    <x v="0"/>
    <s v=""/>
    <s v="Clean"/>
  </r>
  <r>
    <s v="ORD-2025-10268"/>
    <s v="28 May 2025"/>
    <x v="9"/>
    <d v="2025-05-28T00:00:00"/>
    <s v="04-06-2025"/>
    <d v="2025-06-04T00:00:00"/>
    <s v="OK"/>
    <n v="7"/>
    <s v="CUST-4431"/>
    <s v="Diya Patel"/>
    <s v="Diya Patel"/>
    <s v="Corporate"/>
    <x v="2"/>
    <s v="East"/>
    <x v="1"/>
    <s v="Jharkhand"/>
    <s v="Jharkhand"/>
    <s v="Ranchi"/>
    <s v="Ranchi"/>
    <s v="Furniture"/>
    <x v="1"/>
    <s v="Furnishings"/>
    <x v="3"/>
    <s v="Basic Furnishings 372"/>
    <s v="First Class"/>
    <x v="2"/>
    <n v="4"/>
    <n v="261.8"/>
    <n v="0.25"/>
    <n v="785.4"/>
    <n v="557.22"/>
    <n v="228.18"/>
    <s v="Paid"/>
    <x v="0"/>
    <s v="Completed"/>
    <x v="0"/>
    <s v="ORD-2025-10268|05-28-2025|04-06-2025|CUST-4431|Diya Patel|Corporate|East|Jharkhand|Ranchi|Furniture|Furnishings|Basic Furnishings 372|First Class|4|261.8|0.25|785.4|557.22|228.18|Paid|Completed"/>
    <s v="Keep"/>
    <n v="1"/>
    <s v="Unique"/>
    <s v=""/>
    <n v="0.25"/>
    <n v="785.40000000000009"/>
    <n v="228.18000000000006"/>
    <n v="0.29052711993888469"/>
    <n v="5"/>
    <n v="2025"/>
    <b v="0"/>
    <b v="0"/>
    <x v="0"/>
    <s v=""/>
    <s v="Clean"/>
  </r>
  <r>
    <s v="ORD-2025-10269"/>
    <s v="08/17/2025"/>
    <x v="4"/>
    <d v="2025-08-17T00:00:00"/>
    <s v="08/17/2025"/>
    <d v="2025-08-17T00:00:00"/>
    <s v="OK"/>
    <n v="0"/>
    <s v="CUST-1488"/>
    <s v="Aarav Sharma"/>
    <s v="Aarav Sharma"/>
    <s v="Home Office"/>
    <x v="3"/>
    <s v="North"/>
    <x v="0"/>
    <s v="Punjab"/>
    <s v="Punjab"/>
    <s v="Ludhiana"/>
    <s v="Ludhiana"/>
    <s v="Technology"/>
    <x v="2"/>
    <s v="Accessories"/>
    <x v="5"/>
    <s v="Prime Accessories 367"/>
    <s v="First Class"/>
    <x v="2"/>
    <n v="7"/>
    <n v="632.20000000000005"/>
    <n v="0.25"/>
    <n v="3319.05"/>
    <n v="2124.6"/>
    <n v="1194.45"/>
    <s v="Paid"/>
    <x v="0"/>
    <s v="Completed"/>
    <x v="0"/>
    <s v="ORD-2025-10269|08-17-2025|08-17-2025|CUST-1488|Aarav Sharma|Home Office|North|Punjab|Ludhiana|Technology|Accessories|Prime Accessories 367|First Class|7|632.2|0.25|3319.05|2124.6|1194.45|Paid|Completed"/>
    <s v="Keep"/>
    <n v="1"/>
    <s v="Unique"/>
    <s v=""/>
    <n v="0.25"/>
    <n v="3319.05"/>
    <n v="1194.4500000000003"/>
    <n v="0.35987707325891449"/>
    <n v="8"/>
    <n v="2025"/>
    <b v="0"/>
    <b v="0"/>
    <x v="0"/>
    <s v=""/>
    <s v="Clean"/>
  </r>
  <r>
    <s v="ORD-2025-10270"/>
    <s v="02/10/2025"/>
    <x v="7"/>
    <d v="2025-02-10T00:00:00"/>
    <s v="02/12/2025"/>
    <d v="2025-02-12T00:00:00"/>
    <s v="OK"/>
    <n v="2"/>
    <s v="CUST-1586"/>
    <s v="Rahul Verma"/>
    <s v="Rahul Verma"/>
    <s v="Small Business"/>
    <x v="1"/>
    <s v="West"/>
    <x v="3"/>
    <s v="Rajasthan"/>
    <s v="Rajasthan"/>
    <s v="Udaipur"/>
    <s v="Udaipur"/>
    <s v="  Furniture "/>
    <x v="1"/>
    <s v="Tables"/>
    <x v="1"/>
    <s v="Max Tables 526"/>
    <s v="Same Day"/>
    <x v="1"/>
    <n v="1"/>
    <n v="1925.86"/>
    <n v="0"/>
    <n v="1925.86"/>
    <n v="1321.89"/>
    <n v="603.97"/>
    <s v="Paid"/>
    <x v="0"/>
    <s v="Completed"/>
    <x v="0"/>
    <s v="ORD-2025-10270|02-10-2025|02-12-2025|CUST-1586|Rahul Verma|Small Business|West|Rajasthan|Udaipur|  Furniture |Tables|Max Tables 526|Same Day|1|1925.86|0|1925.86|1321.89|603.97|Paid|Completed"/>
    <s v="Keep"/>
    <n v="1"/>
    <s v="Unique"/>
    <s v=""/>
    <n v="0"/>
    <n v="1925.86"/>
    <n v="603.9699999999998"/>
    <n v="0.31361054282242729"/>
    <n v="2"/>
    <n v="2025"/>
    <b v="0"/>
    <b v="0"/>
    <x v="0"/>
    <s v=""/>
    <s v="Clean"/>
  </r>
  <r>
    <s v="ORD-2024-10271"/>
    <s v="01/12/2024"/>
    <x v="12"/>
    <d v="2024-01-12T00:00:00"/>
    <s v="13-01-2024"/>
    <d v="2024-01-13T00:00:00"/>
    <s v="OK"/>
    <n v="1"/>
    <s v="CUST-2487"/>
    <s v="Aditi Sen"/>
    <s v="Aditi Sen"/>
    <s v="Corporate"/>
    <x v="2"/>
    <s v="North"/>
    <x v="0"/>
    <s v="Uttar Pradesh"/>
    <s v="Uttar Pradesh"/>
    <s v="Noida"/>
    <s v="Noida"/>
    <s v="Technology"/>
    <x v="2"/>
    <s v="Machines"/>
    <x v="12"/>
    <s v="Prime Machines 794"/>
    <s v="Same Day"/>
    <x v="1"/>
    <n v="3"/>
    <n v="827.44"/>
    <n v="0"/>
    <n v="2482.3200000000002"/>
    <n v="1520.21"/>
    <n v="962.11"/>
    <s v="Paid"/>
    <x v="0"/>
    <s v="Completed"/>
    <x v="0"/>
    <s v="ORD-2024-10271|01-12-2024|13-01-2024|CUST-2487|Aditi Sen|Corporate|North|Uttar Pradesh|Noida|Technology|Machines|Prime Machines 794|Same Day|3|827.44|0|2482.32|1520.21|962.11|Paid|Completed"/>
    <s v="Keep"/>
    <n v="1"/>
    <s v="Unique"/>
    <s v=""/>
    <n v="0"/>
    <n v="2482.3200000000002"/>
    <n v="962.11000000000013"/>
    <n v="0.38758500112797706"/>
    <n v="1"/>
    <n v="2024"/>
    <b v="0"/>
    <b v="0"/>
    <x v="0"/>
    <s v=""/>
    <s v="Clean"/>
  </r>
  <r>
    <s v="ORD-2024-10272"/>
    <s v="21 Dec 2024"/>
    <x v="10"/>
    <d v="2024-12-21T00:00:00"/>
    <s v="25 Dec 2024"/>
    <d v="2024-12-25T00:00:00"/>
    <s v="OK"/>
    <n v="4"/>
    <s v="CUST-8009"/>
    <s v="Aditi Sen"/>
    <s v="Aditi Sen"/>
    <s v="Consumer"/>
    <x v="0"/>
    <s v="South"/>
    <x v="2"/>
    <s v="Telangana"/>
    <s v="Telangana"/>
    <s v="Hyderabad"/>
    <s v="Hyderabad"/>
    <s v="Office Supplies"/>
    <x v="0"/>
    <s v="Binders"/>
    <x v="9"/>
    <s v="Max Binders 927"/>
    <s v="Standard Class"/>
    <x v="3"/>
    <n v="7"/>
    <n v="1667.75"/>
    <n v="0"/>
    <n v="11674.25"/>
    <n v="9621.19"/>
    <n v="2053.06"/>
    <s v="Failed"/>
    <x v="3"/>
    <s v="Cancelled"/>
    <x v="1"/>
    <s v="ORD-2024-10272|12-21-2024|12-25-2024|CUST-8009|Aditi Sen|Consumer|South|Telangana|Hyderabad|Office Supplies|Binders|Max Binders 927|Standard Class|7|1667.75|0|11674.25|9621.19|2053.06|Failed|Cancelled"/>
    <s v="Keep"/>
    <n v="1"/>
    <s v="Unique"/>
    <s v=""/>
    <n v="0"/>
    <n v="11674.25"/>
    <n v="2053.0599999999995"/>
    <n v="0.17586226095894808"/>
    <n v="12"/>
    <n v="2024"/>
    <b v="0"/>
    <b v="0"/>
    <x v="1"/>
    <s v="Failed payment excluded; Cancelled order excluded"/>
    <s v="Warning"/>
  </r>
  <r>
    <s v="ORD-2024-10273"/>
    <s v="08/18/2024"/>
    <x v="1"/>
    <d v="2024-08-18T00:00:00"/>
    <s v="24 Aug 2024"/>
    <d v="2024-08-24T00:00:00"/>
    <s v="OK"/>
    <n v="6"/>
    <s v="CUST-7389"/>
    <s v="Arjun Bose"/>
    <s v="Arjun Bose"/>
    <s v="Consumer"/>
    <x v="0"/>
    <s v="South"/>
    <x v="2"/>
    <s v="Andhra Pradesh"/>
    <s v="Andhra Pradesh"/>
    <s v="Vijayawada"/>
    <s v="Vijayawada"/>
    <s v="Furniture"/>
    <x v="1"/>
    <s v="Chairs"/>
    <x v="4"/>
    <s v="Eco Chairs 314"/>
    <s v="First Class"/>
    <x v="2"/>
    <n v="7"/>
    <n v="557.21"/>
    <n v="0.1"/>
    <n v="3510.42"/>
    <n v="2191.5"/>
    <n v="1213.48"/>
    <s v="Paid"/>
    <x v="0"/>
    <s v="Completed"/>
    <x v="0"/>
    <s v="ORD-2024-10273|08-18-2024|08-24-2024|CUST-7389|Arjun Bose|Consumer|South|Andhra Pradesh|Vijayawada|Furniture|Chairs|Eco Chairs 314|First Class|7|557.21|0.1|3510.42|2191.5|1213.48|Paid|Completed"/>
    <s v="Keep"/>
    <n v="2"/>
    <s v="Duplicate order_id"/>
    <s v="Review conflicting duplicate"/>
    <n v="0.1"/>
    <n v="3510.4230000000002"/>
    <n v="1318.9230000000002"/>
    <n v="0.37571625983535323"/>
    <n v="8"/>
    <n v="2024"/>
    <b v="0"/>
    <b v="1"/>
    <x v="1"/>
    <s v="Duplicate order ID conflict; Profit mismatch"/>
    <s v="Invalid"/>
  </r>
  <r>
    <s v="ORD-2025-10274"/>
    <s v="02/13/2025"/>
    <x v="7"/>
    <d v="2025-02-13T00:00:00"/>
    <s v="13 Feb 2025"/>
    <d v="2025-02-13T00:00:00"/>
    <s v="OK"/>
    <n v="0"/>
    <s v="CUST-8249"/>
    <s v="Isha Nair"/>
    <s v="Isha Nair"/>
    <s v="Consumer"/>
    <x v="0"/>
    <s v="East"/>
    <x v="1"/>
    <s v="Bihar"/>
    <s v="Bihar"/>
    <s v="Patna"/>
    <s v="Patna"/>
    <s v="Office Supplies"/>
    <x v="0"/>
    <s v="Paper"/>
    <x v="0"/>
    <s v="Basic Paper 657"/>
    <s v="Second Class"/>
    <x v="0"/>
    <n v="9"/>
    <n v="2521.63"/>
    <n v="0"/>
    <n v="22694.67"/>
    <n v="15405.36"/>
    <n v="7289.31"/>
    <s v="Paid"/>
    <x v="0"/>
    <s v="Returned"/>
    <x v="2"/>
    <s v="ORD-2025-10274|02-13-2025|02-13-2025|CUST-8249|Isha Nair|Consumer|East|Bihar|Patna|Office Supplies|Paper|Basic Paper 657|Second Class|9|2521.63|0|22694.67|15405.36|7289.31|Paid|Returned"/>
    <s v="Keep"/>
    <n v="1"/>
    <s v="Unique"/>
    <s v=""/>
    <n v="0"/>
    <n v="22694.670000000002"/>
    <n v="7289.3100000000013"/>
    <n v="0.32119039404406413"/>
    <n v="2"/>
    <n v="2025"/>
    <b v="0"/>
    <b v="0"/>
    <x v="1"/>
    <s v="Returned order excluded"/>
    <s v="Warning"/>
  </r>
  <r>
    <s v="ORD-2024-10275"/>
    <s v="07-04-2024"/>
    <x v="19"/>
    <d v="2024-04-07T00:00:00"/>
    <s v="14-04-2024"/>
    <d v="2024-04-14T00:00:00"/>
    <s v="OK"/>
    <n v="7"/>
    <s v="CUST-4202"/>
    <s v="Rohan Mehta"/>
    <s v="Rohan Mehta"/>
    <s v="Consumer"/>
    <x v="0"/>
    <s v="South"/>
    <x v="2"/>
    <s v="Kerala"/>
    <s v="Kerala"/>
    <s v="Kochi"/>
    <s v="Kochi"/>
    <s v="Technology"/>
    <x v="2"/>
    <s v="Copiers"/>
    <x v="6"/>
    <s v="Pro Copiers 406"/>
    <s v="Standard Class"/>
    <x v="3"/>
    <n v="6"/>
    <n v="4246.71"/>
    <n v="0.15"/>
    <n v="21658.22"/>
    <n v="15490.69"/>
    <n v="6167.53"/>
    <s v="Failed"/>
    <x v="3"/>
    <s v="Returned"/>
    <x v="2"/>
    <s v="ORD-2024-10275|07-04-2024|14-04-2024|CUST-4202|Rohan Mehta|Consumer|South|Kerala|Kochi|Technology|Copiers|Pro Copiers 406|Standard Class|6|4246.71|0.15|21658.22|15490.69|6167.53|Failed|Returned"/>
    <s v="Keep"/>
    <n v="1"/>
    <s v="Unique"/>
    <s v=""/>
    <n v="0.15"/>
    <n v="21658.221000000001"/>
    <n v="6167.5310000000009"/>
    <n v="0.28476627881856043"/>
    <n v="4"/>
    <n v="2024"/>
    <b v="0"/>
    <b v="0"/>
    <x v="1"/>
    <s v="Failed payment excluded; Returned order excluded"/>
    <s v="Warning"/>
  </r>
  <r>
    <s v="ORD-2024-10276"/>
    <s v="2024-02-15"/>
    <x v="17"/>
    <d v="2024-02-15T00:00:00"/>
    <s v="02/22/2024"/>
    <d v="2024-02-22T00:00:00"/>
    <s v="OK"/>
    <n v="7"/>
    <s v="CUST-2875"/>
    <s v="Priya Menon"/>
    <s v="Priya Menon"/>
    <s v="Small Business"/>
    <x v="1"/>
    <s v="East"/>
    <x v="1"/>
    <s v="West Bengal"/>
    <s v="West Bengal"/>
    <s v="Kolkata"/>
    <s v="Kolkata"/>
    <s v="Furniture"/>
    <x v="1"/>
    <s v="Furnishings"/>
    <x v="3"/>
    <s v="Eco Furnishings 678"/>
    <s v="Same Day"/>
    <x v="1"/>
    <n v="1"/>
    <n v="980.51"/>
    <n v="0"/>
    <n v="980.51"/>
    <n v="660.92"/>
    <n v="319.58999999999997"/>
    <s v="Paid"/>
    <x v="0"/>
    <s v="Completed"/>
    <x v="0"/>
    <s v="ORD-2024-10276|02-15-2024|02-22-2024|CUST-2875|Priya Menon|Small Business|East|West Bengal|Kolkata|Furniture|Furnishings|Eco Furnishings 678|Same Day|1|980.51|0|980.51|660.92|319.59|Paid|Completed"/>
    <s v="Keep"/>
    <n v="1"/>
    <s v="Unique"/>
    <s v=""/>
    <n v="0"/>
    <n v="980.51"/>
    <n v="319.59000000000003"/>
    <n v="0.32594262169687205"/>
    <n v="2"/>
    <n v="2024"/>
    <b v="0"/>
    <b v="0"/>
    <x v="0"/>
    <s v=""/>
    <s v="Clean"/>
  </r>
  <r>
    <s v="ORD-2024-10277"/>
    <s v="22-01-2024"/>
    <x v="12"/>
    <d v="2024-01-22T00:00:00"/>
    <s v="23-01-2024"/>
    <d v="2024-01-23T00:00:00"/>
    <s v="OK"/>
    <n v="1"/>
    <s v="CUST-7039"/>
    <s v="Aarav Sharma"/>
    <s v="Aarav Sharma"/>
    <s v="Small Business"/>
    <x v="1"/>
    <m/>
    <x v="4"/>
    <s v="Assam"/>
    <s v="Assam"/>
    <s v="Guwahati"/>
    <s v="Guwahati"/>
    <s v="Furniture"/>
    <x v="1"/>
    <s v="Chairs"/>
    <x v="4"/>
    <s v="Basic Chairs 141"/>
    <s v="Second Class"/>
    <x v="0"/>
    <n v="6"/>
    <n v="3391.53"/>
    <n v="-0.14000000000000001"/>
    <n v="15261.89"/>
    <n v="8413.5300000000007"/>
    <n v="6848.36"/>
    <s v="Paid"/>
    <x v="0"/>
    <s v="Completed"/>
    <x v="0"/>
    <s v="ORD-2024-10277|22-01-2024|23-01-2024|CUST-7039|Aarav Sharma|Small Business||Assam|Guwahati|Furniture|Chairs|Basic Chairs 141|Second Class|6|3391.53|-0.14|15261.89|8413.53|6848.36|Paid|Completed"/>
    <s v="Keep"/>
    <n v="1"/>
    <s v="Unique"/>
    <s v=""/>
    <n v="-0.14000000000000001"/>
    <n v="23198.065200000005"/>
    <n v="14784.535200000004"/>
    <n v="0.63731759836591895"/>
    <n v="1"/>
    <n v="2024"/>
    <b v="1"/>
    <b v="1"/>
    <x v="1"/>
    <s v="Missing region filled as Unknown; Negative discount; Sales mismatch; Profit mismatch"/>
    <s v="Invalid"/>
  </r>
  <r>
    <s v="ORD-2025-10278"/>
    <s v="04 Jun 2025"/>
    <x v="18"/>
    <d v="2025-06-04T00:00:00"/>
    <s v="04 Jun 2025"/>
    <d v="2025-06-04T00:00:00"/>
    <s v="OK"/>
    <n v="0"/>
    <s v="CUST-2819"/>
    <s v="Isha Nair"/>
    <s v="Isha Nair"/>
    <s v="Corporate"/>
    <x v="2"/>
    <s v="North"/>
    <x v="0"/>
    <s v="Haryana"/>
    <s v="Haryana"/>
    <s v="Gurugram"/>
    <s v="Gurugram"/>
    <s v="Technology"/>
    <x v="2"/>
    <s v="Accessories"/>
    <x v="5"/>
    <s v="Elite Accessories 291"/>
    <s v="Second Class"/>
    <x v="0"/>
    <n v="1"/>
    <n v="2133.73"/>
    <n v="0.15"/>
    <n v="2008.39"/>
    <n v="1002.57"/>
    <n v="811.1"/>
    <s v="Pending"/>
    <x v="2"/>
    <s v="Cancelled"/>
    <x v="1"/>
    <s v="ORD-2025-10278|06-04-2025|06-04-2025|CUST-2819|Isha Nair|Corporate|North|Haryana|Gurugram|Technology|Accessories|Elite Accessories 291|Second Class|1|2133.73|0.15|2008.39|1002.57|811.1|Pending|Cancelled"/>
    <s v="Keep"/>
    <n v="1"/>
    <s v="Unique"/>
    <s v=""/>
    <n v="0.15"/>
    <n v="1813.6704999999999"/>
    <n v="811.1004999999999"/>
    <n v="0.4472149158295291"/>
    <n v="6"/>
    <n v="2025"/>
    <b v="1"/>
    <b v="0"/>
    <x v="1"/>
    <s v="Cancelled order excluded; Sales mismatch"/>
    <s v="Invalid"/>
  </r>
  <r>
    <s v="ORD-2025-10279"/>
    <s v="07-03-2025"/>
    <x v="20"/>
    <d v="2025-03-07T00:00:00"/>
    <s v="2025-03-14"/>
    <d v="2025-03-14T00:00:00"/>
    <s v="OK"/>
    <n v="7"/>
    <s v="CUST-8242"/>
    <s v="Priya Menon "/>
    <s v="Priya Menon"/>
    <s v="Small Business"/>
    <x v="1"/>
    <s v="North"/>
    <x v="0"/>
    <s v="Delhi"/>
    <s v="Delhi"/>
    <s v="New Delhi"/>
    <s v="New Delhi"/>
    <s v="Technology"/>
    <x v="2"/>
    <s v="Accessories"/>
    <x v="5"/>
    <s v="Pro Accessories 207"/>
    <s v="Same Day"/>
    <x v="1"/>
    <n v="1"/>
    <n v="3979.64"/>
    <n v="0.05"/>
    <n v="3780.66"/>
    <n v="2148.31"/>
    <n v="1632.35"/>
    <s v="Paid"/>
    <x v="0"/>
    <s v="Returned"/>
    <x v="2"/>
    <s v="ORD-2025-10279|07-03-2025|03-14-2025|CUST-8242|Priya Menon |Small Business|North|Delhi|New Delhi|Technology|Accessories|Pro Accessories 207|Same Day|1|3979.64|0.05|3780.66|2148.31|1632.35|Paid|Returned"/>
    <s v="Keep"/>
    <n v="1"/>
    <s v="Unique"/>
    <s v=""/>
    <n v="0.05"/>
    <n v="3780.6579999999999"/>
    <n v="1632.348"/>
    <n v="0.43176293650470365"/>
    <n v="3"/>
    <n v="2025"/>
    <b v="0"/>
    <b v="0"/>
    <x v="1"/>
    <s v="Returned order excluded"/>
    <s v="Warning"/>
  </r>
  <r>
    <s v="ORD-2024-10280"/>
    <s v="04/09/2024"/>
    <x v="19"/>
    <d v="2024-04-09T00:00:00"/>
    <s v="10 Apr 2024"/>
    <d v="2024-04-10T00:00:00"/>
    <s v="OK"/>
    <n v="1"/>
    <s v="CUST-4571"/>
    <s v="Rohan Mehta"/>
    <s v="Rohan Mehta"/>
    <s v="Small Business"/>
    <x v="1"/>
    <s v="West"/>
    <x v="3"/>
    <s v="Maharashtra"/>
    <s v="Maharashtra"/>
    <s v="Mumbai"/>
    <s v="Mumbai"/>
    <s v="Office Supplies"/>
    <x v="0"/>
    <s v="Storage"/>
    <x v="8"/>
    <s v="Max Storage 564"/>
    <s v="First Class"/>
    <x v="2"/>
    <n v="1"/>
    <n v="4359.12"/>
    <n v="0.05"/>
    <n v="4141.16"/>
    <n v="2754.17"/>
    <n v="1386.99"/>
    <s v="Paid"/>
    <x v="0"/>
    <s v="Completed"/>
    <x v="0"/>
    <s v="ORD-2024-10280|04-09-2024|04-10-2024|CUST-4571|Rohan Mehta|Small Business|West|Maharashtra|Mumbai|Office Supplies|Storage|Max Storage 564|First Class|1|4359.12|0.05|4141.16|2754.17|1386.99|Paid|Completed"/>
    <s v="Keep"/>
    <n v="1"/>
    <s v="Unique"/>
    <s v=""/>
    <n v="0.05"/>
    <n v="4141.1639999999998"/>
    <n v="1386.9939999999997"/>
    <n v="0.33492853700070796"/>
    <n v="4"/>
    <n v="2024"/>
    <b v="0"/>
    <b v="0"/>
    <x v="0"/>
    <s v=""/>
    <s v="Clean"/>
  </r>
  <r>
    <s v="ORD-2024-10281"/>
    <s v="12/23/2024"/>
    <x v="10"/>
    <d v="2024-12-23T00:00:00"/>
    <s v="26-12-2024"/>
    <d v="2024-12-26T00:00:00"/>
    <s v="OK"/>
    <n v="3"/>
    <s v="CUST-4098"/>
    <s v="Aditi Sen"/>
    <s v="Aditi Sen"/>
    <s v="Consumer"/>
    <x v="0"/>
    <s v="South"/>
    <x v="2"/>
    <s v="Karnataka"/>
    <s v="Karnataka"/>
    <s v="Bengaluru"/>
    <s v="Bengaluru"/>
    <s v="Technology"/>
    <x v="2"/>
    <s v="Copiers"/>
    <x v="6"/>
    <s v="Prime Copiers 961"/>
    <s v="Standard Class"/>
    <x v="3"/>
    <n v="9"/>
    <n v="993.67"/>
    <n v="0"/>
    <n v="8943.0300000000007"/>
    <n v="5165.38"/>
    <n v="3777.65"/>
    <s v="Paid"/>
    <x v="0"/>
    <s v="Completed"/>
    <x v="0"/>
    <s v="ORD-2024-10281|12-23-2024|26-12-2024|CUST-4098|Aditi Sen|Consumer|South|Karnataka|Bengaluru|Technology|Copiers|Prime Copiers 961|Standard Class|9|993.67|0|8943.03|5165.38|3777.65|Paid|Completed"/>
    <s v="Keep"/>
    <n v="1"/>
    <s v="Unique"/>
    <s v=""/>
    <n v="0"/>
    <n v="8943.0299999999988"/>
    <n v="3777.6499999999987"/>
    <n v="0.42241276167026154"/>
    <n v="12"/>
    <n v="2024"/>
    <b v="0"/>
    <b v="0"/>
    <x v="0"/>
    <s v=""/>
    <s v="Clean"/>
  </r>
  <r>
    <s v="ORD-2025-10282"/>
    <s v="25-07-2025"/>
    <x v="13"/>
    <d v="2025-07-25T00:00:00"/>
    <s v="07/27/2025"/>
    <d v="2025-07-27T00:00:00"/>
    <s v="OK"/>
    <n v="2"/>
    <s v="CUST-2052"/>
    <s v="Kabir Singh"/>
    <s v="Kabir Singh"/>
    <s v="Consumer"/>
    <x v="0"/>
    <s v="East"/>
    <x v="1"/>
    <s v="Jharkhand"/>
    <s v="Jharkhand"/>
    <s v="Ranchi"/>
    <s v="Ranchi"/>
    <s v="Office Supplies"/>
    <x v="0"/>
    <s v="Binders"/>
    <x v="9"/>
    <s v="Basic Binders 637"/>
    <s v="Second Class"/>
    <x v="0"/>
    <n v="6"/>
    <n v="3438.38"/>
    <n v="0.2"/>
    <n v="16504.22"/>
    <n v="11262.71"/>
    <n v="5241.51"/>
    <s v="Paid"/>
    <x v="0"/>
    <s v="Completed"/>
    <x v="0"/>
    <s v="ORD-2025-10282|25-07-2025|07-27-2025|CUST-2052|Kabir Singh|Consumer|East|Jharkhand|Ranchi|Office Supplies|Binders|Basic Binders 637|Second Class|6|3438.38|0.2|16504.22|11262.71|5241.51|Paid|Completed"/>
    <s v="Keep"/>
    <n v="1"/>
    <s v="Unique"/>
    <s v=""/>
    <n v="0.2"/>
    <n v="16504.223999999998"/>
    <n v="5241.5139999999992"/>
    <n v="0.31758621308096641"/>
    <n v="7"/>
    <n v="2025"/>
    <b v="0"/>
    <b v="0"/>
    <x v="0"/>
    <s v=""/>
    <s v="Clean"/>
  </r>
  <r>
    <s v="ORD-2024-10283"/>
    <s v="2024-10-01"/>
    <x v="16"/>
    <d v="2024-10-01T00:00:00"/>
    <s v="10/02/2024"/>
    <d v="2024-10-02T00:00:00"/>
    <s v="OK"/>
    <n v="1"/>
    <s v="CUST-9445"/>
    <s v="Karan Malhotra"/>
    <s v="Karan Malhotra"/>
    <s v="Home Office"/>
    <x v="3"/>
    <s v="East"/>
    <x v="1"/>
    <s v="Assam"/>
    <s v="Assam"/>
    <s v="Guwahati"/>
    <s v="Guwahati"/>
    <s v="Furniture"/>
    <x v="1"/>
    <s v="Tables"/>
    <x v="1"/>
    <s v="Classic Tables 811"/>
    <s v="Second Class"/>
    <x v="0"/>
    <n v="2"/>
    <n v="2298"/>
    <n v="0"/>
    <n v="4596"/>
    <n v="3220.33"/>
    <n v="1375.67"/>
    <s v="Paid"/>
    <x v="0"/>
    <s v="Completed"/>
    <x v="0"/>
    <s v="ORD-2024-10283|10-01-2024|10-02-2024|CUST-9445|Karan Malhotra|Home Office|East|Assam|Guwahati|Furniture|Tables|Classic Tables 811|Second Class|2|2298|0|4596|3220.33|1375.67|Paid|Completed"/>
    <s v="Keep"/>
    <n v="1"/>
    <s v="Unique"/>
    <s v=""/>
    <n v="0"/>
    <n v="4596"/>
    <n v="1375.67"/>
    <n v="0.29931897302001742"/>
    <n v="10"/>
    <n v="2024"/>
    <b v="0"/>
    <b v="0"/>
    <x v="0"/>
    <s v=""/>
    <s v="Clean"/>
  </r>
  <r>
    <s v="ORD-2025-10284"/>
    <s v="03/13/2025"/>
    <x v="20"/>
    <d v="2025-03-13T00:00:00"/>
    <s v="20-03-2025"/>
    <d v="2025-03-20T00:00:00"/>
    <s v="OK"/>
    <n v="7"/>
    <s v="CUST-6568"/>
    <s v="Vikram Iyer"/>
    <s v="Vikram Iyer"/>
    <s v="Consumer"/>
    <x v="0"/>
    <s v="West"/>
    <x v="3"/>
    <s v="Maharashtra"/>
    <s v="Maharashtra"/>
    <s v="Mumbai"/>
    <s v="Mumbai"/>
    <s v="Furniture"/>
    <x v="1"/>
    <s v="Furnishings"/>
    <x v="3"/>
    <s v="Classic Furnishings 819"/>
    <s v="First Class"/>
    <x v="2"/>
    <n v="1"/>
    <n v="1814.01"/>
    <n v="0"/>
    <n v="1814.01"/>
    <n v="1033.47"/>
    <n v="780.54"/>
    <s v="Paid"/>
    <x v="0"/>
    <s v="Completed"/>
    <x v="0"/>
    <s v="ORD-2025-10284|03-13-2025|20-03-2025|CUST-6568|Vikram Iyer|Consumer|West|Maharashtra|Mumbai|Furniture|Furnishings|Classic Furnishings 819|First Class|1|1814.01|0|1814.01|1033.47|780.54|Paid|Completed"/>
    <s v="Keep"/>
    <n v="1"/>
    <s v="Unique"/>
    <s v=""/>
    <n v="0"/>
    <n v="1814.01"/>
    <n v="780.54"/>
    <n v="0.43028428729720342"/>
    <n v="3"/>
    <n v="2025"/>
    <b v="0"/>
    <b v="0"/>
    <x v="0"/>
    <s v=""/>
    <s v="Clean"/>
  </r>
  <r>
    <s v="ORD-2024-10285"/>
    <s v="12/08/2024"/>
    <x v="10"/>
    <d v="2024-12-08T00:00:00"/>
    <s v="12/14/2024"/>
    <d v="2024-12-14T00:00:00"/>
    <s v="OK"/>
    <n v="6"/>
    <s v="CUST-2076"/>
    <s v="Karan Malhotra"/>
    <s v="Karan Malhotra"/>
    <s v="Consumer"/>
    <x v="0"/>
    <s v="East"/>
    <x v="1"/>
    <s v="Odisha"/>
    <s v="Odisha"/>
    <s v="Bhubaneswar"/>
    <s v="Bhubaneswar"/>
    <s v="Furniture"/>
    <x v="1"/>
    <s v="Tables"/>
    <x v="1"/>
    <s v="Prime Tables 542"/>
    <s v="Same Day"/>
    <x v="1"/>
    <n v="3"/>
    <n v="1576.92"/>
    <n v="0"/>
    <n v="4730.76"/>
    <n v="3139.73"/>
    <n v="1591.03"/>
    <s v="Paid"/>
    <x v="0"/>
    <s v="Returned"/>
    <x v="2"/>
    <s v="ORD-2024-10285|12-08-2024|12-14-2024|CUST-2076|Karan Malhotra|Consumer|East|Odisha|Bhubaneswar|Furniture|Tables|Prime Tables 542|Same Day|3|1576.92|0|4730.76|3139.73|1591.03|Paid|Returned"/>
    <s v="Keep"/>
    <n v="1"/>
    <s v="Unique"/>
    <s v=""/>
    <n v="0"/>
    <n v="4730.76"/>
    <n v="1591.0300000000002"/>
    <n v="0.33631594077907145"/>
    <n v="12"/>
    <n v="2024"/>
    <b v="0"/>
    <b v="0"/>
    <x v="1"/>
    <s v="Returned order excluded"/>
    <s v="Warning"/>
  </r>
  <r>
    <s v="ORD-2025-10286"/>
    <s v="2025-08-15"/>
    <x v="4"/>
    <d v="2025-08-15T00:00:00"/>
    <s v="2025-08-20"/>
    <d v="2025-08-20T00:00:00"/>
    <s v="OK"/>
    <n v="5"/>
    <s v="CUST-5610"/>
    <s v="Neha Gupta"/>
    <s v="Neha Gupta"/>
    <s v="Home Office"/>
    <x v="3"/>
    <s v="North"/>
    <x v="0"/>
    <s v="Rajasthan"/>
    <s v="Rajasthan"/>
    <s v="Jaipur"/>
    <s v="Jaipur"/>
    <s v="Office Supplies"/>
    <x v="0"/>
    <s v="Storage"/>
    <x v="8"/>
    <s v="Basic Storage 771"/>
    <s v="Standard Class"/>
    <x v="3"/>
    <n v="9"/>
    <n v="4081.77"/>
    <n v="0"/>
    <n v="36735.93"/>
    <n v="30820.84"/>
    <n v="5915.09"/>
    <s v="Paid"/>
    <x v="0"/>
    <s v="Completed"/>
    <x v="0"/>
    <s v="ORD-2025-10286|08-15-2025|08-20-2025|CUST-5610|Neha Gupta|Home Office|North|Rajasthan|Jaipur|Office Supplies|Storage|Basic Storage 771|Standard Class|9|4081.77|0|36735.93|30820.84|5915.09|Paid|Completed"/>
    <s v="Keep"/>
    <n v="1"/>
    <s v="Unique"/>
    <s v=""/>
    <n v="0"/>
    <n v="36735.93"/>
    <n v="5915.09"/>
    <n v="0.16101647624001897"/>
    <n v="8"/>
    <n v="2025"/>
    <b v="0"/>
    <b v="0"/>
    <x v="0"/>
    <s v=""/>
    <s v="Clean"/>
  </r>
  <r>
    <s v="ORD-2024-10287"/>
    <s v="28-02-2024"/>
    <x v="17"/>
    <d v="2024-02-28T00:00:00"/>
    <s v="03/02/2024"/>
    <d v="2024-03-02T00:00:00"/>
    <s v="OK"/>
    <n v="3"/>
    <s v="CUST-5823"/>
    <s v="Priya Menon"/>
    <s v="Priya Menon"/>
    <s v="Small Business"/>
    <x v="1"/>
    <s v="North"/>
    <x v="0"/>
    <s v="Delhi"/>
    <s v="Delhi"/>
    <s v="New Delhi"/>
    <s v="New Delhi"/>
    <s v="Furniture"/>
    <x v="1"/>
    <s v="Furnishings"/>
    <x v="3"/>
    <s v="Pro Furnishings 848"/>
    <s v="First Class"/>
    <x v="2"/>
    <n v="7"/>
    <n v="701.8"/>
    <n v="0.1"/>
    <n v="4421.34"/>
    <n v="2489.98"/>
    <n v="1931.36"/>
    <s v="Pending"/>
    <x v="2"/>
    <s v="Returned"/>
    <x v="2"/>
    <s v="ORD-2024-10287|28-02-2024|03-02-2024|CUST-5823|Priya Menon|Small Business|North|Delhi|New Delhi|Furniture|Furnishings|Pro Furnishings 848|First Class|7|701.8|0.1|4421.34|2489.98|1931.36|Pending|Returned"/>
    <s v="Keep"/>
    <n v="1"/>
    <s v="Unique"/>
    <s v=""/>
    <n v="0.1"/>
    <n v="4421.3399999999992"/>
    <n v="1931.3599999999992"/>
    <n v="0.43682684435035524"/>
    <n v="2"/>
    <n v="2024"/>
    <b v="0"/>
    <b v="0"/>
    <x v="1"/>
    <s v="Returned order excluded"/>
    <s v="Warning"/>
  </r>
  <r>
    <s v="ORD-2024-10288"/>
    <s v="09/05/2024"/>
    <x v="21"/>
    <d v="2024-09-05T00:00:00"/>
    <s v="07-09-2024"/>
    <d v="2024-09-07T00:00:00"/>
    <s v="OK"/>
    <n v="2"/>
    <s v="CUST-7095"/>
    <s v="Neha Gupta"/>
    <s v="Neha Gupta"/>
    <s v="Small Business"/>
    <x v="1"/>
    <s v="South"/>
    <x v="2"/>
    <s v="Tamil Nadu"/>
    <s v="Tamil Nadu"/>
    <s v="Chennai"/>
    <s v="Chennai"/>
    <s v="Technology"/>
    <x v="2"/>
    <s v="Copiers"/>
    <x v="6"/>
    <s v="Prime Copiers 924"/>
    <s v="Standard Class"/>
    <x v="3"/>
    <n v="3"/>
    <n v="2555.66"/>
    <n v="0.15"/>
    <n v="6516.93"/>
    <n v="4511.54"/>
    <n v="2005.39"/>
    <s v="Paid"/>
    <x v="0"/>
    <s v="Cancelled"/>
    <x v="1"/>
    <s v="ORD-2024-10288|09-05-2024|07-09-2024|CUST-7095|Neha Gupta|Small Business|South|Tamil Nadu|Chennai|Technology|Copiers|Prime Copiers 924|Standard Class|3|2555.66|0.15|6516.93|4511.54|2005.39|Paid|Cancelled"/>
    <s v="Keep"/>
    <n v="1"/>
    <s v="Unique"/>
    <s v=""/>
    <n v="0.15"/>
    <n v="6516.9329999999991"/>
    <n v="2005.3929999999991"/>
    <n v="0.30772036477895343"/>
    <n v="9"/>
    <n v="2024"/>
    <b v="0"/>
    <b v="0"/>
    <x v="1"/>
    <s v="Cancelled order excluded"/>
    <s v="Warning"/>
  </r>
  <r>
    <s v="ORD-2024-10289"/>
    <s v="2024-06-24"/>
    <x v="2"/>
    <d v="2024-06-24T00:00:00"/>
    <s v="2024-06-24"/>
    <d v="2024-06-24T00:00:00"/>
    <s v="OK"/>
    <n v="0"/>
    <s v="CUST-4805"/>
    <s v="Rohan Mehta"/>
    <s v="Rohan Mehta"/>
    <s v="Small Business"/>
    <x v="1"/>
    <s v="East"/>
    <x v="1"/>
    <s v="Bihar"/>
    <s v="Bihar"/>
    <s v="Patna"/>
    <s v="Patna"/>
    <s v="Office Supplies"/>
    <x v="0"/>
    <s v="Binders"/>
    <x v="9"/>
    <s v="Classic Binders 721"/>
    <s v="Same Day"/>
    <x v="1"/>
    <n v="2"/>
    <n v="4359.8999999999996"/>
    <n v="0.15"/>
    <n v="7411.83"/>
    <n v="4904.63"/>
    <n v="2507.1999999999998"/>
    <s v="Paid"/>
    <x v="0"/>
    <s v="Completed"/>
    <x v="0"/>
    <s v="ORD-2024-10289|06-24-2024|06-24-2024|CUST-4805|Rohan Mehta|Small Business|East|Bihar|Patna|Office Supplies|Binders|Classic Binders 721|Same Day|2|4359.9|0.15|7411.83|4904.63|2507.2|Paid|Completed"/>
    <s v="Keep"/>
    <n v="1"/>
    <s v="Unique"/>
    <s v=""/>
    <n v="0.15"/>
    <n v="7411.829999999999"/>
    <n v="2507.1999999999989"/>
    <n v="0.3382700358750807"/>
    <n v="6"/>
    <n v="2024"/>
    <b v="0"/>
    <b v="0"/>
    <x v="0"/>
    <s v=""/>
    <s v="Clean"/>
  </r>
  <r>
    <s v="ORD-2025-10290"/>
    <s v="19-06-2025"/>
    <x v="18"/>
    <d v="2025-06-19T00:00:00"/>
    <s v="06/27/2025"/>
    <d v="2025-06-27T00:00:00"/>
    <s v="OK"/>
    <n v="8"/>
    <s v="CUST-9114"/>
    <s v="Karan Malhotra"/>
    <s v="Karan Malhotra"/>
    <s v="Home Office"/>
    <x v="3"/>
    <s v="South"/>
    <x v="2"/>
    <s v="Tamil Nadu"/>
    <s v="Tamil Nadu"/>
    <s v="Chennai"/>
    <s v="Chennai"/>
    <s v="Furniture"/>
    <x v="1"/>
    <s v="Bookcases"/>
    <x v="10"/>
    <s v="Basic Bookcases 823"/>
    <s v="First Class"/>
    <x v="2"/>
    <n v="2"/>
    <n v="4346.6899999999996"/>
    <n v="0.05"/>
    <n v="8258.7099999999991"/>
    <n v="7018.97"/>
    <n v="1239.74"/>
    <s v="Paid"/>
    <x v="0"/>
    <s v="Completed"/>
    <x v="0"/>
    <s v="ORD-2025-10290|19-06-2025|06-27-2025|CUST-9114|Karan Malhotra|Home Office|South|Tamil Nadu|Chennai|Furniture|Bookcases|Basic Bookcases 823|First Class|2|4346.69|0.05|8258.71|7018.97|1239.74|Paid|Completed"/>
    <s v="Keep"/>
    <n v="1"/>
    <s v="Unique"/>
    <s v=""/>
    <n v="0.05"/>
    <n v="8258.7109999999993"/>
    <n v="1239.7409999999991"/>
    <n v="0.15011313508851432"/>
    <n v="6"/>
    <n v="2025"/>
    <b v="0"/>
    <b v="0"/>
    <x v="0"/>
    <s v=""/>
    <s v="Clean"/>
  </r>
  <r>
    <s v="ORD-2025-10291"/>
    <s v="22 Aug 2025"/>
    <x v="4"/>
    <d v="2025-08-22T00:00:00"/>
    <s v="2025-08-26"/>
    <d v="2025-08-26T00:00:00"/>
    <s v="OK"/>
    <n v="4"/>
    <s v="CUST-8557"/>
    <s v="Diya Patel"/>
    <s v="Diya Patel"/>
    <s v="Home Office"/>
    <x v="3"/>
    <s v="East"/>
    <x v="1"/>
    <s v="Jharkhand"/>
    <s v="Jharkhand"/>
    <s v="Ranchi"/>
    <s v="Ranchi"/>
    <s v="Furniture"/>
    <x v="1"/>
    <s v="Tables"/>
    <x v="1"/>
    <s v="Classic Tables 178"/>
    <s v="Standard Class"/>
    <x v="3"/>
    <n v="1"/>
    <n v="1842.63"/>
    <n v="0.1"/>
    <n v="1658.37"/>
    <n v="971.12"/>
    <n v="687.25"/>
    <s v="Paid"/>
    <x v="0"/>
    <s v="Completed"/>
    <x v="0"/>
    <s v="ORD-2025-10291|08-22-2025|08-26-2025|CUST-8557|Diya Patel|Home Office|East|Jharkhand|Ranchi|Furniture|Tables|Classic Tables 178|Standard Class|1|1842.63|0.1|1658.37|971.12|687.25|Paid|Completed"/>
    <s v="Keep"/>
    <n v="1"/>
    <s v="Unique"/>
    <s v=""/>
    <n v="0.1"/>
    <n v="1658.3670000000002"/>
    <n v="687.24700000000018"/>
    <n v="0.41441188832146331"/>
    <n v="8"/>
    <n v="2025"/>
    <b v="0"/>
    <b v="0"/>
    <x v="0"/>
    <s v=""/>
    <s v="Clean"/>
  </r>
  <r>
    <s v="ORD-2024-10292"/>
    <s v="04/05/2024"/>
    <x v="19"/>
    <d v="2024-04-05T00:00:00"/>
    <s v="2024-04-10"/>
    <d v="2024-04-10T00:00:00"/>
    <s v="OK"/>
    <n v="5"/>
    <s v="CUST-2860"/>
    <s v="Priya Menon"/>
    <s v="Priya Menon"/>
    <s v="Home Office"/>
    <x v="3"/>
    <s v="North"/>
    <x v="0"/>
    <s v="Rajasthan"/>
    <s v="Rajasthan"/>
    <s v="Jaipur"/>
    <s v="Jaipur"/>
    <s v="Office Supplies"/>
    <x v="0"/>
    <s v="Binders"/>
    <x v="9"/>
    <s v="Eco Binders 153"/>
    <s v="Standard Class"/>
    <x v="3"/>
    <n v="4"/>
    <n v="3228.66"/>
    <n v="0.25"/>
    <n v="9685.98"/>
    <n v="7730.04"/>
    <n v="1955.94"/>
    <s v="Paid"/>
    <x v="0"/>
    <s v="Completed"/>
    <x v="0"/>
    <s v="ORD-2024-10292|04-05-2024|04-10-2024|CUST-2860|Priya Menon|Home Office|North|Rajasthan|Jaipur|Office Supplies|Binders|Eco Binders 153|Standard Class|4|3228.66|0.25|9685.98|7730.04|1955.94|Paid|Completed"/>
    <s v="Keep"/>
    <n v="1"/>
    <s v="Unique"/>
    <s v=""/>
    <n v="0.25"/>
    <n v="9685.98"/>
    <n v="1955.9399999999996"/>
    <n v="0.20193516815025425"/>
    <n v="4"/>
    <n v="2024"/>
    <b v="0"/>
    <b v="0"/>
    <x v="0"/>
    <s v=""/>
    <s v="Clean"/>
  </r>
  <r>
    <s v="ORD-2025-10293"/>
    <s v="28 Feb 2025"/>
    <x v="7"/>
    <d v="2025-02-28T00:00:00"/>
    <s v="03-03-2025"/>
    <d v="2025-03-03T00:00:00"/>
    <s v="OK"/>
    <n v="3"/>
    <s v="CUST-7837"/>
    <s v="Kabir Singh"/>
    <s v="Kabir Singh"/>
    <s v="Home Office"/>
    <x v="3"/>
    <s v="North"/>
    <x v="0"/>
    <s v="Haryana"/>
    <s v="Haryana"/>
    <s v="Gurugram"/>
    <s v="Gurugram"/>
    <s v="Office Supplies"/>
    <x v="0"/>
    <s v="Art"/>
    <x v="2"/>
    <s v="Classic Art 183"/>
    <s v="Same Day"/>
    <x v="1"/>
    <n v="9"/>
    <n v="3748.95"/>
    <n v="0"/>
    <n v="33740.550000000003"/>
    <n v="24621.89"/>
    <n v="9118.66"/>
    <s v="Pending"/>
    <x v="2"/>
    <s v="Cancelled"/>
    <x v="1"/>
    <s v="ORD-2025-10293|02-28-2025|03-03-2025|CUST-7837|Kabir Singh|Home Office|North|Haryana|Gurugram|Office Supplies|Art|Classic Art 183|Same Day|9|3748.95|0|33740.55|24621.89|9118.66|Pending|Cancelled"/>
    <s v="Keep"/>
    <n v="1"/>
    <s v="Unique"/>
    <s v=""/>
    <n v="0"/>
    <n v="33740.549999999996"/>
    <n v="9118.6599999999962"/>
    <n v="0.2702581908119458"/>
    <n v="2"/>
    <n v="2025"/>
    <b v="0"/>
    <b v="0"/>
    <x v="1"/>
    <s v="Cancelled order excluded"/>
    <s v="Warning"/>
  </r>
  <r>
    <s v="ORD-2024-10294"/>
    <s v="03/07/2024"/>
    <x v="15"/>
    <d v="2024-03-07T00:00:00"/>
    <s v="11-03-2024"/>
    <d v="2024-03-11T00:00:00"/>
    <s v="OK"/>
    <n v="4"/>
    <s v="CUST-7010"/>
    <s v="Arjun Bose"/>
    <s v="Arjun Bose"/>
    <s v="Home Office"/>
    <x v="3"/>
    <s v="South"/>
    <x v="2"/>
    <s v="Telangana"/>
    <s v="Telangana"/>
    <s v="Hyderabad"/>
    <s v="Hyderabad"/>
    <s v="Technology"/>
    <x v="2"/>
    <s v="Phones"/>
    <x v="11"/>
    <s v="Pro Phones 455"/>
    <s v="First Class"/>
    <x v="2"/>
    <n v="2"/>
    <n v="4401.51"/>
    <n v="0.65"/>
    <n v="8362.8700000000008"/>
    <n v="6541.04"/>
    <n v="1821.83"/>
    <s v="Paid"/>
    <x v="0"/>
    <s v="Completed"/>
    <x v="0"/>
    <s v="ORD-2024-10294|03-07-2024|11-03-2024|CUST-7010|Arjun Bose|Home Office|South|Telangana|Hyderabad|Technology|Phones|Pro Phones 455|First Class|2|4401.51|0.65|8362.87|6541.04|1821.83|Paid|Completed"/>
    <s v="Keep"/>
    <n v="1"/>
    <s v="Unique"/>
    <s v=""/>
    <n v="0.65"/>
    <n v="3081.0569999999998"/>
    <n v="-3459.9830000000002"/>
    <n v="-1.1229857156164267"/>
    <n v="3"/>
    <n v="2024"/>
    <b v="1"/>
    <b v="1"/>
    <x v="1"/>
    <s v="Discount above 50%; Sales mismatch; Profit mismatch"/>
    <s v="Invalid"/>
  </r>
  <r>
    <s v="ORD-2025-10295"/>
    <s v="16 Jul 2025"/>
    <x v="13"/>
    <d v="2025-07-16T00:00:00"/>
    <s v="07/22/2025"/>
    <d v="2025-07-22T00:00:00"/>
    <s v="OK"/>
    <n v="6"/>
    <s v="CUST-4755"/>
    <s v="Priya Menon"/>
    <s v="Priya Menon"/>
    <s v="Consumer"/>
    <x v="0"/>
    <s v="East"/>
    <x v="1"/>
    <s v="Odisha"/>
    <s v="Odisha"/>
    <s v="Bhubaneswar"/>
    <s v="Bhubaneswar"/>
    <s v="Technology"/>
    <x v="2"/>
    <s v="Phones"/>
    <x v="11"/>
    <s v="Basic Phones 326"/>
    <s v="Second Class"/>
    <x v="0"/>
    <n v="6"/>
    <n v="4159.33"/>
    <n v="0.25"/>
    <n v="18716.990000000002"/>
    <n v="12282.43"/>
    <n v="6434.56"/>
    <s v="Paid"/>
    <x v="0"/>
    <s v="Returned"/>
    <x v="2"/>
    <s v="ORD-2025-10295|07-16-2025|07-22-2025|CUST-4755|Priya Menon|Consumer|East|Odisha|Bhubaneswar|Technology|Phones|Basic Phones 326|Second Class|6|4159.33|0.25|18716.99|12282.43|6434.56|Paid|Returned"/>
    <s v="Keep"/>
    <n v="1"/>
    <s v="Unique"/>
    <s v=""/>
    <n v="0.25"/>
    <n v="18716.985000000001"/>
    <n v="6434.5550000000003"/>
    <n v="0.34378159730319813"/>
    <n v="7"/>
    <n v="2025"/>
    <b v="0"/>
    <b v="0"/>
    <x v="1"/>
    <s v="Returned order excluded"/>
    <s v="Warning"/>
  </r>
  <r>
    <s v="ORD-2025-10296"/>
    <s v="25 Jun 2025"/>
    <x v="18"/>
    <d v="2025-06-25T00:00:00"/>
    <s v="28 Jun 2025"/>
    <d v="2025-06-28T00:00:00"/>
    <s v="OK"/>
    <n v="3"/>
    <s v="CUST-6778"/>
    <s v="Aditi Sen"/>
    <s v="Aditi Sen"/>
    <s v="Small Business"/>
    <x v="1"/>
    <s v="East"/>
    <x v="1"/>
    <s v="Assam"/>
    <s v="Assam"/>
    <s v="Guwahati"/>
    <s v="Guwahati"/>
    <s v="Office Supplies"/>
    <x v="0"/>
    <s v="Binders"/>
    <x v="9"/>
    <s v="Max Binders 587"/>
    <s v="Standard Class"/>
    <x v="3"/>
    <n v="3"/>
    <n v="3476.05"/>
    <n v="0.1"/>
    <n v="9385.34"/>
    <n v="5828.54"/>
    <n v="3556.8"/>
    <s v="Paid"/>
    <x v="0"/>
    <s v="Completed"/>
    <x v="0"/>
    <s v="ORD-2025-10296|06-25-2025|06-28-2025|CUST-6778|Aditi Sen|Small Business|East|Assam|Guwahati|Office Supplies|Binders|Max Binders 587|Standard Class|3|3476.05|0.1|9385.34|5828.54|3556.8|Paid|Completed"/>
    <s v="Keep"/>
    <n v="1"/>
    <s v="Unique"/>
    <s v=""/>
    <n v="0.1"/>
    <n v="9385.3350000000009"/>
    <n v="3556.795000000001"/>
    <n v="0.37897368607513748"/>
    <n v="6"/>
    <n v="2025"/>
    <b v="0"/>
    <b v="0"/>
    <x v="0"/>
    <s v=""/>
    <s v="Clean"/>
  </r>
  <r>
    <s v="ORD-2025-10297"/>
    <s v="24 May 2025"/>
    <x v="9"/>
    <d v="2025-05-24T00:00:00"/>
    <s v="05/26/2025"/>
    <d v="2025-05-26T00:00:00"/>
    <s v="OK"/>
    <n v="2"/>
    <s v="CUST-7629"/>
    <s v="Aditi Sen"/>
    <s v="Aditi Sen"/>
    <s v="Home Office"/>
    <x v="3"/>
    <s v="North"/>
    <x v="0"/>
    <s v="Haryana"/>
    <s v="Haryana"/>
    <s v="Gurugram"/>
    <s v="Gurugram"/>
    <s v="Furniture"/>
    <x v="1"/>
    <s v="Furnishings"/>
    <x v="3"/>
    <s v="Basic Furnishings 617"/>
    <s v="Same Day"/>
    <x v="1"/>
    <n v="6"/>
    <n v="3495.41"/>
    <n v="0.15"/>
    <n v="17826.59"/>
    <n v="10855.35"/>
    <n v="6971.24"/>
    <s v="Paid"/>
    <x v="0"/>
    <s v="Completed"/>
    <x v="0"/>
    <s v="ORD-2025-10297|05-24-2025|05-26-2025|CUST-7629|Aditi Sen|Home Office|North|Haryana|Gurugram|Furniture|Furnishings|Basic Furnishings 617|Same Day|6|3495.41|0.15|17826.59|10855.35|6971.24|Paid|Completed"/>
    <s v="Keep"/>
    <n v="1"/>
    <s v="Unique"/>
    <s v=""/>
    <n v="0.15"/>
    <n v="17826.591"/>
    <n v="6971.241"/>
    <n v="0.39105855965394615"/>
    <n v="5"/>
    <n v="2025"/>
    <b v="0"/>
    <b v="0"/>
    <x v="0"/>
    <s v=""/>
    <s v="Clean"/>
  </r>
  <r>
    <s v="ORD-2024-10298"/>
    <s v="2024-10-29"/>
    <x v="16"/>
    <d v="2024-10-29T00:00:00"/>
    <s v="06-11-2024"/>
    <d v="2024-11-06T00:00:00"/>
    <s v="OK"/>
    <n v="8"/>
    <s v="CUST-6724"/>
    <s v="Sneha Kapoor"/>
    <s v="Sneha Kapoor"/>
    <s v="Corporate"/>
    <x v="2"/>
    <s v="South"/>
    <x v="2"/>
    <s v="Tamil Nadu"/>
    <s v="Tamil Nadu"/>
    <s v="Chennai"/>
    <s v="Chennai"/>
    <s v="Technology"/>
    <x v="2"/>
    <s v="Copiers"/>
    <x v="6"/>
    <s v="Prime Copiers 669"/>
    <s v="Same Day"/>
    <x v="1"/>
    <n v="6"/>
    <n v="1169.92"/>
    <n v="0.15"/>
    <n v="5966.59"/>
    <n v="3994.72"/>
    <n v="1971.87"/>
    <s v="Paid"/>
    <x v="0"/>
    <s v="Completed"/>
    <x v="0"/>
    <s v="ORD-2024-10298|10-29-2024|06-11-2024|CUST-6724|Sneha Kapoor|Corporate|South|Tamil Nadu|Chennai|Technology|Copiers|Prime Copiers 669|Same Day|6|1169.92|0.15|5966.59|3994.72|1971.87|Paid|Completed"/>
    <s v="Keep"/>
    <n v="1"/>
    <s v="Unique"/>
    <s v=""/>
    <n v="0.15"/>
    <n v="5966.5920000000006"/>
    <n v="1971.8720000000008"/>
    <n v="0.33048547646629778"/>
    <n v="10"/>
    <n v="2024"/>
    <b v="0"/>
    <b v="0"/>
    <x v="0"/>
    <s v=""/>
    <s v="Clean"/>
  </r>
  <r>
    <s v="ORD-2025-10299"/>
    <s v="23-01-2025"/>
    <x v="14"/>
    <d v="2025-01-23T00:00:00"/>
    <s v="2025-01-26"/>
    <d v="2025-01-26T00:00:00"/>
    <s v="OK"/>
    <n v="3"/>
    <s v="CUST-2141"/>
    <s v="Isha Nair"/>
    <s v="Isha Nair"/>
    <s v="Consumer"/>
    <x v="0"/>
    <s v="South"/>
    <x v="2"/>
    <s v="Kerala"/>
    <s v="Kerala"/>
    <s v="Kochi"/>
    <s v="Kochi"/>
    <s v="Technology"/>
    <x v="2"/>
    <s v="Copiers"/>
    <x v="6"/>
    <s v="Eco Copiers 894"/>
    <s v="First Class"/>
    <x v="2"/>
    <n v="7"/>
    <n v="348.49"/>
    <n v="0.2"/>
    <n v="1951.54"/>
    <n v="1609.95"/>
    <n v="341.59"/>
    <s v="Failed"/>
    <x v="3"/>
    <s v="Returned"/>
    <x v="2"/>
    <s v="ORD-2025-10299|23-01-2025|01-26-2025|CUST-2141|Isha Nair|Consumer|South|Kerala|Kochi|Technology|Copiers|Eco Copiers 894|First Class|7|348.49|0.2|1951.54|1609.95|341.59|Failed|Returned"/>
    <s v="Keep"/>
    <n v="1"/>
    <s v="Unique"/>
    <s v=""/>
    <n v="0.2"/>
    <n v="1951.5440000000003"/>
    <n v="341.59400000000028"/>
    <n v="0.17503781621116421"/>
    <n v="1"/>
    <n v="2025"/>
    <b v="0"/>
    <b v="0"/>
    <x v="1"/>
    <s v="Failed payment excluded; Returned order excluded"/>
    <s v="Warning"/>
  </r>
  <r>
    <s v="ORD-2024-10300"/>
    <s v="06-11-2024"/>
    <x v="3"/>
    <d v="2024-11-06T00:00:00"/>
    <s v="2024-11-12"/>
    <d v="2024-11-12T00:00:00"/>
    <s v="OK"/>
    <n v="6"/>
    <s v="CUST-7264"/>
    <s v="Rahul Verma"/>
    <s v="Rahul Verma"/>
    <s v="Small Business"/>
    <x v="1"/>
    <s v="West"/>
    <x v="3"/>
    <s v="Gujarat"/>
    <s v="Gujarat"/>
    <s v="Ahmedabad"/>
    <s v="Ahmedabad"/>
    <s v="Technology"/>
    <x v="2"/>
    <s v="Accessories"/>
    <x v="5"/>
    <s v="Max Accessories 145"/>
    <s v="Standard Class"/>
    <x v="3"/>
    <n v="7"/>
    <n v="1719.05"/>
    <n v="0.1"/>
    <n v="10830.02"/>
    <n v="7055.31"/>
    <n v="3774.71"/>
    <s v="Paid"/>
    <x v="0"/>
    <s v="Completed"/>
    <x v="0"/>
    <s v="ORD-2024-10300|06-11-2024|11-12-2024|CUST-7264|Rahul Verma|Small Business|West|Gujarat|Ahmedabad|Technology|Accessories|Max Accessories 145|Standard Class|7|1719.05|0.1|10830.02|7055.31|3774.71|Paid|Completed"/>
    <s v="Keep"/>
    <n v="1"/>
    <s v="Unique"/>
    <s v=""/>
    <n v="0.1"/>
    <n v="10830.015000000001"/>
    <n v="3774.7050000000008"/>
    <n v="0.34854106850267524"/>
    <n v="11"/>
    <n v="2024"/>
    <b v="0"/>
    <b v="0"/>
    <x v="0"/>
    <s v=""/>
    <s v="Clean"/>
  </r>
  <r>
    <s v="ORD-2024-10301"/>
    <s v="15-04-2024"/>
    <x v="19"/>
    <d v="2024-04-15T00:00:00"/>
    <s v="04/23/2024"/>
    <d v="2024-04-23T00:00:00"/>
    <s v="OK"/>
    <n v="8"/>
    <s v="CUST-2668"/>
    <s v="Diya Patel"/>
    <s v="Diya Patel"/>
    <s v="Small Business"/>
    <x v="1"/>
    <s v="North"/>
    <x v="0"/>
    <s v="Punjab"/>
    <s v="Punjab"/>
    <s v="Ludhiana"/>
    <s v="Ludhiana"/>
    <s v="Technology"/>
    <x v="2"/>
    <s v="Accessories"/>
    <x v="5"/>
    <s v="Classic Accessories 126"/>
    <s v="Second Class "/>
    <x v="0"/>
    <n v="9"/>
    <n v="3893.74"/>
    <n v="0.1"/>
    <n v="31539.29"/>
    <n v="22100.14"/>
    <n v="9439.15"/>
    <s v="Paid"/>
    <x v="0"/>
    <s v="Completed"/>
    <x v="0"/>
    <s v="ORD-2024-10301|15-04-2024|04-23-2024|CUST-2668|Diya Patel|Small Business|North|Punjab|Ludhiana|Technology|Accessories|Classic Accessories 126|Second Class |9|3893.74|0.1|31539.29|22100.14|9439.15|Paid|Completed"/>
    <s v="Keep"/>
    <n v="1"/>
    <s v="Unique"/>
    <s v=""/>
    <n v="0.1"/>
    <n v="31539.293999999998"/>
    <n v="9439.1539999999986"/>
    <n v="0.29928234918638313"/>
    <n v="4"/>
    <n v="2024"/>
    <b v="0"/>
    <b v="0"/>
    <x v="0"/>
    <s v=""/>
    <s v="Clean"/>
  </r>
  <r>
    <s v="ORD-2025-10302"/>
    <s v="28 May 2025"/>
    <x v="9"/>
    <d v="2025-05-28T00:00:00"/>
    <s v="01-06-2025"/>
    <d v="2025-06-01T00:00:00"/>
    <s v="OK"/>
    <n v="4"/>
    <s v="CUST-5599"/>
    <s v="Isha Nair"/>
    <s v="Isha Nair"/>
    <s v="Home Office"/>
    <x v="3"/>
    <s v="East"/>
    <x v="1"/>
    <s v="Bihar"/>
    <s v="Bihar"/>
    <s v="Patna"/>
    <s v="Patna"/>
    <s v="Technology"/>
    <x v="2"/>
    <s v="Phones"/>
    <x v="11"/>
    <s v="Elite Phones 202"/>
    <s v="Same Day"/>
    <x v="1"/>
    <n v="4"/>
    <n v="1654.11"/>
    <n v="0.05"/>
    <n v="6285.62"/>
    <n v="3705.38"/>
    <n v="2580.2399999999998"/>
    <s v="Paid"/>
    <x v="0"/>
    <s v="Completed"/>
    <x v="0"/>
    <s v="ORD-2025-10302|05-28-2025|01-06-2025|CUST-5599|Isha Nair|Home Office|East|Bihar|Patna|Technology|Phones|Elite Phones 202|Same Day|4|1654.11|0.05|6285.62|3705.38|2580.24|Paid|Completed"/>
    <s v="Keep"/>
    <n v="1"/>
    <s v="Unique"/>
    <s v=""/>
    <n v="0.05"/>
    <n v="6285.6179999999995"/>
    <n v="2580.2379999999994"/>
    <n v="0.41049869718458865"/>
    <n v="5"/>
    <n v="2025"/>
    <b v="0"/>
    <b v="0"/>
    <x v="0"/>
    <s v=""/>
    <s v="Clean"/>
  </r>
  <r>
    <s v="ORD-2025-10303"/>
    <s v="04-06-2025"/>
    <x v="18"/>
    <d v="2025-06-04T00:00:00"/>
    <s v="2025-06-12"/>
    <d v="2025-06-12T00:00:00"/>
    <s v="OK"/>
    <n v="8"/>
    <s v="CUST-1623"/>
    <s v="Neha Gupta"/>
    <s v="Neha Gupta"/>
    <s v="Consumer"/>
    <x v="0"/>
    <s v="West"/>
    <x v="3"/>
    <s v="Goa"/>
    <s v="Goa"/>
    <s v="Panaji"/>
    <s v="Panaji"/>
    <s v="Office Supplies"/>
    <x v="0"/>
    <s v="Storage"/>
    <x v="8"/>
    <s v="Elite Storage 535"/>
    <s v="Same Day"/>
    <x v="1"/>
    <n v="2"/>
    <n v="2703.28"/>
    <n v="0.25"/>
    <n v="4054.92"/>
    <n v="2424.83"/>
    <n v="1630.09"/>
    <s v="Paid"/>
    <x v="0"/>
    <s v="Completed"/>
    <x v="0"/>
    <s v="ORD-2025-10303|04-06-2025|06-12-2025|CUST-1623|Neha Gupta|Consumer|West|Goa|Panaji|OFFICE SUPPLIES|Storage|Elite Storage 535|Same Day|2|2703.28|0.25|4054.92|2424.83|1630.09|Paid|Completed"/>
    <s v="Keep"/>
    <n v="1"/>
    <s v="Unique"/>
    <s v=""/>
    <n v="0.25"/>
    <n v="4054.92"/>
    <n v="1630.0900000000001"/>
    <n v="0.40200299882611745"/>
    <n v="6"/>
    <n v="2025"/>
    <b v="0"/>
    <b v="0"/>
    <x v="0"/>
    <s v=""/>
    <s v="Clean"/>
  </r>
  <r>
    <s v="ORD-2024-10304"/>
    <s v="23 Jun 2024"/>
    <x v="2"/>
    <d v="2024-06-23T00:00:00"/>
    <s v="28-06-2024"/>
    <d v="2024-06-28T00:00:00"/>
    <s v="OK"/>
    <n v="5"/>
    <s v="CUST-9035"/>
    <s v="Diya Patel"/>
    <s v="Diya Patel"/>
    <s v="Home Office"/>
    <x v="3"/>
    <s v="West"/>
    <x v="3"/>
    <s v="Gujarat"/>
    <s v="Gujarat"/>
    <s v="Ahmedabad"/>
    <s v="Ahmedabad"/>
    <s v="Furniture"/>
    <x v="1"/>
    <s v="Chairs"/>
    <x v="4"/>
    <s v="Elite Chairs 107"/>
    <s v="Standard Class"/>
    <x v="3"/>
    <n v="2"/>
    <n v="1313.14"/>
    <n v="0.1"/>
    <n v="2363.65"/>
    <n v="1876.1"/>
    <n v="487.55"/>
    <s v="Pending"/>
    <x v="2"/>
    <s v="Returned"/>
    <x v="2"/>
    <s v="ORD-2024-10304|06-23-2024|28-06-2024|CUST-9035|Diya Patel|Home Office|West|Gujarat|Ahmedabad|Furniture|Chairs|Elite Chairs 107|Standard Class|2|1313.14|0.1|2363.65|1876.1|487.55|Pending|Returned"/>
    <s v="Keep"/>
    <n v="1"/>
    <s v="Unique"/>
    <s v=""/>
    <n v="0.1"/>
    <n v="2363.652"/>
    <n v="487.55200000000013"/>
    <n v="0.20627063544041174"/>
    <n v="6"/>
    <n v="2024"/>
    <b v="0"/>
    <b v="0"/>
    <x v="1"/>
    <s v="Returned order excluded"/>
    <s v="Warning"/>
  </r>
  <r>
    <s v="ORD-2024-10305"/>
    <s v="03/06/2024"/>
    <x v="15"/>
    <d v="2024-03-06T00:00:00"/>
    <s v="2024-03-13"/>
    <d v="2024-03-13T00:00:00"/>
    <s v="OK"/>
    <n v="7"/>
    <s v="CUST-6286"/>
    <s v="Karan Malhotra"/>
    <s v="Karan Malhotra"/>
    <s v="Consumer"/>
    <x v="0"/>
    <s v="North"/>
    <x v="0"/>
    <s v="Punjab"/>
    <s v="Punjab"/>
    <s v="Ludhiana"/>
    <s v="Ludhiana"/>
    <s v="Furniture"/>
    <x v="1"/>
    <s v="Furnishings"/>
    <x v="3"/>
    <s v="Pro Furnishings 991"/>
    <s v="Standard Class"/>
    <x v="3"/>
    <n v="6"/>
    <n v="2403.0500000000002"/>
    <n v="0.1"/>
    <n v="12976.47"/>
    <n v="10019.98"/>
    <n v="2956.49"/>
    <s v="Paid"/>
    <x v="0"/>
    <s v="Completed"/>
    <x v="0"/>
    <s v="ORD-2024-10305|03-06-2024|03-13-2024|CUST-6286|Karan Malhotra|Consumer|North|Punjab|Ludhiana|Furniture|Furnishings|Pro Furnishings 991|Standard Class|6|2403.05|0.1|12976.47|10019.98|2956.49|Paid|Completed"/>
    <s v="Keep"/>
    <n v="1"/>
    <s v="Unique"/>
    <s v=""/>
    <n v="0.1"/>
    <n v="12976.470000000001"/>
    <n v="2956.4900000000016"/>
    <n v="0.22783468847845378"/>
    <n v="3"/>
    <n v="2024"/>
    <b v="0"/>
    <b v="0"/>
    <x v="0"/>
    <s v=""/>
    <s v="Clean"/>
  </r>
  <r>
    <s v="ORD-2024-10306"/>
    <s v="01 May 2024"/>
    <x v="5"/>
    <d v="2024-05-01T00:00:00"/>
    <s v="05/02/2024"/>
    <d v="2024-05-02T00:00:00"/>
    <s v="OK"/>
    <n v="1"/>
    <s v="CUST-7246"/>
    <s v="Ananya Rao"/>
    <s v="Ananya Rao"/>
    <s v="Consumer"/>
    <x v="0"/>
    <s v="East"/>
    <x v="1"/>
    <s v="Assam"/>
    <s v="Assam"/>
    <s v="Guwahati"/>
    <s v="Guwahati"/>
    <s v="Furniture"/>
    <x v="1"/>
    <s v="Chairs"/>
    <x v="4"/>
    <s v="Eco Chairs 105"/>
    <s v="First Class"/>
    <x v="2"/>
    <n v="4"/>
    <n v="4156.0600000000004"/>
    <n v="0.55000000000000004"/>
    <n v="13299.39"/>
    <n v="9851.91"/>
    <n v="3447.48"/>
    <s v="Paid"/>
    <x v="0"/>
    <s v="Cancelled"/>
    <x v="1"/>
    <s v="ORD-2024-10306|05-01-2024|05-02-2024|CUST-7246|Ananya Rao|Consumer|East|Assam|Guwahati|Furniture|Chairs|Eco Chairs 105|First Class|4|4156.06|0.55|13299.39|9851.91|3447.48|Paid|Cancelled"/>
    <s v="Keep"/>
    <n v="1"/>
    <s v="Unique"/>
    <s v=""/>
    <n v="0.55000000000000004"/>
    <n v="7480.9080000000004"/>
    <n v="-2371.0019999999995"/>
    <n v="-0.31694040349112695"/>
    <n v="5"/>
    <n v="2024"/>
    <b v="1"/>
    <b v="1"/>
    <x v="1"/>
    <s v="Discount above 50%; Cancelled order excluded; Sales mismatch; Profit mismatch"/>
    <s v="Invalid"/>
  </r>
  <r>
    <s v="ORD-2025-10307"/>
    <s v="20 Feb 2025"/>
    <x v="7"/>
    <d v="2025-02-20T00:00:00"/>
    <s v="2025-02-23"/>
    <d v="2025-02-23T00:00:00"/>
    <s v="OK"/>
    <n v="3"/>
    <s v="CUST-2589"/>
    <s v="Aarav Sharma"/>
    <s v="Aarav Sharma"/>
    <s v="Consumer"/>
    <x v="0"/>
    <s v="North"/>
    <x v="0"/>
    <s v="Rajasthan"/>
    <s v="Rajasthan"/>
    <s v="Jaipur"/>
    <s v="Jaipur"/>
    <s v="Technology"/>
    <x v="2"/>
    <s v="Phones"/>
    <x v="11"/>
    <s v="Pro Phones 530"/>
    <s v="Second Class"/>
    <x v="0"/>
    <n v="4"/>
    <n v="3673.11"/>
    <n v="0"/>
    <n v="14692.44"/>
    <n v="10082.19"/>
    <n v="4610.25"/>
    <s v="Paid"/>
    <x v="0"/>
    <s v="Completed"/>
    <x v="0"/>
    <s v="ORD-2025-10307|02-20-2025|02-23-2025|CUST-2589|Aarav Sharma|Consumer|North|Rajasthan|Jaipur|Technology|Phones|Pro Phones 530|Second Class|4|3673.11|0|14692.44|10082.19|4610.25|Paid|Completed"/>
    <s v="Keep"/>
    <n v="1"/>
    <s v="Unique"/>
    <s v=""/>
    <n v="0"/>
    <n v="14692.44"/>
    <n v="4610.25"/>
    <n v="0.31378382351740075"/>
    <n v="2"/>
    <n v="2025"/>
    <b v="0"/>
    <b v="0"/>
    <x v="0"/>
    <s v=""/>
    <s v="Clean"/>
  </r>
  <r>
    <s v="ORD-2025-10308"/>
    <s v="2025-07-12"/>
    <x v="13"/>
    <d v="2025-07-12T00:00:00"/>
    <s v="19 Jul 2025"/>
    <d v="2025-07-19T00:00:00"/>
    <s v="OK"/>
    <n v="7"/>
    <s v="CUST-4153"/>
    <s v="Ananya Rao"/>
    <s v="Ananya Rao"/>
    <s v="Corporate"/>
    <x v="2"/>
    <s v="North"/>
    <x v="0"/>
    <s v="Uttar Pradesh"/>
    <s v="Uttar Pradesh"/>
    <s v="Noida"/>
    <s v="Noida"/>
    <s v="Furniture"/>
    <x v="1"/>
    <s v="Tables"/>
    <x v="1"/>
    <s v="Basic Tables 911"/>
    <s v="First Class"/>
    <x v="2"/>
    <n v="9"/>
    <n v="4093.04"/>
    <n v="0.2"/>
    <n v="29469.89"/>
    <n v="18935.509999999998"/>
    <n v="10534.38"/>
    <s v="Pending"/>
    <x v="2"/>
    <s v="Cancelled"/>
    <x v="1"/>
    <s v="ORD-2025-10308|07-12-2025|07-19-2025|CUST-4153|Ananya Rao|Corporate|North|Uttar Pradesh|Noida|Furniture|Tables|Basic Tables 911|First Class|9|4093.04|0.2|29469.89|18935.51|10534.38|PENDING|Cancelled"/>
    <s v="Keep"/>
    <n v="1"/>
    <s v="Unique"/>
    <s v=""/>
    <n v="0.2"/>
    <n v="29469.888000000003"/>
    <n v="10534.378000000004"/>
    <n v="0.3574624375905332"/>
    <n v="7"/>
    <n v="2025"/>
    <b v="0"/>
    <b v="0"/>
    <x v="1"/>
    <s v="Cancelled order excluded"/>
    <s v="Warning"/>
  </r>
  <r>
    <s v="ORD-2025-10309"/>
    <s v="2025-06-13"/>
    <x v="18"/>
    <d v="2025-06-13T00:00:00"/>
    <s v="2025-06-19"/>
    <d v="2025-06-19T00:00:00"/>
    <s v="OK"/>
    <n v="6"/>
    <s v="CUST-6727"/>
    <s v="Rohan Mehta"/>
    <s v="Rohan Mehta"/>
    <s v="Consumer"/>
    <x v="0"/>
    <s v="North"/>
    <x v="0"/>
    <s v="Rajasthan"/>
    <s v="Rajasthan"/>
    <s v="Jaipur"/>
    <s v="Jaipur"/>
    <s v="Furniture"/>
    <x v="1"/>
    <s v="Tables"/>
    <x v="1"/>
    <s v="Classic Tables 224"/>
    <s v="First Class"/>
    <x v="2"/>
    <n v="4"/>
    <n v="731.57"/>
    <n v="0.2"/>
    <n v="2341.02"/>
    <n v="1565.49"/>
    <n v="775.53"/>
    <s v="Paid"/>
    <x v="0"/>
    <s v="Completed"/>
    <x v="0"/>
    <s v="ORD-2025-10309|06-13-2025|06-19-2025|CUST-6727|Rohan Mehta|Consumer|North|Rajasthan|Jaipur|Furniture|Tables|Classic Tables 224|First Class|4|731.57|0.2|2341.02|1565.49|775.53|Paid|Completed"/>
    <s v="Keep"/>
    <n v="1"/>
    <s v="Unique"/>
    <s v=""/>
    <n v="0.2"/>
    <n v="2341.0240000000003"/>
    <n v="775.53400000000033"/>
    <n v="0.33127981601213835"/>
    <n v="6"/>
    <n v="2025"/>
    <b v="0"/>
    <b v="0"/>
    <x v="0"/>
    <s v=""/>
    <s v="Clean"/>
  </r>
  <r>
    <s v="ORD-2024-10310"/>
    <s v="07/20/2024"/>
    <x v="0"/>
    <d v="2024-07-20T00:00:00"/>
    <s v="2024-07-22"/>
    <d v="2024-07-22T00:00:00"/>
    <s v="OK"/>
    <n v="2"/>
    <s v="CUST-8860"/>
    <s v="Ananya Rao"/>
    <s v="Ananya Rao"/>
    <s v="Consumer"/>
    <x v="0"/>
    <s v="South"/>
    <x v="2"/>
    <s v="Tamil Nadu"/>
    <s v="Tamil Nadu"/>
    <s v="Chennai"/>
    <s v="Chennai"/>
    <s v="Furniture"/>
    <x v="1"/>
    <s v="Tables"/>
    <x v="1"/>
    <s v="Prime Tables 214"/>
    <s v="First Class"/>
    <x v="2"/>
    <n v="7"/>
    <n v="2060.73"/>
    <n v="0.1"/>
    <n v="12982.6"/>
    <n v="7246.36"/>
    <n v="5736.24"/>
    <s v="Paid"/>
    <x v="0"/>
    <s v="Cancelled"/>
    <x v="1"/>
    <s v="ORD-2024-10310|07-20-2024|07-22-2024|CUST-8860|Ananya Rao|Consumer|South|Tamil Nadu|Chennai|Furniture|Tables|Prime Tables 214|First Class|7|2060.73|0.1|12982.6|7246.36|5736.24|Paid|Cancelled"/>
    <s v="Keep"/>
    <n v="1"/>
    <s v="Unique"/>
    <s v=""/>
    <n v="0.1"/>
    <n v="12982.599"/>
    <n v="5736.2390000000005"/>
    <n v="0.441840574448922"/>
    <n v="7"/>
    <n v="2024"/>
    <b v="0"/>
    <b v="0"/>
    <x v="1"/>
    <s v="Cancelled order excluded"/>
    <s v="Warning"/>
  </r>
  <r>
    <s v="ORD-2024-10311"/>
    <s v="04-07-2024"/>
    <x v="0"/>
    <d v="2024-07-04T00:00:00"/>
    <s v="08-07-2024"/>
    <d v="2024-07-08T00:00:00"/>
    <s v="OK"/>
    <n v="4"/>
    <s v="CUST-3784"/>
    <s v="Rohan Mehta"/>
    <s v="Rohan Mehta"/>
    <s v="Small Business"/>
    <x v="1"/>
    <s v="South"/>
    <x v="2"/>
    <s v="Tamil Nadu"/>
    <s v="Tamil Nadu"/>
    <s v="Chennai"/>
    <s v="Chennai"/>
    <s v="Technology"/>
    <x v="2"/>
    <s v="Machines"/>
    <x v="12"/>
    <s v="Max Machines 988"/>
    <s v="First Class"/>
    <x v="2"/>
    <n v="8"/>
    <n v="2034.25"/>
    <n v="0"/>
    <n v="16274"/>
    <n v="9424.25"/>
    <n v="6849.75"/>
    <s v="Paid"/>
    <x v="0"/>
    <s v="Completed"/>
    <x v="0"/>
    <s v="ORD-2024-10311|04-07-2024|08-07-2024|CUST-3784|Rohan Mehta|Small Business|South|Tamil Nadu|Chennai|Technology|Machines|Max Machines 988|First Class|8|2034.25|0|16274|9424.25|6849.75|Paid|Completed"/>
    <s v="Keep"/>
    <n v="1"/>
    <s v="Unique"/>
    <s v=""/>
    <n v="0"/>
    <n v="16274"/>
    <n v="6849.75"/>
    <n v="0.42090143787636719"/>
    <n v="7"/>
    <n v="2024"/>
    <b v="0"/>
    <b v="0"/>
    <x v="0"/>
    <s v=""/>
    <s v="Clean"/>
  </r>
  <r>
    <s v="ORD-2024-10312"/>
    <s v="27-04-2024"/>
    <x v="19"/>
    <d v="2024-04-27T00:00:00"/>
    <s v="02-05-2024"/>
    <d v="2024-05-02T00:00:00"/>
    <s v="OK"/>
    <n v="5"/>
    <s v="CUST-3545"/>
    <s v="Mira Das"/>
    <s v="Mira Das"/>
    <s v="Corporate"/>
    <x v="2"/>
    <s v="South"/>
    <x v="2"/>
    <s v="Karnataka"/>
    <s v="Karnataka"/>
    <s v="Bengaluru"/>
    <s v="Bengaluru"/>
    <s v="Office Supplies"/>
    <x v="0"/>
    <s v="Binders"/>
    <x v="9"/>
    <s v="Max Binders 425"/>
    <s v="Second Class"/>
    <x v="0"/>
    <n v="5"/>
    <n v="554.04"/>
    <n v="0.1"/>
    <n v="2493.1799999999998"/>
    <n v="1764"/>
    <n v="729.18"/>
    <s v="Paid"/>
    <x v="0"/>
    <s v="Completed"/>
    <x v="0"/>
    <s v="ORD-2024-10312|27-04-2024|02-05-2024|CUST-3545|Mira Das|Corporate|South|Karnataka|Bengaluru|Office Supplies|Binders|Max Binders 425|Second Class|5|554.04|0.1|2493.18|1764|729.18|Paid|Completed"/>
    <s v="Keep"/>
    <n v="1"/>
    <s v="Unique"/>
    <s v=""/>
    <n v="0.1"/>
    <n v="2493.1799999999998"/>
    <n v="729.17999999999984"/>
    <n v="0.29246985777200196"/>
    <n v="4"/>
    <n v="2024"/>
    <b v="0"/>
    <b v="0"/>
    <x v="0"/>
    <s v=""/>
    <s v="Clean"/>
  </r>
  <r>
    <s v="ORD-2024-10313"/>
    <s v="07/31/2024"/>
    <x v="0"/>
    <d v="2024-07-31T00:00:00"/>
    <s v="04-08-2024"/>
    <d v="2024-08-04T00:00:00"/>
    <s v="OK"/>
    <n v="4"/>
    <s v="CUST-4851"/>
    <s v="Karan Malhotra"/>
    <s v="Karan Malhotra"/>
    <s v="Small Business"/>
    <x v="1"/>
    <s v="East"/>
    <x v="1"/>
    <s v="Assam"/>
    <s v="Assam"/>
    <s v="Guwahati"/>
    <s v="Guwahati"/>
    <s v="Technology"/>
    <x v="2"/>
    <s v="Phones"/>
    <x v="11"/>
    <s v="Elite Phones 679"/>
    <s v="Standard Class"/>
    <x v="3"/>
    <n v="8"/>
    <n v="2614.7399999999998"/>
    <m/>
    <n v="15688.44"/>
    <n v="10047.33"/>
    <n v="5641.11"/>
    <s v="Paid"/>
    <x v="0"/>
    <s v="Cancelled"/>
    <x v="1"/>
    <s v="ORD-2024-10313|07-31-2024|04-08-2024|CUST-4851|Karan Malhotra|Small Business|East|Assam|Guwahati|Technology|Phones|Elite Phones 679|Standard Class|8|2614.74||15688.44|10047.33|5641.11|Paid|Cancelled"/>
    <s v="Keep"/>
    <n v="1"/>
    <s v="Unique"/>
    <s v=""/>
    <n v="0"/>
    <n v="20917.919999999998"/>
    <n v="10870.589999999998"/>
    <n v="0.5196783427797792"/>
    <n v="7"/>
    <n v="2024"/>
    <b v="1"/>
    <b v="1"/>
    <x v="1"/>
    <s v="Missing discount treated as 0; Cancelled order excluded; Sales mismatch; Profit mismatch"/>
    <s v="Invalid"/>
  </r>
  <r>
    <s v="ORD-2025-10314"/>
    <s v="2025-05-30"/>
    <x v="9"/>
    <d v="2025-05-30T00:00:00"/>
    <s v="31-05-2025"/>
    <d v="2025-05-31T00:00:00"/>
    <s v="OK"/>
    <n v="1"/>
    <s v="CUST-4770"/>
    <s v="Rahul Verma"/>
    <s v="Rahul Verma"/>
    <s v="Corporate"/>
    <x v="2"/>
    <s v="North"/>
    <x v="0"/>
    <s v="Uttar Pradesh"/>
    <s v="Uttar Pradesh"/>
    <s v="Noida"/>
    <s v="Noida"/>
    <s v="Technology"/>
    <x v="2"/>
    <s v="Phones"/>
    <x v="11"/>
    <s v="Pro Phones 764"/>
    <s v="First Class"/>
    <x v="2"/>
    <n v="8"/>
    <n v="2081.4299999999998"/>
    <n v="0.25"/>
    <n v="12488.58"/>
    <n v="10717.4"/>
    <n v="1771.18"/>
    <s v="Refunded"/>
    <x v="1"/>
    <s v="Cancelled"/>
    <x v="1"/>
    <s v="ORD-2025-10314|05-30-2025|31-05-2025|CUST-4770|Rahul Verma|Corporate|North|Uttar Pradesh|Noida|Technology|Phones|Pro Phones 764|First Class|8|2081.43|0.25|12488.58|10717.4|1771.18|Refunded|Cancelled"/>
    <s v="Keep"/>
    <n v="1"/>
    <s v="Unique"/>
    <s v=""/>
    <n v="0.25"/>
    <n v="12488.579999999998"/>
    <n v="1771.1799999999985"/>
    <n v="0.14182397037933847"/>
    <n v="5"/>
    <n v="2025"/>
    <b v="0"/>
    <b v="0"/>
    <x v="1"/>
    <s v="Refunded order summarized separately; Cancelled order excluded"/>
    <s v="Warning"/>
  </r>
  <r>
    <s v="ORD-2025-10315"/>
    <s v="05/18/2025"/>
    <x v="9"/>
    <d v="2025-05-18T00:00:00"/>
    <s v="20 May 2025"/>
    <d v="2025-05-20T00:00:00"/>
    <s v="OK"/>
    <n v="2"/>
    <s v="CUST-1945"/>
    <s v="Isha Nair"/>
    <s v="Isha Nair"/>
    <s v="Corporate"/>
    <x v="2"/>
    <s v="West"/>
    <x v="3"/>
    <s v="Madhya Pradesh"/>
    <s v="Madhya Pradesh"/>
    <s v="Indore"/>
    <s v="Indore"/>
    <s v="Office Supplies"/>
    <x v="0"/>
    <s v="Labels"/>
    <x v="7"/>
    <s v="Elite Labels 544"/>
    <s v="Standard Class"/>
    <x v="3"/>
    <n v="9"/>
    <n v="847.76"/>
    <n v="0.15"/>
    <n v="6485.36"/>
    <n v="5376.17"/>
    <n v="1109.19"/>
    <s v="Failed"/>
    <x v="3"/>
    <s v="Returned"/>
    <x v="2"/>
    <s v="ORD-2025-10315|05-18-2025|05-20-2025|CUST-1945|Isha Nair|Corporate|West|Madhya Pradesh|Indore|Office Supplies|Labels|Elite Labels 544|Standard Class|9|847.76|0.15|6485.36|5376.17|1109.19|Failed|Returned"/>
    <s v="Keep"/>
    <n v="2"/>
    <s v="Duplicate order_id"/>
    <s v="Review conflicting duplicate"/>
    <n v="0.15"/>
    <n v="6485.3639999999996"/>
    <n v="1109.1939999999995"/>
    <n v="0.17103033846673826"/>
    <n v="5"/>
    <n v="2025"/>
    <b v="0"/>
    <b v="0"/>
    <x v="1"/>
    <s v="Failed payment excluded; Returned order excluded; Duplicate order ID conflict"/>
    <s v="Warning"/>
  </r>
  <r>
    <s v="ORD-2024-10316"/>
    <s v="2024-07-02"/>
    <x v="0"/>
    <d v="2024-07-02T00:00:00"/>
    <s v="2024-07-08"/>
    <d v="2024-07-08T00:00:00"/>
    <s v="OK"/>
    <n v="6"/>
    <s v="CUST-7565"/>
    <s v="Rohan Mehta"/>
    <s v="Rohan Mehta"/>
    <s v="Consumer"/>
    <x v="0"/>
    <s v="North"/>
    <x v="0"/>
    <s v="Delhi"/>
    <s v="Delhi"/>
    <s v="New Delhi"/>
    <s v="New Delhi"/>
    <s v="Office Supplies"/>
    <x v="0"/>
    <s v="Paper"/>
    <x v="0"/>
    <s v="Smart Paper 817"/>
    <s v="Standard Class"/>
    <x v="3"/>
    <n v="9"/>
    <n v="3450.4"/>
    <n v="0.05"/>
    <n v="29500.92"/>
    <n v="17989.68"/>
    <n v="11511.24"/>
    <s v="Pending"/>
    <x v="2"/>
    <s v="Returned"/>
    <x v="2"/>
    <s v="ORD-2024-10316|07-02-2024|07-08-2024|CUST-7565|Rohan Mehta|Consumer|North|Delhi|New Delhi|Office Supplies|Paper|Smart Paper 817|Standard Class|9|3450.4|0.05|29500.92|17989.68|11511.24|Pending|Returned"/>
    <s v="Keep"/>
    <n v="1"/>
    <s v="Unique"/>
    <s v=""/>
    <n v="0.05"/>
    <n v="29500.920000000002"/>
    <n v="11511.240000000002"/>
    <n v="0.39019935649464493"/>
    <n v="7"/>
    <n v="2024"/>
    <b v="0"/>
    <b v="0"/>
    <x v="1"/>
    <s v="Returned order excluded"/>
    <s v="Warning"/>
  </r>
  <r>
    <s v="ORD-2024-10317"/>
    <s v="16-02-2024"/>
    <x v="17"/>
    <d v="2024-02-16T00:00:00"/>
    <s v="02/18/2024"/>
    <d v="2024-02-18T00:00:00"/>
    <s v="OK"/>
    <n v="2"/>
    <s v="CUST-9913"/>
    <s v="Karan Malhotra"/>
    <s v="Karan Malhotra"/>
    <s v="Corporate"/>
    <x v="2"/>
    <s v="North"/>
    <x v="0"/>
    <s v="Punjab"/>
    <s v="Punjab"/>
    <s v="Ludhiana"/>
    <s v="Ludhiana"/>
    <s v="Office Supplies"/>
    <x v="0"/>
    <s v="Labels"/>
    <x v="7"/>
    <s v="Classic Labels 466"/>
    <s v="Standard Class"/>
    <x v="3"/>
    <n v="2"/>
    <n v="1947.53"/>
    <n v="0.2"/>
    <n v="3116.05"/>
    <n v="1956.63"/>
    <n v="1159.42"/>
    <s v="Paid"/>
    <x v="0"/>
    <s v="Cancelled"/>
    <x v="1"/>
    <s v="ORD-2024-10317|16-02-2024|02-18-2024|CUST-9913|Karan Malhotra|Corporate|North|Punjab|Ludhiana|Office Supplies|Labels|Classic Labels 466|Standard Class|2|1947.53|0.2|3116.05|1956.63|1159.42|Paid|Cancelled"/>
    <s v="Keep"/>
    <n v="1"/>
    <s v="Unique"/>
    <s v=""/>
    <n v="0.2"/>
    <n v="3116.0480000000002"/>
    <n v="1159.4180000000001"/>
    <n v="0.37207963420332424"/>
    <n v="2"/>
    <n v="2024"/>
    <b v="0"/>
    <b v="0"/>
    <x v="1"/>
    <s v="Cancelled order excluded"/>
    <s v="Warning"/>
  </r>
  <r>
    <s v="ORD-2025-10318"/>
    <s v="29-08-2025"/>
    <x v="4"/>
    <d v="2025-08-29T00:00:00"/>
    <s v="04 Sep 2025"/>
    <d v="2025-09-04T00:00:00"/>
    <s v="OK"/>
    <n v="6"/>
    <s v="CUST-7992"/>
    <s v="Neha Gupta"/>
    <s v="Neha Gupta"/>
    <s v="Corporate"/>
    <x v="2"/>
    <s v="South"/>
    <x v="2"/>
    <s v="Kerala"/>
    <s v="Kerala"/>
    <s v="Kochi"/>
    <s v="Kochi"/>
    <s v="Furniture"/>
    <x v="1"/>
    <s v="Tables"/>
    <x v="1"/>
    <s v="Pro Tables 778"/>
    <s v="First Class"/>
    <x v="2"/>
    <n v="9"/>
    <n v="2996.97"/>
    <n v="0.15"/>
    <n v="22926.82"/>
    <n v="14621.59"/>
    <n v="8305.23"/>
    <s v="Paid"/>
    <x v="0"/>
    <s v="Completed"/>
    <x v="0"/>
    <s v="ORD-2025-10318|29-08-2025|09-04-2025|CUST-7992|Neha Gupta|Corporate|South|Kerala|Kochi|Furniture|Tables|Pro Tables 778|First Class|9|2996.97|0.15|22926.82|14621.59|8305.23|Paid|Completed"/>
    <s v="Keep"/>
    <n v="1"/>
    <s v="Unique"/>
    <s v=""/>
    <n v="0.15"/>
    <n v="22926.820499999998"/>
    <n v="8305.2304999999978"/>
    <n v="0.36224955396671765"/>
    <n v="8"/>
    <n v="2025"/>
    <b v="0"/>
    <b v="0"/>
    <x v="0"/>
    <s v=""/>
    <s v="Clean"/>
  </r>
  <r>
    <s v="ORD-2024-10319"/>
    <s v="25 Apr 2024"/>
    <x v="19"/>
    <d v="2024-04-25T00:00:00"/>
    <s v="30-04-2024"/>
    <d v="2024-04-30T00:00:00"/>
    <s v="OK"/>
    <n v="5"/>
    <s v="CUST-8877"/>
    <s v="Mira Das"/>
    <s v="Mira Das"/>
    <s v="Small Business"/>
    <x v="1"/>
    <s v="South"/>
    <x v="2"/>
    <s v="Karnataka"/>
    <s v="Karnataka"/>
    <s v="Bengaluru"/>
    <s v="Bengaluru"/>
    <s v="Technology"/>
    <x v="2"/>
    <s v="Phones"/>
    <x v="11"/>
    <s v="Basic Phones 789"/>
    <s v="Standard Class"/>
    <x v="3"/>
    <n v="3"/>
    <n v="4149.46"/>
    <n v="0.1"/>
    <n v="11203.54"/>
    <n v="8452.93"/>
    <n v="2750.61"/>
    <s v="Paid"/>
    <x v="0"/>
    <s v="Completed"/>
    <x v="0"/>
    <s v="ORD-2024-10319|04-25-2024|30-04-2024|CUST-8877|Mira Das|Small Business|South|Karnataka|Bengaluru|Technology|Phones|Basic Phones 789|Standard Class|3|4149.46|0.1|11203.54|8452.93|2750.61|Paid|Completed"/>
    <s v="Keep"/>
    <n v="1"/>
    <s v="Unique"/>
    <s v=""/>
    <n v="0.1"/>
    <n v="11203.542000000001"/>
    <n v="2750.612000000001"/>
    <n v="0.24551271374713468"/>
    <n v="4"/>
    <n v="2024"/>
    <b v="0"/>
    <b v="0"/>
    <x v="0"/>
    <s v=""/>
    <s v="Clean"/>
  </r>
  <r>
    <s v="ORD-2024-10320"/>
    <s v="21 Aug 2024"/>
    <x v="1"/>
    <d v="2024-08-21T00:00:00"/>
    <s v="08/25/2024"/>
    <d v="2024-08-25T00:00:00"/>
    <s v="OK"/>
    <n v="4"/>
    <s v="CUST-4589"/>
    <s v="Diya Patel"/>
    <s v="Diya Patel"/>
    <s v="Consumer"/>
    <x v="0"/>
    <s v="West"/>
    <x v="3"/>
    <s v="Gujarat"/>
    <s v="Gujarat"/>
    <s v="Ahmedabad"/>
    <s v="Ahmedabad"/>
    <s v="Office Supplies"/>
    <x v="0"/>
    <s v="Binders"/>
    <x v="9"/>
    <s v="Prime Binders 554"/>
    <s v="First Class"/>
    <x v="2"/>
    <n v="1"/>
    <n v="270.27999999999997"/>
    <n v="0"/>
    <n v="270.27999999999997"/>
    <n v="156.34"/>
    <n v="113.94"/>
    <s v="Paid"/>
    <x v="0"/>
    <s v="Completed"/>
    <x v="0"/>
    <s v="ORD-2024-10320|08-21-2024|08-25-2024|CUST-4589|Diya Patel|Consumer|West|Gujarat|Ahmedabad|Office Supplies|Binders|Prime Binders 554|First Class|1|270.28|0|270.28|156.34|113.94|Paid|Completed"/>
    <s v="Keep"/>
    <n v="1"/>
    <s v="Unique"/>
    <s v=""/>
    <n v="0"/>
    <n v="270.27999999999997"/>
    <n v="113.93999999999997"/>
    <n v="0.42156282373834536"/>
    <n v="8"/>
    <n v="2024"/>
    <b v="0"/>
    <b v="0"/>
    <x v="0"/>
    <s v=""/>
    <s v="Clean"/>
  </r>
  <r>
    <s v="ORD-2024-10321"/>
    <s v="12/04/2024"/>
    <x v="10"/>
    <d v="2024-12-04T00:00:00"/>
    <s v="12/06/2024"/>
    <d v="2024-12-06T00:00:00"/>
    <s v="OK"/>
    <n v="2"/>
    <s v="CUST-4667"/>
    <s v="Aarav Sharma"/>
    <s v="Aarav Sharma"/>
    <s v="Home Office"/>
    <x v="3"/>
    <s v="East"/>
    <x v="1"/>
    <s v="West Bengal"/>
    <s v="West Bengal"/>
    <s v="Kolkata"/>
    <s v="Kolkata"/>
    <s v="Office Supplies"/>
    <x v="0"/>
    <s v="Art"/>
    <x v="2"/>
    <s v="Classic Art 299"/>
    <s v="Second Class"/>
    <x v="0"/>
    <n v="3"/>
    <n v="876.14"/>
    <s v="70%"/>
    <n v="2628.42"/>
    <n v="1541.54"/>
    <n v="1086.8800000000001"/>
    <s v="Pending"/>
    <x v="2"/>
    <s v="Returned"/>
    <x v="2"/>
    <s v="ORD-2024-10321|12-04-2024|12-06-2024|CUST-4667|Aarav Sharma|Home Office|East|West Bengal|Kolkata|Office Supplies|Art|Classic Art 299|Second Class|3|876.14|70%|2628.42|1541.54|1086.88|Pending|Returned"/>
    <s v="Keep"/>
    <n v="1"/>
    <s v="Unique"/>
    <s v=""/>
    <n v="0.7"/>
    <n v="788.52600000000018"/>
    <n v="-753.01399999999978"/>
    <n v="-0.95496407220560842"/>
    <n v="12"/>
    <n v="2024"/>
    <b v="1"/>
    <b v="1"/>
    <x v="1"/>
    <s v="Discount above 50%; Returned order excluded; Sales mismatch; Profit mismatch"/>
    <s v="Invalid"/>
  </r>
  <r>
    <s v="ORD-2024-10322"/>
    <s v="06/23/2024"/>
    <x v="2"/>
    <d v="2024-06-23T00:00:00"/>
    <s v="30 Jun 2024"/>
    <d v="2024-06-30T00:00:00"/>
    <s v="OK"/>
    <n v="7"/>
    <s v="CUST-7821"/>
    <s v="Neha Gupta"/>
    <s v="Neha Gupta"/>
    <s v="Small Business"/>
    <x v="1"/>
    <s v="West"/>
    <x v="3"/>
    <s v="Goa"/>
    <s v="Goa"/>
    <s v="Panaji"/>
    <s v="Panaji"/>
    <s v="Technology"/>
    <x v="2"/>
    <s v="Accessories"/>
    <x v="5"/>
    <s v="Eco Accessories 220"/>
    <s v="Same Day"/>
    <x v="1"/>
    <n v="4"/>
    <n v="674.82"/>
    <n v="0"/>
    <n v="2699.28"/>
    <n v="1759.76"/>
    <n v="939.52"/>
    <s v="Failed"/>
    <x v="3"/>
    <s v="Cancelled"/>
    <x v="1"/>
    <s v="ORD-2024-10322|06-23-2024|06-30-2024|CUST-7821|Neha Gupta|Small Business|West|Goa|Panaji|Technology|Accessories|Eco Accessories 220|Same Day|4|674.82|0|2699.28|1759.76|939.52|Failed|Cancelled"/>
    <s v="Keep"/>
    <n v="1"/>
    <s v="Unique"/>
    <s v=""/>
    <n v="0"/>
    <n v="2699.28"/>
    <n v="939.52000000000021"/>
    <n v="0.34806318722029583"/>
    <n v="6"/>
    <n v="2024"/>
    <b v="0"/>
    <b v="0"/>
    <x v="1"/>
    <s v="Failed payment excluded; Cancelled order excluded"/>
    <s v="Warning"/>
  </r>
  <r>
    <s v="ORD-2024-10323"/>
    <s v="2024-11-12"/>
    <x v="3"/>
    <d v="2024-11-12T00:00:00"/>
    <s v="12-11-2024"/>
    <d v="2024-11-12T00:00:00"/>
    <s v="OK"/>
    <n v="0"/>
    <s v="CUST-8579"/>
    <s v="Isha Nair"/>
    <s v="Isha Nair"/>
    <s v="Consumer"/>
    <x v="0"/>
    <s v="North"/>
    <x v="0"/>
    <s v="Uttar Pradesh"/>
    <s v="Uttar Pradesh"/>
    <s v="Noida"/>
    <s v="Noida"/>
    <s v="Technology"/>
    <x v="2"/>
    <s v="Phones"/>
    <x v="11"/>
    <s v="Max Phones 422"/>
    <s v="Second Class"/>
    <x v="0"/>
    <n v="6"/>
    <n v="1369.48"/>
    <n v="0.15"/>
    <n v="6984.35"/>
    <n v="4023.63"/>
    <n v="2960.72"/>
    <s v="Paid"/>
    <x v="0"/>
    <s v="Completed"/>
    <x v="0"/>
    <s v="ORD-2024-10323|11-12-2024|12-11-2024|CUST-8579|Isha Nair|Consumer|North|Uttar Pradesh|Noida|Technology|Phones|Max Phones 422|Second Class|6|1369.48|0.15|6984.35|4023.63|2960.72|Paid|Completed"/>
    <s v="Keep"/>
    <n v="1"/>
    <s v="Unique"/>
    <s v=""/>
    <n v="0.15"/>
    <n v="6984.3480000000009"/>
    <n v="2960.7180000000008"/>
    <n v="0.42390757161584736"/>
    <n v="11"/>
    <n v="2024"/>
    <b v="0"/>
    <b v="0"/>
    <x v="0"/>
    <s v=""/>
    <s v="Clean"/>
  </r>
  <r>
    <s v="ORD-2024-10324"/>
    <s v="25-02-2024"/>
    <x v="17"/>
    <d v="2024-02-25T00:00:00"/>
    <s v="29 Feb 2024"/>
    <d v="2024-02-29T00:00:00"/>
    <s v="OK"/>
    <n v="4"/>
    <s v="CUST-6909"/>
    <s v="Isha Nair"/>
    <s v="Isha Nair"/>
    <s v="Small Business"/>
    <x v="1"/>
    <s v="West"/>
    <x v="3"/>
    <s v="Goa"/>
    <s v="Goa"/>
    <s v="Panaji"/>
    <s v="Panaji"/>
    <s v="Furniture"/>
    <x v="1"/>
    <s v="Furnishings"/>
    <x v="3"/>
    <s v="Eco Furnishings 897"/>
    <s v="Standard Class"/>
    <x v="3"/>
    <n v="9"/>
    <n v="1331.46"/>
    <n v="0.15"/>
    <n v="10185.67"/>
    <n v="6479.31"/>
    <n v="3706.36"/>
    <s v="Paid"/>
    <x v="0"/>
    <s v="Completed"/>
    <x v="0"/>
    <s v="ORD-2024-10324|25-02-2024|02-29-2024|CUST-6909|Isha Nair|Small Business|West|Goa|Panaji|Furniture|Furnishings|Eco Furnishings 897|Standard Class|9|1331.46|0.15|10185.67|6479.31|3706.36|Paid|Completed"/>
    <s v="Keep"/>
    <n v="1"/>
    <s v="Unique"/>
    <s v=""/>
    <n v="0.15"/>
    <n v="10185.669"/>
    <n v="3706.3589999999995"/>
    <n v="0.36387978050337189"/>
    <n v="2"/>
    <n v="2024"/>
    <b v="0"/>
    <b v="0"/>
    <x v="0"/>
    <s v=""/>
    <s v="Clean"/>
  </r>
  <r>
    <s v="ORD-2025-10325"/>
    <s v="31 Jul 2025"/>
    <x v="13"/>
    <d v="2025-07-31T00:00:00"/>
    <s v="02-08-2025"/>
    <d v="2025-08-02T00:00:00"/>
    <s v="OK"/>
    <n v="2"/>
    <s v="CUST-7212"/>
    <s v="Rohan Mehta"/>
    <s v="Rohan Mehta"/>
    <s v="Home Office"/>
    <x v="3"/>
    <s v="South"/>
    <x v="2"/>
    <s v="Andhra Pradesh"/>
    <s v="Andhra Pradesh"/>
    <s v="Vijayawada"/>
    <s v="Vijayawada"/>
    <s v="Office Supplies"/>
    <x v="0"/>
    <s v="Labels"/>
    <x v="7"/>
    <s v="Basic Labels 102"/>
    <s v="Same Day"/>
    <x v="1"/>
    <n v="1"/>
    <n v="1947.88"/>
    <n v="0.15"/>
    <n v="1655.7"/>
    <n v="1354.8"/>
    <n v="300.89999999999998"/>
    <s v="Paid"/>
    <x v="0"/>
    <s v="Returned"/>
    <x v="2"/>
    <s v="ORD-2025-10325|07-31-2025|02-08-2025|CUST-7212|Rohan Mehta|Home Office|South|Andhra Pradesh|Vijayawada|Office Supplies|Labels|Basic Labels 102|Same Day|1|1947.88|0.15|1655.7|1354.8|300.9|Paid|Returned"/>
    <s v="Keep"/>
    <n v="1"/>
    <s v="Unique"/>
    <s v=""/>
    <n v="0.15"/>
    <n v="1655.6980000000001"/>
    <n v="300.89800000000014"/>
    <n v="0.1817348332848141"/>
    <n v="7"/>
    <n v="2025"/>
    <b v="0"/>
    <b v="0"/>
    <x v="1"/>
    <s v="Returned order excluded"/>
    <s v="Warning"/>
  </r>
  <r>
    <s v="ORD-2025-10326"/>
    <s v="09/16/2025"/>
    <x v="8"/>
    <d v="2025-09-16T00:00:00"/>
    <s v="2025-09-22"/>
    <d v="2025-09-22T00:00:00"/>
    <s v="OK"/>
    <n v="6"/>
    <s v="CUST-7980"/>
    <s v="Sneha Kapoor"/>
    <s v="Sneha Kapoor"/>
    <s v="Home Office"/>
    <x v="3"/>
    <s v="East"/>
    <x v="1"/>
    <s v="West Bengal"/>
    <s v="West Bengal"/>
    <s v="Kolkata"/>
    <s v="Kolkata"/>
    <s v="Technology"/>
    <x v="2"/>
    <s v="Copiers"/>
    <x v="6"/>
    <s v="Prime Copiers 170"/>
    <s v="Second Class"/>
    <x v="0"/>
    <n v="5"/>
    <n v="3671.2"/>
    <n v="0.15"/>
    <n v="15602.6"/>
    <n v="11908.52"/>
    <n v="3694.08"/>
    <s v="Paid"/>
    <x v="0"/>
    <s v="Completed"/>
    <x v="0"/>
    <s v="ORD-2025-10326|09-16-2025|09-22-2025|CUST-7980|Sneha Kapoor|Home Office|East|West Bengal|Kolkata|Technology|Copiers|Prime Copiers 170|Second Class|5|3671.2|0.15|15602.6|11908.52|3694.08|Paid|Completed"/>
    <s v="Keep"/>
    <n v="1"/>
    <s v="Unique"/>
    <s v=""/>
    <n v="0.15"/>
    <n v="15602.6"/>
    <n v="3694.08"/>
    <n v="0.236760539910015"/>
    <n v="9"/>
    <n v="2025"/>
    <b v="0"/>
    <b v="0"/>
    <x v="0"/>
    <s v=""/>
    <s v="Clean"/>
  </r>
  <r>
    <s v="ORD-2025-10327"/>
    <s v="2025-07-22"/>
    <x v="13"/>
    <d v="2025-07-22T00:00:00"/>
    <s v="07/22/2025"/>
    <d v="2025-07-22T00:00:00"/>
    <s v="OK"/>
    <n v="0"/>
    <s v="CUST-1966"/>
    <s v="Sneha Kapoor"/>
    <s v="Sneha Kapoor"/>
    <s v="Corporate"/>
    <x v="2"/>
    <s v="East"/>
    <x v="1"/>
    <s v="Jharkhand"/>
    <s v="Jharkhand"/>
    <s v="Ranchi"/>
    <s v="Ranchi"/>
    <s v="Furniture"/>
    <x v="1"/>
    <s v="Furnishings"/>
    <x v="3"/>
    <s v="Smart Furnishings 533"/>
    <s v="Same Day"/>
    <x v="1"/>
    <n v="5"/>
    <n v="3187.05"/>
    <n v="0.05"/>
    <n v="15138.49"/>
    <n v="11235.72"/>
    <n v="3902.77"/>
    <s v="Paid"/>
    <x v="0"/>
    <s v="Completed"/>
    <x v="0"/>
    <s v="ORD-2025-10327|07-22-2025|07-22-2025|CUST-1966|Sneha Kapoor|Corporate|East|Jharkhand|Ranchi|Furniture|Furnishings|Smart Furnishings 533|Same Day|5|3187.05|0.05|15138.49|11235.72|3902.77|Paid|Completed"/>
    <s v="Keep"/>
    <n v="1"/>
    <s v="Unique"/>
    <s v=""/>
    <n v="0.05"/>
    <n v="15138.487499999999"/>
    <n v="3902.7674999999999"/>
    <n v="0.25780432160082045"/>
    <n v="7"/>
    <n v="2025"/>
    <b v="0"/>
    <b v="0"/>
    <x v="0"/>
    <s v=""/>
    <s v="Clean"/>
  </r>
  <r>
    <s v="ORD-2024-10328"/>
    <s v="2024-07-24"/>
    <x v="0"/>
    <d v="2024-07-24T00:00:00"/>
    <s v="27-07-2024"/>
    <d v="2024-07-27T00:00:00"/>
    <s v="OK"/>
    <n v="3"/>
    <s v="CUST-6163"/>
    <s v="Isha Nair"/>
    <s v="Isha Nair"/>
    <s v="Consumer"/>
    <x v="0"/>
    <s v="West"/>
    <x v="3"/>
    <s v="Rajasthan"/>
    <s v="Rajasthan"/>
    <s v="Udaipur"/>
    <s v="Udaipur"/>
    <s v="Technology"/>
    <x v="2"/>
    <s v="Accessories"/>
    <x v="5"/>
    <s v="Classic Accessories 489"/>
    <s v="Second Class"/>
    <x v="0"/>
    <n v="3"/>
    <n v="1834.55"/>
    <n v="0.2"/>
    <n v="4402.92"/>
    <n v="2993.94"/>
    <n v="1408.98"/>
    <s v="Pending"/>
    <x v="2"/>
    <s v="Cancelled"/>
    <x v="1"/>
    <s v="ORD-2024-10328|07-24-2024|27-07-2024|CUST-6163|Isha Nair|Consumer|West|Rajasthan|Udaipur|Technology|Accessories|Classic Accessories 489|Second Class|3|1834.55|0.2|4402.92|2993.94|1408.98|Pending|Cancelled"/>
    <s v="Keep"/>
    <n v="1"/>
    <s v="Unique"/>
    <s v=""/>
    <n v="0.2"/>
    <n v="4402.92"/>
    <n v="1408.98"/>
    <n v="0.32001035676323897"/>
    <n v="7"/>
    <n v="2024"/>
    <b v="0"/>
    <b v="0"/>
    <x v="1"/>
    <s v="Cancelled order excluded"/>
    <s v="Warning"/>
  </r>
  <r>
    <s v="ORD-2025-10329"/>
    <s v="2025-05-29"/>
    <x v="9"/>
    <d v="2025-05-29T00:00:00"/>
    <s v="04 Jun 2025"/>
    <d v="2025-06-04T00:00:00"/>
    <s v="OK"/>
    <n v="6"/>
    <s v="CUST-7239"/>
    <s v="Diya Patel"/>
    <s v="Diya Patel"/>
    <s v="Consumer"/>
    <x v="0"/>
    <s v="West"/>
    <x v="3"/>
    <s v="Maharashtra"/>
    <s v="Maharashtra"/>
    <s v="Mumbai"/>
    <s v="Mumbai"/>
    <s v="Office Supplies"/>
    <x v="0"/>
    <s v="Storage"/>
    <x v="8"/>
    <s v="Smart Storage 439"/>
    <s v="First Class"/>
    <x v="2"/>
    <n v="6"/>
    <n v="3100.68"/>
    <n v="0"/>
    <n v="18604.080000000002"/>
    <n v="15834.3"/>
    <n v="2769.78"/>
    <s v="Paid"/>
    <x v="0"/>
    <s v="Completed"/>
    <x v="0"/>
    <s v="ORD-2025-10329|05-29-2025|06-04-2025|CUST-7239|Diya Patel|Consumer|West|Maharashtra|Mumbai|Office Supplies|Storage|Smart Storage 439|First Class|6|3100.68|0|18604.08|15834.3|2769.78|Paid|Completed"/>
    <s v="Keep"/>
    <n v="1"/>
    <s v="Unique"/>
    <s v=""/>
    <n v="0"/>
    <n v="18604.079999999998"/>
    <n v="2769.7799999999988"/>
    <n v="0.1488802456235406"/>
    <n v="5"/>
    <n v="2025"/>
    <b v="0"/>
    <b v="0"/>
    <x v="0"/>
    <s v=""/>
    <s v="Clean"/>
  </r>
  <r>
    <s v="ORD-2025-10330"/>
    <s v="12 May 2025"/>
    <x v="9"/>
    <d v="2025-05-12T00:00:00"/>
    <s v="2025-05-18"/>
    <d v="2025-05-18T00:00:00"/>
    <s v="OK"/>
    <n v="6"/>
    <s v="CUST-9718"/>
    <s v="Neha Gupta"/>
    <s v="Neha Gupta"/>
    <s v="Small Business"/>
    <x v="1"/>
    <s v="West"/>
    <x v="3"/>
    <s v="Maharashtra"/>
    <s v="Maharashtra"/>
    <s v="Mumbai"/>
    <s v="Mumbai"/>
    <s v="Office Supplies"/>
    <x v="0"/>
    <s v="Storage"/>
    <x v="8"/>
    <s v="Prime Storage 232"/>
    <s v="Standard Class"/>
    <x v="3"/>
    <n v="4"/>
    <n v="4053.03"/>
    <n v="0.05"/>
    <n v="15401.51"/>
    <n v="8650.42"/>
    <n v="6751.09"/>
    <s v="Paid"/>
    <x v="0"/>
    <s v="Completed"/>
    <x v="0"/>
    <s v="ORD-2025-10330|05-12-2025|05-18-2025|CUST-9718|Neha Gupta|Small Business|West|Maharashtra|Mumbai|Office Supplies|Storage|Prime Storage 232|Standard Class|4|4053.03|0.05|15401.51|8650.42|6751.09|Paid|Completed"/>
    <s v="Keep"/>
    <n v="1"/>
    <s v="Unique"/>
    <s v=""/>
    <n v="0.05"/>
    <n v="15401.513999999999"/>
    <n v="6751.0939999999991"/>
    <n v="0.43833963336331738"/>
    <n v="5"/>
    <n v="2025"/>
    <b v="0"/>
    <b v="0"/>
    <x v="0"/>
    <s v=""/>
    <s v="Clean"/>
  </r>
  <r>
    <s v="ORD-2024-10331"/>
    <s v="05/16/2024"/>
    <x v="5"/>
    <d v="2024-05-16T00:00:00"/>
    <s v="05/24/2024"/>
    <d v="2024-05-24T00:00:00"/>
    <s v="OK"/>
    <n v="8"/>
    <s v="CUST-1116"/>
    <s v="Arjun Bose"/>
    <s v="Arjun Bose"/>
    <s v="Home Office"/>
    <x v="3"/>
    <s v="North"/>
    <x v="0"/>
    <s v="Punjab"/>
    <s v="Punjab"/>
    <s v="Ludhiana"/>
    <s v="Ludhiana"/>
    <s v="Technology"/>
    <x v="2"/>
    <s v="Accessories"/>
    <x v="5"/>
    <s v="Prime Accessories 335"/>
    <s v="Same Day"/>
    <x v="1"/>
    <n v="1"/>
    <n v="783.09"/>
    <n v="0"/>
    <n v="783.09"/>
    <n v="503.89"/>
    <n v="279.2"/>
    <s v="Failed"/>
    <x v="3"/>
    <s v="Cancelled"/>
    <x v="1"/>
    <s v="ORD-2024-10331|05-16-2024|05-24-2024|CUST-1116|Arjun Bose|Home Office|North|Punjab|Ludhiana|Technology|Accessories|Prime Accessories 335|Same Day|1|783.09|0|783.09|503.89|279.2|Failed|Cancelled"/>
    <s v="Keep"/>
    <n v="1"/>
    <s v="Unique"/>
    <s v=""/>
    <n v="0"/>
    <n v="783.09"/>
    <n v="279.20000000000005"/>
    <n v="0.3565362857398256"/>
    <n v="5"/>
    <n v="2024"/>
    <b v="0"/>
    <b v="0"/>
    <x v="1"/>
    <s v="Failed payment excluded; Cancelled order excluded"/>
    <s v="Warning"/>
  </r>
  <r>
    <s v="ORD-2024-10332"/>
    <s v="04-12-2024"/>
    <x v="10"/>
    <d v="2024-12-04T00:00:00"/>
    <s v="2024-12-06"/>
    <d v="2024-12-06T00:00:00"/>
    <s v="OK"/>
    <n v="2"/>
    <s v="CUST-9346"/>
    <s v="Sneha Kapoor"/>
    <s v="Sneha Kapoor"/>
    <s v="Home Office"/>
    <x v="3"/>
    <s v="East"/>
    <x v="1"/>
    <s v="Odisha"/>
    <s v="Odisha"/>
    <s v="Bhubaneswar"/>
    <s v="Bhubaneswar"/>
    <s v="Office Supplies"/>
    <x v="0"/>
    <s v="Binders"/>
    <x v="9"/>
    <s v="Smart Binders 939"/>
    <s v="Second Class"/>
    <x v="0"/>
    <n v="4"/>
    <n v="2685.66"/>
    <n v="0"/>
    <n v="10742.64"/>
    <n v="6477.37"/>
    <n v="4265.2700000000004"/>
    <s v="Paid"/>
    <x v="0"/>
    <s v="Returned"/>
    <x v="2"/>
    <s v="ORD-2024-10332|04-12-2024|12-06-2024|CUST-9346|Sneha Kapoor|Home Office|East|Odisha|Bhubaneswar|Office Supplies|Binders|Smart Binders 939|Second Class|4|2685.66|0|10742.64|6477.37|4265.27|Paid|Returned"/>
    <s v="Keep"/>
    <n v="2"/>
    <s v="Duplicate order_id"/>
    <s v="Review conflicting duplicate"/>
    <n v="0"/>
    <n v="10742.64"/>
    <n v="4265.2699999999995"/>
    <n v="0.39704113700170535"/>
    <n v="12"/>
    <n v="2024"/>
    <b v="0"/>
    <b v="0"/>
    <x v="1"/>
    <s v="Returned order excluded; Duplicate order ID conflict"/>
    <s v="Warning"/>
  </r>
  <r>
    <s v="ORD-2025-10333"/>
    <s v="27 May 2025"/>
    <x v="9"/>
    <d v="2025-05-27T00:00:00"/>
    <s v="2025-05-28"/>
    <d v="2025-05-28T00:00:00"/>
    <s v="OK"/>
    <n v="1"/>
    <s v="CUST-5332"/>
    <s v="Aarav Sharma"/>
    <s v="Aarav Sharma"/>
    <s v="Consumer"/>
    <x v="0"/>
    <s v="South"/>
    <x v="2"/>
    <s v="Andhra Pradesh"/>
    <s v="Andhra Pradesh"/>
    <s v="Vijayawada"/>
    <s v="Vijayawada"/>
    <s v="Technology"/>
    <x v="2"/>
    <s v="Machines"/>
    <x v="12"/>
    <s v="Basic Machines 601"/>
    <s v="Second Class"/>
    <x v="0"/>
    <n v="2"/>
    <n v="3911.96"/>
    <n v="0"/>
    <n v="7823.92"/>
    <n v="6034.63"/>
    <n v="1789.29"/>
    <s v="Paid"/>
    <x v="0"/>
    <s v="Completed"/>
    <x v="0"/>
    <s v="ORD-2025-10333|05-27-2025|05-28-2025|CUST-5332|Aarav Sharma|Consumer|South|Andhra Pradesh|Vijayawada|Technology|machines|Basic Machines 601|Second Class|2|3911.96|0|7823.92|6034.63|1789.29|Paid|Completed"/>
    <s v="Keep"/>
    <n v="1"/>
    <s v="Unique"/>
    <s v=""/>
    <n v="0"/>
    <n v="7823.92"/>
    <n v="1789.29"/>
    <n v="0.22869482305545047"/>
    <n v="5"/>
    <n v="2025"/>
    <b v="0"/>
    <b v="0"/>
    <x v="0"/>
    <s v=""/>
    <s v="Clean"/>
  </r>
  <r>
    <s v="ORD-2025-10334"/>
    <s v="22 Jun 2025"/>
    <x v="18"/>
    <d v="2025-06-22T00:00:00"/>
    <s v="2025-06-27"/>
    <d v="2025-06-27T00:00:00"/>
    <s v="OK"/>
    <n v="5"/>
    <s v="CUST-8081"/>
    <s v="Rohan Mehta"/>
    <s v="Rohan Mehta"/>
    <s v="Home Office"/>
    <x v="3"/>
    <m/>
    <x v="4"/>
    <s v="Delhi"/>
    <s v="Delhi"/>
    <s v="New Delhi"/>
    <s v="New Delhi"/>
    <s v="Technology"/>
    <x v="2"/>
    <s v="Phones"/>
    <x v="11"/>
    <s v="Pro Phones 968"/>
    <s v="First Class"/>
    <x v="2"/>
    <n v="2"/>
    <n v="1468.05"/>
    <n v="0"/>
    <n v="2936.1"/>
    <n v="1923.1"/>
    <n v="1013"/>
    <s v="Paid"/>
    <x v="0"/>
    <s v="Completed"/>
    <x v="0"/>
    <s v="ORD-2025-10334|06-22-2025|06-27-2025|CUST-8081|Rohan Mehta|Home Office||Delhi|New Delhi|Technology|Phones|Pro Phones 968|First Class|2|1468.05|0|2936.1|1923.1|1013|Paid|Completed"/>
    <s v="Keep"/>
    <n v="1"/>
    <s v="Unique"/>
    <s v=""/>
    <n v="0"/>
    <n v="2936.1"/>
    <n v="1013"/>
    <n v="0.34501549674738602"/>
    <n v="6"/>
    <n v="2025"/>
    <b v="0"/>
    <b v="0"/>
    <x v="0"/>
    <s v="Missing region filled as Unknown"/>
    <s v="Warning"/>
  </r>
  <r>
    <s v="ORD-2024-10335"/>
    <s v="12 Sep 2024"/>
    <x v="21"/>
    <d v="2024-09-12T00:00:00"/>
    <s v="17-09-2024"/>
    <d v="2024-09-17T00:00:00"/>
    <s v="OK"/>
    <n v="5"/>
    <s v="CUST-3062"/>
    <s v="Ananya Rao"/>
    <s v="Ananya Rao"/>
    <s v="Consumer"/>
    <x v="0"/>
    <s v="East"/>
    <x v="1"/>
    <s v="Jharkhand"/>
    <s v="Jharkhand"/>
    <s v="Ranchi"/>
    <s v="Ranchi"/>
    <s v="Office Supplies"/>
    <x v="0"/>
    <s v="Storage"/>
    <x v="8"/>
    <s v="Pro Storage 563"/>
    <s v="First Class"/>
    <x v="2"/>
    <n v="9"/>
    <n v="1921.47"/>
    <n v="0.25"/>
    <n v="12969.92"/>
    <n v="9398.4599999999991"/>
    <n v="3571.46"/>
    <s v="Paid"/>
    <x v="0"/>
    <s v="Completed"/>
    <x v="0"/>
    <s v="ORD-2024-10335|09-12-2024|17-09-2024|CUST-3062|Ananya Rao|Consumer|East|Jharkhand|Ranchi|Office Supplies|Storage|Pro Storage 563|First Class|9|1921.47|0.25|12969.92|9398.46|3571.46|Paid|Completed"/>
    <s v="Keep"/>
    <n v="1"/>
    <s v="Unique"/>
    <s v=""/>
    <n v="0.25"/>
    <n v="12969.922500000001"/>
    <n v="3571.4625000000015"/>
    <n v="0.27536498386941027"/>
    <n v="9"/>
    <n v="2024"/>
    <b v="0"/>
    <b v="0"/>
    <x v="0"/>
    <s v=""/>
    <s v="Clean"/>
  </r>
  <r>
    <s v="ORD-2025-10336"/>
    <s v="06/16/2025"/>
    <x v="18"/>
    <d v="2025-06-16T00:00:00"/>
    <s v="18 Jun 2025"/>
    <d v="2025-06-18T00:00:00"/>
    <s v="OK"/>
    <n v="2"/>
    <s v="CUST-3621"/>
    <s v="Rahul Verma"/>
    <s v="Rahul Verma"/>
    <s v="Home Office"/>
    <x v="3"/>
    <s v="West"/>
    <x v="3"/>
    <s v="Madhya Pradesh"/>
    <s v="Madhya Pradesh"/>
    <s v="Indore"/>
    <s v="Indore"/>
    <s v="Office Supplies"/>
    <x v="0"/>
    <s v="Paper"/>
    <x v="0"/>
    <s v="Prime Paper 559"/>
    <s v="First Class"/>
    <x v="2"/>
    <n v="3"/>
    <n v="4289.37"/>
    <n v="0.1"/>
    <n v="11581.3"/>
    <n v="6829.43"/>
    <n v="4751.87"/>
    <s v="Paid"/>
    <x v="0"/>
    <s v="Completed"/>
    <x v="0"/>
    <s v="ORD-2025-10336|06-16-2025|06-18-2025|CUST-3621|Rahul Verma|Home Office|West|Madhya Pradesh|Indore|Office Supplies|Paper|Prime Paper 559|First Class|3|4289.37|0.1|11581.3|6829.43|4751.87|Paid|Completed"/>
    <s v="Keep"/>
    <n v="2"/>
    <s v="Duplicate order_id"/>
    <s v="Review conflicting duplicate"/>
    <n v="0.1"/>
    <n v="11581.299000000001"/>
    <n v="4751.8690000000006"/>
    <n v="0.41030535521101735"/>
    <n v="6"/>
    <n v="2025"/>
    <b v="0"/>
    <b v="0"/>
    <x v="1"/>
    <s v="Duplicate order ID conflict"/>
    <s v="Warning"/>
  </r>
  <r>
    <s v="ORD-2024-10337"/>
    <s v="17-03-2024"/>
    <x v="15"/>
    <d v="2024-03-17T00:00:00"/>
    <s v="03/21/2024"/>
    <d v="2024-03-21T00:00:00"/>
    <s v="OK"/>
    <n v="4"/>
    <s v="CUST-2103"/>
    <s v="Aarav Sharma"/>
    <s v="Aarav Sharma"/>
    <s v="Consumer"/>
    <x v="0"/>
    <s v="North"/>
    <x v="0"/>
    <s v="Rajasthan"/>
    <s v="Rajasthan"/>
    <s v="Jaipur"/>
    <s v="Jaipur"/>
    <s v="Technology"/>
    <x v="2"/>
    <s v="Copiers"/>
    <x v="6"/>
    <s v="Pro Copiers 999"/>
    <s v="First Class"/>
    <x v="2"/>
    <n v="8"/>
    <n v="1992.57"/>
    <n v="0"/>
    <n v="15940.56"/>
    <n v="12347.15"/>
    <n v="3593.41"/>
    <s v="Paid"/>
    <x v="0"/>
    <s v="Completed"/>
    <x v="0"/>
    <s v="ORD-2024-10337|17-03-2024|03-21-2024|CUST-2103|Aarav Sharma|Consumer|North|Rajasthan|Jaipur|Technology|Copiers|Pro Copiers 999|First Class|8|1992.57|0|15940.56|12347.15|3593.41|Paid|Completed"/>
    <s v="Keep"/>
    <n v="1"/>
    <s v="Unique"/>
    <s v=""/>
    <n v="0"/>
    <n v="15940.56"/>
    <n v="3593.41"/>
    <n v="0.2254255810335396"/>
    <n v="3"/>
    <n v="2024"/>
    <b v="0"/>
    <b v="0"/>
    <x v="0"/>
    <s v=""/>
    <s v="Clean"/>
  </r>
  <r>
    <s v="ORD-2024-10338"/>
    <s v="12 Aug 2024"/>
    <x v="1"/>
    <d v="2024-08-12T00:00:00"/>
    <s v="18 Aug 2024"/>
    <d v="2024-08-18T00:00:00"/>
    <s v="OK"/>
    <n v="6"/>
    <s v="CUST-4599"/>
    <s v="Ananya Rao"/>
    <s v="Ananya Rao"/>
    <s v="Consumer"/>
    <x v="0"/>
    <s v="East"/>
    <x v="1"/>
    <s v="Assam"/>
    <s v="Assam"/>
    <s v="Guwahati"/>
    <s v="Guwahati"/>
    <s v="Office Supplies"/>
    <x v="0"/>
    <s v="Labels"/>
    <x v="7"/>
    <s v="Classic Labels 206"/>
    <s v="Same Day"/>
    <x v="1"/>
    <n v="6"/>
    <n v="1181.74"/>
    <n v="0"/>
    <n v="7090.44"/>
    <n v="5672.27"/>
    <n v="1262.8699999999999"/>
    <s v="Paid"/>
    <x v="0"/>
    <s v="Completed"/>
    <x v="0"/>
    <s v="ORD-2024-10338|08-12-2024|08-18-2024|CUST-4599|Ananya Rao|Consumer|East|Assam|Guwahati|Office Supplies|Labels|Classic Labels 206|Same Day|6|1181.74|0|7090.44|5672.27|1262.87|Paid|Completed"/>
    <s v="Keep"/>
    <n v="1"/>
    <s v="Unique"/>
    <s v=""/>
    <n v="0"/>
    <n v="7090.4400000000005"/>
    <n v="1418.17"/>
    <n v="0.20001156486762456"/>
    <n v="8"/>
    <n v="2024"/>
    <b v="0"/>
    <b v="1"/>
    <x v="1"/>
    <s v="Profit mismatch"/>
    <s v="Invalid"/>
  </r>
  <r>
    <s v="ORD-2024-10339"/>
    <s v="08-12-2024"/>
    <x v="10"/>
    <d v="2024-12-08T00:00:00"/>
    <s v="12/08/2024"/>
    <d v="2024-12-08T00:00:00"/>
    <s v="OK"/>
    <n v="0"/>
    <s v="CUST-3066"/>
    <s v="Arjun Bose"/>
    <s v="Arjun Bose"/>
    <s v="Small Business"/>
    <x v="1"/>
    <s v="South"/>
    <x v="2"/>
    <s v="Andhra Pradesh"/>
    <s v="Andhra Pradesh"/>
    <s v="Vijayawada"/>
    <s v="Vijayawada"/>
    <s v="Technology"/>
    <x v="2"/>
    <s v="Accessories"/>
    <x v="5"/>
    <s v="Eco Accessories 315"/>
    <s v="First Class"/>
    <x v="2"/>
    <n v="8"/>
    <n v="4402.3599999999997"/>
    <n v="0.25"/>
    <n v="26414.16"/>
    <n v="21822.53"/>
    <n v="4591.63"/>
    <s v="Paid"/>
    <x v="0"/>
    <s v="Completed"/>
    <x v="0"/>
    <s v="ORD-2024-10339|08-12-2024|12-08-2024|CUST-3066|Arjun Bose|Small Business|South|Andhra Pradesh|Vijayawada|Technology|Accessories|Eco Accessories 315|First Class|8|4402.36|0.25|26414.16|21822.53|4591.63|Paid|Completed"/>
    <s v="Keep"/>
    <n v="1"/>
    <s v="Unique"/>
    <s v=""/>
    <n v="0.25"/>
    <n v="26414.159999999996"/>
    <n v="4591.6299999999974"/>
    <n v="0.17383214154832097"/>
    <n v="12"/>
    <n v="2024"/>
    <b v="0"/>
    <b v="0"/>
    <x v="0"/>
    <s v=""/>
    <s v="Clean"/>
  </r>
  <r>
    <s v="ORD-2025-10340"/>
    <s v="20-02-2025"/>
    <x v="7"/>
    <d v="2025-02-20T00:00:00"/>
    <s v="22-02-2025"/>
    <d v="2025-02-22T00:00:00"/>
    <s v="OK"/>
    <n v="2"/>
    <s v="CUST-2752"/>
    <s v="Neha Gupta"/>
    <s v="Neha Gupta"/>
    <s v="Corporate"/>
    <x v="2"/>
    <s v="East"/>
    <x v="1"/>
    <s v="Jharkhand"/>
    <s v="Jharkhand"/>
    <s v="Ranchi"/>
    <s v="Ranchi"/>
    <s v="Furniture"/>
    <x v="1"/>
    <s v="Bookcases"/>
    <x v="10"/>
    <s v="Elite Bookcases 988"/>
    <s v="Standard Class"/>
    <x v="3"/>
    <n v="8"/>
    <n v="3265.76"/>
    <n v="0.2"/>
    <n v="20900.86"/>
    <n v="12513.14"/>
    <n v="8387.7199999999993"/>
    <s v="Paid"/>
    <x v="0"/>
    <s v="Completed"/>
    <x v="0"/>
    <s v="ORD-2025-10340|20-02-2025|22-02-2025|CUST-2752|Neha Gupta|Corporate|East|Jharkhand|Ranchi|Furniture|Bookcases|Elite Bookcases 988|Standard Class|8|3265.76|0.2|20900.86|12513.14|8387.72|Paid|Completed"/>
    <s v="Keep"/>
    <n v="1"/>
    <s v="Unique"/>
    <s v=""/>
    <n v="0.2"/>
    <n v="20900.864000000001"/>
    <n v="8387.724000000002"/>
    <n v="0.40130991714026759"/>
    <n v="2"/>
    <n v="2025"/>
    <b v="0"/>
    <b v="0"/>
    <x v="0"/>
    <s v=""/>
    <s v="Clean"/>
  </r>
  <r>
    <s v="ORD-2024-10341"/>
    <s v="21 Jan 2024"/>
    <x v="12"/>
    <d v="2024-01-21T00:00:00"/>
    <s v="01/29/2024"/>
    <d v="2024-01-29T00:00:00"/>
    <s v="OK"/>
    <n v="8"/>
    <s v="CUST-6291"/>
    <s v="Neha Gupta"/>
    <s v="Neha Gupta"/>
    <s v="Consumer"/>
    <x v="0"/>
    <s v="South"/>
    <x v="2"/>
    <s v="Karnataka"/>
    <s v="Karnataka"/>
    <s v="Bengaluru"/>
    <s v="Bengaluru"/>
    <s v="Office Supplies"/>
    <x v="0"/>
    <s v="Binders"/>
    <x v="9"/>
    <s v="Smart Binders 414"/>
    <s v="Standard Class"/>
    <x v="3"/>
    <n v="5"/>
    <n v="4058.08"/>
    <n v="0.1"/>
    <n v="18261.36"/>
    <n v="11399.94"/>
    <n v="6861.42"/>
    <s v="Paid"/>
    <x v="0"/>
    <s v="Completed"/>
    <x v="0"/>
    <s v="ORD-2024-10341|01-21-2024|01-29-2024|CUST-6291|Neha Gupta|Consumer|South|Karnataka|Bengaluru|Office Supplies|Binders|Smart Binders 414|Standard Class|5|4058.08|0.1|18261.36|11399.94|6861.42|Paid|Completed"/>
    <s v="Keep"/>
    <n v="1"/>
    <s v="Unique"/>
    <s v=""/>
    <n v="0.1"/>
    <n v="18261.36"/>
    <n v="6861.42"/>
    <n v="0.3757343374206521"/>
    <n v="1"/>
    <n v="2024"/>
    <b v="0"/>
    <b v="0"/>
    <x v="0"/>
    <s v=""/>
    <s v="Clean"/>
  </r>
  <r>
    <s v="ORD-2025-10342"/>
    <s v="08 Sep 2025"/>
    <x v="8"/>
    <d v="2025-09-08T00:00:00"/>
    <s v="2025-09-09"/>
    <d v="2025-09-09T00:00:00"/>
    <s v="OK"/>
    <n v="1"/>
    <s v="CUST-9969"/>
    <s v="Rohan Mehta"/>
    <s v="Rohan Mehta"/>
    <s v="Home Office"/>
    <x v="3"/>
    <s v="West"/>
    <x v="3"/>
    <s v="Gujarat"/>
    <s v="Gujarat"/>
    <s v="Ahmedabad"/>
    <s v="Ahmedabad"/>
    <s v="Furniture"/>
    <x v="1"/>
    <s v="Chairs"/>
    <x v="4"/>
    <s v="Eco Chairs 552"/>
    <s v="Second Class"/>
    <x v="0"/>
    <n v="2"/>
    <n v="3960.33"/>
    <n v="0.05"/>
    <n v="7524.63"/>
    <n v="6229.6"/>
    <n v="1295.03"/>
    <s v="Paid"/>
    <x v="0"/>
    <s v="Completed"/>
    <x v="0"/>
    <s v="ORD-2025-10342|09-08-2025|09-09-2025|CUST-9969|Rohan Mehta|Home Office|West|Gujarat|Ahmedabad|Furniture|Chairs|Eco Chairs 552|Second Class|2|3960.33|0.05|7524.63|6229.6|1295.03|Paid|Completed"/>
    <s v="Keep"/>
    <n v="1"/>
    <s v="Unique"/>
    <s v=""/>
    <n v="0.05"/>
    <n v="7524.6269999999995"/>
    <n v="1295.0269999999991"/>
    <n v="0.17210514222166751"/>
    <n v="9"/>
    <n v="2025"/>
    <b v="0"/>
    <b v="0"/>
    <x v="0"/>
    <s v=""/>
    <s v="Clean"/>
  </r>
  <r>
    <s v="ORD-2025-10343"/>
    <s v="24-07-2025"/>
    <x v="13"/>
    <d v="2025-07-24T00:00:00"/>
    <s v="01-08-2025"/>
    <d v="2025-08-01T00:00:00"/>
    <s v="OK"/>
    <n v="8"/>
    <s v="CUST-3335"/>
    <s v="Kabir Singh"/>
    <s v="Kabir Singh"/>
    <s v="Small Business"/>
    <x v="1"/>
    <s v="East"/>
    <x v="1"/>
    <s v="Jharkhand"/>
    <s v="Jharkhand"/>
    <s v="Ranchi"/>
    <s v="Ranchi"/>
    <s v="Office Supplies"/>
    <x v="0"/>
    <s v="Binders"/>
    <x v="9"/>
    <s v="Smart Binders 574"/>
    <s v="First Class"/>
    <x v="2"/>
    <n v="8"/>
    <n v="1528.92"/>
    <n v="0"/>
    <n v="12231.36"/>
    <n v="8766.9"/>
    <n v="3464.46"/>
    <s v="Paid"/>
    <x v="0"/>
    <s v="Completed"/>
    <x v="0"/>
    <s v="ORD-2025-10343|24-07-2025|01-08-2025|CUST-3335|Kabir Singh|Small Business|East|Jharkhand|Ranchi|Office Supplies|Binders|Smart Binders 574|First Class|8|1528.92|0|12231.36|8766.9|3464.46|Paid|Completed"/>
    <s v="Keep"/>
    <n v="1"/>
    <s v="Unique"/>
    <s v=""/>
    <n v="0"/>
    <n v="12231.36"/>
    <n v="3464.4600000000009"/>
    <n v="0.28324405462679547"/>
    <n v="7"/>
    <n v="2025"/>
    <b v="0"/>
    <b v="0"/>
    <x v="0"/>
    <s v=""/>
    <s v="Clean"/>
  </r>
  <r>
    <s v="ORD-2025-10344"/>
    <s v="10/03/2025"/>
    <x v="11"/>
    <d v="2025-10-03T00:00:00"/>
    <s v="08 Oct 2025"/>
    <d v="2025-10-08T00:00:00"/>
    <s v="OK"/>
    <n v="5"/>
    <s v="CUST-7358"/>
    <s v="Aarav Sharma"/>
    <s v="Aarav Sharma"/>
    <s v="Corporate"/>
    <x v="2"/>
    <s v="West"/>
    <x v="3"/>
    <s v="Madhya Pradesh"/>
    <s v="Madhya Pradesh"/>
    <s v="Indore"/>
    <s v="Indore"/>
    <s v="Technology"/>
    <x v="2"/>
    <s v="Machines"/>
    <x v="12"/>
    <s v="Pro Machines 444"/>
    <s v="Same Day"/>
    <x v="1"/>
    <n v="9"/>
    <n v="3837"/>
    <n v="0.1"/>
    <n v="31079.7"/>
    <n v="17758.25"/>
    <n v="13321.45"/>
    <s v="Paid"/>
    <x v="0"/>
    <s v="Completed"/>
    <x v="0"/>
    <s v="ORD-2025-10344|10-03-2025|10-08-2025|CUST-7358|Aarav Sharma|Corporate|West|Madhya Pradesh|Indore|Technology|Machines|Pro Machines 444|Same Day|9|3837|0.1|31079.7|17758.25|13321.45|Paid|Completed"/>
    <s v="Keep"/>
    <n v="1"/>
    <s v="Unique"/>
    <s v=""/>
    <n v="0.1"/>
    <n v="31079.7"/>
    <n v="13321.45"/>
    <n v="0.4286222196481948"/>
    <n v="10"/>
    <n v="2025"/>
    <b v="0"/>
    <b v="0"/>
    <x v="0"/>
    <s v=""/>
    <s v="Clean"/>
  </r>
  <r>
    <s v="ORD-2024-10345"/>
    <s v="11-03-2024"/>
    <x v="15"/>
    <d v="2024-03-11T00:00:00"/>
    <s v="11-03-2024"/>
    <d v="2024-03-11T00:00:00"/>
    <s v="OK"/>
    <n v="0"/>
    <s v="CUST-8025"/>
    <s v="Priya Menon"/>
    <s v="Priya Menon"/>
    <s v="Consumer"/>
    <x v="0"/>
    <s v="North"/>
    <x v="0"/>
    <s v="Punjab"/>
    <s v="Punjab"/>
    <s v="Ludhiana"/>
    <s v="Ludhiana"/>
    <s v="Furniture"/>
    <x v="1"/>
    <s v="Bookcases"/>
    <x v="10"/>
    <s v="Elite Bookcases 184"/>
    <s v="Same Day"/>
    <x v="1"/>
    <n v="9"/>
    <n v="3456.38"/>
    <n v="0"/>
    <n v="31107.42"/>
    <n v="20146.66"/>
    <n v="10960.76"/>
    <s v="Pending"/>
    <x v="2"/>
    <s v="Returned"/>
    <x v="2"/>
    <s v="ORD-2024-10345|11-03-2024|11-03-2024|CUST-8025|Priya Menon|Consumer|North|Punjab|Ludhiana|Furniture|Bookcases|Elite Bookcases 184|Same Day|9|3456.38|0|31107.42|20146.66|10960.76|Pending|Returned"/>
    <s v="Keep"/>
    <n v="1"/>
    <s v="Unique"/>
    <s v=""/>
    <n v="0"/>
    <n v="31107.420000000002"/>
    <n v="10960.760000000002"/>
    <n v="0.3523519468988428"/>
    <n v="3"/>
    <n v="2024"/>
    <b v="0"/>
    <b v="0"/>
    <x v="1"/>
    <s v="Returned order excluded"/>
    <s v="Warning"/>
  </r>
  <r>
    <s v="ORD-2024-10346"/>
    <s v="2024-09-14"/>
    <x v="21"/>
    <d v="2024-09-14T00:00:00"/>
    <s v="2024-09-22"/>
    <d v="2024-09-22T00:00:00"/>
    <s v="OK"/>
    <n v="8"/>
    <s v="CUST-4634"/>
    <s v="Karan Malhotra"/>
    <s v="Karan Malhotra"/>
    <s v="Consumer"/>
    <x v="0"/>
    <s v="West"/>
    <x v="3"/>
    <s v="Madhya Pradesh"/>
    <s v="Madhya Pradesh"/>
    <s v="Indore"/>
    <s v="Indore"/>
    <s v="Furniture"/>
    <x v="1"/>
    <s v="Furnishings"/>
    <x v="3"/>
    <s v="Elite Furnishings 138"/>
    <s v="Second Class"/>
    <x v="0"/>
    <n v="2"/>
    <n v="2765.3"/>
    <n v="0"/>
    <n v="5530.6"/>
    <n v="4453.1099999999997"/>
    <n v="1077.49"/>
    <s v="Paid"/>
    <x v="0"/>
    <s v="Completed"/>
    <x v="0"/>
    <s v="ORD-2024-10346|09-14-2024|09-22-2024|CUST-4634|Karan Malhotra|Consumer|West|Madhya Pradesh|Indore|Furniture|Furnishings|Elite Furnishings 138|Second Class|2|2765.3|0|5530.6|4453.11|1077.49|Paid|Completed"/>
    <s v="Keep"/>
    <n v="1"/>
    <s v="Unique"/>
    <s v=""/>
    <n v="0"/>
    <n v="5530.6"/>
    <n v="1077.4900000000007"/>
    <n v="0.19482334647235391"/>
    <n v="9"/>
    <n v="2024"/>
    <b v="0"/>
    <b v="0"/>
    <x v="0"/>
    <s v=""/>
    <s v="Clean"/>
  </r>
  <r>
    <s v="ORD-2025-10347"/>
    <s v="2025-07-22"/>
    <x v="13"/>
    <d v="2025-07-22T00:00:00"/>
    <s v="28-07-2025"/>
    <d v="2025-07-28T00:00:00"/>
    <s v="OK"/>
    <n v="6"/>
    <s v="CUST-3400"/>
    <s v="Rahul Verma"/>
    <s v="Rahul Verma"/>
    <s v="Corporate"/>
    <x v="2"/>
    <s v="South"/>
    <x v="2"/>
    <s v="Kerala"/>
    <s v="Kerala"/>
    <s v="Kochi"/>
    <s v="Kochi"/>
    <s v="Furniture"/>
    <x v="1"/>
    <s v="Chairs"/>
    <x v="4"/>
    <s v="Eco Chairs 369"/>
    <s v="Second Class"/>
    <x v="0"/>
    <n v="6"/>
    <n v="1607.46"/>
    <n v="0.2"/>
    <n v="7715.81"/>
    <n v="4258.42"/>
    <n v="3457.39"/>
    <s v="Paid"/>
    <x v="0"/>
    <s v="Completed"/>
    <x v="0"/>
    <s v="ORD-2025-10347|07-22-2025|28-07-2025|CUST-3400|Rahul Verma|Corporate|South|Kerala|Kochi|Furniture|Chairs|Eco Chairs 369|Second Class|6|1607.46|0.2|7715.81|4258.42|3457.39|Paid|Completed"/>
    <s v="Keep"/>
    <n v="1"/>
    <s v="Unique"/>
    <s v=""/>
    <n v="0.2"/>
    <n v="7715.8080000000009"/>
    <n v="3457.3880000000008"/>
    <n v="0.4480915025360922"/>
    <n v="7"/>
    <n v="2025"/>
    <b v="0"/>
    <b v="0"/>
    <x v="0"/>
    <s v=""/>
    <s v="Clean"/>
  </r>
  <r>
    <s v="ORD-2024-10348"/>
    <s v="01-12-2024"/>
    <x v="10"/>
    <d v="2024-12-01T00:00:00"/>
    <s v="12/08/2024"/>
    <d v="2024-12-08T00:00:00"/>
    <s v="OK"/>
    <n v="7"/>
    <s v="CUST-1172"/>
    <s v="Aarav Sharma"/>
    <s v="Aarav Sharma"/>
    <s v="Small Business"/>
    <x v="1"/>
    <s v="West"/>
    <x v="3"/>
    <s v="Goa"/>
    <s v="Goa"/>
    <s v="Panaji"/>
    <s v="Panaji"/>
    <s v="Furniture"/>
    <x v="1"/>
    <s v="Chairs"/>
    <x v="4"/>
    <s v="Max Chairs 487"/>
    <s v="Second Class"/>
    <x v="0"/>
    <n v="5"/>
    <n v="2981.49"/>
    <n v="0.2"/>
    <n v="11925.96"/>
    <n v="10103.51"/>
    <n v="1822.45"/>
    <s v="Refunded"/>
    <x v="1"/>
    <s v="Returned"/>
    <x v="2"/>
    <s v="ORD-2024-10348|01-12-2024|12-08-2024|CUST-1172|Aarav Sharma|Small Business|West|Goa|Panaji|Furniture|Chairs|Max Chairs 487|Second Class|5|2981.49|0.2|11925.96|10103.51|1822.45|Refunded|Returned"/>
    <s v="Keep"/>
    <n v="1"/>
    <s v="Unique"/>
    <s v=""/>
    <n v="0.2"/>
    <n v="11925.96"/>
    <n v="1822.4499999999989"/>
    <n v="0.15281369382422874"/>
    <n v="12"/>
    <n v="2024"/>
    <b v="0"/>
    <b v="0"/>
    <x v="1"/>
    <s v="Refunded order summarized separately; Returned order excluded"/>
    <s v="Warning"/>
  </r>
  <r>
    <s v="ORD-2024-10349"/>
    <s v="06/02/2024"/>
    <x v="2"/>
    <d v="2024-06-02T00:00:00"/>
    <s v="06/07/2024"/>
    <d v="2024-06-07T00:00:00"/>
    <s v="OK"/>
    <n v="5"/>
    <s v="CUST-9517"/>
    <s v="Aarav Sharma"/>
    <s v="Aarav Sharma"/>
    <s v="Corporate"/>
    <x v="2"/>
    <s v="South"/>
    <x v="2"/>
    <s v="Karnataka"/>
    <s v="Karnataka"/>
    <s v="Bengaluru"/>
    <s v="Bengaluru"/>
    <s v="Technology"/>
    <x v="2"/>
    <s v="Phones"/>
    <x v="11"/>
    <s v="Classic Phones 989"/>
    <s v="Same Day"/>
    <x v="1"/>
    <n v="9"/>
    <n v="2860.26"/>
    <n v="0.25"/>
    <n v="19306.759999999998"/>
    <n v="14442.38"/>
    <n v="4864.38"/>
    <s v="Paid"/>
    <x v="0"/>
    <s v="Completed"/>
    <x v="0"/>
    <s v="ORD-2024-10349|06-02-2024|06-07-2024|CUST-9517|Aarav Sharma|Corporate|South|Karnataka|Bengaluru|Technology|Phones|Classic Phones 989|Same Day|9|2860.26|0.25|19306.76|14442.38|4864.38|Paid|Completed"/>
    <s v="Keep"/>
    <n v="1"/>
    <s v="Unique"/>
    <s v=""/>
    <n v="0.25"/>
    <n v="19306.755000000005"/>
    <n v="4864.3750000000055"/>
    <n v="0.25195197225012717"/>
    <n v="6"/>
    <n v="2024"/>
    <b v="0"/>
    <b v="0"/>
    <x v="0"/>
    <s v=""/>
    <s v="Clean"/>
  </r>
  <r>
    <s v="ORD-2025-10350"/>
    <s v="27-09-2025"/>
    <x v="8"/>
    <d v="2025-09-27T00:00:00"/>
    <s v="09/29/2025"/>
    <d v="2025-09-29T00:00:00"/>
    <s v="OK"/>
    <n v="2"/>
    <s v="CUST-6697"/>
    <s v="Kabir Singh"/>
    <s v="Kabir Singh"/>
    <s v="Home Office"/>
    <x v="3"/>
    <s v="East"/>
    <x v="1"/>
    <s v="Jharkhand"/>
    <s v="Jharkhand"/>
    <s v="Ranchi"/>
    <s v="Ranchi"/>
    <s v="Furniture"/>
    <x v="1"/>
    <s v="Furnishings"/>
    <x v="3"/>
    <s v="Max Furnishings 628"/>
    <s v="Second Class"/>
    <x v="0"/>
    <n v="9"/>
    <n v="2867.55"/>
    <n v="0.25"/>
    <n v="19355.96"/>
    <n v="15012.45"/>
    <n v="4017.4"/>
    <s v="Paid"/>
    <x v="0"/>
    <s v="Completed"/>
    <x v="0"/>
    <s v="ORD-2025-10350|27-09-2025|09-29-2025|CUST-6697|Kabir Singh|Home Office|East|Jharkhand|Ranchi|Furniture|Furnishings|Max Furnishings 628|Second Class|9|2867.55|0.25|19355.96|15012.45|4017.4|Paid|Completed"/>
    <s v="Keep"/>
    <n v="1"/>
    <s v="Unique"/>
    <s v=""/>
    <n v="0.25"/>
    <n v="19355.962500000001"/>
    <n v="4343.5125000000007"/>
    <n v="0.22440178317146461"/>
    <n v="9"/>
    <n v="2025"/>
    <b v="0"/>
    <b v="1"/>
    <x v="1"/>
    <s v="Profit mismatch"/>
    <s v="Invalid"/>
  </r>
  <r>
    <s v="ORD-2024-10351"/>
    <s v="07-01-2024"/>
    <x v="12"/>
    <d v="2024-01-07T00:00:00"/>
    <s v="14 Jan 2024"/>
    <d v="2024-01-14T00:00:00"/>
    <s v="OK"/>
    <n v="7"/>
    <s v="CUST-7644"/>
    <s v="Sneha Kapoor"/>
    <s v="Sneha Kapoor"/>
    <s v="Small Business"/>
    <x v="1"/>
    <s v="East"/>
    <x v="1"/>
    <s v="Jharkhand"/>
    <s v="Jharkhand"/>
    <s v="Ranchi"/>
    <s v="Ranchi"/>
    <s v="Furniture"/>
    <x v="1"/>
    <s v="Furnishings"/>
    <x v="3"/>
    <s v="Elite Furnishings 279"/>
    <s v="Second Class"/>
    <x v="0"/>
    <n v="4"/>
    <n v="3309.54"/>
    <n v="0.1"/>
    <n v="11914.34"/>
    <n v="9771.24"/>
    <n v="2143.1"/>
    <s v="Refunded"/>
    <x v="1"/>
    <s v="Returned"/>
    <x v="2"/>
    <s v="ORD-2024-10351|07-01-2024|01-14-2024|CUST-7644|Sneha Kapoor|Small Business|East|Jharkhand|Ranchi|Furniture|Furnishings|Elite Furnishings 279|Second Class|4|3309.54|0.1|11914.34|9771.24|2143.1|Refunded|Returned"/>
    <s v="Keep"/>
    <n v="1"/>
    <s v="Unique"/>
    <s v=""/>
    <n v="0.1"/>
    <n v="11914.344000000001"/>
    <n v="2143.1040000000012"/>
    <n v="0.17987595456367561"/>
    <n v="1"/>
    <n v="2024"/>
    <b v="0"/>
    <b v="0"/>
    <x v="1"/>
    <s v="Refunded order summarized separately; Returned order excluded"/>
    <s v="Warning"/>
  </r>
  <r>
    <s v="ORD-2025-10352"/>
    <s v="23-05-2025"/>
    <x v="9"/>
    <d v="2025-05-23T00:00:00"/>
    <s v="27 May 2025"/>
    <d v="2025-05-27T00:00:00"/>
    <s v="OK"/>
    <n v="4"/>
    <s v="CUST-9963"/>
    <s v="Vikram Iyer"/>
    <s v="Vikram Iyer"/>
    <s v="Small Business"/>
    <x v="1"/>
    <s v="South"/>
    <x v="2"/>
    <s v="Telangana"/>
    <s v="Telangana"/>
    <s v="Hyderabad"/>
    <s v="Hyderabad"/>
    <s v="Office Supplies"/>
    <x v="0"/>
    <s v="Storage"/>
    <x v="8"/>
    <s v="Pro Storage 847"/>
    <s v="First Class"/>
    <x v="2"/>
    <n v="6"/>
    <n v="719.44"/>
    <n v="0.25"/>
    <n v="3237.48"/>
    <n v="2118.34"/>
    <n v="1119.1400000000001"/>
    <s v="Pending"/>
    <x v="2"/>
    <s v="Cancelled"/>
    <x v="1"/>
    <s v="ORD-2025-10352|23-05-2025|05-27-2025|CUST-9963|Vikram Iyer|Small Business|South|Telangana|Hyderabad|Office Supplies|Storage|Pro Storage 847|First Class|6|719.44|0.25|3237.48|2118.34|1119.14|Pending|Cancelled"/>
    <s v="Keep"/>
    <n v="1"/>
    <s v="Unique"/>
    <s v=""/>
    <n v="0.25"/>
    <n v="3237.4800000000005"/>
    <n v="1119.1400000000003"/>
    <n v="0.34568244437031276"/>
    <n v="5"/>
    <n v="2025"/>
    <b v="0"/>
    <b v="0"/>
    <x v="1"/>
    <s v="Cancelled order excluded"/>
    <s v="Warning"/>
  </r>
  <r>
    <s v="ORD-2025-10353"/>
    <s v="15 Aug 2025"/>
    <x v="4"/>
    <d v="2025-08-15T00:00:00"/>
    <s v="08/17/2025"/>
    <d v="2025-08-17T00:00:00"/>
    <s v="OK"/>
    <n v="2"/>
    <s v="CUST-6382"/>
    <s v="Diya Patel"/>
    <s v="Diya Patel"/>
    <s v="Small Business"/>
    <x v="1"/>
    <s v="East"/>
    <x v="1"/>
    <s v="Assam"/>
    <s v="Assam"/>
    <s v="Guwahati"/>
    <s v="Guwahati"/>
    <s v="Technology"/>
    <x v="2"/>
    <s v="Copiers"/>
    <x v="6"/>
    <s v="Elite Copiers 706"/>
    <s v="First Class"/>
    <x v="2"/>
    <n v="5"/>
    <n v="2862.6"/>
    <n v="0.25"/>
    <n v="10734.75"/>
    <n v="6475.73"/>
    <n v="4259.0200000000004"/>
    <s v="Paid"/>
    <x v="0"/>
    <s v="Completed"/>
    <x v="0"/>
    <s v="ORD-2025-10353|08-15-2025|08-17-2025|CUST-6382|Diya Patel|Small Business|East|Assam|Guwahati|Technology|Copiers|Elite Copiers 706|First Class|5|2862.6|0.25|10734.75|6475.73|4259.02|Paid|Completed"/>
    <s v="Keep"/>
    <n v="1"/>
    <s v="Unique"/>
    <s v=""/>
    <n v="0.25"/>
    <n v="10734.75"/>
    <n v="4259.0200000000004"/>
    <n v="0.39675073942103917"/>
    <n v="8"/>
    <n v="2025"/>
    <b v="0"/>
    <b v="0"/>
    <x v="0"/>
    <s v=""/>
    <s v="Clean"/>
  </r>
  <r>
    <s v="ORD-2025-10354"/>
    <s v="21-02-2025"/>
    <x v="7"/>
    <d v="2025-02-21T00:00:00"/>
    <s v="27-02-2025"/>
    <d v="2025-02-27T00:00:00"/>
    <s v="OK"/>
    <n v="6"/>
    <s v="CUST-3253"/>
    <s v="Ananya Rao"/>
    <s v="Ananya Rao"/>
    <s v="Consumer"/>
    <x v="0"/>
    <s v="North"/>
    <x v="0"/>
    <s v="Rajasthan"/>
    <s v="Rajasthan"/>
    <s v="Jaipur"/>
    <s v="Jaipur"/>
    <s v="Office Supplies"/>
    <x v="0"/>
    <s v="Art"/>
    <x v="2"/>
    <s v="Prime Art 978"/>
    <s v="Same Day"/>
    <x v="1"/>
    <n v="9"/>
    <n v="1431.67"/>
    <n v="0.2"/>
    <n v="10308.02"/>
    <n v="5822.31"/>
    <n v="4485.71"/>
    <s v="Paid"/>
    <x v="0"/>
    <s v="Completed"/>
    <x v="0"/>
    <s v="ORD-2025-10354|21-02-2025|27-02-2025|CUST-3253|Ananya Rao|Consumer|North|Rajasthan|Jaipur|Office Supplies|Art|Prime Art 978|Same Day|9|1431.67|0.2|10308.02|5822.31|4485.71|Paid|Completed"/>
    <s v="Keep"/>
    <n v="1"/>
    <s v="Unique"/>
    <s v=""/>
    <n v="0.2"/>
    <n v="10308.024000000001"/>
    <n v="4485.7140000000009"/>
    <n v="0.4351672056642476"/>
    <n v="2"/>
    <n v="2025"/>
    <b v="0"/>
    <b v="0"/>
    <x v="0"/>
    <s v=""/>
    <s v="Clean"/>
  </r>
  <r>
    <s v="ORD-2024-10355"/>
    <s v="27 Dec 2024"/>
    <x v="10"/>
    <d v="2024-12-27T00:00:00"/>
    <s v="2024-12-31"/>
    <d v="2024-12-31T00:00:00"/>
    <s v="OK"/>
    <n v="4"/>
    <s v="CUST-1058"/>
    <s v="Kabir Singh"/>
    <s v="Kabir Singh"/>
    <s v="Corporate"/>
    <x v="2"/>
    <s v="North"/>
    <x v="0"/>
    <s v="Punjab"/>
    <s v="Punjab"/>
    <s v="Ludhiana"/>
    <s v="Ludhiana"/>
    <s v="Furniture"/>
    <x v="1"/>
    <s v="Furnishings"/>
    <x v="3"/>
    <s v="Classic Furnishings 498"/>
    <s v="Standard Class"/>
    <x v="3"/>
    <n v="6"/>
    <n v="3346.78"/>
    <n v="-0.06"/>
    <n v="20080.68"/>
    <n v="12908.84"/>
    <n v="7171.84"/>
    <s v="Pending"/>
    <x v="2"/>
    <s v="Cancelled"/>
    <x v="1"/>
    <s v="ORD-2024-10355|12-27-2024|12-31-2024|CUST-1058|Kabir Singh|corporate|North|Punjab|Ludhiana|Furniture|Furnishings|Classic Furnishings 498|Standard Class|6|3346.78|-0.06|20080.68|12908.84|7171.84|Pending|Cancelled"/>
    <s v="Keep"/>
    <n v="1"/>
    <s v="Unique"/>
    <s v=""/>
    <n v="-0.06"/>
    <n v="21285.520800000002"/>
    <n v="8376.6808000000019"/>
    <n v="0.39353891683965753"/>
    <n v="12"/>
    <n v="2024"/>
    <b v="1"/>
    <b v="1"/>
    <x v="1"/>
    <s v="Negative discount; Cancelled order excluded; Sales mismatch; Profit mismatch"/>
    <s v="Invalid"/>
  </r>
  <r>
    <s v="ORD-2024-10356"/>
    <s v="12-05-2024"/>
    <x v="5"/>
    <d v="2024-05-12T00:00:00"/>
    <s v="2024-05-09"/>
    <d v="2024-05-09T00:00:00"/>
    <s v="Ship date before order date"/>
    <n v="-3"/>
    <s v="CUST-6414"/>
    <s v="Priya Menon"/>
    <s v="Priya Menon"/>
    <s v="Corporate"/>
    <x v="2"/>
    <s v="West"/>
    <x v="3"/>
    <s v="Rajasthan"/>
    <s v="Rajasthan"/>
    <s v="Udaipur"/>
    <s v="Udaipur"/>
    <s v="Furniture"/>
    <x v="1"/>
    <s v="Tables"/>
    <x v="1"/>
    <s v="Max Tables 829"/>
    <s v="Standard Class"/>
    <x v="3"/>
    <n v="5"/>
    <n v="3203.48"/>
    <n v="0"/>
    <n v="16017.4"/>
    <n v="9557.7999999999993"/>
    <n v="6459.6"/>
    <s v="Pending"/>
    <x v="2"/>
    <s v="Cancelled"/>
    <x v="1"/>
    <s v="ORD-2024-10356|12-05-2024|05-09-2024|CUST-6414|Priya Menon|Corporate|West|Rajasthan|Udaipur|Furniture|Tables|Max Tables 829|Standard Class|5|3203.48|0|16017.4|9557.8|6459.6|Pending|Cancelled"/>
    <s v="Keep"/>
    <n v="1"/>
    <s v="Unique"/>
    <s v=""/>
    <n v="0"/>
    <n v="16017.4"/>
    <n v="6459.6"/>
    <n v="0.40328642601171227"/>
    <n v="5"/>
    <n v="2024"/>
    <b v="0"/>
    <b v="0"/>
    <x v="1"/>
    <s v="Ship date before order date; Cancelled order excluded"/>
    <s v="Invalid"/>
  </r>
  <r>
    <s v="ORD-2025-10357"/>
    <s v="27 Jun 2025"/>
    <x v="18"/>
    <d v="2025-06-27T00:00:00"/>
    <s v="29 Jun 2025"/>
    <d v="2025-06-29T00:00:00"/>
    <s v="OK"/>
    <n v="2"/>
    <s v="CUST-9268"/>
    <s v="Rohan Mehta"/>
    <s v="Rohan Mehta"/>
    <s v="Home Office"/>
    <x v="3"/>
    <s v="South"/>
    <x v="2"/>
    <s v="Telangana"/>
    <s v="Telangana"/>
    <s v="Hyderabad"/>
    <s v="Hyderabad"/>
    <s v="Furniture"/>
    <x v="1"/>
    <s v="Chairs"/>
    <x v="4"/>
    <s v="Eco Chairs 346"/>
    <s v="First Class"/>
    <x v="2"/>
    <n v="5"/>
    <n v="621.70000000000005"/>
    <n v="0.2"/>
    <n v="2486.8000000000002"/>
    <n v="2131.73"/>
    <n v="355.07"/>
    <s v="Pending"/>
    <x v="2"/>
    <s v="Returned"/>
    <x v="2"/>
    <s v="ORD-2025-10357|06-27-2025|06-29-2025|CUST-9268|Rohan Mehta|Home Office|South|Telangana|Hyderabad|Furniture|Chairs|Eco Chairs 346|First Class|5|621.7|0.2|2486.8|2131.73|355.07|Pending|Returned"/>
    <s v="Keep"/>
    <n v="1"/>
    <s v="Unique"/>
    <s v=""/>
    <n v="0.2"/>
    <n v="2486.8000000000002"/>
    <n v="355.07000000000016"/>
    <n v="0.1427818883705968"/>
    <n v="6"/>
    <n v="2025"/>
    <b v="0"/>
    <b v="0"/>
    <x v="1"/>
    <s v="Returned order excluded"/>
    <s v="Warning"/>
  </r>
  <r>
    <s v="ORD-2025-10358"/>
    <s v="2025-01-21"/>
    <x v="14"/>
    <d v="2025-01-21T00:00:00"/>
    <s v="01/29/2025"/>
    <d v="2025-01-29T00:00:00"/>
    <s v="OK"/>
    <n v="8"/>
    <s v="CUST-1363"/>
    <s v="Mira Das"/>
    <s v="Mira Das"/>
    <s v="Home Office"/>
    <x v="3"/>
    <s v="South"/>
    <x v="2"/>
    <s v="Andhra Pradesh"/>
    <s v="Andhra Pradesh"/>
    <s v="Vijayawada"/>
    <s v="Vijayawada"/>
    <s v="Technology"/>
    <x v="2"/>
    <s v="Machines"/>
    <x v="12"/>
    <s v="Max Machines 770"/>
    <s v="Second Class"/>
    <x v="0"/>
    <n v="8"/>
    <n v="546.13"/>
    <n v="0"/>
    <n v="4369.04"/>
    <n v="3716.88"/>
    <n v="652.16"/>
    <s v="Paid"/>
    <x v="0"/>
    <s v="Cancelled"/>
    <x v="1"/>
    <s v="ORD-2025-10358|01-21-2025|01-29-2025|CUST-1363|Mira Das|Home Office|South|Andhra Pradesh|Vijayawada|Technology|Machines|Max Machines 770|Second Class|8|546.13|0|4369.04|3716.88|652.16|Paid|Cancelled"/>
    <s v="Keep"/>
    <n v="1"/>
    <s v="Unique"/>
    <s v=""/>
    <n v="0"/>
    <n v="4369.04"/>
    <n v="652.15999999999985"/>
    <n v="0.14926848918755603"/>
    <n v="1"/>
    <n v="2025"/>
    <b v="0"/>
    <b v="0"/>
    <x v="1"/>
    <s v="Cancelled order excluded"/>
    <s v="Warning"/>
  </r>
  <r>
    <s v="ORD-2025-10359"/>
    <s v="08/09/2025"/>
    <x v="4"/>
    <d v="2025-08-09T00:00:00"/>
    <s v="2025-08-07"/>
    <d v="2025-08-07T00:00:00"/>
    <s v="Ship date before order date"/>
    <n v="-2"/>
    <s v="CUST-2477"/>
    <s v="Vikram Iyer"/>
    <s v="Vikram Iyer"/>
    <s v="Home Office"/>
    <x v="3"/>
    <s v="West"/>
    <x v="3"/>
    <s v="Gujarat"/>
    <s v="Gujarat"/>
    <s v="Ahmedabad"/>
    <s v="Ahmedabad"/>
    <s v="Furniture"/>
    <x v="1"/>
    <s v="Bookcases"/>
    <x v="10"/>
    <s v="Smart Bookcases 134"/>
    <s v="Second Class"/>
    <x v="0"/>
    <n v="5"/>
    <n v="1253.92"/>
    <n v="0.05"/>
    <n v="5956.12"/>
    <n v="4379.18"/>
    <n v="1576.94"/>
    <s v="Pending"/>
    <x v="2"/>
    <s v="Returned"/>
    <x v="2"/>
    <s v="ORD-2025-10359|08-09-2025|08-07-2025|CUST-2477|Vikram Iyer|Home Office|West|Gujarat|Ahmedabad|Furniture|Bookcases|Smart Bookcases 134|Second Class|5|1253.92|0.05|5956.12|4379.18|1576.94|Pending|Returned"/>
    <s v="Keep"/>
    <n v="1"/>
    <s v="Unique"/>
    <s v=""/>
    <n v="0.05"/>
    <n v="5956.12"/>
    <n v="1576.9399999999996"/>
    <n v="0.26475960860425907"/>
    <n v="8"/>
    <n v="2025"/>
    <b v="0"/>
    <b v="0"/>
    <x v="1"/>
    <s v="Ship date before order date; Returned order excluded"/>
    <s v="Invalid"/>
  </r>
  <r>
    <s v="ORD-2024-10360"/>
    <s v="21 Aug 2024"/>
    <x v="1"/>
    <d v="2024-08-21T00:00:00"/>
    <s v="22-08-2024"/>
    <d v="2024-08-22T00:00:00"/>
    <s v="OK"/>
    <n v="1"/>
    <s v="CUST-9571"/>
    <s v="Isha Nair"/>
    <s v="Isha Nair"/>
    <s v="Consumer"/>
    <x v="0"/>
    <s v="South"/>
    <x v="2"/>
    <s v="Tamil Nadu"/>
    <s v="Tamil Nadu"/>
    <s v="Chennai"/>
    <s v="Chennai"/>
    <s v="Technology"/>
    <x v="2"/>
    <s v="Phones"/>
    <x v="11"/>
    <s v="Classic Phones 586"/>
    <s v="Same Day"/>
    <x v="1"/>
    <n v="9"/>
    <n v="616.96"/>
    <n v="0.1"/>
    <n v="4997.38"/>
    <n v="2971.39"/>
    <n v="2025.99"/>
    <s v="Paid"/>
    <x v="0"/>
    <s v="Completed"/>
    <x v="0"/>
    <s v="ORD-2024-10360|08-21-2024|22-08-2024|CUST-9571|Isha Nair|Consumer|South|Tamil Nadu|Chennai|Technology|Phones|Classic Phones 586|Same Day|9|616.96|0.1|4997.38|2971.39|2025.99|Paid|Completed"/>
    <s v="Keep"/>
    <n v="1"/>
    <s v="Unique"/>
    <s v=""/>
    <n v="0.1"/>
    <n v="4997.3760000000002"/>
    <n v="2025.9860000000003"/>
    <n v="0.40540995914656014"/>
    <n v="8"/>
    <n v="2024"/>
    <b v="0"/>
    <b v="0"/>
    <x v="0"/>
    <s v=""/>
    <s v="Clean"/>
  </r>
  <r>
    <s v="ORD-2024-10361"/>
    <s v="17 Jun 2024"/>
    <x v="2"/>
    <d v="2024-06-17T00:00:00"/>
    <s v="2024-06-20"/>
    <d v="2024-06-20T00:00:00"/>
    <s v="OK"/>
    <n v="3"/>
    <s v="CUST-3690"/>
    <s v="Sneha Kapoor"/>
    <s v="Sneha Kapoor"/>
    <s v="Small Business"/>
    <x v="1"/>
    <s v="West"/>
    <x v="3"/>
    <s v="Gujarat"/>
    <s v="Gujarat"/>
    <s v="Ahmedabad"/>
    <s v="Ahmedabad"/>
    <s v="Furniture"/>
    <x v="1"/>
    <s v="Furnishings"/>
    <x v="3"/>
    <s v="Elite Furnishings 634"/>
    <s v="Standard Class"/>
    <x v="3"/>
    <n v="7"/>
    <n v="3155.25"/>
    <n v="0.2"/>
    <n v="17669.400000000001"/>
    <n v="13718.77"/>
    <n v="3950.63"/>
    <s v="Refunded"/>
    <x v="1"/>
    <s v="Cancelled"/>
    <x v="1"/>
    <s v="ORD-2024-10361|06-17-2024|06-20-2024|CUST-3690|Sneha Kapoor|Small Business|West|Gujarat|Ahmedabad|Furniture|Furnishings|Elite Furnishings 634|Standard Class|7|3155.25|0.2|17669.4|13718.77|3950.63|Refunded|Cancelled"/>
    <s v="Keep"/>
    <n v="1"/>
    <s v="Unique"/>
    <s v=""/>
    <n v="0.2"/>
    <n v="17669.400000000001"/>
    <n v="3950.630000000001"/>
    <n v="0.2235859734908939"/>
    <n v="6"/>
    <n v="2024"/>
    <b v="0"/>
    <b v="0"/>
    <x v="1"/>
    <s v="Refunded order summarized separately; Cancelled order excluded"/>
    <s v="Warning"/>
  </r>
  <r>
    <s v="ORD-2025-10362"/>
    <s v="01-04-2025"/>
    <x v="6"/>
    <d v="2025-04-01T00:00:00"/>
    <s v="2025-04-02"/>
    <d v="2025-04-02T00:00:00"/>
    <s v="OK"/>
    <n v="1"/>
    <s v="CUST-2909"/>
    <s v="Rohan Mehta"/>
    <s v="Rohan Mehta"/>
    <s v="Corporate"/>
    <x v="2"/>
    <s v="East"/>
    <x v="1"/>
    <s v="Odisha"/>
    <s v="Odisha"/>
    <s v="Bhubaneswar"/>
    <s v="Bhubaneswar"/>
    <s v="Furniture"/>
    <x v="1"/>
    <s v="Chairs"/>
    <x v="4"/>
    <s v="Basic Chairs 113"/>
    <s v="Second Class"/>
    <x v="0"/>
    <n v="9"/>
    <n v="4165.58"/>
    <n v="0.05"/>
    <n v="35615.71"/>
    <n v="20389.71"/>
    <n v="15226"/>
    <s v="Pending"/>
    <x v="2"/>
    <s v="Returned"/>
    <x v="2"/>
    <s v="ORD-2025-10362|01-04-2025|04-02-2025|CUST-2909|Rohan Mehta|Corporate|East|Odisha|Bhubaneswar|Furniture|Chairs|Basic Chairs 113|Second Class|9|4165.58|0.05|35615.71|20389.71|15226|Pending|Returned"/>
    <s v="Keep"/>
    <n v="1"/>
    <s v="Unique"/>
    <s v=""/>
    <n v="0.05"/>
    <n v="35615.709000000003"/>
    <n v="15225.999000000003"/>
    <n v="0.42750795723314122"/>
    <n v="4"/>
    <n v="2025"/>
    <b v="0"/>
    <b v="0"/>
    <x v="1"/>
    <s v="Returned order excluded"/>
    <s v="Warning"/>
  </r>
  <r>
    <s v="ORD-2024-10363"/>
    <s v="23 Aug 2024"/>
    <x v="1"/>
    <d v="2024-08-23T00:00:00"/>
    <s v="25-08-2024"/>
    <d v="2024-08-25T00:00:00"/>
    <s v="OK"/>
    <n v="2"/>
    <s v="CUST-6755"/>
    <s v="Vikram Iyer"/>
    <s v="Vikram Iyer"/>
    <s v="Consumer"/>
    <x v="0"/>
    <s v="West"/>
    <x v="3"/>
    <s v="Goa"/>
    <s v="Goa"/>
    <s v="Panaji"/>
    <s v="Panaji"/>
    <s v="Technology"/>
    <x v="2"/>
    <s v="Machines"/>
    <x v="12"/>
    <s v="Elite Machines 216"/>
    <s v="Same Day"/>
    <x v="1"/>
    <n v="4"/>
    <n v="491.16"/>
    <n v="0.05"/>
    <n v="1866.41"/>
    <n v="1576.49"/>
    <n v="289.92"/>
    <s v="Paid"/>
    <x v="0"/>
    <s v="Completed"/>
    <x v="0"/>
    <s v="ORD-2024-10363|08-23-2024|25-08-2024|CUST-6755|Vikram Iyer|Consumer|West|Goa|Panaji|Technology|Machines|Elite Machines 216|Same Day|4|491.16|0.05|1866.41|1576.49|289.92|Paid|Completed"/>
    <s v="Keep"/>
    <n v="1"/>
    <s v="Unique"/>
    <s v=""/>
    <n v="0.05"/>
    <n v="1866.4079999999999"/>
    <n v="289.91799999999989"/>
    <n v="0.15533473924243782"/>
    <n v="8"/>
    <n v="2024"/>
    <b v="0"/>
    <b v="0"/>
    <x v="0"/>
    <s v=""/>
    <s v="Clean"/>
  </r>
  <r>
    <s v="ORD-2025-10364"/>
    <s v="07/07/2025"/>
    <x v="13"/>
    <d v="2025-07-07T00:00:00"/>
    <s v="07/12/2025"/>
    <d v="2025-07-12T00:00:00"/>
    <s v="OK"/>
    <n v="5"/>
    <s v="CUST-1832"/>
    <s v="Diya Patel"/>
    <s v="Diya Patel"/>
    <s v="Corporate"/>
    <x v="2"/>
    <s v="East"/>
    <x v="1"/>
    <s v="West Bengal"/>
    <s v="West Bengal"/>
    <s v="Kolkata"/>
    <s v="Kolkata"/>
    <s v="Furniture"/>
    <x v="1"/>
    <s v="Tables"/>
    <x v="1"/>
    <s v="Smart Tables 943"/>
    <s v="Second Class"/>
    <x v="0"/>
    <n v="5"/>
    <n v="1831.37"/>
    <n v="0.25"/>
    <n v="6867.64"/>
    <n v="5205.3599999999997"/>
    <n v="1662.28"/>
    <s v="Paid"/>
    <x v="0"/>
    <s v="Completed"/>
    <x v="0"/>
    <s v="ORD-2025-10364|07-07-2025|07-12-2025|CUST-1832|Diya Patel|Corporate|East|West Bengal|Kolkata|Furniture|Tables|Smart Tables 943|Second Class|5|1831.37|0.25|6867.64|5205.36|1662.28|Paid|Completed"/>
    <s v="Keep"/>
    <n v="1"/>
    <s v="Unique"/>
    <s v=""/>
    <n v="0.25"/>
    <n v="6867.6374999999989"/>
    <n v="1662.2774999999992"/>
    <n v="0.24204502640100028"/>
    <n v="7"/>
    <n v="2025"/>
    <b v="0"/>
    <b v="0"/>
    <x v="0"/>
    <s v=""/>
    <s v="Clean"/>
  </r>
  <r>
    <s v="ORD-2025-10365"/>
    <s v="03/21/2025"/>
    <x v="20"/>
    <d v="2025-03-21T00:00:00"/>
    <s v="2025-03-24"/>
    <d v="2025-03-24T00:00:00"/>
    <s v="OK"/>
    <n v="3"/>
    <s v="CUST-4452"/>
    <s v="Aarav Sharma"/>
    <s v="Aarav Sharma"/>
    <s v="Small Business"/>
    <x v="1"/>
    <s v="South"/>
    <x v="2"/>
    <s v="Andhra Pradesh"/>
    <s v="Andhra Pradesh"/>
    <s v="Vijayawada"/>
    <s v="Vijayawada"/>
    <s v="Furniture"/>
    <x v="1"/>
    <s v="Chairs"/>
    <x v="4"/>
    <s v="Prime Chairs 101"/>
    <s v="Second Class"/>
    <x v="0"/>
    <n v="5"/>
    <n v="1239.1500000000001"/>
    <n v="0"/>
    <n v="6195.75"/>
    <n v="3967.02"/>
    <n v="2228.73"/>
    <s v="Paid"/>
    <x v="0"/>
    <s v="Completed"/>
    <x v="0"/>
    <s v="ORD-2025-10365|03-21-2025|03-24-2025|CUST-4452|Aarav Sharma|Small Business|South|Andhra Pradesh|Vijayawada|Furniture|Chairs|Prime Chairs 101|Second Class|5|1239.15|0|6195.75|3967.02|2228.73|Paid|Completed"/>
    <s v="Keep"/>
    <n v="1"/>
    <s v="Unique"/>
    <s v=""/>
    <n v="0"/>
    <n v="6195.75"/>
    <n v="2228.73"/>
    <n v="0.35971916232901585"/>
    <n v="3"/>
    <n v="2025"/>
    <b v="0"/>
    <b v="0"/>
    <x v="0"/>
    <s v=""/>
    <s v="Clean"/>
  </r>
  <r>
    <s v="ORD-2024-10366"/>
    <s v="15-06-2024"/>
    <x v="2"/>
    <d v="2024-06-15T00:00:00"/>
    <s v="21-06-2024"/>
    <d v="2024-06-21T00:00:00"/>
    <s v="OK"/>
    <n v="6"/>
    <s v="CUST-2203"/>
    <s v="Aditi Sen"/>
    <s v="Aditi Sen"/>
    <s v="Corporate"/>
    <x v="2"/>
    <s v="West"/>
    <x v="3"/>
    <s v="Goa"/>
    <s v="Goa"/>
    <s v="Panaji"/>
    <s v="Panaji"/>
    <s v="Technology"/>
    <x v="2"/>
    <s v="Accessories"/>
    <x v="5"/>
    <s v="Basic Accessories 774"/>
    <s v="First Class"/>
    <x v="2"/>
    <n v="8"/>
    <n v="1706.4"/>
    <m/>
    <n v="12968.64"/>
    <n v="10119.61"/>
    <n v="2849.03"/>
    <s v="Paid"/>
    <x v="0"/>
    <s v="Completed"/>
    <x v="0"/>
    <s v="ORD-2024-10366|15-06-2024|21-06-2024|CUST-2203|Aditi Sen|Corporate|West|Goa|Panaji|Technology|Accessories|Basic Accessories 774|First Class|8|1706.4||12968.64|10119.61|2849.03|Paid|Completed"/>
    <s v="Keep"/>
    <n v="1"/>
    <s v="Unique"/>
    <s v=""/>
    <n v="0"/>
    <n v="13651.2"/>
    <n v="3531.59"/>
    <n v="0.2587017991092358"/>
    <n v="6"/>
    <n v="2024"/>
    <b v="1"/>
    <b v="1"/>
    <x v="1"/>
    <s v="Missing discount treated as 0; Sales mismatch; Profit mismatch"/>
    <s v="Invalid"/>
  </r>
  <r>
    <s v="ORD-2025-10367"/>
    <s v="2025-01-16"/>
    <x v="14"/>
    <d v="2025-01-16T00:00:00"/>
    <s v="2025-01-22"/>
    <d v="2025-01-22T00:00:00"/>
    <s v="OK"/>
    <n v="6"/>
    <s v="CUST-5397"/>
    <s v="Sneha Kapoor"/>
    <s v="Sneha Kapoor"/>
    <s v="Corporate"/>
    <x v="2"/>
    <s v="North"/>
    <x v="0"/>
    <s v="Rajasthan"/>
    <s v="Rajasthan"/>
    <s v="Jaipur"/>
    <s v="Jaipur"/>
    <s v="Furniture"/>
    <x v="1"/>
    <s v="Tables"/>
    <x v="1"/>
    <s v="Max Tables 478"/>
    <s v="Same Day"/>
    <x v="1"/>
    <n v="2"/>
    <n v="4418.28"/>
    <n v="0"/>
    <n v="8836.56"/>
    <n v="5867.75"/>
    <n v="2968.81"/>
    <s v="Paid"/>
    <x v="0"/>
    <s v="Completed"/>
    <x v="0"/>
    <s v="ORD-2025-10367|01-16-2025|01-22-2025|CUST-5397|Sneha Kapoor|Corporate|North|Rajasthan|Jaipur|Furniture|Tables|Max Tables 478|Same Day|2|4418.28|0|8836.56|5867.75|2968.81|Paid|Completed"/>
    <s v="Keep"/>
    <n v="1"/>
    <s v="Unique"/>
    <s v=""/>
    <n v="0"/>
    <n v="8836.56"/>
    <n v="2968.8099999999995"/>
    <n v="0.33596897435201023"/>
    <n v="1"/>
    <n v="2025"/>
    <b v="0"/>
    <b v="0"/>
    <x v="0"/>
    <s v=""/>
    <s v="Clean"/>
  </r>
  <r>
    <s v="ORD-2024-10368"/>
    <s v="2024-03-15"/>
    <x v="15"/>
    <d v="2024-03-15T00:00:00"/>
    <s v="03/16/2024"/>
    <d v="2024-03-16T00:00:00"/>
    <s v="OK"/>
    <n v="1"/>
    <s v="CUST-4696"/>
    <s v="Rohan Mehta"/>
    <s v="Rohan Mehta"/>
    <s v="Consumer"/>
    <x v="0"/>
    <s v="North"/>
    <x v="0"/>
    <s v="Delhi"/>
    <s v="Delhi"/>
    <s v="New Delhi"/>
    <s v="New Delhi"/>
    <s v="Office Supplies"/>
    <x v="0"/>
    <s v="Art"/>
    <x v="2"/>
    <s v="Eco Art 646"/>
    <s v="Standard Class"/>
    <x v="3"/>
    <n v="6"/>
    <n v="3815.09"/>
    <n v="0.15"/>
    <n v="19456.96"/>
    <n v="14520.06"/>
    <n v="4936.8999999999996"/>
    <s v="Failed"/>
    <x v="3"/>
    <s v="Cancelled"/>
    <x v="1"/>
    <s v="ORD-2024-10368|03-15-2024|03-16-2024|CUST-4696|Rohan Mehta|Consumer|North|Delhi|New Delhi|Office Supplies|Art|Eco Art 646|Standard Class|6|3815.09|0.15|19456.96|14520.06|4936.9|Failed|Cancelled"/>
    <s v="Keep"/>
    <n v="1"/>
    <s v="Unique"/>
    <s v=""/>
    <n v="0.15"/>
    <n v="19456.958999999999"/>
    <n v="4936.8989999999994"/>
    <n v="0.25373435797443988"/>
    <n v="3"/>
    <n v="2024"/>
    <b v="0"/>
    <b v="0"/>
    <x v="1"/>
    <s v="Failed payment excluded; Cancelled order excluded"/>
    <s v="Warning"/>
  </r>
  <r>
    <s v="ORD-2025-10369"/>
    <s v="06-07-2025"/>
    <x v="13"/>
    <d v="2025-07-06T00:00:00"/>
    <s v="06-07-2025"/>
    <d v="2025-07-06T00:00:00"/>
    <s v="OK"/>
    <n v="0"/>
    <s v="CUST-8246"/>
    <s v="Aarav Sharma"/>
    <s v="Aarav Sharma"/>
    <s v="Home Office"/>
    <x v="3"/>
    <s v="North"/>
    <x v="0"/>
    <s v="Rajasthan"/>
    <s v="Rajasthan"/>
    <s v="Jaipur"/>
    <s v="Jaipur"/>
    <s v="Technology"/>
    <x v="2"/>
    <s v="Accessories"/>
    <x v="5"/>
    <s v="Prime Accessories 962"/>
    <s v="Same Day"/>
    <x v="1"/>
    <n v="9"/>
    <n v="243.19"/>
    <n v="0.05"/>
    <n v="2079.27"/>
    <n v="1512.17"/>
    <n v="567.1"/>
    <s v="Refunded"/>
    <x v="1"/>
    <s v="Returned"/>
    <x v="2"/>
    <s v="ORD-2025-10369|06-07-2025|06-07-2025|CUST-8246|Aarav Sharma|Home Office|North|Rajasthan|Jaipur|Technology|Accessories|Prime Accessories 962|Same Day|9|243.19|0.05|2079.27|1512.17|567.1|Refunded|Returned"/>
    <s v="Keep"/>
    <n v="1"/>
    <s v="Unique"/>
    <s v=""/>
    <n v="0.05"/>
    <n v="2079.2745"/>
    <n v="567.10449999999992"/>
    <n v="0.27274152595051782"/>
    <n v="7"/>
    <n v="2025"/>
    <b v="0"/>
    <b v="0"/>
    <x v="1"/>
    <s v="Refunded order summarized separately; Returned order excluded"/>
    <s v="Warning"/>
  </r>
  <r>
    <s v="ORD-2025-10370"/>
    <s v="23-01-2025"/>
    <x v="14"/>
    <d v="2025-01-23T00:00:00"/>
    <s v="01/30/2025"/>
    <d v="2025-01-30T00:00:00"/>
    <s v="OK"/>
    <n v="7"/>
    <s v="CUST-5672"/>
    <s v="Priya Menon"/>
    <s v="Priya Menon"/>
    <s v="Consumer"/>
    <x v="0"/>
    <s v="North"/>
    <x v="0"/>
    <s v="Delhi"/>
    <s v="Delhi"/>
    <s v="New Delhi"/>
    <s v="New Delhi"/>
    <s v="Office Supplies"/>
    <x v="0"/>
    <s v="Labels"/>
    <x v="7"/>
    <s v="Eco Labels 646"/>
    <s v="Standard Class"/>
    <x v="3"/>
    <n v="9"/>
    <n v="1169.3699999999999"/>
    <n v="0.15"/>
    <n v="8945.68"/>
    <n v="6740.35"/>
    <n v="2205.33"/>
    <s v="Paid"/>
    <x v="0"/>
    <s v="Completed"/>
    <x v="0"/>
    <s v="ORD-2025-10370|23-01-2025|01-30-2025|CUST-5672|Priya Menon|Consumer|North|Delhi|New Delhi|Office Supplies|Labels|Eco Labels 646|Standard Class|9|1169.37|0.15|8945.68|6740.35|2205.33|Paid|Completed"/>
    <s v="Keep"/>
    <n v="1"/>
    <s v="Unique"/>
    <s v=""/>
    <n v="0.15"/>
    <n v="8945.6804999999986"/>
    <n v="2205.3304999999982"/>
    <n v="0.24652462157574245"/>
    <n v="1"/>
    <n v="2025"/>
    <b v="0"/>
    <b v="0"/>
    <x v="0"/>
    <s v=""/>
    <s v="Clean"/>
  </r>
  <r>
    <s v="ORD-2024-10371"/>
    <s v="08/15/2024"/>
    <x v="1"/>
    <d v="2024-08-15T00:00:00"/>
    <s v="21 Aug 2024"/>
    <d v="2024-08-21T00:00:00"/>
    <s v="OK"/>
    <n v="6"/>
    <s v="CUST-8521"/>
    <s v="Ananya Rao"/>
    <s v="Ananya Rao"/>
    <s v="Small Business"/>
    <x v="1"/>
    <s v="West"/>
    <x v="3"/>
    <s v="Rajasthan"/>
    <s v="Rajasthan"/>
    <s v="Udaipur"/>
    <s v="Udaipur"/>
    <s v="Technology"/>
    <x v="2"/>
    <s v="Copiers"/>
    <x v="6"/>
    <s v="Classic Copiers 505"/>
    <s v="First Class"/>
    <x v="2"/>
    <n v="7"/>
    <n v="2333.81"/>
    <n v="0.2"/>
    <n v="13069.34"/>
    <n v="8768.59"/>
    <n v="4300.75"/>
    <s v="Paid"/>
    <x v="0"/>
    <s v="Completed"/>
    <x v="0"/>
    <s v="ORD-2024-10371|08-15-2024|08-21-2024|CUST-8521|Ananya Rao|Small Business|West|Rajasthan|Udaipur|Technology|Copiers|Classic Copiers 505|First Class|7|2333.81|0.2|13069.34|8768.59|4300.75|Paid|Completed"/>
    <s v="Keep"/>
    <n v="1"/>
    <s v="Unique"/>
    <s v=""/>
    <n v="0.2"/>
    <n v="13069.336000000001"/>
    <n v="4300.746000000001"/>
    <n v="0.32907149988339124"/>
    <n v="8"/>
    <n v="2024"/>
    <b v="0"/>
    <b v="0"/>
    <x v="0"/>
    <s v=""/>
    <s v="Clean"/>
  </r>
  <r>
    <s v="ORD-2024-10372"/>
    <s v="22-01-2024"/>
    <x v="12"/>
    <d v="2024-01-22T00:00:00"/>
    <s v="2024-01-24"/>
    <d v="2024-01-24T00:00:00"/>
    <s v="OK"/>
    <n v="2"/>
    <s v="CUST-2204"/>
    <s v="Diya Patel"/>
    <s v="Diya Patel"/>
    <s v="Home Office"/>
    <x v="3"/>
    <s v="West"/>
    <x v="3"/>
    <s v="Maharashtra"/>
    <s v="Maharashtra"/>
    <s v="Mumbai"/>
    <s v="Mumbai"/>
    <s v="Office Supplies"/>
    <x v="0"/>
    <s v="Art"/>
    <x v="2"/>
    <s v="Pro Art 906"/>
    <s v="Standard Class"/>
    <x v="3"/>
    <n v="6"/>
    <n v="1026.06"/>
    <m/>
    <n v="4617.2700000000004"/>
    <n v="2981.94"/>
    <n v="1635.33"/>
    <s v="Refunded"/>
    <x v="1"/>
    <s v="Cancelled"/>
    <x v="1"/>
    <s v="ORD-2024-10372|22-01-2024|01-24-2024|CUST-2204|Diya Patel|Home Office|West|Maharashtra|Mumbai|Office Supplies|Art|Pro Art 906|Standard Class|6|1026.06||4617.27|2981.94|1635.33|Refunded|Cancelled"/>
    <s v="Keep"/>
    <n v="1"/>
    <s v="Unique"/>
    <s v=""/>
    <n v="0"/>
    <n v="6156.36"/>
    <n v="3174.4199999999996"/>
    <n v="0.51563261407714944"/>
    <n v="1"/>
    <n v="2024"/>
    <b v="1"/>
    <b v="1"/>
    <x v="1"/>
    <s v="Missing discount treated as 0; Refunded order summarized separately; Cancelled order excluded; Sales mismatch; Profit mismatch"/>
    <s v="Invalid"/>
  </r>
  <r>
    <s v="ORD-2025-10373"/>
    <s v="2025-08-16"/>
    <x v="4"/>
    <d v="2025-08-16T00:00:00"/>
    <s v="2025-08-18"/>
    <d v="2025-08-18T00:00:00"/>
    <s v="OK"/>
    <n v="2"/>
    <s v="CUST-4399"/>
    <s v="Kabir Singh"/>
    <s v="Kabir Singh"/>
    <s v="Consumer"/>
    <x v="0"/>
    <s v="East"/>
    <x v="1"/>
    <s v="Jharkhand"/>
    <s v="Jharkhand"/>
    <s v="Ranchi"/>
    <s v="Ranchi"/>
    <s v="Furniture"/>
    <x v="1"/>
    <s v="Chairs"/>
    <x v="4"/>
    <s v="Max Chairs 181"/>
    <s v="Same Day"/>
    <x v="1"/>
    <n v="5"/>
    <n v="1530.36"/>
    <n v="0"/>
    <n v="7651.8"/>
    <n v="5171.78"/>
    <n v="2480.02"/>
    <s v="Paid"/>
    <x v="0"/>
    <s v="Completed"/>
    <x v="0"/>
    <s v="ORD-2025-10373|08-16-2025|08-18-2025|CUST-4399|Kabir Singh|Consumer|East|Jharkhand|Ranchi|Furniture|Chairs|Max Chairs 181|Same Day|5|1530.36|0|7651.8|5171.78|2480.02|Paid|Completed"/>
    <s v="Keep"/>
    <n v="1"/>
    <s v="Unique"/>
    <s v=""/>
    <n v="0"/>
    <n v="7651.7999999999993"/>
    <n v="2480.0199999999995"/>
    <n v="0.32410935988917638"/>
    <n v="8"/>
    <n v="2025"/>
    <b v="0"/>
    <b v="0"/>
    <x v="0"/>
    <s v=""/>
    <s v="Clean"/>
  </r>
  <r>
    <s v="ORD-2025-10374"/>
    <s v="2025-04-13"/>
    <x v="6"/>
    <d v="2025-04-13T00:00:00"/>
    <s v="2025-04-13"/>
    <d v="2025-04-13T00:00:00"/>
    <s v="OK"/>
    <n v="0"/>
    <s v="CUST-8566"/>
    <s v="Sneha Kapoor"/>
    <s v="Sneha Kapoor"/>
    <s v="Small Business"/>
    <x v="1"/>
    <s v="North"/>
    <x v="0"/>
    <s v="Uttar Pradesh"/>
    <s v="Uttar Pradesh"/>
    <s v="Noida"/>
    <s v="Noida"/>
    <s v="Office Supplies"/>
    <x v="0"/>
    <s v="Storage"/>
    <x v="8"/>
    <s v="Prime Storage 951"/>
    <s v="Second Class"/>
    <x v="0"/>
    <n v="9"/>
    <n v="1118.68"/>
    <n v="0"/>
    <n v="10068.120000000001"/>
    <n v="8595.3700000000008"/>
    <n v="1472.75"/>
    <s v="Paid"/>
    <x v="0"/>
    <s v="Completed"/>
    <x v="0"/>
    <s v="ORD-2025-10374|04-13-2025|04-13-2025|CUST-8566|Sneha Kapoor|Small Business|North|Uttar Pradesh|Noida|Office Supplies|Storage|Prime Storage 951|Second Class|9|1118.68|0|10068.12|8595.37|1472.75|Paid|Completed"/>
    <s v="Keep"/>
    <n v="2"/>
    <s v="Duplicate order_id"/>
    <s v="Review conflicting duplicate"/>
    <n v="0"/>
    <n v="10068.120000000001"/>
    <n v="1472.75"/>
    <n v="0.14627855051389932"/>
    <n v="4"/>
    <n v="2025"/>
    <b v="0"/>
    <b v="0"/>
    <x v="1"/>
    <s v="Duplicate order ID conflict"/>
    <s v="Warning"/>
  </r>
  <r>
    <s v="ORD-2025-10375"/>
    <s v="2025-02-27"/>
    <x v="7"/>
    <d v="2025-02-27T00:00:00"/>
    <s v="28-02-2025"/>
    <d v="2025-02-28T00:00:00"/>
    <s v="OK"/>
    <n v="1"/>
    <s v="CUST-2358"/>
    <s v="Aditi Sen"/>
    <s v="Aditi Sen"/>
    <s v="Small Business"/>
    <x v="1"/>
    <s v="North"/>
    <x v="0"/>
    <s v="Uttar Pradesh"/>
    <s v="Uttar Pradesh"/>
    <s v="Noida"/>
    <s v="Noida"/>
    <s v="Office Supplies"/>
    <x v="0"/>
    <s v="Labels"/>
    <x v="7"/>
    <s v="Smart Labels 668"/>
    <s v="Standard Class"/>
    <x v="3"/>
    <n v="6"/>
    <n v="2393.25"/>
    <n v="0"/>
    <n v="14359.5"/>
    <n v="8117.71"/>
    <n v="6241.79"/>
    <s v="Paid"/>
    <x v="0"/>
    <s v="Completed"/>
    <x v="0"/>
    <s v="ORD-2025-10375|02-27-2025|28-02-2025|CUST-2358|Aditi Sen|Small Business|North|Uttar Pradesh|Noida|Office Supplies|Labels|Smart Labels 668|Standard Class|6|2393.25|0|14359.5|8117.71|6241.79|Paid|Completed"/>
    <s v="Keep"/>
    <n v="1"/>
    <s v="Unique"/>
    <s v=""/>
    <n v="0"/>
    <n v="14359.5"/>
    <n v="6241.79"/>
    <n v="0.43468017688638183"/>
    <n v="2"/>
    <n v="2025"/>
    <b v="0"/>
    <b v="0"/>
    <x v="0"/>
    <s v=""/>
    <s v="Clean"/>
  </r>
  <r>
    <s v="ORD-2024-10376"/>
    <s v="31-12-2024"/>
    <x v="10"/>
    <d v="2024-12-31T00:00:00"/>
    <s v="04 Jan 2025"/>
    <d v="2025-01-04T00:00:00"/>
    <s v="OK"/>
    <n v="4"/>
    <s v="CUST-2810"/>
    <s v="Vikram Iyer"/>
    <s v="Vikram Iyer"/>
    <s v="Consumer"/>
    <x v="0"/>
    <s v="North"/>
    <x v="0"/>
    <s v="Delhi"/>
    <s v="Delhi"/>
    <s v="New Delhi"/>
    <s v="New Delhi"/>
    <s v="Furniture"/>
    <x v="1"/>
    <s v="Chairs"/>
    <x v="4"/>
    <s v="Pro Chairs 364"/>
    <s v="Same Day"/>
    <x v="1"/>
    <n v="3"/>
    <n v="1166.6099999999999"/>
    <n v="0.25"/>
    <n v="2624.87"/>
    <n v="2253.88"/>
    <n v="370.99"/>
    <s v="Paid"/>
    <x v="0"/>
    <s v="Completed"/>
    <x v="0"/>
    <s v="ORD-2024-10376|31-12-2024|01-04-2025|CUST-2810|Vikram Iyer|Consumer|North|Delhi|New Delhi|Furniture|Chairs|Pro Chairs 364|Same Day|3|1166.61|0.25|2624.87|2253.88|370.99|Paid|Completed"/>
    <s v="Keep"/>
    <n v="1"/>
    <s v="Unique"/>
    <s v=""/>
    <n v="0.25"/>
    <n v="2624.8724999999999"/>
    <n v="370.99249999999984"/>
    <n v="0.14133734114704613"/>
    <n v="12"/>
    <n v="2024"/>
    <b v="0"/>
    <b v="0"/>
    <x v="0"/>
    <s v=""/>
    <s v="Clean"/>
  </r>
  <r>
    <s v="ORD-2024-10377"/>
    <s v="29-12-2024"/>
    <x v="10"/>
    <d v="2024-12-29T00:00:00"/>
    <s v="2024-12-31"/>
    <d v="2024-12-31T00:00:00"/>
    <s v="OK"/>
    <n v="2"/>
    <s v="CUST-5166"/>
    <s v="Isha Nair"/>
    <s v="Isha Nair"/>
    <s v="Small Business"/>
    <x v="1"/>
    <s v="East"/>
    <x v="1"/>
    <s v="Bihar"/>
    <s v="Bihar"/>
    <s v="Patna"/>
    <s v="Patna"/>
    <s v="Furniture"/>
    <x v="1"/>
    <s v="Chairs"/>
    <x v="4"/>
    <s v="Basic Chairs 248"/>
    <s v="First Class"/>
    <x v="2"/>
    <n v="6"/>
    <n v="1844.78"/>
    <n v="0.2"/>
    <n v="8854.94"/>
    <n v="7433.95"/>
    <n v="1420.99"/>
    <s v="Paid"/>
    <x v="0"/>
    <s v="Completed"/>
    <x v="0"/>
    <s v="ORD-2024-10377|29-12-2024|12-31-2024|CUST-5166|Isha Nair|Small Business|East|Bihar|Patna|Furniture|Chairs|Basic Chairs 248|First Class|6|1844.78|0.2|8854.94|7433.95|1420.99|Paid|Completed"/>
    <s v="Keep"/>
    <n v="1"/>
    <s v="Unique"/>
    <s v=""/>
    <n v="0.2"/>
    <n v="8854.9440000000013"/>
    <n v="1420.9940000000015"/>
    <n v="0.1604746455765278"/>
    <n v="12"/>
    <n v="2024"/>
    <b v="0"/>
    <b v="0"/>
    <x v="0"/>
    <s v=""/>
    <s v="Clean"/>
  </r>
  <r>
    <s v="ORD-2025-10378"/>
    <s v="24 May 2025"/>
    <x v="9"/>
    <d v="2025-05-24T00:00:00"/>
    <s v="30-05-2025"/>
    <d v="2025-05-30T00:00:00"/>
    <s v="OK"/>
    <n v="6"/>
    <s v="CUST-4875"/>
    <s v="Kabir Singh"/>
    <s v="Kabir Singh"/>
    <s v="Small Business"/>
    <x v="1"/>
    <s v="East"/>
    <x v="1"/>
    <s v="Odisha"/>
    <s v="Odisha"/>
    <s v="Bhubaneswar"/>
    <s v="Bhubaneswar"/>
    <s v="Office Supplies"/>
    <x v="0"/>
    <s v="Storage"/>
    <x v="8"/>
    <s v="Basic Storage 360"/>
    <s v="Same Day"/>
    <x v="1"/>
    <n v="1"/>
    <n v="2564.7399999999998"/>
    <n v="0"/>
    <n v="2564.7399999999998"/>
    <n v="1754.58"/>
    <n v="810.16"/>
    <s v="Paid"/>
    <x v="0"/>
    <s v="Completed"/>
    <x v="0"/>
    <s v="ORD-2025-10378|05-24-2025|30-05-2025|CUST-4875|Kabir Singh|Small Business|East|Odisha|Bhubaneswar|Office Supplies|storage|Basic Storage 360|Same Day|1|2564.74|0|2564.74|1754.58|810.16|Paid|Completed"/>
    <s v="Keep"/>
    <n v="1"/>
    <s v="Unique"/>
    <s v=""/>
    <n v="0"/>
    <n v="2564.7399999999998"/>
    <n v="810.15999999999985"/>
    <n v="0.31588387126960232"/>
    <n v="5"/>
    <n v="2025"/>
    <b v="0"/>
    <b v="0"/>
    <x v="0"/>
    <s v=""/>
    <s v="Clean"/>
  </r>
  <r>
    <s v="ORD-2025-10379"/>
    <s v="22-05-2025"/>
    <x v="9"/>
    <d v="2025-05-22T00:00:00"/>
    <s v="22-05-2025"/>
    <d v="2025-05-22T00:00:00"/>
    <s v="OK"/>
    <n v="0"/>
    <s v="CUST-3154"/>
    <s v="Mira Das"/>
    <s v="Mira Das"/>
    <s v="Consumer"/>
    <x v="0"/>
    <s v="West"/>
    <x v="3"/>
    <s v="Goa"/>
    <s v="Goa"/>
    <s v="Panaji"/>
    <s v="Panaji"/>
    <s v="Technology"/>
    <x v="2"/>
    <s v="Accessories"/>
    <x v="5"/>
    <s v="Basic Accessories 988"/>
    <s v="Standard Class"/>
    <x v="3"/>
    <n v="2"/>
    <n v="3910.61"/>
    <n v="0"/>
    <n v="7821.22"/>
    <n v="4994.46"/>
    <n v="2826.76"/>
    <s v="Paid"/>
    <x v="0"/>
    <s v="Completed"/>
    <x v="0"/>
    <s v="ORD-2025-10379|22-05-2025|22-05-2025|CUST-3154|Mira Das|Consumer|West|Goa|Panaji|Technology|Accessories|Basic Accessories 988|Standard Class|2|3910.61|0|7821.22|4994.46|2826.76|Paid|Completed"/>
    <s v="Keep"/>
    <n v="1"/>
    <s v="Unique"/>
    <s v=""/>
    <n v="0"/>
    <n v="7821.22"/>
    <n v="2826.76"/>
    <n v="0.36142187535959863"/>
    <n v="5"/>
    <n v="2025"/>
    <b v="0"/>
    <b v="0"/>
    <x v="0"/>
    <s v=""/>
    <s v="Clean"/>
  </r>
  <r>
    <s v="ORD-2024-10380"/>
    <s v="09/19/2024"/>
    <x v="21"/>
    <d v="2024-09-19T00:00:00"/>
    <s v="23 Sep 2024"/>
    <d v="2024-09-23T00:00:00"/>
    <s v="OK"/>
    <n v="4"/>
    <s v="CUST-6405"/>
    <s v="Mira Das"/>
    <s v="Mira Das"/>
    <s v="Small Business"/>
    <x v="1"/>
    <s v="South"/>
    <x v="2"/>
    <s v="Kerala"/>
    <s v="Kerala"/>
    <s v="Kochi"/>
    <s v="Kochi"/>
    <s v="Office Supplies"/>
    <x v="0"/>
    <s v="Paper"/>
    <x v="0"/>
    <s v="Max Paper 334"/>
    <s v="Standard Class"/>
    <x v="3"/>
    <n v="7"/>
    <n v="1136.68"/>
    <m/>
    <n v="7956.76"/>
    <n v="4799.54"/>
    <n v="3157.22"/>
    <s v="Paid"/>
    <x v="0"/>
    <s v="Completed"/>
    <x v="0"/>
    <s v="ORD-2024-10380|09-19-2024|09-23-2024|CUST-6405|Mira Das|Small Business|South|Kerala|Kochi|Office Supplies|Paper|Max Paper 334|Standard Class|7|1136.68||7956.76|4799.54|3157.22|Paid|Completed"/>
    <s v="Keep"/>
    <n v="1"/>
    <s v="Unique"/>
    <s v=""/>
    <n v="0"/>
    <n v="7956.76"/>
    <n v="3157.2200000000003"/>
    <n v="0.39679718880549369"/>
    <n v="9"/>
    <n v="2024"/>
    <b v="0"/>
    <b v="0"/>
    <x v="0"/>
    <s v="Missing discount treated as 0"/>
    <s v="Warning"/>
  </r>
  <r>
    <s v="ORD-2024-10381"/>
    <s v="07 Apr 2024"/>
    <x v="19"/>
    <d v="2024-04-07T00:00:00"/>
    <s v="14-04-2024"/>
    <d v="2024-04-14T00:00:00"/>
    <s v="OK"/>
    <n v="7"/>
    <s v="CUST-5779"/>
    <s v="Vikram Iyer"/>
    <s v="Vikram Iyer"/>
    <s v="Consumer"/>
    <x v="0"/>
    <s v="West"/>
    <x v="3"/>
    <s v="Maharashtra"/>
    <s v="Maharashtra"/>
    <s v="Mumbai"/>
    <s v="Mumbai"/>
    <s v="Furniture"/>
    <x v="1"/>
    <s v="Bookcases"/>
    <x v="10"/>
    <s v="Prime Bookcases 952"/>
    <s v="Same Day"/>
    <x v="1"/>
    <n v="5"/>
    <n v="2235.85"/>
    <n v="0.25"/>
    <n v="8384.44"/>
    <n v="4765.96"/>
    <n v="3618.48"/>
    <s v="Paid"/>
    <x v="0"/>
    <s v="Returned"/>
    <x v="2"/>
    <s v="ORD-2024-10381|04-07-2024|14-04-2024|CUST-5779|Vikram Iyer|Consumer|West|Maharashtra|Mumbai|Furniture|Bookcases|Prime Bookcases 952|Same Day|5|2235.85|0.25|8384.44|4765.96|3618.48|Paid|Returned"/>
    <s v="Keep"/>
    <n v="1"/>
    <s v="Unique"/>
    <s v=""/>
    <n v="0.25"/>
    <n v="8384.4375"/>
    <n v="3618.4775"/>
    <n v="0.43157069272685256"/>
    <n v="4"/>
    <n v="2024"/>
    <b v="0"/>
    <b v="0"/>
    <x v="1"/>
    <s v="Returned order excluded"/>
    <s v="Warning"/>
  </r>
  <r>
    <s v="ORD-2025-10382"/>
    <s v="2025-09-19"/>
    <x v="8"/>
    <d v="2025-09-19T00:00:00"/>
    <s v="23-09-2025"/>
    <d v="2025-09-23T00:00:00"/>
    <s v="OK"/>
    <n v="4"/>
    <s v="CUST-9943"/>
    <s v="Arjun Bose"/>
    <s v="Arjun Bose"/>
    <s v="Home Office"/>
    <x v="3"/>
    <s v="North"/>
    <x v="0"/>
    <s v="Delhi"/>
    <s v="Delhi"/>
    <s v="New Delhi"/>
    <s v="New Delhi"/>
    <s v="Office Supplies"/>
    <x v="0"/>
    <s v="Binders"/>
    <x v="9"/>
    <s v="Prime Binders 523"/>
    <s v="Standard Class"/>
    <x v="3"/>
    <n v="4"/>
    <n v="4387.1499999999996"/>
    <n v="0.05"/>
    <n v="16671.169999999998"/>
    <n v="10833.19"/>
    <n v="5837.98"/>
    <s v="Failed"/>
    <x v="3"/>
    <s v="Cancelled"/>
    <x v="1"/>
    <s v="ORD-2025-10382|09-19-2025|23-09-2025|CUST-9943|Arjun Bose|HOME OFFICE|North|Delhi|New Delhi|Office Supplies|Binders|Prime Binders 523|Standard Class|4|4387.15|0.05|16671.17|10833.19|5837.98|Failed|Cancelled"/>
    <s v="Keep"/>
    <n v="1"/>
    <s v="Unique"/>
    <s v=""/>
    <n v="0.05"/>
    <n v="16671.169999999998"/>
    <n v="5837.9799999999977"/>
    <n v="0.35018418023450054"/>
    <n v="9"/>
    <n v="2025"/>
    <b v="0"/>
    <b v="0"/>
    <x v="1"/>
    <s v="Failed payment excluded; Cancelled order excluded"/>
    <s v="Warning"/>
  </r>
  <r>
    <s v="ORD-2025-10383"/>
    <s v="04 Mar 2025"/>
    <x v="20"/>
    <d v="2025-03-04T00:00:00"/>
    <s v="03/08/2025"/>
    <d v="2025-03-08T00:00:00"/>
    <s v="OK"/>
    <n v="4"/>
    <s v="CUST-7098"/>
    <s v="Arjun Bose"/>
    <s v="Arjun Bose"/>
    <s v="Small Business"/>
    <x v="1"/>
    <s v="East"/>
    <x v="1"/>
    <s v="Bihar"/>
    <s v="Bihar"/>
    <s v="Patna"/>
    <s v="Patna"/>
    <s v="Technology"/>
    <x v="2"/>
    <s v="Phones"/>
    <x v="11"/>
    <s v="Pro Phones 538"/>
    <s v="First Class"/>
    <x v="2"/>
    <n v="3"/>
    <n v="4361.8500000000004"/>
    <n v="0.2"/>
    <n v="10468.44"/>
    <n v="8399.8700000000008"/>
    <n v="2068.5700000000002"/>
    <s v="Paid"/>
    <x v="0"/>
    <s v="Completed"/>
    <x v="0"/>
    <s v="ORD-2025-10383|03-04-2025|03-08-2025|CUST-7098|Arjun Bose|Small Business|East|Bihar|Patna|TECHNOLOGY|Phones|Pro Phones 538|First Class|3|4361.85|0.2|10468.44|8399.87|2068.57|Paid|Completed"/>
    <s v="Keep"/>
    <n v="1"/>
    <s v="Unique"/>
    <s v=""/>
    <n v="0.2"/>
    <n v="10468.440000000002"/>
    <n v="2068.5700000000015"/>
    <n v="0.19760059760575607"/>
    <n v="3"/>
    <n v="2025"/>
    <b v="0"/>
    <b v="0"/>
    <x v="0"/>
    <s v=""/>
    <s v="Clean"/>
  </r>
  <r>
    <s v="ORD-2025-10384"/>
    <s v="28 Jun 2025"/>
    <x v="18"/>
    <d v="2025-06-28T00:00:00"/>
    <s v="05 Jul 2025"/>
    <d v="2025-07-05T00:00:00"/>
    <s v="OK"/>
    <n v="7"/>
    <s v="CUST-7438"/>
    <s v="Vikram Iyer"/>
    <s v="Vikram Iyer"/>
    <s v="Corporate"/>
    <x v="2"/>
    <s v="East"/>
    <x v="1"/>
    <s v="West Bengal"/>
    <s v="West Bengal"/>
    <s v="Kolkata"/>
    <s v="Kolkata"/>
    <s v="Office Supplies"/>
    <x v="0"/>
    <s v="Art"/>
    <x v="2"/>
    <s v="Basic Art 608"/>
    <s v="First Class"/>
    <x v="2"/>
    <n v="2"/>
    <n v="2242.75"/>
    <n v="0"/>
    <n v="4485.5"/>
    <n v="3131.86"/>
    <n v="1353.64"/>
    <s v="Paid"/>
    <x v="0"/>
    <s v="Cancelled"/>
    <x v="1"/>
    <s v="ORD-2025-10384|06-28-2025|07-05-2025|CUST-7438|Vikram Iyer|Corporate|East|West Bengal|Kolkata|Office Supplies|Art|Basic Art 608|First Class|2|2242.75|0|4485.5|3131.86|1353.64|Paid|Cancelled"/>
    <s v="Keep"/>
    <n v="1"/>
    <s v="Unique"/>
    <s v=""/>
    <n v="0"/>
    <n v="4485.5"/>
    <n v="1353.6399999999999"/>
    <n v="0.30178129528480657"/>
    <n v="6"/>
    <n v="2025"/>
    <b v="0"/>
    <b v="0"/>
    <x v="1"/>
    <s v="Cancelled order excluded"/>
    <s v="Warning"/>
  </r>
  <r>
    <s v="ORD-2024-10385"/>
    <s v="15-03-2024"/>
    <x v="15"/>
    <d v="2024-03-15T00:00:00"/>
    <s v="2024-03-20"/>
    <d v="2024-03-20T00:00:00"/>
    <s v="OK"/>
    <n v="5"/>
    <s v="CUST-8432"/>
    <s v="Rohan Mehta"/>
    <s v="Rohan Mehta"/>
    <s v="Consumer"/>
    <x v="0"/>
    <s v="East"/>
    <x v="1"/>
    <s v="Jharkhand"/>
    <s v="Jharkhand"/>
    <s v="Ranchi"/>
    <s v="Ranchi"/>
    <s v="Technology"/>
    <x v="2"/>
    <s v="Copiers"/>
    <x v="6"/>
    <s v="Prime Copiers 820"/>
    <s v="Standard Class"/>
    <x v="3"/>
    <n v="2"/>
    <n v="1881.4"/>
    <n v="0.25"/>
    <n v="2822.1"/>
    <n v="1624.57"/>
    <n v="1197.53"/>
    <s v="Paid"/>
    <x v="0"/>
    <s v="Returned"/>
    <x v="2"/>
    <s v="ORD-2024-10385|15-03-2024|03-20-2024|CUST-8432|Rohan Mehta|Consumer|East|Jharkhand|Ranchi|Technology|Copiers|Prime Copiers 820|Standard Class|2|1881.4|0.25|2822.1|1624.57|1197.53|Paid|Returned"/>
    <s v="Keep"/>
    <n v="1"/>
    <s v="Unique"/>
    <s v=""/>
    <n v="0.25"/>
    <n v="2822.1000000000004"/>
    <n v="1197.5300000000004"/>
    <n v="0.42434003047376079"/>
    <n v="3"/>
    <n v="2024"/>
    <b v="0"/>
    <b v="0"/>
    <x v="1"/>
    <s v="Returned order excluded"/>
    <s v="Warning"/>
  </r>
  <r>
    <s v="ORD-2025-10386"/>
    <s v="2025-06-24"/>
    <x v="18"/>
    <d v="2025-06-24T00:00:00"/>
    <s v="30 Jun 2025"/>
    <d v="2025-06-30T00:00:00"/>
    <s v="OK"/>
    <n v="6"/>
    <s v="CUST-2834"/>
    <s v="Arjun Bose"/>
    <s v="Arjun Bose"/>
    <s v="Consumer"/>
    <x v="0"/>
    <s v="North"/>
    <x v="0"/>
    <s v="Haryana"/>
    <s v="Haryana"/>
    <s v="Gurugram"/>
    <s v="Gurugram"/>
    <s v="Office Supplies"/>
    <x v="0"/>
    <s v="Labels"/>
    <x v="7"/>
    <s v="Classic Labels 670"/>
    <s v="Standard Class"/>
    <x v="3"/>
    <n v="6"/>
    <n v="365.76"/>
    <n v="0.1"/>
    <n v="1975.1"/>
    <n v="1115.3499999999999"/>
    <n v="859.75"/>
    <s v="Paid"/>
    <x v="0"/>
    <s v="Completed"/>
    <x v="0"/>
    <s v="ORD-2025-10386|06-24-2025|06-30-2025|CUST-2834|Arjun Bose|Consumer|North|Haryana|Gurugram|Office Supplies|Labels|Classic Labels 670|Standard Class|6|365.76|0.1|1975.1|1115.35|859.75|Paid|Completed"/>
    <s v="Keep"/>
    <n v="1"/>
    <s v="Unique"/>
    <s v=""/>
    <n v="0.1"/>
    <n v="1975.104"/>
    <n v="859.75400000000013"/>
    <n v="0.4352955591199249"/>
    <n v="6"/>
    <n v="2025"/>
    <b v="0"/>
    <b v="0"/>
    <x v="0"/>
    <s v=""/>
    <s v="Clean"/>
  </r>
  <r>
    <s v="ORD-2025-10387"/>
    <s v="02/12/2025"/>
    <x v="7"/>
    <d v="2025-02-12T00:00:00"/>
    <s v="14-02-2025"/>
    <d v="2025-02-14T00:00:00"/>
    <s v="OK"/>
    <n v="2"/>
    <s v="CUST-4222"/>
    <s v="Sneha Kapoor"/>
    <s v="Sneha Kapoor"/>
    <s v="Consumer"/>
    <x v="0"/>
    <s v="West"/>
    <x v="3"/>
    <s v="Maharashtra"/>
    <s v="Maharashtra"/>
    <s v="Mumbai"/>
    <s v="Mumbai"/>
    <s v="Furniture"/>
    <x v="1"/>
    <s v="Furnishings"/>
    <x v="3"/>
    <s v="Prime Furnishings 597"/>
    <s v="Second Class"/>
    <x v="0"/>
    <n v="8"/>
    <n v="2786.66"/>
    <n v="0.1"/>
    <n v="20063.95"/>
    <n v="14363.38"/>
    <n v="5700.57"/>
    <s v="Paid"/>
    <x v="0"/>
    <s v="Completed"/>
    <x v="0"/>
    <s v="ORD-2025-10387|02-12-2025|14-02-2025|CUST-4222|Sneha Kapoor|Consumer|West|Maharashtra|Mumbai|Furniture|Furnishings|Prime Furnishings 597|Second Class|8|2786.66|0.1|20063.95|14363.38|5700.57|Paid|Completed"/>
    <s v="Keep"/>
    <n v="1"/>
    <s v="Unique"/>
    <s v=""/>
    <n v="0.1"/>
    <n v="20063.952000000001"/>
    <n v="5700.5720000000019"/>
    <n v="0.2841200975759911"/>
    <n v="2"/>
    <n v="2025"/>
    <b v="0"/>
    <b v="0"/>
    <x v="0"/>
    <s v=""/>
    <s v="Clean"/>
  </r>
  <r>
    <s v="ORD-2025-10388"/>
    <s v="10-08-2025"/>
    <x v="4"/>
    <d v="2025-08-10T00:00:00"/>
    <s v="08/13/2025"/>
    <d v="2025-08-13T00:00:00"/>
    <s v="OK"/>
    <n v="3"/>
    <s v="CUST-1053"/>
    <s v="Priya Menon"/>
    <s v="Priya Menon"/>
    <s v="Small Business"/>
    <x v="1"/>
    <s v="West"/>
    <x v="3"/>
    <s v="Madhya Pradesh"/>
    <s v="Madhya Pradesh"/>
    <s v="Indore"/>
    <s v="Indore"/>
    <s v="Furniture"/>
    <x v="1"/>
    <s v="Chairs"/>
    <x v="4"/>
    <s v="Prime Chairs 196"/>
    <s v="Standard Class"/>
    <x v="3"/>
    <n v="5"/>
    <n v="352.86"/>
    <n v="0"/>
    <n v="1764.3"/>
    <n v="1332.49"/>
    <n v="431.81"/>
    <s v="Pending"/>
    <x v="2"/>
    <s v="Cancelled"/>
    <x v="1"/>
    <s v="ORD-2025-10388|10-08-2025|08-13-2025|CUST-1053|Priya Menon|Small Business|West|Madhya Pradesh|Indore|Furniture|Chairs|Prime Chairs 196|Standard Class|5|352.86|0|1764.3|1332.49|431.81|Pending|Cancelled"/>
    <s v="Keep"/>
    <n v="1"/>
    <s v="Unique"/>
    <s v=""/>
    <n v="0"/>
    <n v="1764.3000000000002"/>
    <n v="431.81000000000017"/>
    <n v="0.24474862551720236"/>
    <n v="8"/>
    <n v="2025"/>
    <b v="0"/>
    <b v="0"/>
    <x v="1"/>
    <s v="Cancelled order excluded"/>
    <s v="Warning"/>
  </r>
  <r>
    <s v="ORD-2024-10389"/>
    <s v="2024-05-13"/>
    <x v="5"/>
    <d v="2024-05-13T00:00:00"/>
    <s v="18 May 2024"/>
    <d v="2024-05-18T00:00:00"/>
    <s v="OK"/>
    <n v="5"/>
    <s v="CUST-1457"/>
    <s v="Isha Nair"/>
    <s v="Isha Nair"/>
    <s v="Small Business"/>
    <x v="1"/>
    <s v="West"/>
    <x v="3"/>
    <s v="Gujarat"/>
    <s v="Gujarat"/>
    <s v="Ahmedabad"/>
    <s v="Ahmedabad"/>
    <s v="Furniture"/>
    <x v="1"/>
    <s v="Chairs"/>
    <x v="4"/>
    <s v="Elite Chairs 639"/>
    <s v="Standard Class"/>
    <x v="3"/>
    <n v="3"/>
    <n v="3128.59"/>
    <n v="0"/>
    <n v="9385.77"/>
    <n v="6872.44"/>
    <n v="2783.66"/>
    <s v="Paid"/>
    <x v="0"/>
    <s v="Completed"/>
    <x v="0"/>
    <s v="ORD-2024-10389|05-13-2024|05-18-2024|CUST-1457|Isha Nair|Small Business|West|Gujarat|Ahmedabad|Furniture|Chairs|Elite Chairs 639|Standard Class|3|3128.59|0|9385.77|6872.44|2783.66|Paid|Completed"/>
    <s v="Keep"/>
    <n v="1"/>
    <s v="Unique"/>
    <s v=""/>
    <n v="0"/>
    <n v="9385.77"/>
    <n v="2513.3300000000008"/>
    <n v="0.26778090662779941"/>
    <n v="5"/>
    <n v="2024"/>
    <b v="0"/>
    <b v="1"/>
    <x v="1"/>
    <s v="Profit mismatch"/>
    <s v="Invalid"/>
  </r>
  <r>
    <s v="ORD-2024-10390"/>
    <s v="05 Apr 2024"/>
    <x v="19"/>
    <d v="2024-04-05T00:00:00"/>
    <s v="13 Apr 2024"/>
    <d v="2024-04-13T00:00:00"/>
    <s v="OK"/>
    <n v="8"/>
    <s v="CUST-3930"/>
    <s v="Diya Patel"/>
    <s v="Diya Patel"/>
    <s v="Corporate"/>
    <x v="2"/>
    <s v="West"/>
    <x v="3"/>
    <s v="Gujarat"/>
    <s v="Gujarat"/>
    <s v="Ahmedabad"/>
    <s v="Ahmedabad"/>
    <s v="Technology"/>
    <x v="2"/>
    <s v="Machines"/>
    <x v="12"/>
    <s v="Elite Machines 563"/>
    <s v="Second Class"/>
    <x v="0"/>
    <n v="5"/>
    <n v="1937.54"/>
    <n v="0.2"/>
    <n v="7750.16"/>
    <n v="5434.3"/>
    <n v="2315.86"/>
    <s v="Pending"/>
    <x v="2"/>
    <s v="Cancelled"/>
    <x v="1"/>
    <s v="ORD-2024-10390|04-05-2024|04-13-2024|CUST-3930|Diya Patel|Corporate|West|Gujarat|Ahmedabad|Technology|Machines|Elite Machines 563|Second Class|5|1937.54|0.2|7750.16|5434.3|2315.86|Pending|Cancelled"/>
    <s v="Keep"/>
    <n v="1"/>
    <s v="Unique"/>
    <s v=""/>
    <n v="0.2"/>
    <n v="7750.1600000000008"/>
    <n v="2315.8600000000006"/>
    <n v="0.29881447608823564"/>
    <n v="4"/>
    <n v="2024"/>
    <b v="0"/>
    <b v="0"/>
    <x v="1"/>
    <s v="Cancelled order excluded"/>
    <s v="Warning"/>
  </r>
  <r>
    <s v="ORD-2024-10391"/>
    <s v="06 Nov 2024"/>
    <x v="3"/>
    <d v="2024-11-06T00:00:00"/>
    <s v="11-11-2024"/>
    <d v="2024-11-11T00:00:00"/>
    <s v="OK"/>
    <n v="5"/>
    <s v="CUST-7853"/>
    <s v="Isha Nair"/>
    <s v="Isha Nair"/>
    <s v="Consumer"/>
    <x v="0"/>
    <s v="West"/>
    <x v="3"/>
    <s v="Gujarat"/>
    <s v="Gujarat"/>
    <s v="Ahmedabad"/>
    <s v="Ahmedabad"/>
    <s v="Furniture"/>
    <x v="1"/>
    <s v="Furnishings"/>
    <x v="3"/>
    <s v="Pro Furnishings 281"/>
    <s v="Standard Class"/>
    <x v="3"/>
    <n v="4"/>
    <n v="1917.26"/>
    <n v="0.2"/>
    <n v="6135.23"/>
    <n v="3439.79"/>
    <n v="2695.44"/>
    <s v="Paid"/>
    <x v="0"/>
    <s v="Completed"/>
    <x v="0"/>
    <s v="ORD-2024-10391|11-06-2024|11-11-2024|CUST-7853|Isha Nair|Consumer|West|Gujarat|Ahmedabad|Furniture|Furnishings|Pro Furnishings 281|Standard Class|4|1917.26|0.2|6135.23|3439.79|2695.44|Paid|Completed"/>
    <s v="Keep"/>
    <n v="1"/>
    <s v="Unique"/>
    <s v=""/>
    <n v="0.2"/>
    <n v="6135.232"/>
    <n v="2695.442"/>
    <n v="0.43933823529411764"/>
    <n v="11"/>
    <n v="2024"/>
    <b v="0"/>
    <b v="0"/>
    <x v="0"/>
    <s v=""/>
    <s v="Clean"/>
  </r>
  <r>
    <s v="ORD-2025-10392"/>
    <s v="14-02-2025"/>
    <x v="7"/>
    <d v="2025-02-14T00:00:00"/>
    <s v="14 Feb 2025"/>
    <d v="2025-02-14T00:00:00"/>
    <s v="OK"/>
    <n v="0"/>
    <s v="CUST-2267"/>
    <s v="Diya Patel"/>
    <s v="Diya Patel"/>
    <s v="Consumer"/>
    <x v="0"/>
    <s v="South"/>
    <x v="2"/>
    <s v="Karnataka"/>
    <s v="Karnataka"/>
    <s v="Bengaluru"/>
    <s v="Bengaluru"/>
    <s v="Office Supplies"/>
    <x v="0"/>
    <s v="Storage"/>
    <x v="8"/>
    <s v="Eco Storage 285"/>
    <s v="First Class"/>
    <x v="2"/>
    <n v="1"/>
    <n v="714.43"/>
    <n v="0"/>
    <n v="714.43"/>
    <n v="565.44000000000005"/>
    <n v="148.99"/>
    <s v="Paid"/>
    <x v="0"/>
    <s v="Completed"/>
    <x v="0"/>
    <s v="ORD-2025-10392|14-02-2025|02-14-2025|CUST-2267|Diya Patel|Consumer|South|Karnataka|Bengaluru|Office Supplies|Storage|Eco Storage 285|First Class|1|714.43|0|714.43|565.44|148.99|Paid|Completed"/>
    <s v="Keep"/>
    <n v="1"/>
    <s v="Unique"/>
    <s v=""/>
    <n v="0"/>
    <n v="714.43"/>
    <n v="148.9899999999999"/>
    <n v="0.20854387413742412"/>
    <n v="2"/>
    <n v="2025"/>
    <b v="0"/>
    <b v="0"/>
    <x v="0"/>
    <s v=""/>
    <s v="Clean"/>
  </r>
  <r>
    <s v="ORD-2024-10393"/>
    <s v="02/19/2024"/>
    <x v="17"/>
    <d v="2024-02-19T00:00:00"/>
    <s v="22 Feb 2024"/>
    <d v="2024-02-22T00:00:00"/>
    <s v="OK"/>
    <n v="3"/>
    <s v="CUST-6866"/>
    <s v="Aditi Sen"/>
    <s v="Aditi Sen"/>
    <s v="Small Business"/>
    <x v="1"/>
    <s v="South"/>
    <x v="2"/>
    <s v="Kerala"/>
    <s v="Kerala"/>
    <s v="Kochi"/>
    <s v="Kochi"/>
    <s v="Furniture"/>
    <x v="1"/>
    <s v="Furnishings"/>
    <x v="3"/>
    <s v="Classic Furnishings 746"/>
    <s v="Same Day"/>
    <x v="1"/>
    <n v="9"/>
    <n v="4053.01"/>
    <n v="0"/>
    <n v="36477.089999999997"/>
    <n v="24525.48"/>
    <n v="11951.61"/>
    <s v="Paid"/>
    <x v="0"/>
    <s v="Completed"/>
    <x v="0"/>
    <s v="ORD-2024-10393|02-19-2024|02-22-2024|CUST-6866|Aditi Sen|Small Business|South|Kerala|Kochi|Furniture|Furnishings|Classic Furnishings 746|Same Day|9|4053.01|0|36477.09|24525.48|11951.61|Paid|Completed"/>
    <s v="Keep"/>
    <n v="1"/>
    <s v="Unique"/>
    <s v=""/>
    <n v="0"/>
    <n v="36477.090000000004"/>
    <n v="11951.610000000004"/>
    <n v="0.32764702447481425"/>
    <n v="2"/>
    <n v="2024"/>
    <b v="0"/>
    <b v="0"/>
    <x v="0"/>
    <s v=""/>
    <s v="Clean"/>
  </r>
  <r>
    <s v="ORD-2024-10394"/>
    <s v="2024-08-23"/>
    <x v="1"/>
    <d v="2024-08-23T00:00:00"/>
    <s v="08/29/2024"/>
    <d v="2024-08-29T00:00:00"/>
    <s v="OK"/>
    <n v="6"/>
    <s v="CUST-3160"/>
    <s v="Mira Das"/>
    <s v="Mira Das"/>
    <s v="Corporate"/>
    <x v="2"/>
    <s v="North"/>
    <x v="0"/>
    <s v="Uttar Pradesh"/>
    <s v="Uttar Pradesh"/>
    <s v="Noida"/>
    <s v="Noida"/>
    <s v="Office Supplies"/>
    <x v="0"/>
    <s v="Labels"/>
    <x v="7"/>
    <s v="Eco Labels 815"/>
    <s v="Same Day"/>
    <x v="1"/>
    <n v="2"/>
    <n v="1936.91"/>
    <n v="0.05"/>
    <n v="3680.13"/>
    <n v="2967.46"/>
    <n v="712.67"/>
    <s v="Paid"/>
    <x v="0"/>
    <s v="Completed"/>
    <x v="0"/>
    <s v="ORD-2024-10394|08-23-2024|08-29-2024|CUST-3160|Mira Das|Corporate|North|Uttar Pradesh|Noida|Office Supplies|Labels|Eco Labels 815|Same Day|2|1936.91|0.05|3680.13|2967.46|712.67|Paid|Completed"/>
    <s v="Keep"/>
    <n v="1"/>
    <s v="Unique"/>
    <s v=""/>
    <n v="0.05"/>
    <n v="3680.1289999999999"/>
    <n v="712.66899999999987"/>
    <n v="0.19365326595888346"/>
    <n v="8"/>
    <n v="2024"/>
    <b v="0"/>
    <b v="0"/>
    <x v="0"/>
    <s v=""/>
    <s v="Clean"/>
  </r>
  <r>
    <s v="ORD-2024-10395"/>
    <s v="03-04-2024"/>
    <x v="19"/>
    <d v="2024-04-03T00:00:00"/>
    <s v="04 Apr 2024"/>
    <d v="2024-04-04T00:00:00"/>
    <s v="OK"/>
    <n v="1"/>
    <s v="CUST-8444"/>
    <s v="Kabir Singh"/>
    <s v="Kabir Singh"/>
    <s v="Consumer"/>
    <x v="0"/>
    <s v="West"/>
    <x v="3"/>
    <s v="Maharashtra"/>
    <s v="Maharashtra"/>
    <s v="Mumbai"/>
    <s v="Mumbai"/>
    <s v="Furniture"/>
    <x v="1"/>
    <s v="Furnishings"/>
    <x v="3"/>
    <s v="Prime Furnishings 879"/>
    <s v="First Class"/>
    <x v="2"/>
    <n v="7"/>
    <n v="3945.21"/>
    <n v="0"/>
    <n v="27616.47"/>
    <n v="21225.26"/>
    <n v="6391.21"/>
    <s v="Paid"/>
    <x v="0"/>
    <s v="Completed"/>
    <x v="0"/>
    <s v="ORD-2024-10395|03-04-2024|04-04-2024|CUST-8444|Kabir Singh|Consumer|West|Maharashtra|Mumbai|Furniture|Furnishings|Prime Furnishings 879|First Class|7|3945.21|0|27616.47|21225.26|6391.21|Paid|Completed"/>
    <s v="Keep"/>
    <n v="1"/>
    <s v="Unique"/>
    <s v=""/>
    <n v="0"/>
    <n v="27616.47"/>
    <n v="6391.2100000000028"/>
    <n v="0.23142747787823725"/>
    <n v="4"/>
    <n v="2024"/>
    <b v="0"/>
    <b v="0"/>
    <x v="0"/>
    <s v=""/>
    <s v="Clean"/>
  </r>
  <r>
    <s v="ORD-2024-10396"/>
    <s v="06/06/2024"/>
    <x v="2"/>
    <d v="2024-06-06T00:00:00"/>
    <s v="06/07/2024"/>
    <d v="2024-06-07T00:00:00"/>
    <s v="OK"/>
    <n v="1"/>
    <s v="CUST-4765"/>
    <s v="Rahul Verma"/>
    <s v="Rahul Verma"/>
    <s v="Home Office"/>
    <x v="3"/>
    <s v="South"/>
    <x v="2"/>
    <s v="Tamil Nadu"/>
    <s v="Tamil Nadu"/>
    <s v="Chennai"/>
    <s v="Chennai"/>
    <s v="Furniture"/>
    <x v="1"/>
    <s v="Tables"/>
    <x v="1"/>
    <s v="Pro Tables 142"/>
    <s v="Same Day"/>
    <x v="1"/>
    <n v="7"/>
    <n v="861.91"/>
    <n v="0.05"/>
    <n v="5731.7"/>
    <n v="4115.5600000000004"/>
    <n v="1616.14"/>
    <s v="Paid"/>
    <x v="0"/>
    <s v="Completed"/>
    <x v="0"/>
    <s v="ORD-2024-10396|06-06-2024|06-07-2024|CUST-4765|Rahul Verma|Home Office|South|Tamil Nadu|Chennai|Furniture|Tables|Pro Tables 142|Same Day|7|861.91|0.05|5731.7|4115.56|1616.14|Paid|Completed"/>
    <s v="Keep"/>
    <n v="1"/>
    <s v="Unique"/>
    <s v=""/>
    <n v="0.05"/>
    <n v="5731.7014999999992"/>
    <n v="1616.1414999999988"/>
    <n v="0.28196539893084088"/>
    <n v="6"/>
    <n v="2024"/>
    <b v="0"/>
    <b v="0"/>
    <x v="0"/>
    <s v=""/>
    <s v="Clean"/>
  </r>
  <r>
    <s v="ORD-2025-10397"/>
    <s v="2025-04-14"/>
    <x v="6"/>
    <d v="2025-04-14T00:00:00"/>
    <s v="22 Apr 2025"/>
    <d v="2025-04-22T00:00:00"/>
    <s v="OK"/>
    <n v="8"/>
    <s v="CUST-2280"/>
    <s v="Aditi Sen"/>
    <s v="Aditi Sen"/>
    <s v="Small Business"/>
    <x v="1"/>
    <s v="South"/>
    <x v="2"/>
    <s v="Karnataka"/>
    <s v="Karnataka"/>
    <s v="Bengaluru"/>
    <s v="Bengaluru"/>
    <s v="Technology"/>
    <x v="2"/>
    <s v="Machines"/>
    <x v="12"/>
    <s v="Prime Machines 267"/>
    <s v="Standard Class"/>
    <x v="3"/>
    <n v="2"/>
    <n v="638.73"/>
    <n v="0.05"/>
    <n v="1213.5899999999999"/>
    <n v="956.22"/>
    <n v="257.37"/>
    <s v="Paid"/>
    <x v="0"/>
    <s v="Completed"/>
    <x v="0"/>
    <s v="ORD-2025-10397|04-14-2025|04-22-2025|CUST-2280|Aditi Sen|Small Business|South|Karnataka|Bengaluru|Technology|Machines|Prime Machines 267|Standard Class|2|638.73|0.05|1213.59|956.22|257.37|Paid|Completed"/>
    <s v="Keep"/>
    <n v="1"/>
    <s v="Unique"/>
    <s v=""/>
    <n v="0.05"/>
    <n v="1213.587"/>
    <n v="257.36699999999996"/>
    <n v="0.21207132245154239"/>
    <n v="4"/>
    <n v="2025"/>
    <b v="0"/>
    <b v="0"/>
    <x v="0"/>
    <s v=""/>
    <s v="Clean"/>
  </r>
  <r>
    <s v="ORD-2025-10398"/>
    <s v="09 Jun 2025"/>
    <x v="18"/>
    <d v="2025-06-09T00:00:00"/>
    <s v="10 Jun 2025"/>
    <d v="2025-06-10T00:00:00"/>
    <s v="OK"/>
    <n v="1"/>
    <s v="CUST-3177"/>
    <s v="Sneha Kapoor"/>
    <s v="Sneha Kapoor"/>
    <s v="Small Business"/>
    <x v="1"/>
    <s v="North"/>
    <x v="0"/>
    <s v="Uttar Pradesh"/>
    <s v="Uttar Pradesh"/>
    <s v="Noida"/>
    <s v="Noida"/>
    <s v="Furniture"/>
    <x v="1"/>
    <s v="Tables"/>
    <x v="1"/>
    <s v="Eco Tables 378"/>
    <s v="Second Class"/>
    <x v="0"/>
    <n v="2"/>
    <n v="1731.88"/>
    <n v="0"/>
    <n v="3463.76"/>
    <n v="2143.7399999999998"/>
    <n v="1320.02"/>
    <s v="Paid"/>
    <x v="0"/>
    <s v="Completed"/>
    <x v="0"/>
    <s v="ORD-2025-10398|06-09-2025|06-10-2025|CUST-3177|Sneha Kapoor|Small Business|North|Uttar Pradesh|Noida|Furniture|Tables|Eco Tables 378|Second Class|2|1731.88|0|3463.76|2143.74|1320.02|Paid|Completed"/>
    <s v="Keep"/>
    <n v="1"/>
    <s v="Unique"/>
    <s v=""/>
    <n v="0"/>
    <n v="3463.76"/>
    <n v="1320.0200000000004"/>
    <n v="0.38109453310852959"/>
    <n v="6"/>
    <n v="2025"/>
    <b v="0"/>
    <b v="0"/>
    <x v="0"/>
    <s v=""/>
    <s v="Clean"/>
  </r>
  <r>
    <s v="ORD-2024-10399"/>
    <s v="19 Jul 2024"/>
    <x v="0"/>
    <d v="2024-07-19T00:00:00"/>
    <s v="2024-07-26"/>
    <d v="2024-07-26T00:00:00"/>
    <s v="OK"/>
    <n v="7"/>
    <s v="CUST-4718"/>
    <s v="Vikram Iyer"/>
    <s v="Vikram Iyer"/>
    <s v="  Corporate "/>
    <x v="2"/>
    <s v="North"/>
    <x v="0"/>
    <s v="Punjab"/>
    <s v="Punjab"/>
    <s v="Ludhiana"/>
    <s v="Ludhiana"/>
    <s v="Technology"/>
    <x v="2"/>
    <s v="Machines"/>
    <x v="12"/>
    <s v="Elite Machines 523"/>
    <s v="Same Day"/>
    <x v="1"/>
    <n v="2"/>
    <n v="1263.6500000000001"/>
    <n v="0.2"/>
    <n v="2021.84"/>
    <n v="1355.22"/>
    <n v="666.62"/>
    <s v="Paid"/>
    <x v="0"/>
    <s v="Completed"/>
    <x v="0"/>
    <s v="ORD-2024-10399|07-19-2024|07-26-2024|CUST-4718|Vikram Iyer|  Corporate |North|Punjab|Ludhiana|Technology|Machines|Elite Machines 523|Same Day|2|1263.65|0.2|2021.84|1355.22|666.62|Paid|Completed"/>
    <s v="Keep"/>
    <n v="1"/>
    <s v="Unique"/>
    <s v=""/>
    <n v="0.2"/>
    <n v="2021.8400000000001"/>
    <n v="666.62000000000012"/>
    <n v="0.32970957147944452"/>
    <n v="7"/>
    <n v="2024"/>
    <b v="0"/>
    <b v="0"/>
    <x v="0"/>
    <s v=""/>
    <s v="Clean"/>
  </r>
  <r>
    <s v="ORD-2025-10400"/>
    <s v="04/24/2025"/>
    <x v="6"/>
    <d v="2025-04-24T00:00:00"/>
    <s v="2025-04-29"/>
    <d v="2025-04-29T00:00:00"/>
    <s v="OK"/>
    <n v="5"/>
    <s v="CUST-5647"/>
    <s v="Diya Patel"/>
    <s v="Diya Patel"/>
    <s v="Small Business"/>
    <x v="1"/>
    <s v="South"/>
    <x v="2"/>
    <s v="Andhra Pradesh"/>
    <s v="Andhra Pradesh"/>
    <s v="Vijayawada"/>
    <s v="Vijayawada"/>
    <s v="Office Supplies"/>
    <x v="0"/>
    <s v="Paper"/>
    <x v="0"/>
    <s v="Elite Paper 308"/>
    <s v="Same Day"/>
    <x v="1"/>
    <n v="1"/>
    <n v="4358.5"/>
    <n v="0.25"/>
    <n v="3268.88"/>
    <n v="1993.74"/>
    <n v="1275.1400000000001"/>
    <s v="Paid"/>
    <x v="0"/>
    <s v="Completed"/>
    <x v="0"/>
    <s v="ORD-2025-10400|04-24-2025|04-29-2025|CUST-5647|Diya Patel|Small Business|South|Andhra Pradesh|Vijayawada|Office Supplies|Paper|Elite Paper 308|Same Day|1|4358.5|0.25|3268.88|1993.74|1275.14|Paid|Completed"/>
    <s v="Keep"/>
    <n v="1"/>
    <s v="Unique"/>
    <s v=""/>
    <n v="0.25"/>
    <n v="3268.875"/>
    <n v="1275.135"/>
    <n v="0.39008374440747962"/>
    <n v="4"/>
    <n v="2025"/>
    <b v="0"/>
    <b v="0"/>
    <x v="0"/>
    <s v=""/>
    <s v="Clean"/>
  </r>
  <r>
    <s v="ORD-2025-10401"/>
    <s v="06-06-2025"/>
    <x v="18"/>
    <d v="2025-06-06T00:00:00"/>
    <s v="2025-06-11"/>
    <d v="2025-06-11T00:00:00"/>
    <s v="OK"/>
    <n v="5"/>
    <s v="CUST-7150"/>
    <s v="Sneha Kapoor"/>
    <s v="Sneha Kapoor"/>
    <s v="Small Business"/>
    <x v="1"/>
    <s v="North"/>
    <x v="0"/>
    <s v="Uttar Pradesh"/>
    <s v="Uttar Pradesh"/>
    <s v="Noida"/>
    <s v="Noida"/>
    <s v="Office Supplies"/>
    <x v="0"/>
    <s v="Paper"/>
    <x v="0"/>
    <s v="Prime Paper 851"/>
    <s v="Same Day"/>
    <x v="1"/>
    <n v="7"/>
    <n v="878.09"/>
    <n v="-0.1"/>
    <n v="5839.3"/>
    <n v="4877.38"/>
    <n v="961.92"/>
    <s v="Paid"/>
    <x v="0"/>
    <s v="Completed"/>
    <x v="0"/>
    <s v="ORD-2025-10401|06-06-2025|06-11-2025|CUST-7150|Sneha Kapoor|Small Business|North|Uttar Pradesh|Noida|Office Supplies|Paper|Prime Paper 851|Same Day|7|878.09|-0.1|5839.3|4877.38|961.92|Paid|Completed"/>
    <s v="Keep"/>
    <n v="1"/>
    <s v="Unique"/>
    <s v=""/>
    <n v="-0.1"/>
    <n v="6761.2930000000006"/>
    <n v="1883.9130000000005"/>
    <n v="0.27863206046535777"/>
    <n v="6"/>
    <n v="2025"/>
    <b v="1"/>
    <b v="1"/>
    <x v="1"/>
    <s v="Negative discount; Sales mismatch; Profit mismatch"/>
    <s v="Invalid"/>
  </r>
  <r>
    <s v="ORD-2025-10402"/>
    <s v="09 Mar 2025"/>
    <x v="20"/>
    <d v="2025-03-09T00:00:00"/>
    <s v="16-03-2025"/>
    <d v="2025-03-16T00:00:00"/>
    <s v="OK"/>
    <n v="7"/>
    <s v="CUST-6694"/>
    <s v="Arjun Bose"/>
    <s v="Arjun Bose"/>
    <s v="Small Business"/>
    <x v="1"/>
    <s v="East"/>
    <x v="1"/>
    <s v="Jharkhand"/>
    <s v="Jharkhand"/>
    <s v="Ranchi"/>
    <s v="Ranchi"/>
    <s v="Furniture"/>
    <x v="1"/>
    <s v="Tables"/>
    <x v="1"/>
    <s v="Classic Tables 151"/>
    <s v="Same Day"/>
    <x v="1"/>
    <n v="3"/>
    <n v="2625.85"/>
    <n v="0"/>
    <n v="7877.55"/>
    <n v="5562.77"/>
    <n v="2314.7800000000002"/>
    <s v="Paid"/>
    <x v="0"/>
    <s v="Completed"/>
    <x v="0"/>
    <s v="ORD-2025-10402|03-09-2025|16-03-2025|CUST-6694|Arjun Bose|Small Business|East|Jharkhand|Ranchi|Furniture|Tables|Classic Tables 151|Same Day|3|2625.85|0|7877.55|5562.77|2314.78|Paid|Completed"/>
    <s v="Keep"/>
    <n v="1"/>
    <s v="Unique"/>
    <s v=""/>
    <n v="0"/>
    <n v="7877.5499999999993"/>
    <n v="2314.7799999999988"/>
    <n v="0.29384516759652418"/>
    <n v="3"/>
    <n v="2025"/>
    <b v="0"/>
    <b v="0"/>
    <x v="0"/>
    <s v=""/>
    <s v="Clean"/>
  </r>
  <r>
    <s v="ORD-2024-10403"/>
    <s v="22 Mar 2024"/>
    <x v="15"/>
    <d v="2024-03-22T00:00:00"/>
    <s v="03/22/2024"/>
    <d v="2024-03-22T00:00:00"/>
    <s v="OK"/>
    <n v="0"/>
    <s v="CUST-7680"/>
    <s v="Priya Menon"/>
    <s v="Priya Menon"/>
    <s v="Small Business"/>
    <x v="1"/>
    <s v="South"/>
    <x v="2"/>
    <s v="Karnataka"/>
    <s v="Karnataka"/>
    <s v="Bengaluru"/>
    <s v="Bengaluru"/>
    <s v="Furniture"/>
    <x v="1"/>
    <s v="Tables"/>
    <x v="1"/>
    <s v="Smart Tables 829"/>
    <m/>
    <x v="4"/>
    <n v="3"/>
    <n v="1365.26"/>
    <n v="0"/>
    <n v="4095.78"/>
    <n v="2807.77"/>
    <n v="1288.01"/>
    <s v="Paid"/>
    <x v="0"/>
    <s v="Completed"/>
    <x v="0"/>
    <s v="ORD-2024-10403|03-22-2024|03-22-2024|CUST-7680|Priya Menon|Small Business|South|Karnataka|Bengaluru|Furniture|Tables|Smart Tables 829||3|1365.26|0|4095.78|2807.77|1288.01|Paid|Completed"/>
    <s v="Keep"/>
    <n v="1"/>
    <s v="Unique"/>
    <s v=""/>
    <n v="0"/>
    <n v="4095.7799999999997"/>
    <n v="1288.0099999999998"/>
    <n v="0.31447245701673426"/>
    <n v="3"/>
    <n v="2024"/>
    <b v="0"/>
    <b v="0"/>
    <x v="0"/>
    <s v="Missing ship mode filled as Unknown"/>
    <s v="Warning"/>
  </r>
  <r>
    <s v="ORD-2024-10404"/>
    <s v="09/30/2024"/>
    <x v="21"/>
    <d v="2024-09-30T00:00:00"/>
    <s v="04-10-2024"/>
    <d v="2024-10-04T00:00:00"/>
    <s v="OK"/>
    <n v="4"/>
    <s v="CUST-2700"/>
    <s v="Arjun Bose"/>
    <s v="Arjun Bose"/>
    <s v="Small Business"/>
    <x v="1"/>
    <s v="South"/>
    <x v="2"/>
    <s v="Kerala"/>
    <s v="Kerala"/>
    <s v="Kochi"/>
    <s v="Kochi"/>
    <s v="Office Supplies"/>
    <x v="0"/>
    <s v="Paper"/>
    <x v="0"/>
    <s v="Classic Paper 237"/>
    <s v="Same Day"/>
    <x v="1"/>
    <n v="5"/>
    <n v="3512.25"/>
    <n v="0.05"/>
    <n v="16683.189999999999"/>
    <n v="10301.16"/>
    <n v="6382.03"/>
    <s v="Paid"/>
    <x v="0"/>
    <s v="Returned"/>
    <x v="2"/>
    <s v="ORD-2024-10404|09-30-2024|04-10-2024|CUST-2700|Arjun Bose|Small Business|South|Kerala|Kochi|Office Supplies|PAPER|Classic Paper 237|Same Day|5|3512.25|0.05|16683.19|10301.16|6382.03|Paid|Returned"/>
    <s v="Keep"/>
    <n v="1"/>
    <s v="Unique"/>
    <s v=""/>
    <n v="0.05"/>
    <n v="16683.1875"/>
    <n v="6382.0275000000001"/>
    <n v="0.38254245479168775"/>
    <n v="9"/>
    <n v="2024"/>
    <b v="0"/>
    <b v="0"/>
    <x v="1"/>
    <s v="Returned order excluded"/>
    <s v="Warning"/>
  </r>
  <r>
    <s v="ORD-2024-10405"/>
    <s v="27 Jan 2024"/>
    <x v="12"/>
    <d v="2024-01-27T00:00:00"/>
    <s v="02/03/2024"/>
    <d v="2024-02-03T00:00:00"/>
    <s v="OK"/>
    <n v="7"/>
    <s v="CUST-2904"/>
    <s v="Aditi Sen"/>
    <s v="Aditi Sen"/>
    <s v="Corporate"/>
    <x v="2"/>
    <s v="West"/>
    <x v="3"/>
    <s v="Rajasthan"/>
    <s v="Rajasthan"/>
    <s v="Udaipur"/>
    <s v="Udaipur"/>
    <s v="Furniture"/>
    <x v="1"/>
    <s v="Chairs"/>
    <x v="4"/>
    <s v="Prime Chairs 891"/>
    <s v="Same Day"/>
    <x v="1"/>
    <n v="3"/>
    <n v="359.61"/>
    <n v="0"/>
    <n v="1078.83"/>
    <n v="926.35"/>
    <n v="152.47999999999999"/>
    <s v="Paid"/>
    <x v="0"/>
    <s v="  Completed "/>
    <x v="0"/>
    <s v="ORD-2024-10405|01-27-2024|02-03-2024|CUST-2904|Aditi Sen|Corporate|West|Rajasthan|Udaipur|Furniture|Chairs|Prime Chairs 891|Same Day|3|359.61|0|1078.83|926.35|152.48|Paid|  Completed "/>
    <s v="Keep"/>
    <n v="1"/>
    <s v="Unique"/>
    <s v=""/>
    <n v="0"/>
    <n v="1078.83"/>
    <n v="152.4799999999999"/>
    <n v="0.14133830167867034"/>
    <n v="1"/>
    <n v="2024"/>
    <b v="0"/>
    <b v="0"/>
    <x v="0"/>
    <s v=""/>
    <s v="Clean"/>
  </r>
  <r>
    <s v="ORD-2024-10406"/>
    <s v="09/23/2024"/>
    <x v="21"/>
    <d v="2024-09-23T00:00:00"/>
    <s v="24 Sep 2024"/>
    <d v="2024-09-24T00:00:00"/>
    <s v="OK"/>
    <n v="1"/>
    <s v="CUST-9961"/>
    <s v="Aditi Sen"/>
    <s v="Aditi Sen"/>
    <s v="Home Office"/>
    <x v="3"/>
    <s v="West"/>
    <x v="3"/>
    <s v="Gujarat"/>
    <s v="Gujarat"/>
    <s v="Ahmedabad"/>
    <s v="Ahmedabad"/>
    <s v="Furniture"/>
    <x v="1"/>
    <s v="Bookcases"/>
    <x v="10"/>
    <s v="Max Bookcases 812"/>
    <m/>
    <x v="4"/>
    <n v="7"/>
    <n v="3878.01"/>
    <n v="0.1"/>
    <n v="24431.46"/>
    <n v="18202.36"/>
    <n v="6229.1"/>
    <s v="Paid"/>
    <x v="0"/>
    <s v="Completed"/>
    <x v="0"/>
    <s v="ORD-2024-10406|09-23-2024|09-24-2024|CUST-9961|Aditi Sen|Home Office|West|Gujarat|Ahmedabad|Furniture|Bookcases|Max Bookcases 812||7|3878.01|0.1|24431.46|18202.36|6229.1|Paid|Completed"/>
    <s v="Keep"/>
    <n v="1"/>
    <s v="Unique"/>
    <s v=""/>
    <n v="0.1"/>
    <n v="24431.463"/>
    <n v="6229.1029999999992"/>
    <n v="0.25496234097810677"/>
    <n v="9"/>
    <n v="2024"/>
    <b v="0"/>
    <b v="0"/>
    <x v="0"/>
    <s v="Missing ship mode filled as Unknown"/>
    <s v="Warning"/>
  </r>
  <r>
    <s v="ORD-2025-10407"/>
    <s v="25 Feb 2025"/>
    <x v="7"/>
    <d v="2025-02-25T00:00:00"/>
    <s v="25 Feb 2025"/>
    <d v="2025-02-25T00:00:00"/>
    <s v="OK"/>
    <n v="0"/>
    <s v="CUST-9909"/>
    <s v="Kabir Singh"/>
    <s v="Kabir Singh"/>
    <s v="Small Business"/>
    <x v="1"/>
    <s v="West"/>
    <x v="3"/>
    <s v="Goa"/>
    <s v="Goa"/>
    <s v="Panaji"/>
    <s v="Panaji"/>
    <s v="Furniture"/>
    <x v="1"/>
    <s v="Furnishings"/>
    <x v="3"/>
    <s v="Basic Furnishings 164"/>
    <s v="Standard Class"/>
    <x v="3"/>
    <n v="2"/>
    <n v="3924.2"/>
    <n v="0.25"/>
    <n v="5886.3"/>
    <n v="3621.76"/>
    <n v="2264.54"/>
    <s v="Pending"/>
    <x v="2"/>
    <s v="Returned"/>
    <x v="2"/>
    <s v="ORD-2025-10407|02-25-2025|02-25-2025|CUST-9909|Kabir Singh|Small Business|West|Goa|Panaji|Furniture|Furnishings|Basic Furnishings 164|Standard Class|2|3924.2|0.25|5886.3|3621.76|2264.54|Pending|Returned"/>
    <s v="Keep"/>
    <n v="1"/>
    <s v="Unique"/>
    <s v=""/>
    <n v="0.25"/>
    <n v="5886.2999999999993"/>
    <n v="2264.5399999999991"/>
    <n v="0.38471365713606159"/>
    <n v="2"/>
    <n v="2025"/>
    <b v="0"/>
    <b v="0"/>
    <x v="1"/>
    <s v="Returned order excluded"/>
    <s v="Warning"/>
  </r>
  <r>
    <s v="ORD-2024-10408"/>
    <s v="12 May 2024"/>
    <x v="5"/>
    <d v="2024-05-12T00:00:00"/>
    <s v="13 May 2024"/>
    <d v="2024-05-13T00:00:00"/>
    <s v="OK"/>
    <n v="1"/>
    <s v="CUST-8520"/>
    <s v="Rahul Verma"/>
    <s v="Rahul Verma"/>
    <s v="Corporate"/>
    <x v="2"/>
    <s v="West"/>
    <x v="3"/>
    <s v="Goa"/>
    <s v="Goa"/>
    <s v="Panaji"/>
    <s v="Panaji"/>
    <s v="Office Supplies"/>
    <x v="0"/>
    <s v="Labels"/>
    <x v="7"/>
    <s v="Smart Labels 261"/>
    <s v="Second Class"/>
    <x v="0"/>
    <n v="3"/>
    <n v="2644.55"/>
    <n v="0"/>
    <n v="7933.65"/>
    <n v="5698.42"/>
    <n v="2235.23"/>
    <s v="Paid"/>
    <x v="0"/>
    <s v="Completed"/>
    <x v="0"/>
    <s v="ORD-2024-10408|05-12-2024|05-13-2024|CUST-8520|Rahul Verma|Corporate|West|Goa|Panaji|Office Supplies|Labels|Smart Labels 261|Second Class|3|2644.55|0|7933.65|5698.42|2235.23|Paid|Completed"/>
    <s v="Keep"/>
    <n v="1"/>
    <s v="Unique"/>
    <s v=""/>
    <n v="0"/>
    <n v="7933.6500000000005"/>
    <n v="2235.2300000000005"/>
    <n v="0.2817404347305465"/>
    <n v="5"/>
    <n v="2024"/>
    <b v="0"/>
    <b v="0"/>
    <x v="0"/>
    <s v=""/>
    <s v="Clean"/>
  </r>
  <r>
    <s v="ORD-2025-10409"/>
    <s v="08/01/2025"/>
    <x v="4"/>
    <d v="2025-08-01T00:00:00"/>
    <s v="08/03/2025"/>
    <d v="2025-08-03T00:00:00"/>
    <s v="OK"/>
    <n v="2"/>
    <s v="CUST-5036"/>
    <s v="Sneha Kapoor"/>
    <s v="Sneha Kapoor"/>
    <s v="Consumer"/>
    <x v="0"/>
    <s v="West"/>
    <x v="3"/>
    <s v="Maharashtra"/>
    <s v="Maharashtra"/>
    <s v="Mumbai"/>
    <s v="Mumbai"/>
    <s v="Furniture"/>
    <x v="1"/>
    <s v="Chairs"/>
    <x v="4"/>
    <s v="Max Chairs 765"/>
    <s v="First Class"/>
    <x v="2"/>
    <n v="4"/>
    <n v="1773.46"/>
    <n v="0"/>
    <n v="7093.84"/>
    <n v="4587.49"/>
    <n v="2506.35"/>
    <s v="Failed"/>
    <x v="3"/>
    <s v="Returned"/>
    <x v="2"/>
    <s v="ORD-2025-10409|08-01-2025|08-03-2025|CUST-5036|Sneha Kapoor|Consumer|West|Maharashtra|Mumbai|Furniture|Chairs|Max Chairs 765|First Class|4|1773.46|0|7093.84|4587.49|2506.35|Failed|Returned"/>
    <s v="Keep"/>
    <n v="1"/>
    <s v="Unique"/>
    <s v=""/>
    <n v="0"/>
    <n v="7093.84"/>
    <n v="2506.3500000000004"/>
    <n v="0.35331357910525191"/>
    <n v="8"/>
    <n v="2025"/>
    <b v="0"/>
    <b v="0"/>
    <x v="1"/>
    <s v="Failed payment excluded; Returned order excluded"/>
    <s v="Warning"/>
  </r>
  <r>
    <s v="ORD-2025-10410"/>
    <s v="13-02-2025"/>
    <x v="7"/>
    <d v="2025-02-13T00:00:00"/>
    <s v="15-02-2025"/>
    <d v="2025-02-15T00:00:00"/>
    <s v="OK"/>
    <n v="2"/>
    <s v="CUST-7721"/>
    <s v="Karan Malhotra"/>
    <s v="Karan Malhotra"/>
    <s v="Consumer"/>
    <x v="0"/>
    <s v="East"/>
    <x v="1"/>
    <s v="Assam"/>
    <s v="Assam"/>
    <s v="Guwahati"/>
    <s v="Guwahati"/>
    <s v="Technology"/>
    <x v="2"/>
    <s v="Accessories"/>
    <x v="5"/>
    <s v="Pro Accessories 686"/>
    <s v="Same Day"/>
    <x v="1"/>
    <n v="1"/>
    <n v="3025.46"/>
    <n v="0.25"/>
    <n v="2269.1"/>
    <n v="1593.59"/>
    <n v="675.51"/>
    <s v="Refunded"/>
    <x v="1"/>
    <s v="Returned"/>
    <x v="2"/>
    <s v="ORD-2025-10410|13-02-2025|15-02-2025|CUST-7721|Karan Malhotra|Consumer|East|Assam|Guwahati|Technology|Accessories|Pro Accessories 686|Same Day|1|3025.46|0.25|2269.1|1593.59|675.51|Refunded|Returned"/>
    <s v="Keep"/>
    <n v="1"/>
    <s v="Unique"/>
    <s v=""/>
    <n v="0.25"/>
    <n v="2269.0950000000003"/>
    <n v="675.50500000000034"/>
    <n v="0.29769798091309541"/>
    <n v="2"/>
    <n v="2025"/>
    <b v="0"/>
    <b v="0"/>
    <x v="1"/>
    <s v="Refunded order summarized separately; Returned order excluded"/>
    <s v="Warning"/>
  </r>
  <r>
    <s v="ORD-2024-10411"/>
    <s v="2024-04-12"/>
    <x v="19"/>
    <d v="2024-04-12T00:00:00"/>
    <s v="20 Apr 2024"/>
    <d v="2024-04-20T00:00:00"/>
    <s v="OK"/>
    <n v="8"/>
    <s v="CUST-9495"/>
    <s v="Diya Patel"/>
    <s v="Diya Patel"/>
    <s v="Consumer"/>
    <x v="0"/>
    <s v="West"/>
    <x v="3"/>
    <s v="Goa"/>
    <s v="Goa"/>
    <s v="Panaji"/>
    <s v="Panaji"/>
    <s v="Furniture"/>
    <x v="1"/>
    <s v="Tables"/>
    <x v="1"/>
    <s v="Smart Tables 100"/>
    <s v="First Class"/>
    <x v="2"/>
    <n v="9"/>
    <n v="1302.6099999999999"/>
    <n v="0.2"/>
    <n v="9378.7900000000009"/>
    <n v="6774.48"/>
    <n v="2604.31"/>
    <s v="Paid"/>
    <x v="0"/>
    <s v="Completed"/>
    <x v="0"/>
    <s v="ORD-2024-10411|04-12-2024|04-20-2024|CUST-9495|Diya Patel|Consumer|West|Goa|Panaji|Furniture|Tables|Smart Tables 100|First Class|9|1302.61|0.2|9378.79|6774.48|2604.31|Paid|Completed"/>
    <s v="Keep"/>
    <n v="1"/>
    <s v="Unique"/>
    <s v=""/>
    <n v="0.2"/>
    <n v="9378.7919999999995"/>
    <n v="2604.3119999999999"/>
    <n v="0.27768096360384154"/>
    <n v="4"/>
    <n v="2024"/>
    <b v="0"/>
    <b v="0"/>
    <x v="0"/>
    <s v=""/>
    <s v="Clean"/>
  </r>
  <r>
    <s v="ORD-2025-10412"/>
    <s v="2025-08-23"/>
    <x v="4"/>
    <d v="2025-08-23T00:00:00"/>
    <s v="2025-08-28"/>
    <d v="2025-08-28T00:00:00"/>
    <s v="OK"/>
    <n v="5"/>
    <s v="CUST-2855"/>
    <s v="Arjun Bose"/>
    <s v="Arjun Bose"/>
    <s v="Home Office"/>
    <x v="3"/>
    <s v="West"/>
    <x v="3"/>
    <s v="Rajasthan"/>
    <s v="Rajasthan"/>
    <s v="Udaipur"/>
    <s v="Udaipur"/>
    <s v="Furniture"/>
    <x v="1"/>
    <s v="Tables"/>
    <x v="1"/>
    <s v="Basic Tables 615"/>
    <s v="First Class"/>
    <x v="2"/>
    <n v="1"/>
    <n v="4167.8100000000004"/>
    <n v="0.2"/>
    <n v="3334.25"/>
    <n v="2768.77"/>
    <n v="565.48"/>
    <s v="Failed"/>
    <x v="3"/>
    <s v="Returned"/>
    <x v="2"/>
    <s v="ORD-2025-10412|08-23-2025|08-28-2025|CUST-2855|Arjun Bose|Home Office|West|Rajasthan|Udaipur|Furniture|Tables|Basic Tables 615|First Class|1|4167.81|0.2|3334.25|2768.77|565.48|Failed|Returned"/>
    <s v="Keep"/>
    <n v="1"/>
    <s v="Unique"/>
    <s v=""/>
    <n v="0.2"/>
    <n v="3334.2480000000005"/>
    <n v="565.47800000000052"/>
    <n v="0.16959686262089696"/>
    <n v="8"/>
    <n v="2025"/>
    <b v="0"/>
    <b v="0"/>
    <x v="1"/>
    <s v="Failed payment excluded; Returned order excluded"/>
    <s v="Warning"/>
  </r>
  <r>
    <s v="ORD-2024-10413"/>
    <s v="2024-01-22"/>
    <x v="12"/>
    <d v="2024-01-22T00:00:00"/>
    <s v="30-01-2024"/>
    <d v="2024-01-30T00:00:00"/>
    <s v="OK"/>
    <n v="8"/>
    <s v="CUST-4329"/>
    <s v="Isha Nair"/>
    <s v="Isha Nair"/>
    <s v="Corporate"/>
    <x v="2"/>
    <s v="South"/>
    <x v="2"/>
    <s v="Karnataka"/>
    <s v="Karnataka"/>
    <s v="Bengaluru"/>
    <s v="Bengaluru"/>
    <s v="Furniture"/>
    <x v="1"/>
    <s v="Chairs"/>
    <x v="4"/>
    <s v="Basic Chairs 790"/>
    <s v="Same Day"/>
    <x v="1"/>
    <n v="1"/>
    <n v="2111.39"/>
    <n v="0.25"/>
    <n v="1583.54"/>
    <n v="1014.19"/>
    <n v="569.35"/>
    <s v="Paid"/>
    <x v="0"/>
    <s v="Completed"/>
    <x v="0"/>
    <s v="ORD-2024-10413|01-22-2024|30-01-2024|CUST-4329|Isha Nair|Corporate|South|Karnataka|Bengaluru|Furniture|Chairs|Basic Chairs 790|Same Day|1|2111.39|0.25|1583.54|1014.19|569.35|Paid|Completed"/>
    <s v="Keep"/>
    <n v="1"/>
    <s v="Unique"/>
    <s v=""/>
    <n v="0.25"/>
    <n v="1583.5425"/>
    <n v="569.35249999999996"/>
    <n v="0.35954355503562424"/>
    <n v="1"/>
    <n v="2024"/>
    <b v="0"/>
    <b v="0"/>
    <x v="0"/>
    <s v=""/>
    <s v="Clean"/>
  </r>
  <r>
    <s v="ORD-2025-10414"/>
    <s v="13-08-2025"/>
    <x v="4"/>
    <d v="2025-08-13T00:00:00"/>
    <s v="17-08-2025"/>
    <d v="2025-08-17T00:00:00"/>
    <s v="OK"/>
    <n v="4"/>
    <s v="CUST-5094"/>
    <s v="Neha Gupta"/>
    <s v="Neha Gupta"/>
    <s v="Home Office"/>
    <x v="3"/>
    <s v="West"/>
    <x v="3"/>
    <s v="Madhya Pradesh"/>
    <s v="Madhya Pradesh"/>
    <s v="Indore"/>
    <s v="Indore"/>
    <s v="Technology"/>
    <x v="2"/>
    <s v="Accessories"/>
    <x v="5"/>
    <s v="Smart Accessories 226"/>
    <s v="Second Class"/>
    <x v="0"/>
    <n v="8"/>
    <n v="1918.23"/>
    <n v="0"/>
    <n v="15345.84"/>
    <n v="10735.33"/>
    <n v="4610.51"/>
    <s v="Pending"/>
    <x v="2"/>
    <s v="Cancelled"/>
    <x v="1"/>
    <s v="ORD-2025-10414|13-08-2025|17-08-2025|CUST-5094|Neha Gupta|Home Office|West|Madhya Pradesh|Indore|Technology|Accessories|Smart Accessories 226|Second Class|8|1918.23|0|15345.84|10735.33|4610.51|Pending|Cancelled"/>
    <s v="Keep"/>
    <n v="1"/>
    <s v="Unique"/>
    <s v=""/>
    <n v="0"/>
    <n v="15345.84"/>
    <n v="4610.51"/>
    <n v="0.30044037993358463"/>
    <n v="8"/>
    <n v="2025"/>
    <b v="0"/>
    <b v="0"/>
    <x v="1"/>
    <s v="Cancelled order excluded"/>
    <s v="Warning"/>
  </r>
  <r>
    <s v="ORD-2024-10415"/>
    <s v="2024-08-29"/>
    <x v="1"/>
    <d v="2024-08-29T00:00:00"/>
    <s v="08/30/2024"/>
    <d v="2024-08-30T00:00:00"/>
    <s v="OK"/>
    <n v="1"/>
    <s v="CUST-4194"/>
    <s v="Arjun Bose"/>
    <s v="Arjun Bose"/>
    <s v="Home Office"/>
    <x v="3"/>
    <s v="East"/>
    <x v="1"/>
    <s v="Assam"/>
    <s v="Assam"/>
    <s v="Guwahati"/>
    <s v="Guwahati"/>
    <s v="Office Supplies"/>
    <x v="0"/>
    <s v="Storage"/>
    <x v="8"/>
    <s v="Max Storage 692"/>
    <s v="First Class"/>
    <x v="2"/>
    <n v="4"/>
    <n v="2484.08"/>
    <n v="0.05"/>
    <n v="9439.5"/>
    <n v="5519.39"/>
    <n v="3920.11"/>
    <s v="Paid"/>
    <x v="0"/>
    <s v="Completed"/>
    <x v="0"/>
    <s v="ORD-2024-10415|08-29-2024|08-30-2024|CUST-4194|Arjun Bose|Home Office|East|Assam|Guwahati|Office Supplies|Storage|Max Storage 692|First Class|4|2484.08|0.05|9439.5|5519.39|3920.11|Paid|Completed"/>
    <s v="Keep"/>
    <n v="1"/>
    <s v="Unique"/>
    <s v=""/>
    <n v="0.05"/>
    <n v="9439.503999999999"/>
    <n v="3920.1139999999987"/>
    <n v="0.41528813378330037"/>
    <n v="8"/>
    <n v="2024"/>
    <b v="0"/>
    <b v="0"/>
    <x v="0"/>
    <s v=""/>
    <s v="Clean"/>
  </r>
  <r>
    <s v="ORD-2024-10416"/>
    <s v="01/25/2024"/>
    <x v="12"/>
    <d v="2024-01-25T00:00:00"/>
    <s v="27 Jan 2024"/>
    <d v="2024-01-27T00:00:00"/>
    <s v="OK"/>
    <n v="2"/>
    <s v="CUST-7087"/>
    <s v="Aarav Sharma"/>
    <s v="Aarav Sharma"/>
    <s v="Corporate"/>
    <x v="2"/>
    <s v="South"/>
    <x v="2"/>
    <s v="Karnataka"/>
    <s v="Karnataka"/>
    <s v="Bengaluru"/>
    <s v="Bengaluru"/>
    <s v="Office Supplies"/>
    <x v="0"/>
    <s v="Storage"/>
    <x v="8"/>
    <s v="Basic Storage 684"/>
    <s v="Same Day"/>
    <x v="1"/>
    <n v="7"/>
    <n v="1727.26"/>
    <n v="0.15"/>
    <n v="10277.200000000001"/>
    <n v="7906.5"/>
    <n v="2370.6999999999998"/>
    <s v="Paid"/>
    <x v="0"/>
    <s v="Returned"/>
    <x v="2"/>
    <s v="ORD-2024-10416|01-25-2024|01-27-2024|CUST-7087|Aarav Sharma|Corporate|South|Karnataka|Bengaluru|Office Supplies|Storage|Basic Storage 684|Same Day|7|1727.26|0.15|10277.2|7906.5|2370.7|Paid|Returned"/>
    <s v="Keep"/>
    <n v="1"/>
    <s v="Unique"/>
    <s v=""/>
    <n v="0.15"/>
    <n v="10277.197"/>
    <n v="2370.6970000000001"/>
    <n v="0.23067544584384245"/>
    <n v="1"/>
    <n v="2024"/>
    <b v="0"/>
    <b v="0"/>
    <x v="1"/>
    <s v="Returned order excluded"/>
    <s v="Warning"/>
  </r>
  <r>
    <s v="ORD-2025-10417"/>
    <s v="2025-01-08"/>
    <x v="14"/>
    <d v="2025-01-08T00:00:00"/>
    <s v="16-01-2025"/>
    <d v="2025-01-16T00:00:00"/>
    <s v="OK"/>
    <n v="8"/>
    <s v="CUST-7608"/>
    <s v="Neha Gupta"/>
    <s v="Neha Gupta"/>
    <s v="Consumer"/>
    <x v="0"/>
    <s v="South"/>
    <x v="2"/>
    <s v="Telangana"/>
    <s v="Telangana"/>
    <s v="Hyderabad"/>
    <s v="Hyderabad"/>
    <s v="Furniture "/>
    <x v="1"/>
    <s v="Furnishings"/>
    <x v="3"/>
    <s v="Smart Furnishings 152"/>
    <s v="First Class"/>
    <x v="2"/>
    <n v="8"/>
    <n v="638.95000000000005"/>
    <n v="0.25"/>
    <n v="3833.7"/>
    <n v="2886.35"/>
    <n v="947.35"/>
    <s v="Paid"/>
    <x v="0"/>
    <s v="Completed"/>
    <x v="0"/>
    <s v="ORD-2025-10417|01-08-2025|16-01-2025|CUST-7608|Neha Gupta|Consumer|South|Telangana|Hyderabad|Furniture |Furnishings|Smart Furnishings 152|First Class|8|638.95|0.25|3833.7|2886.35|947.35|Paid|Completed"/>
    <s v="Keep"/>
    <n v="1"/>
    <s v="Unique"/>
    <s v=""/>
    <n v="0.25"/>
    <n v="3833.7000000000003"/>
    <n v="947.35000000000036"/>
    <n v="0.24711114589039318"/>
    <n v="1"/>
    <n v="2025"/>
    <b v="0"/>
    <b v="0"/>
    <x v="0"/>
    <s v=""/>
    <s v="Clean"/>
  </r>
  <r>
    <s v="ORD-2025-10418"/>
    <s v="01/29/2025"/>
    <x v="14"/>
    <d v="2025-01-29T00:00:00"/>
    <s v="02/05/2025"/>
    <d v="2025-02-05T00:00:00"/>
    <s v="OK"/>
    <n v="7"/>
    <s v="CUST-5269"/>
    <s v="Mira Das"/>
    <s v="Mira Das"/>
    <s v="Consumer"/>
    <x v="0"/>
    <s v="West"/>
    <x v="3"/>
    <s v="Gujarat"/>
    <s v="Gujarat"/>
    <s v="Ahmedabad"/>
    <s v="Ahmedabad"/>
    <s v="Office Supplies"/>
    <x v="0"/>
    <s v="Art"/>
    <x v="2"/>
    <s v="Max Art 736"/>
    <s v="First Class"/>
    <x v="2"/>
    <n v="6"/>
    <n v="3863"/>
    <n v="0.2"/>
    <n v="18542.400000000001"/>
    <n v="11193.75"/>
    <n v="7348.65"/>
    <s v="Paid"/>
    <x v="0"/>
    <s v="Completed"/>
    <x v="0"/>
    <s v="ORD-2025-10418|01-29-2025|02-05-2025|CUST-5269|Mira Das|Consumer|West|Gujarat|Ahmedabad|Office Supplies|Art|Max Art 736|First Class|6|3863|0.2|18542.4|11193.75|7348.65|Paid|Completed"/>
    <s v="Keep"/>
    <n v="1"/>
    <s v="Unique"/>
    <s v=""/>
    <n v="0.2"/>
    <n v="18542.400000000001"/>
    <n v="7348.6500000000015"/>
    <n v="0.39631601087237905"/>
    <n v="1"/>
    <n v="2025"/>
    <b v="0"/>
    <b v="0"/>
    <x v="0"/>
    <s v=""/>
    <s v="Clean"/>
  </r>
  <r>
    <s v="ORD-2024-10419"/>
    <s v="11/09/2024"/>
    <x v="3"/>
    <d v="2024-11-09T00:00:00"/>
    <s v="11/17/2024"/>
    <d v="2024-11-17T00:00:00"/>
    <s v="OK"/>
    <n v="8"/>
    <s v="CUST-7925"/>
    <s v="Sneha Kapoor"/>
    <s v="Sneha Kapoor"/>
    <s v="Corporate"/>
    <x v="2"/>
    <s v="East"/>
    <x v="1"/>
    <s v="Odisha"/>
    <s v="Odisha"/>
    <s v="Bhubaneswar"/>
    <s v="Bhubaneswar"/>
    <s v="Technology"/>
    <x v="2"/>
    <s v="Copiers"/>
    <x v="6"/>
    <s v="Elite Copiers 971"/>
    <s v="Standard Class"/>
    <x v="3"/>
    <n v="6"/>
    <n v="3660.4"/>
    <n v="0"/>
    <n v="21962.400000000001"/>
    <n v="15331.99"/>
    <n v="6630.41"/>
    <s v="Failed"/>
    <x v="3"/>
    <s v="Cancelled"/>
    <x v="1"/>
    <s v="ORD-2024-10419|11-09-2024|11-17-2024|CUST-7925|Sneha Kapoor|Corporate|East|Odisha|Bhubaneswar|Technology|Copiers|Elite Copiers 971|Standard Class|6|3660.4|0|21962.4|15331.99|6630.41|Failed|Cancelled"/>
    <s v="Keep"/>
    <n v="1"/>
    <s v="Unique"/>
    <s v=""/>
    <n v="0"/>
    <n v="21962.400000000001"/>
    <n v="6630.4100000000017"/>
    <n v="0.3018982442720286"/>
    <n v="11"/>
    <n v="2024"/>
    <b v="0"/>
    <b v="0"/>
    <x v="1"/>
    <s v="Failed payment excluded; Cancelled order excluded"/>
    <s v="Warning"/>
  </r>
  <r>
    <s v="ORD-2025-10420"/>
    <s v="26-09-2025"/>
    <x v="8"/>
    <d v="2025-09-26T00:00:00"/>
    <s v="09/30/2025"/>
    <d v="2025-09-30T00:00:00"/>
    <s v="OK"/>
    <n v="4"/>
    <s v="CUST-6552"/>
    <s v="Sneha Kapoor"/>
    <s v="Sneha Kapoor"/>
    <s v="Home Office"/>
    <x v="3"/>
    <s v="North"/>
    <x v="0"/>
    <s v="Haryana"/>
    <s v="Haryana"/>
    <s v="Gurugram"/>
    <s v="Gurugram"/>
    <s v="Technology"/>
    <x v="2"/>
    <s v="Phones"/>
    <x v="11"/>
    <s v="Classic Phones 940"/>
    <s v="Same Day"/>
    <x v="1"/>
    <n v="2"/>
    <n v="688.83"/>
    <n v="0.05"/>
    <n v="1308.78"/>
    <n v="843"/>
    <n v="465.78"/>
    <s v="Paid"/>
    <x v="0"/>
    <s v="Completed"/>
    <x v="0"/>
    <s v="ORD-2025-10420|26-09-2025|09-30-2025|CUST-6552|Sneha Kapoor|Home Office|North|Haryana|Gurugram|Technology|Phones|Classic Phones 940|Same Day|2|688.83|0.05|1308.78|843|465.78|Paid|Completed"/>
    <s v="Keep"/>
    <n v="1"/>
    <s v="Unique"/>
    <s v=""/>
    <n v="0.05"/>
    <n v="1308.777"/>
    <n v="465.77700000000004"/>
    <n v="0.35588721378813964"/>
    <n v="9"/>
    <n v="2025"/>
    <b v="0"/>
    <b v="0"/>
    <x v="0"/>
    <s v=""/>
    <s v="Clean"/>
  </r>
  <r>
    <s v="ORD-2025-10421"/>
    <s v="18-03-2025"/>
    <x v="20"/>
    <d v="2025-03-18T00:00:00"/>
    <s v="2025-03-19"/>
    <d v="2025-03-19T00:00:00"/>
    <s v="OK"/>
    <n v="1"/>
    <s v="CUST-7131"/>
    <s v="Isha Nair"/>
    <s v="Isha Nair"/>
    <s v="Corporate"/>
    <x v="2"/>
    <s v="South"/>
    <x v="2"/>
    <s v="Tamil Nadu"/>
    <s v="Tamil Nadu"/>
    <s v="Chennai"/>
    <s v="Chennai"/>
    <s v="Technology"/>
    <x v="2"/>
    <s v="Machines"/>
    <x v="12"/>
    <s v="Pro Machines 579"/>
    <s v="Standard Class"/>
    <x v="3"/>
    <n v="2"/>
    <n v="1209.99"/>
    <n v="0.25"/>
    <n v="1814.99"/>
    <n v="1120.06"/>
    <n v="694.93"/>
    <s v="Pending"/>
    <x v="2"/>
    <s v="Cancelled"/>
    <x v="1"/>
    <s v="ORD-2025-10421|18-03-2025|03-19-2025|CUST-7131|Isha Nair|Corporate|South|Tamil Nadu|Chennai|Technology|Machines|Pro Machines 579|Standard Class|2|1209.99|0.25|1814.99|1120.06|694.93|Pending|Cancelled"/>
    <s v="Keep"/>
    <n v="1"/>
    <s v="Unique"/>
    <s v=""/>
    <n v="0.25"/>
    <n v="1814.9850000000001"/>
    <n v="694.92500000000018"/>
    <n v="0.38288195219244242"/>
    <n v="3"/>
    <n v="2025"/>
    <b v="0"/>
    <b v="0"/>
    <x v="1"/>
    <s v="Cancelled order excluded"/>
    <s v="Warning"/>
  </r>
  <r>
    <s v="ORD-2025-10422"/>
    <s v="06/14/2025"/>
    <x v="18"/>
    <d v="2025-06-14T00:00:00"/>
    <s v="19 Jun 2025"/>
    <d v="2025-06-19T00:00:00"/>
    <s v="OK"/>
    <n v="5"/>
    <s v="CUST-2779"/>
    <s v="Rohan Mehta"/>
    <s v="Rohan Mehta"/>
    <s v="Small Business"/>
    <x v="1"/>
    <s v="North"/>
    <x v="0"/>
    <s v="Delhi"/>
    <s v="Delhi"/>
    <s v="New Delhi"/>
    <s v="New Delhi"/>
    <s v="Office Supplies"/>
    <x v="0"/>
    <s v="Binders"/>
    <x v="9"/>
    <s v="Elite Binders 943"/>
    <s v="Same Day"/>
    <x v="1"/>
    <n v="3"/>
    <n v="1037.45"/>
    <n v="0.2"/>
    <n v="2489.88"/>
    <n v="1707.52"/>
    <n v="782.36"/>
    <s v="Pending"/>
    <x v="2"/>
    <s v="Returned"/>
    <x v="2"/>
    <s v="ORD-2025-10422|06-14-2025|06-19-2025|CUST-2779|Rohan Mehta|Small Business|North|Delhi|New Delhi|Office Supplies|Binders|Elite Binders 943|Same Day|3|1037.45|0.2|2489.88|1707.52|782.36|Pending|Returned"/>
    <s v="Keep"/>
    <n v="1"/>
    <s v="Unique"/>
    <s v=""/>
    <n v="0.2"/>
    <n v="2489.8800000000006"/>
    <n v="782.36000000000058"/>
    <n v="0.31421594615001541"/>
    <n v="6"/>
    <n v="2025"/>
    <b v="0"/>
    <b v="0"/>
    <x v="1"/>
    <s v="Returned order excluded"/>
    <s v="Warning"/>
  </r>
  <r>
    <s v="ORD-2025-10423"/>
    <s v="09/03/2025"/>
    <x v="8"/>
    <d v="2025-09-03T00:00:00"/>
    <s v="06 Sep 2025"/>
    <d v="2025-09-06T00:00:00"/>
    <s v="OK"/>
    <n v="3"/>
    <s v="CUST-6077"/>
    <s v="Kabir Singh"/>
    <s v="Kabir Singh"/>
    <s v="Consumer"/>
    <x v="0"/>
    <s v="West"/>
    <x v="3"/>
    <s v="Madhya Pradesh"/>
    <s v="Madhya Pradesh"/>
    <s v="Indore"/>
    <s v="Indore"/>
    <s v="Technology"/>
    <x v="2"/>
    <s v="Copiers"/>
    <x v="6"/>
    <s v="Elite Copiers 474"/>
    <s v="Same Day"/>
    <x v="1"/>
    <n v="7"/>
    <n v="688.85"/>
    <n v="0.15"/>
    <n v="4098.66"/>
    <n v="2678.06"/>
    <n v="1420.6"/>
    <s v="Paid"/>
    <x v="0"/>
    <s v="Completed"/>
    <x v="0"/>
    <s v="ORD-2025-10423|09-03-2025|09-06-2025|CUST-6077|Kabir Singh|Consumer|West|Madhya Pradesh|Indore|Technology|Copiers|Elite Copiers 474|Same Day|7|688.85|0.15|4098.66|2678.06|1420.6|Paid|Completed"/>
    <s v="Keep"/>
    <n v="1"/>
    <s v="Unique"/>
    <s v=""/>
    <n v="0.15"/>
    <n v="4098.6574999999993"/>
    <n v="1420.5974999999994"/>
    <n v="0.34660068571233377"/>
    <n v="9"/>
    <n v="2025"/>
    <b v="0"/>
    <b v="0"/>
    <x v="0"/>
    <s v=""/>
    <s v="Clean"/>
  </r>
  <r>
    <s v="ORD-2024-10424"/>
    <s v="2024-02-20"/>
    <x v="17"/>
    <d v="2024-02-20T00:00:00"/>
    <s v="27-02-2024"/>
    <d v="2024-02-27T00:00:00"/>
    <s v="OK"/>
    <n v="7"/>
    <s v="CUST-6169"/>
    <s v="Diya Patel"/>
    <s v="Diya Patel"/>
    <s v="Consumer"/>
    <x v="0"/>
    <s v="South"/>
    <x v="2"/>
    <s v="Kerala"/>
    <s v="Kerala"/>
    <s v="Kochi"/>
    <s v="Kochi"/>
    <s v="Technology"/>
    <x v="2"/>
    <s v="Accessories"/>
    <x v="5"/>
    <s v="Prime Accessories 236"/>
    <s v="First Class"/>
    <x v="2"/>
    <n v="9"/>
    <n v="3779.31"/>
    <n v="0.2"/>
    <n v="27211.03"/>
    <n v="17940.43"/>
    <n v="9270.6"/>
    <s v="Paid"/>
    <x v="0"/>
    <s v="Completed"/>
    <x v="0"/>
    <s v="ORD-2024-10424|02-20-2024|27-02-2024|CUST-6169|Diya Patel|Consumer|South|Kerala|Kochi|Technology|Accessories|Prime Accessories 236|FIRST CLASS|9|3779.31|0.2|27211.03|17940.43|9270.6|Paid|Completed"/>
    <s v="Keep"/>
    <n v="2"/>
    <s v="Duplicate order_id"/>
    <s v="Review conflicting duplicate"/>
    <n v="0.2"/>
    <n v="27211.032000000003"/>
    <n v="9270.6020000000026"/>
    <n v="0.34069277490100347"/>
    <n v="2"/>
    <n v="2024"/>
    <b v="0"/>
    <b v="0"/>
    <x v="1"/>
    <s v="Duplicate order ID conflict"/>
    <s v="Warning"/>
  </r>
  <r>
    <s v="ORD-2024-10425"/>
    <s v="06/26/2024"/>
    <x v="2"/>
    <d v="2024-06-26T00:00:00"/>
    <s v="2024-06-29"/>
    <d v="2024-06-29T00:00:00"/>
    <s v="OK"/>
    <n v="3"/>
    <s v="CUST-8904"/>
    <s v="Neha Gupta"/>
    <s v="Neha Gupta"/>
    <s v="Corporate"/>
    <x v="2"/>
    <s v="North"/>
    <x v="0"/>
    <s v="Punjab"/>
    <s v="Punjab"/>
    <s v="Ludhiana"/>
    <s v="Ludhiana"/>
    <s v="Technology"/>
    <x v="2"/>
    <s v="Phones"/>
    <x v="11"/>
    <s v="Prime Phones 881"/>
    <s v="Standard Class"/>
    <x v="3"/>
    <n v="8"/>
    <n v="804.52"/>
    <n v="0"/>
    <n v="6436.16"/>
    <n v="4263.83"/>
    <n v="2172.33"/>
    <s v="Paid"/>
    <x v="0"/>
    <s v="Completed"/>
    <x v="0"/>
    <s v="ORD-2024-10425|06-26-2024|06-29-2024|CUST-8904|Neha Gupta|Corporate|North|Punjab|Ludhiana|Technology|Phones|Prime Phones 881|Standard Class|8|804.52|0|6436.16|4263.83|2172.33|Paid|Completed"/>
    <s v="Keep"/>
    <n v="1"/>
    <s v="Unique"/>
    <s v=""/>
    <n v="0"/>
    <n v="6436.16"/>
    <n v="2172.33"/>
    <n v="0.33751957689056827"/>
    <n v="6"/>
    <n v="2024"/>
    <b v="0"/>
    <b v="0"/>
    <x v="0"/>
    <s v=""/>
    <s v="Clean"/>
  </r>
  <r>
    <s v="ORD-2024-10426"/>
    <s v="26-09-2024"/>
    <x v="21"/>
    <d v="2024-09-26T00:00:00"/>
    <s v="09/27/2024"/>
    <d v="2024-09-27T00:00:00"/>
    <s v="OK"/>
    <n v="1"/>
    <s v="CUST-9586"/>
    <s v="Isha Nair"/>
    <s v="Isha Nair"/>
    <s v="Home Office"/>
    <x v="3"/>
    <s v="North"/>
    <x v="0"/>
    <s v="Delhi"/>
    <s v="Delhi"/>
    <s v="New Delhi"/>
    <s v="New Delhi"/>
    <s v="Office Supplies"/>
    <x v="0"/>
    <s v="Labels"/>
    <x v="7"/>
    <s v="Pro Labels 903"/>
    <s v="First Class"/>
    <x v="2"/>
    <n v="2"/>
    <n v="1065.69"/>
    <n v="0.1"/>
    <n v="1918.24"/>
    <n v="1373.52"/>
    <n v="544.72"/>
    <s v="Refunded"/>
    <x v="1"/>
    <s v="Cancelled"/>
    <x v="1"/>
    <s v="ORD-2024-10426|26-09-2024|09-27-2024|CUST-9586|Isha Nair|Home Office|North|Delhi|New Delhi|Office Supplies|Labels|Pro Labels 903|First Class|2|1065.69|0.1|1918.24|1373.52|544.72|Refunded|Cancelled"/>
    <s v="Keep"/>
    <n v="1"/>
    <s v="Unique"/>
    <s v=""/>
    <n v="0.1"/>
    <n v="1918.2420000000002"/>
    <n v="544.72200000000021"/>
    <n v="0.2839693844676533"/>
    <n v="9"/>
    <n v="2024"/>
    <b v="0"/>
    <b v="0"/>
    <x v="1"/>
    <s v="Refunded order summarized separately; Cancelled order excluded"/>
    <s v="Warning"/>
  </r>
  <r>
    <s v="ORD-2024-10427"/>
    <s v="30-06-2024"/>
    <x v="2"/>
    <d v="2024-06-30T00:00:00"/>
    <s v="01-07-2024"/>
    <d v="2024-07-01T00:00:00"/>
    <s v="OK"/>
    <n v="1"/>
    <s v="CUST-5431"/>
    <s v="Aditi Sen"/>
    <s v="Aditi Sen"/>
    <s v="Consumer"/>
    <x v="0"/>
    <s v="North"/>
    <x v="0"/>
    <s v="Haryana"/>
    <s v="Haryana"/>
    <s v="Gurugram"/>
    <s v="Gurugram"/>
    <s v="Technology"/>
    <x v="2"/>
    <s v="Copiers"/>
    <x v="6"/>
    <s v="Max Copiers 402"/>
    <s v="Same Day"/>
    <x v="1"/>
    <n v="8"/>
    <n v="3756.66"/>
    <n v="0.1"/>
    <n v="27047.95"/>
    <n v="18431.330000000002"/>
    <n v="8616.6200000000008"/>
    <s v="Paid"/>
    <x v="0"/>
    <s v="Completed"/>
    <x v="0"/>
    <s v="ORD-2024-10427|30-06-2024|01-07-2024|CUST-5431|Aditi Sen|Consumer|North|Haryana|Gurugram|Technology|Copiers|Max Copiers 402|Same Day|8|3756.66|0.1|27047.95|18431.33|8616.62|Paid|Completed"/>
    <s v="Keep"/>
    <n v="1"/>
    <s v="Unique"/>
    <s v=""/>
    <n v="0.1"/>
    <n v="27047.952000000001"/>
    <n v="8616.6219999999994"/>
    <n v="0.31856837072174626"/>
    <n v="6"/>
    <n v="2024"/>
    <b v="0"/>
    <b v="0"/>
    <x v="0"/>
    <s v=""/>
    <s v="Clean"/>
  </r>
  <r>
    <s v="ORD-2025-10428"/>
    <s v="2025-04-22"/>
    <x v="6"/>
    <d v="2025-04-22T00:00:00"/>
    <s v="24-04-2025"/>
    <d v="2025-04-24T00:00:00"/>
    <s v="OK"/>
    <n v="2"/>
    <s v="CUST-8843"/>
    <s v="Isha Nair"/>
    <s v="Isha Nair"/>
    <s v="Corporate"/>
    <x v="2"/>
    <m/>
    <x v="4"/>
    <s v="Jharkhand"/>
    <s v="Jharkhand"/>
    <s v="Ranchi"/>
    <s v="Ranchi"/>
    <s v="Technology"/>
    <x v="2"/>
    <s v="Accessories"/>
    <x v="5"/>
    <s v="Prime Accessories 419"/>
    <s v="Standard Class"/>
    <x v="3"/>
    <n v="9"/>
    <n v="2939.44"/>
    <n v="0"/>
    <n v="26454.959999999999"/>
    <n v="17630.25"/>
    <n v="8824.7099999999991"/>
    <s v="Paid"/>
    <x v="0"/>
    <s v="Completed"/>
    <x v="0"/>
    <s v="ORD-2025-10428|04-22-2025|24-04-2025|CUST-8843|Isha Nair|Corporate||Jharkhand|Ranchi|Technology|Accessories|Prime Accessories 419|STANDARD CLASS|9|2939.44|0|26454.96|17630.25|8824.71|Paid|Completed"/>
    <s v="Keep"/>
    <n v="1"/>
    <s v="Unique"/>
    <s v=""/>
    <n v="0"/>
    <n v="26454.959999999999"/>
    <n v="8824.7099999999991"/>
    <n v="0.33357487594008833"/>
    <n v="4"/>
    <n v="2025"/>
    <b v="0"/>
    <b v="0"/>
    <x v="0"/>
    <s v="Missing region filled as Unknown"/>
    <s v="Warning"/>
  </r>
  <r>
    <s v="ORD-2025-10429"/>
    <s v="2025-03-15"/>
    <x v="20"/>
    <d v="2025-03-15T00:00:00"/>
    <s v="22 Mar 2025"/>
    <d v="2025-03-22T00:00:00"/>
    <s v="OK"/>
    <n v="7"/>
    <s v="CUST-7626"/>
    <s v="Karan Malhotra"/>
    <s v="Karan Malhotra"/>
    <s v="Small Business"/>
    <x v="1"/>
    <s v="East"/>
    <x v="1"/>
    <s v="West Bengal"/>
    <s v="West Bengal"/>
    <s v="Kolkata"/>
    <s v="Kolkata"/>
    <s v="Technology"/>
    <x v="2"/>
    <s v="Phones"/>
    <x v="11"/>
    <s v="Elite Phones 488"/>
    <s v="Same Day"/>
    <x v="1"/>
    <n v="2"/>
    <n v="1235.93"/>
    <n v="0.25"/>
    <n v="1853.89"/>
    <n v="1101.23"/>
    <n v="752.66"/>
    <s v="Pending"/>
    <x v="2"/>
    <s v="Cancelled"/>
    <x v="1"/>
    <s v="ORD-2025-10429|03-15-2025|03-22-2025|CUST-7626|Karan Malhotra|Small Business|East|West Bengal|Kolkata|Technology|Phones|Elite Phones 488|Same Day|2|1235.93|0.25|1853.89|1101.23|752.66|Pending|Cancelled"/>
    <s v="Keep"/>
    <n v="1"/>
    <s v="Unique"/>
    <s v=""/>
    <n v="0.25"/>
    <n v="1853.895"/>
    <n v="752.66499999999996"/>
    <n v="0.40599116994220275"/>
    <n v="3"/>
    <n v="2025"/>
    <b v="0"/>
    <b v="0"/>
    <x v="1"/>
    <s v="Cancelled order excluded"/>
    <s v="Warning"/>
  </r>
  <r>
    <s v="ORD-2025-10430"/>
    <s v="01 Mar 2025"/>
    <x v="20"/>
    <d v="2025-03-01T00:00:00"/>
    <s v="08-03-2025"/>
    <d v="2025-03-08T00:00:00"/>
    <s v="OK"/>
    <n v="7"/>
    <s v="CUST-8562"/>
    <s v="Neha Gupta"/>
    <s v="Neha Gupta"/>
    <s v="Home Office"/>
    <x v="3"/>
    <s v="North"/>
    <x v="0"/>
    <s v="Rajasthan"/>
    <s v="Rajasthan"/>
    <s v="Jaipur"/>
    <s v="Jaipur"/>
    <s v="Technology"/>
    <x v="2"/>
    <s v="Copiers"/>
    <x v="6"/>
    <s v="Prime Copiers 109"/>
    <s v="Same Day"/>
    <x v="1"/>
    <n v="8"/>
    <n v="2943.1"/>
    <n v="0.25"/>
    <n v="17658.599999999999"/>
    <n v="13842.48"/>
    <n v="3816.12"/>
    <s v="Paid"/>
    <x v="0"/>
    <s v="Completed"/>
    <x v="0"/>
    <s v="ORD-2025-10430|03-01-2025|08-03-2025|CUST-8562|Neha Gupta|Home Office|North|Rajasthan|Jaipur|Technology|Copiers|Prime Copiers 109|Same Day|8|2943.1|0.25|17658.6|13842.48|3816.12|Paid|Completed"/>
    <s v="Keep"/>
    <n v="1"/>
    <s v="Unique"/>
    <s v=""/>
    <n v="0.25"/>
    <n v="17658.599999999999"/>
    <n v="3816.119999999999"/>
    <n v="0.2161054670245659"/>
    <n v="3"/>
    <n v="2025"/>
    <b v="0"/>
    <b v="0"/>
    <x v="0"/>
    <s v=""/>
    <s v="Clean"/>
  </r>
  <r>
    <s v="ORD-2024-10431"/>
    <s v="30 Aug 2024"/>
    <x v="1"/>
    <d v="2024-08-30T00:00:00"/>
    <s v="02-09-2024"/>
    <d v="2024-09-02T00:00:00"/>
    <s v="OK"/>
    <n v="3"/>
    <s v="CUST-2732"/>
    <s v="Neha Gupta"/>
    <s v="Neha Gupta"/>
    <s v="Small Business"/>
    <x v="1"/>
    <s v="North"/>
    <x v="0"/>
    <s v="Haryana"/>
    <s v="Haryana"/>
    <s v="Gurugram"/>
    <s v="Gurugram"/>
    <s v="Office Supplies "/>
    <x v="0"/>
    <s v="Paper"/>
    <x v="0"/>
    <s v="Max Paper 576"/>
    <s v="Second Class"/>
    <x v="0"/>
    <n v="1"/>
    <n v="4320.84"/>
    <n v="0.15"/>
    <n v="3672.71"/>
    <n v="2714.23"/>
    <n v="763.38"/>
    <s v="Paid"/>
    <x v="0"/>
    <s v="Completed"/>
    <x v="0"/>
    <s v="ORD-2024-10431|08-30-2024|02-09-2024|CUST-2732|Neha Gupta|Small Business|North|Haryana|Gurugram|Office Supplies |Paper|Max Paper 576|Second Class|1|4320.84|0.15|3672.71|2714.23|763.38|Paid|Completed"/>
    <s v="Keep"/>
    <n v="1"/>
    <s v="Unique"/>
    <s v=""/>
    <n v="0.15"/>
    <n v="3672.7139999999999"/>
    <n v="958.48399999999992"/>
    <n v="0.26097430946161337"/>
    <n v="8"/>
    <n v="2024"/>
    <b v="0"/>
    <b v="1"/>
    <x v="1"/>
    <s v="Profit mismatch"/>
    <s v="Invalid"/>
  </r>
  <r>
    <s v="ORD-2024-10432"/>
    <s v="10 Feb 2024"/>
    <x v="17"/>
    <d v="2024-02-10T00:00:00"/>
    <s v="02/13/2024"/>
    <d v="2024-02-13T00:00:00"/>
    <s v="OK"/>
    <n v="3"/>
    <s v="CUST-3989"/>
    <s v="Karan Malhotra"/>
    <s v="Karan Malhotra"/>
    <s v="Home Office"/>
    <x v="3"/>
    <s v="West"/>
    <x v="3"/>
    <s v="Goa"/>
    <s v="Goa"/>
    <s v="Panaji"/>
    <s v="Panaji"/>
    <s v="Technology"/>
    <x v="2"/>
    <s v="Machines"/>
    <x v="12"/>
    <s v="Max Machines 412"/>
    <s v="Same Day"/>
    <x v="1"/>
    <n v="2"/>
    <n v="4118.45"/>
    <n v="0.25"/>
    <n v="6177.67"/>
    <n v="4520.75"/>
    <n v="1656.92"/>
    <s v="Paid"/>
    <x v="0"/>
    <s v="Completed"/>
    <x v="0"/>
    <s v="ORD-2024-10432|02-10-2024|02-13-2024|CUST-3989|Karan Malhotra|Home Office|West|Goa|Panaji|Technology|Machines|Max Machines 412|Same Day|2|4118.45|0.25|6177.67|4520.75|1656.92|Paid|Completed"/>
    <s v="Keep"/>
    <n v="1"/>
    <s v="Unique"/>
    <s v=""/>
    <n v="0.25"/>
    <n v="6177.6749999999993"/>
    <n v="1656.9249999999993"/>
    <n v="0.26821174632851347"/>
    <n v="2"/>
    <n v="2024"/>
    <b v="0"/>
    <b v="0"/>
    <x v="0"/>
    <s v=""/>
    <s v="Clean"/>
  </r>
  <r>
    <s v="ORD-2024-10433"/>
    <s v="08/29/2024"/>
    <x v="1"/>
    <d v="2024-08-29T00:00:00"/>
    <s v="02-09-2024"/>
    <d v="2024-09-02T00:00:00"/>
    <s v="OK"/>
    <n v="4"/>
    <s v="CUST-3522"/>
    <s v="Priya Menon"/>
    <s v="Priya Menon"/>
    <s v="Small Business"/>
    <x v="1"/>
    <s v="West"/>
    <x v="3"/>
    <s v="Maharashtra"/>
    <s v="Maharashtra"/>
    <s v="Mumbai"/>
    <s v="Mumbai"/>
    <s v="Furniture"/>
    <x v="1"/>
    <s v="Bookcases"/>
    <x v="10"/>
    <s v="Classic Bookcases 291"/>
    <s v="Standard Class"/>
    <x v="3"/>
    <n v="6"/>
    <n v="172.82"/>
    <n v="0.05"/>
    <n v="985.07"/>
    <n v="844.48"/>
    <n v="140.59"/>
    <s v="Paid"/>
    <x v="0"/>
    <s v="Completed"/>
    <x v="0"/>
    <s v="ORD-2024-10433|08-29-2024|02-09-2024|CUST-3522|Priya Menon|Small Business|West|Maharashtra|Mumbai|Furniture|Bookcases|Classic Bookcases 291|Standard Class|6|172.82|0.05|985.07|844.48|140.59|Paid|Completed"/>
    <s v="Keep"/>
    <n v="1"/>
    <s v="Unique"/>
    <s v=""/>
    <n v="0.05"/>
    <n v="985.07400000000007"/>
    <n v="140.59400000000005"/>
    <n v="0.14272430294576857"/>
    <n v="8"/>
    <n v="2024"/>
    <b v="0"/>
    <b v="0"/>
    <x v="0"/>
    <s v=""/>
    <s v="Clean"/>
  </r>
  <r>
    <s v="ORD-2024-10434"/>
    <s v="04/19/2024"/>
    <x v="19"/>
    <d v="2024-04-19T00:00:00"/>
    <s v="20-04-2024"/>
    <d v="2024-04-20T00:00:00"/>
    <s v="OK"/>
    <n v="1"/>
    <s v="CUST-7066"/>
    <s v="Priya Menon"/>
    <s v="Priya Menon"/>
    <s v="Corporate"/>
    <x v="2"/>
    <s v="South"/>
    <x v="2"/>
    <s v="Kerala"/>
    <s v="Kerala"/>
    <s v="Kochi"/>
    <s v="Kochi"/>
    <s v="Office Supplies"/>
    <x v="0"/>
    <s v="Art"/>
    <x v="2"/>
    <s v="Elite Art 946"/>
    <s v="Second Class"/>
    <x v="0"/>
    <n v="4"/>
    <n v="1540.22"/>
    <n v="0"/>
    <n v="6160.88"/>
    <n v="4938.7"/>
    <n v="1222.18"/>
    <s v="Refunded"/>
    <x v="1"/>
    <s v="Returned"/>
    <x v="2"/>
    <s v="ORD-2024-10434|04-19-2024|20-04-2024|CUST-7066|Priya Menon|Corporate|South|Kerala|Kochi|Office Supplies|Art|Elite Art 946|Second Class|4|1540.22|0|6160.88|4938.7|1222.18|Refunded|Returned"/>
    <s v="Keep"/>
    <n v="1"/>
    <s v="Unique"/>
    <s v=""/>
    <n v="0"/>
    <n v="6160.88"/>
    <n v="1222.1800000000003"/>
    <n v="0.19837750451234243"/>
    <n v="4"/>
    <n v="2024"/>
    <b v="0"/>
    <b v="0"/>
    <x v="1"/>
    <s v="Refunded order summarized separately; Returned order excluded"/>
    <s v="Warning"/>
  </r>
  <r>
    <s v="ORD-2025-10435"/>
    <s v="04/11/2025"/>
    <x v="6"/>
    <d v="2025-04-11T00:00:00"/>
    <s v="2025-04-15"/>
    <d v="2025-04-15T00:00:00"/>
    <s v="OK"/>
    <n v="4"/>
    <s v="CUST-2351"/>
    <s v="Mira Das"/>
    <s v="Mira Das"/>
    <s v="Home Office"/>
    <x v="3"/>
    <s v="North"/>
    <x v="0"/>
    <s v="Uttar Pradesh"/>
    <s v="Uttar Pradesh"/>
    <s v="Noida"/>
    <s v="Noida"/>
    <s v="Technology"/>
    <x v="2"/>
    <s v="Accessories"/>
    <x v="5"/>
    <s v="Eco Accessories 705"/>
    <s v="Second Class"/>
    <x v="0"/>
    <n v="5"/>
    <n v="652.78"/>
    <n v="0"/>
    <n v="3263.9"/>
    <n v="2068.44"/>
    <n v="1195.46"/>
    <s v="Paid"/>
    <x v="0"/>
    <s v="Completed"/>
    <x v="0"/>
    <s v="ORD-2025-10435|04-11-2025|04-15-2025|CUST-2351|Mira Das|Home Office|North|Uttar Pradesh|Noida|Technology|Accessories|Eco Accessories 705|Second Class|5|652.78|0|3263.9|2068.44|1195.46|Paid|Completed"/>
    <s v="Keep"/>
    <n v="1"/>
    <s v="Unique"/>
    <s v=""/>
    <n v="0"/>
    <n v="3263.8999999999996"/>
    <n v="1195.4599999999996"/>
    <n v="0.3662673488771101"/>
    <n v="4"/>
    <n v="2025"/>
    <b v="0"/>
    <b v="0"/>
    <x v="0"/>
    <s v=""/>
    <s v="Clean"/>
  </r>
  <r>
    <s v="ORD-2025-10436"/>
    <s v="2025-04-12"/>
    <x v="6"/>
    <d v="2025-04-12T00:00:00"/>
    <s v="20-04-2025"/>
    <d v="2025-04-20T00:00:00"/>
    <s v="OK"/>
    <n v="8"/>
    <s v="CUST-7291"/>
    <s v="Kabir Singh"/>
    <s v="Kabir Singh"/>
    <s v="Home Office"/>
    <x v="3"/>
    <s v="North"/>
    <x v="0"/>
    <s v="Delhi"/>
    <s v="Delhi"/>
    <s v="New Delhi"/>
    <s v="New Delhi"/>
    <s v="Technology"/>
    <x v="2"/>
    <s v="Machines"/>
    <x v="12"/>
    <s v="Max Machines 151"/>
    <s v="Standard Class"/>
    <x v="3"/>
    <n v="1"/>
    <n v="2737.71"/>
    <n v="0.15"/>
    <n v="2327.0500000000002"/>
    <n v="1919.42"/>
    <n v="407.63"/>
    <s v="Paid"/>
    <x v="0"/>
    <s v="Cancelled"/>
    <x v="1"/>
    <s v="ORD-2025-10436|04-12-2025|20-04-2025|CUST-7291|Kabir Singh|Home Office|North|Delhi|New Delhi|Technology|Machines|Max Machines 151|Standard Class|1|2737.71|0.15|2327.05|1919.42|407.63|Paid|Cancelled"/>
    <s v="Keep"/>
    <n v="1"/>
    <s v="Unique"/>
    <s v=""/>
    <n v="0.15"/>
    <n v="2327.0535"/>
    <n v="407.63349999999991"/>
    <n v="0.17517152055163318"/>
    <n v="4"/>
    <n v="2025"/>
    <b v="0"/>
    <b v="0"/>
    <x v="1"/>
    <s v="Cancelled order excluded"/>
    <s v="Warning"/>
  </r>
  <r>
    <s v="ORD-2024-10437"/>
    <s v="16 Jun 2024"/>
    <x v="2"/>
    <d v="2024-06-16T00:00:00"/>
    <s v="21 Jun 2024"/>
    <d v="2024-06-21T00:00:00"/>
    <s v="OK"/>
    <n v="5"/>
    <s v="CUST-4492"/>
    <s v="Neha Gupta"/>
    <s v="Neha Gupta"/>
    <s v="Consumer"/>
    <x v="0"/>
    <s v="South"/>
    <x v="2"/>
    <s v="Kerala"/>
    <s v="Kerala"/>
    <s v="Kochi"/>
    <s v="Kochi"/>
    <s v="Furniture"/>
    <x v="1"/>
    <s v="Furnishings"/>
    <x v="3"/>
    <s v="Max Furnishings 803"/>
    <s v="Same Day"/>
    <x v="1"/>
    <n v="6"/>
    <n v="1156.78"/>
    <n v="0.05"/>
    <n v="6593.65"/>
    <n v="4359.3900000000003"/>
    <n v="2234.2600000000002"/>
    <s v="Paid"/>
    <x v="0"/>
    <s v="Returned"/>
    <x v="2"/>
    <s v="ORD-2024-10437|06-16-2024|06-21-2024|CUST-4492|Neha Gupta|Consumer|South|Kerala|Kochi|Furniture|Furnishings|Max Furnishings 803|Same Day|6|1156.78|0.05|6593.65|4359.39|2234.26|Paid|Returned"/>
    <s v="Keep"/>
    <n v="1"/>
    <s v="Unique"/>
    <s v=""/>
    <n v="0.05"/>
    <n v="6593.6459999999997"/>
    <n v="2234.2559999999994"/>
    <n v="0.33884985636171544"/>
    <n v="6"/>
    <n v="2024"/>
    <b v="0"/>
    <b v="0"/>
    <x v="1"/>
    <s v="Returned order excluded"/>
    <s v="Warning"/>
  </r>
  <r>
    <s v="ORD-2024-10438"/>
    <s v="15-02-2024"/>
    <x v="17"/>
    <d v="2024-02-15T00:00:00"/>
    <s v="2024-02-18"/>
    <d v="2024-02-18T00:00:00"/>
    <s v="OK"/>
    <n v="3"/>
    <s v="CUST-5029"/>
    <s v="Aditi Sen"/>
    <s v="Aditi Sen"/>
    <s v="Small Business"/>
    <x v="1"/>
    <s v="South"/>
    <x v="2"/>
    <s v="Kerala"/>
    <s v="Kerala"/>
    <s v="Kochi"/>
    <s v="Kochi"/>
    <s v="Technology"/>
    <x v="2"/>
    <s v="  Accessories "/>
    <x v="5"/>
    <s v="Max Accessories 423"/>
    <s v="Same Day"/>
    <x v="1"/>
    <n v="8"/>
    <n v="379.82"/>
    <n v="0.05"/>
    <n v="2886.63"/>
    <n v="1588.23"/>
    <n v="1298.4000000000001"/>
    <s v="Failed"/>
    <x v="3"/>
    <s v="Returned"/>
    <x v="2"/>
    <s v="ORD-2024-10438|15-02-2024|02-18-2024|CUST-5029|Aditi Sen|Small Business|South|Kerala|Kochi|Technology|  Accessories |Max Accessories 423|Same Day|8|379.82|0.05|2886.63|1588.23|1298.4|Failed|Returned"/>
    <s v="Keep"/>
    <n v="1"/>
    <s v="Unique"/>
    <s v=""/>
    <n v="0.05"/>
    <n v="2886.6319999999996"/>
    <n v="1298.4019999999996"/>
    <n v="0.44979824238073984"/>
    <n v="2"/>
    <n v="2024"/>
    <b v="0"/>
    <b v="0"/>
    <x v="1"/>
    <s v="Failed payment excluded; Returned order excluded"/>
    <s v="Warning"/>
  </r>
  <r>
    <s v="ORD-2025-10439"/>
    <s v="07 May 2025"/>
    <x v="9"/>
    <d v="2025-05-07T00:00:00"/>
    <s v="05/05/2025"/>
    <d v="2025-05-05T00:00:00"/>
    <s v="Ship date before order date"/>
    <n v="-2"/>
    <s v="CUST-7252"/>
    <s v="Neha Gupta"/>
    <s v="Neha Gupta"/>
    <s v="Corporate"/>
    <x v="2"/>
    <s v="East"/>
    <x v="1"/>
    <s v="Jharkhand"/>
    <s v="Jharkhand"/>
    <s v="Ranchi"/>
    <s v="Ranchi"/>
    <s v="Technology"/>
    <x v="2"/>
    <s v="Phones"/>
    <x v="11"/>
    <s v="Elite Phones 276"/>
    <s v="Standard Class"/>
    <x v="3"/>
    <n v="1"/>
    <n v="2266.4699999999998"/>
    <n v="0.2"/>
    <n v="1813.18"/>
    <n v="1363.64"/>
    <n v="449.54"/>
    <s v="Paid"/>
    <x v="0"/>
    <s v="Completed"/>
    <x v="0"/>
    <s v="ORD-2025-10439|05-07-2025|05-05-2025|CUST-7252|Neha Gupta|Corporate|East|Jharkhand|Ranchi|Technology|Phones|Elite Phones 276|Standard Class|1|2266.47|0.2|1813.18|1363.64|449.54|Paid|Completed"/>
    <s v="Keep"/>
    <n v="1"/>
    <s v="Unique"/>
    <s v=""/>
    <n v="0.2"/>
    <n v="1813.1759999999999"/>
    <n v="449.53599999999983"/>
    <n v="0.24792739370033567"/>
    <n v="5"/>
    <n v="2025"/>
    <b v="0"/>
    <b v="0"/>
    <x v="1"/>
    <s v="Ship date before order date"/>
    <s v="Invalid"/>
  </r>
  <r>
    <s v="ORD-2025-10440"/>
    <s v="30-06-2025"/>
    <x v="18"/>
    <d v="2025-06-30T00:00:00"/>
    <s v="03 Jul 2025"/>
    <d v="2025-07-03T00:00:00"/>
    <s v="OK"/>
    <n v="3"/>
    <s v="CUST-7346"/>
    <s v="Aarav Sharma"/>
    <s v="Aarav Sharma"/>
    <s v="Home Office"/>
    <x v="3"/>
    <s v="West"/>
    <x v="3"/>
    <s v="Goa"/>
    <s v="Goa"/>
    <s v="Panaji"/>
    <s v="Panaji"/>
    <s v="Office Supplies"/>
    <x v="0"/>
    <s v="Storage"/>
    <x v="8"/>
    <s v="Smart Storage 287"/>
    <s v="Same Day"/>
    <x v="1"/>
    <n v="5"/>
    <n v="665.25"/>
    <n v="0"/>
    <n v="3326.25"/>
    <n v="2689.36"/>
    <n v="636.89"/>
    <s v="Refunded"/>
    <x v="1"/>
    <s v="Returned"/>
    <x v="2"/>
    <s v="ORD-2025-10440|30-06-2025|07-03-2025|CUST-7346|Aarav Sharma|Home Office|West|Goa|Panaji|Office Supplies|Storage|Smart Storage 287|Same Day|5|665.25|0|3326.25|2689.36|636.89|Refunded|Returned"/>
    <s v="Keep"/>
    <n v="1"/>
    <s v="Unique"/>
    <s v=""/>
    <n v="0"/>
    <n v="3326.25"/>
    <n v="636.88999999999987"/>
    <n v="0.19147388199924836"/>
    <n v="6"/>
    <n v="2025"/>
    <b v="0"/>
    <b v="0"/>
    <x v="1"/>
    <s v="Refunded order summarized separately; Returned order excluded"/>
    <s v="Warning"/>
  </r>
  <r>
    <s v="ORD-2024-10441"/>
    <s v="04/02/2024"/>
    <x v="19"/>
    <d v="2024-04-02T00:00:00"/>
    <s v="04/08/2024"/>
    <d v="2024-04-08T00:00:00"/>
    <s v="OK"/>
    <n v="6"/>
    <s v="CUST-9039"/>
    <s v="Vikram Iyer"/>
    <s v="Vikram Iyer"/>
    <s v="Corporate"/>
    <x v="2"/>
    <s v="East"/>
    <x v="1"/>
    <s v="Odisha"/>
    <s v="Odisha"/>
    <s v="Bhubaneswar"/>
    <s v="Bhubaneswar"/>
    <s v="Technology"/>
    <x v="2"/>
    <s v="Machines"/>
    <x v="12"/>
    <s v="Basic Machines 610"/>
    <s v="Second Class"/>
    <x v="0"/>
    <n v="6"/>
    <n v="3722.84"/>
    <n v="0.2"/>
    <n v="17869.63"/>
    <n v="12163.8"/>
    <n v="5705.83"/>
    <s v="Paid"/>
    <x v="0"/>
    <s v="Completed"/>
    <x v="0"/>
    <s v="ORD-2024-10441|04-02-2024|04-08-2024|CUST-9039|Vikram Iyer|Corporate|East|Odisha|Bhubaneswar|Technology|Machines|Basic Machines 610|Second Class|6|3722.84|0.2|17869.63|12163.8|5705.83|Paid|Completed"/>
    <s v="Keep"/>
    <n v="1"/>
    <s v="Unique"/>
    <s v=""/>
    <n v="0.2"/>
    <n v="17869.632000000001"/>
    <n v="5705.8320000000022"/>
    <n v="0.31930327384469931"/>
    <n v="4"/>
    <n v="2024"/>
    <b v="0"/>
    <b v="0"/>
    <x v="0"/>
    <s v=""/>
    <s v="Clean"/>
  </r>
  <r>
    <s v="ORD-2024-10442"/>
    <s v="03-10-2024"/>
    <x v="16"/>
    <d v="2024-10-03T00:00:00"/>
    <s v="2024-10-03"/>
    <d v="2024-10-03T00:00:00"/>
    <s v="OK"/>
    <n v="0"/>
    <s v="CUST-3975"/>
    <s v="Karan Malhotra"/>
    <s v="Karan Malhotra"/>
    <s v="Consumer"/>
    <x v="0"/>
    <s v="East"/>
    <x v="1"/>
    <s v="Bihar"/>
    <s v="Bihar"/>
    <s v="Patna"/>
    <s v="Patna"/>
    <s v="Furniture"/>
    <x v="1"/>
    <s v="Bookcases"/>
    <x v="10"/>
    <s v="Elite Bookcases 393"/>
    <s v="Standard Class"/>
    <x v="3"/>
    <n v="6"/>
    <n v="4217.49"/>
    <n v="0"/>
    <n v="25304.94"/>
    <n v="20771.95"/>
    <n v="4532.99"/>
    <s v="Paid"/>
    <x v="0"/>
    <s v="Cancelled"/>
    <x v="1"/>
    <s v="ORD-2024-10442|03-10-2024|10-03-2024|CUST-3975|Karan Malhotra|Consumer|East|Bihar|Patna|Furniture|Bookcases|Elite Bookcases 393|Standard Class|6|4217.49|0|25304.94|20771.95|4532.99|Paid|Cancelled"/>
    <s v="Keep"/>
    <n v="1"/>
    <s v="Unique"/>
    <s v=""/>
    <n v="0"/>
    <n v="25304.94"/>
    <n v="4532.989999999998"/>
    <n v="0.17913458795002077"/>
    <n v="10"/>
    <n v="2024"/>
    <b v="0"/>
    <b v="0"/>
    <x v="1"/>
    <s v="Cancelled order excluded"/>
    <s v="Warning"/>
  </r>
  <r>
    <s v="ORD-2025-10443"/>
    <s v="12 Jan 2025"/>
    <x v="14"/>
    <d v="2025-01-12T00:00:00"/>
    <s v="2025-01-19"/>
    <d v="2025-01-19T00:00:00"/>
    <s v="OK"/>
    <n v="7"/>
    <s v="CUST-6588"/>
    <s v="Aarav Sharma"/>
    <s v="Aarav Sharma"/>
    <s v="Consumer"/>
    <x v="0"/>
    <s v="East"/>
    <x v="1"/>
    <s v="Jharkhand"/>
    <s v="Jharkhand"/>
    <s v="Ranchi"/>
    <s v="Ranchi"/>
    <s v="Furniture"/>
    <x v="1"/>
    <s v="Tables"/>
    <x v="1"/>
    <s v="Prime Tables 242"/>
    <s v="First Class"/>
    <x v="2"/>
    <n v="1"/>
    <n v="1842.31"/>
    <n v="0"/>
    <n v="1842.31"/>
    <n v="1019.17"/>
    <n v="823.14"/>
    <s v="Paid"/>
    <x v="0"/>
    <s v="Completed"/>
    <x v="0"/>
    <s v="ORD-2025-10443|01-12-2025|01-19-2025|CUST-6588|Aarav Sharma|Consumer|East|Jharkhand|Ranchi|Furniture|Tables|Prime Tables 242|First Class|1|1842.31|0|1842.31|1019.17|823.14|Paid|Completed"/>
    <s v="Keep"/>
    <n v="1"/>
    <s v="Unique"/>
    <s v=""/>
    <n v="0"/>
    <n v="1842.31"/>
    <n v="823.14"/>
    <n v="0.44679777019068451"/>
    <n v="1"/>
    <n v="2025"/>
    <b v="0"/>
    <b v="0"/>
    <x v="0"/>
    <s v=""/>
    <s v="Clean"/>
  </r>
  <r>
    <s v="ORD-2024-10444"/>
    <s v="04-04-2024"/>
    <x v="19"/>
    <d v="2024-04-04T00:00:00"/>
    <s v="07 Apr 2024"/>
    <d v="2024-04-07T00:00:00"/>
    <s v="OK"/>
    <n v="3"/>
    <s v="CUST-2207"/>
    <s v="Rohan Mehta"/>
    <s v="Rohan Mehta"/>
    <s v="Home Office"/>
    <x v="3"/>
    <s v="East"/>
    <x v="1"/>
    <s v="Odisha"/>
    <s v="Odisha"/>
    <s v="Bhubaneswar"/>
    <s v="Bhubaneswar"/>
    <s v="Furniture"/>
    <x v="1"/>
    <s v="Furnishings"/>
    <x v="3"/>
    <s v="Basic Furnishings 563"/>
    <s v="First Class"/>
    <x v="2"/>
    <n v="1"/>
    <n v="3683.75"/>
    <n v="0.1"/>
    <n v="3315.38"/>
    <n v="2347.6799999999998"/>
    <n v="967.7"/>
    <s v="Paid"/>
    <x v="0"/>
    <s v="Completed"/>
    <x v="0"/>
    <s v="ORD-2024-10444|04-04-2024|04-07-2024|CUST-2207|Rohan Mehta|Home Office|East|Odisha|Bhubaneswar|Furniture|Furnishings|Basic Furnishings 563|First Class|1|3683.75|0.1|3315.38|2347.68|967.7|Paid|Completed"/>
    <s v="Keep"/>
    <n v="1"/>
    <s v="Unique"/>
    <s v=""/>
    <n v="0.1"/>
    <n v="3315.375"/>
    <n v="967.69500000000016"/>
    <n v="0.29188100893564084"/>
    <n v="4"/>
    <n v="2024"/>
    <b v="0"/>
    <b v="0"/>
    <x v="0"/>
    <s v=""/>
    <s v="Clean"/>
  </r>
  <r>
    <s v="ORD-2025-10445"/>
    <s v="12 Aug 2025"/>
    <x v="4"/>
    <d v="2025-08-12T00:00:00"/>
    <s v="2025-08-16"/>
    <d v="2025-08-16T00:00:00"/>
    <s v="OK"/>
    <n v="4"/>
    <s v="CUST-4475"/>
    <s v="Ananya Rao"/>
    <s v="Ananya Rao"/>
    <s v="Consumer"/>
    <x v="0"/>
    <s v="East"/>
    <x v="1"/>
    <s v="Assam"/>
    <s v="Assam"/>
    <s v="Guwahati"/>
    <s v="Guwahati"/>
    <s v="Technology"/>
    <x v="2"/>
    <s v="Accessories"/>
    <x v="5"/>
    <s v="Prime Accessories 482"/>
    <s v="Same Day"/>
    <x v="1"/>
    <n v="9"/>
    <n v="2379.2399999999998"/>
    <n v="0.05"/>
    <n v="20342.5"/>
    <n v="12407.51"/>
    <n v="7934.99"/>
    <s v="Paid"/>
    <x v="0"/>
    <s v="Completed"/>
    <x v="0"/>
    <s v="ORD-2025-10445|08-12-2025|08-16-2025|CUST-4475|Ananya Rao|Consumer|East|Assam|Guwahati|Technology|Accessories|Prime Accessories 482|Same Day|9|2379.24|0.05|20342.5|12407.51|7934.99|Paid|Completed"/>
    <s v="Keep"/>
    <n v="1"/>
    <s v="Unique"/>
    <s v=""/>
    <n v="0.05"/>
    <n v="20342.501999999997"/>
    <n v="7934.9919999999966"/>
    <n v="0.39006961877157481"/>
    <n v="8"/>
    <n v="2025"/>
    <b v="0"/>
    <b v="0"/>
    <x v="0"/>
    <s v=""/>
    <s v="Clean"/>
  </r>
  <r>
    <s v="ORD-2024-10446"/>
    <s v="05/09/2024"/>
    <x v="5"/>
    <d v="2024-05-09T00:00:00"/>
    <s v="05-05-2024"/>
    <d v="2024-05-05T00:00:00"/>
    <s v="Ship date before order date"/>
    <n v="-4"/>
    <s v="CUST-1351"/>
    <s v="Arjun Bose"/>
    <s v="Arjun Bose"/>
    <s v="Consumer"/>
    <x v="0"/>
    <s v="East"/>
    <x v="1"/>
    <s v="Assam"/>
    <s v="Assam"/>
    <s v="Guwahati"/>
    <s v="Guwahati"/>
    <s v="Furniture"/>
    <x v="1"/>
    <s v="Bookcases"/>
    <x v="10"/>
    <s v="Eco Bookcases 215"/>
    <s v="Same Day"/>
    <x v="1"/>
    <n v="2"/>
    <n v="2111.23"/>
    <n v="0.2"/>
    <n v="3377.97"/>
    <n v="2496.29"/>
    <n v="881.68"/>
    <s v="Paid"/>
    <x v="0"/>
    <s v="Completed"/>
    <x v="0"/>
    <s v="ORD-2024-10446|05-09-2024|05-05-2024|CUST-1351|Arjun Bose|Consumer|East|Assam|Guwahati|Furniture|Bookcases|Eco Bookcases 215|Same Day|2|2111.23|0.2|3377.97|2496.29|881.68|Paid|Completed"/>
    <s v="Keep"/>
    <n v="1"/>
    <s v="Unique"/>
    <s v=""/>
    <n v="0.2"/>
    <n v="3377.9680000000003"/>
    <n v="881.67800000000034"/>
    <n v="0.26100839321154029"/>
    <n v="5"/>
    <n v="2024"/>
    <b v="0"/>
    <b v="0"/>
    <x v="1"/>
    <s v="Ship date before order date"/>
    <s v="Invalid"/>
  </r>
  <r>
    <s v="ORD-2025-10447"/>
    <s v="18-09-2025"/>
    <x v="8"/>
    <d v="2025-09-18T00:00:00"/>
    <s v="19-09-2025"/>
    <d v="2025-09-19T00:00:00"/>
    <s v="OK"/>
    <n v="1"/>
    <s v="CUST-9295"/>
    <s v="Sneha Kapoor"/>
    <s v="Sneha Kapoor"/>
    <s v="Home Office"/>
    <x v="3"/>
    <s v="South"/>
    <x v="2"/>
    <s v="Andhra Pradesh"/>
    <s v="Andhra Pradesh"/>
    <s v="Vijayawada"/>
    <s v="Vijayawada"/>
    <s v="Office Supplies"/>
    <x v="0"/>
    <s v="Storage"/>
    <x v="8"/>
    <s v="Eco Storage 793"/>
    <s v="Same Day"/>
    <x v="1"/>
    <n v="8"/>
    <n v="4242.51"/>
    <n v="0"/>
    <n v="33940.080000000002"/>
    <n v="23754.19"/>
    <n v="10185.89"/>
    <s v="Paid"/>
    <x v="0"/>
    <s v="Completed"/>
    <x v="0"/>
    <s v="ORD-2025-10447|18-09-2025|19-09-2025|CUST-9295|Sneha Kapoor|Home Office|South|Andhra Pradesh|Vijayawada|Office Supplies|Storage|Eco Storage 793|Same Day|8|4242.51|0|33940.08|23754.19|10185.89|Paid|Completed"/>
    <s v="Keep"/>
    <n v="1"/>
    <s v="Unique"/>
    <s v=""/>
    <n v="0"/>
    <n v="33940.080000000002"/>
    <n v="10185.890000000003"/>
    <n v="0.30011390662603044"/>
    <n v="9"/>
    <n v="2025"/>
    <b v="0"/>
    <b v="0"/>
    <x v="0"/>
    <s v=""/>
    <s v="Clean"/>
  </r>
  <r>
    <s v="ORD-2025-10448"/>
    <s v="10-08-2025"/>
    <x v="4"/>
    <d v="2025-08-10T00:00:00"/>
    <s v="10 Aug 2025"/>
    <d v="2025-08-10T00:00:00"/>
    <s v="OK"/>
    <n v="0"/>
    <s v="CUST-3614"/>
    <s v="Rohan Mehta"/>
    <s v="Rohan Mehta"/>
    <s v="Home Office"/>
    <x v="3"/>
    <s v="South"/>
    <x v="2"/>
    <s v="Telangana"/>
    <s v="Telangana"/>
    <s v="Hyderabad"/>
    <s v="Hyderabad"/>
    <s v="Furniture"/>
    <x v="1"/>
    <s v="Bookcases"/>
    <x v="10"/>
    <s v="Basic Bookcases 182"/>
    <s v="Standard Class"/>
    <x v="3"/>
    <n v="6"/>
    <n v="4288.7"/>
    <n v="0.15"/>
    <n v="21872.37"/>
    <n v="13829.5"/>
    <n v="8042.87"/>
    <s v="Pending"/>
    <x v="2"/>
    <s v="Returned"/>
    <x v="2"/>
    <s v="ORD-2025-10448|10-08-2025|08-10-2025|CUST-3614|Rohan Mehta|Home Office|South|Telangana|Hyderabad|Furniture|Bookcases|Basic Bookcases 182|Standard Class|6|4288.7|0.15|21872.37|13829.5|8042.87|Pending|Returned"/>
    <s v="Keep"/>
    <n v="1"/>
    <s v="Unique"/>
    <s v=""/>
    <n v="0.15"/>
    <n v="21872.369999999995"/>
    <n v="8042.8699999999953"/>
    <n v="0.36771826738483288"/>
    <n v="8"/>
    <n v="2025"/>
    <b v="0"/>
    <b v="0"/>
    <x v="1"/>
    <s v="Returned order excluded"/>
    <s v="Warning"/>
  </r>
  <r>
    <s v="ORD-2024-10449"/>
    <s v="01/15/2024"/>
    <x v="12"/>
    <d v="2024-01-15T00:00:00"/>
    <s v="18 Jan 2024"/>
    <d v="2024-01-18T00:00:00"/>
    <s v="OK"/>
    <n v="3"/>
    <s v="CUST-1932"/>
    <s v="Mira Das"/>
    <s v="Mira Das"/>
    <s v="Small Business"/>
    <x v="1"/>
    <s v="South"/>
    <x v="2"/>
    <s v="Andhra Pradesh"/>
    <s v="Andhra Pradesh"/>
    <s v="Vijayawada"/>
    <s v="Vijayawada"/>
    <s v="Furniture"/>
    <x v="1"/>
    <s v="Chairs"/>
    <x v="4"/>
    <s v="Prime Chairs 631"/>
    <s v="First Class"/>
    <x v="2"/>
    <n v="2"/>
    <n v="201.21"/>
    <n v="0.15"/>
    <n v="342.06"/>
    <n v="244.57"/>
    <n v="97.49"/>
    <s v="Paid"/>
    <x v="0"/>
    <s v="Completed"/>
    <x v="0"/>
    <s v="ORD-2024-10449|01-15-2024|01-18-2024|CUST-1932|Mira Das|Small Business|South|Andhra Pradesh|Vijayawada|Furniture|Chairs|Prime Chairs 631|First Class|2|201.21|0.15|342.06|244.57|97.49|Paid|Completed"/>
    <s v="Keep"/>
    <n v="1"/>
    <s v="Unique"/>
    <s v=""/>
    <n v="0.15"/>
    <n v="342.05700000000002"/>
    <n v="97.487000000000023"/>
    <n v="0.28500220723446684"/>
    <n v="1"/>
    <n v="2024"/>
    <b v="0"/>
    <b v="0"/>
    <x v="0"/>
    <s v=""/>
    <s v="Clean"/>
  </r>
  <r>
    <s v="ORD-2024-10450"/>
    <s v="06-06-2024"/>
    <x v="2"/>
    <d v="2024-06-06T00:00:00"/>
    <s v="13 Jun 2024"/>
    <d v="2024-06-13T00:00:00"/>
    <s v="OK"/>
    <n v="7"/>
    <s v="CUST-5094"/>
    <s v="Aditi Sen"/>
    <s v="Aditi Sen"/>
    <s v="Corporate"/>
    <x v="2"/>
    <s v="East"/>
    <x v="1"/>
    <s v="Assam"/>
    <s v="Assam"/>
    <s v="Guwahati"/>
    <s v="Guwahati"/>
    <s v="Technology"/>
    <x v="2"/>
    <s v="Machines"/>
    <x v="12"/>
    <s v="Basic Machines 808"/>
    <s v="Second Class"/>
    <x v="0"/>
    <n v="6"/>
    <n v="3270.36"/>
    <n v="0"/>
    <n v="19622.16"/>
    <n v="14271.27"/>
    <n v="5350.89"/>
    <s v="Paid"/>
    <x v="0"/>
    <s v="Completed"/>
    <x v="0"/>
    <s v="ORD-2024-10450|06-06-2024|06-13-2024|CUST-5094|Aditi Sen|Corporate|East|Assam|Guwahati|Technology|Machines|Basic Machines 808|Second Class|6|3270.36|0|19622.16|14271.27|5350.89|Paid|Completed"/>
    <s v="Keep"/>
    <n v="1"/>
    <s v="Unique"/>
    <s v=""/>
    <n v="0"/>
    <n v="19622.16"/>
    <n v="5350.8899999999994"/>
    <n v="0.27269627808559299"/>
    <n v="6"/>
    <n v="2024"/>
    <b v="0"/>
    <b v="0"/>
    <x v="0"/>
    <s v=""/>
    <s v="Clean"/>
  </r>
  <r>
    <s v="ORD-2025-10451"/>
    <s v="06/12/2025"/>
    <x v="18"/>
    <d v="2025-06-12T00:00:00"/>
    <s v="2025-06-19"/>
    <d v="2025-06-19T00:00:00"/>
    <s v="OK"/>
    <n v="7"/>
    <s v="CUST-8672"/>
    <s v="Ananya Rao"/>
    <s v="Ananya Rao"/>
    <s v="Corporate"/>
    <x v="2"/>
    <s v="North"/>
    <x v="0"/>
    <s v="Delhi"/>
    <s v="Delhi"/>
    <s v="New Delhi"/>
    <s v="New Delhi"/>
    <s v="Furniture"/>
    <x v="1"/>
    <s v="Chairs"/>
    <x v="4"/>
    <s v="Pro Chairs 302"/>
    <s v="Standard Class"/>
    <x v="3"/>
    <n v="9"/>
    <n v="2278.5700000000002"/>
    <n v="0.25"/>
    <n v="15380.35"/>
    <n v="9907.3700000000008"/>
    <n v="5472.98"/>
    <s v="Paid"/>
    <x v="0"/>
    <s v="Completed"/>
    <x v="0"/>
    <s v="ORD-2025-10451|06-12-2025|06-19-2025|CUST-8672|Ananya Rao|Corporate|North|Delhi|New Delhi|Furniture|Chairs|Pro Chairs 302|Standard Class|9|2278.57|0.25|15380.35|9907.37|5472.98|Paid|Completed"/>
    <s v="Keep"/>
    <n v="1"/>
    <s v="Unique"/>
    <s v=""/>
    <n v="0.25"/>
    <n v="15380.3475"/>
    <n v="5472.9774999999991"/>
    <n v="0.35584225258889624"/>
    <n v="6"/>
    <n v="2025"/>
    <b v="0"/>
    <b v="0"/>
    <x v="0"/>
    <s v=""/>
    <s v="Clean"/>
  </r>
  <r>
    <s v="ORD-2024-10452"/>
    <s v="24-03-2024"/>
    <x v="15"/>
    <d v="2024-03-24T00:00:00"/>
    <s v="26-03-2024"/>
    <d v="2024-03-26T00:00:00"/>
    <s v="OK"/>
    <n v="2"/>
    <s v="CUST-3907"/>
    <s v="Rohan Mehta"/>
    <s v="Rohan Mehta"/>
    <s v="Small Business"/>
    <x v="1"/>
    <s v="North"/>
    <x v="0"/>
    <s v="Haryana"/>
    <s v="Haryana"/>
    <s v="Gurugram"/>
    <s v="Gurugram"/>
    <s v="Office Supplies"/>
    <x v="0"/>
    <s v="Paper"/>
    <x v="0"/>
    <s v="Classic Paper 272"/>
    <s v="Second Class"/>
    <x v="0"/>
    <n v="8"/>
    <n v="1917.64"/>
    <n v="0.15"/>
    <n v="13039.95"/>
    <n v="11127.82"/>
    <n v="1912.13"/>
    <s v="Paid"/>
    <x v="0"/>
    <s v="Cancelled"/>
    <x v="1"/>
    <s v="ORD-2024-10452|24-03-2024|26-03-2024|CUST-3907|Rohan Mehta|Small Business|North|Haryana|Gurugram|Office Supplies|Paper|Classic Paper 272|Second Class|8|1917.64|0.15|13039.95|11127.82|1912.13|Paid|Cancelled"/>
    <s v="Keep"/>
    <n v="1"/>
    <s v="Unique"/>
    <s v=""/>
    <n v="0.15"/>
    <n v="13039.952000000001"/>
    <n v="1912.1320000000014"/>
    <n v="0.1466364293365498"/>
    <n v="3"/>
    <n v="2024"/>
    <b v="0"/>
    <b v="0"/>
    <x v="1"/>
    <s v="Cancelled order excluded"/>
    <s v="Warning"/>
  </r>
  <r>
    <s v="ORD-2024-10453"/>
    <s v="10-05-2024"/>
    <x v="5"/>
    <d v="2024-05-10T00:00:00"/>
    <s v="16-05-2024"/>
    <d v="2024-05-16T00:00:00"/>
    <s v="OK"/>
    <n v="6"/>
    <s v="CUST-8796"/>
    <s v="Diya Patel"/>
    <s v="Diya Patel"/>
    <s v="Home Office"/>
    <x v="3"/>
    <s v="East"/>
    <x v="1"/>
    <s v="Jharkhand"/>
    <s v="Jharkhand"/>
    <s v="Ranchi"/>
    <s v="Ranchi"/>
    <s v="Technology"/>
    <x v="2"/>
    <s v="Accessories"/>
    <x v="5"/>
    <s v="Smart Accessories 149"/>
    <s v="Second Class"/>
    <x v="0"/>
    <n v="6"/>
    <n v="2013.33"/>
    <n v="0.2"/>
    <n v="9663.98"/>
    <n v="5628.93"/>
    <n v="4035.05"/>
    <s v="Paid"/>
    <x v="0"/>
    <s v="Completed"/>
    <x v="0"/>
    <s v="ORD-2024-10453|10-05-2024|16-05-2024|CUST-8796|Diya Patel|Home Office|East|Jharkhand|Ranchi|Technology|Accessories|Smart Accessories 149|Second Class|6|2013.33|0.2|9663.98|5628.93|4035.05|Paid|Completed"/>
    <s v="Keep"/>
    <n v="1"/>
    <s v="Unique"/>
    <s v=""/>
    <n v="0.2"/>
    <n v="9663.9840000000004"/>
    <n v="4035.0540000000001"/>
    <n v="0.41753525254180884"/>
    <n v="5"/>
    <n v="2024"/>
    <b v="0"/>
    <b v="0"/>
    <x v="0"/>
    <s v=""/>
    <s v="Clean"/>
  </r>
  <r>
    <s v="ORD-2025-10454"/>
    <s v="05/03/2025"/>
    <x v="9"/>
    <d v="2025-05-03T00:00:00"/>
    <s v="2025-05-11"/>
    <d v="2025-05-11T00:00:00"/>
    <s v="OK"/>
    <n v="8"/>
    <s v="CUST-2317"/>
    <s v="Rohan Mehta"/>
    <s v="Rohan Mehta"/>
    <s v="  Small Business "/>
    <x v="1"/>
    <s v="West"/>
    <x v="3"/>
    <s v="Madhya Pradesh"/>
    <s v="Madhya Pradesh"/>
    <s v="Indore"/>
    <s v="Indore"/>
    <s v="Office Supplies"/>
    <x v="0"/>
    <s v="Labels"/>
    <x v="7"/>
    <s v="Elite Labels 322"/>
    <s v="Same Day"/>
    <x v="1"/>
    <n v="5"/>
    <n v="1483.52"/>
    <n v="0"/>
    <n v="7417.6"/>
    <n v="4955.8599999999997"/>
    <n v="2461.7399999999998"/>
    <s v="Paid"/>
    <x v="0"/>
    <s v="Completed"/>
    <x v="0"/>
    <s v="ORD-2025-10454|05-03-2025|05-11-2025|CUST-2317|Rohan Mehta|  Small Business |West|Madhya Pradesh|Indore|Office Supplies|Labels|Elite Labels 322|Same Day|5|1483.52|0|7417.6|4955.86|2461.74|Paid|Completed"/>
    <s v="Keep"/>
    <n v="1"/>
    <s v="Unique"/>
    <s v=""/>
    <n v="0"/>
    <n v="7417.6"/>
    <n v="2461.7400000000007"/>
    <n v="0.3318782355478862"/>
    <n v="5"/>
    <n v="2025"/>
    <b v="0"/>
    <b v="0"/>
    <x v="0"/>
    <s v=""/>
    <s v="Clean"/>
  </r>
  <r>
    <s v="ORD-2025-10455"/>
    <s v="2025-03-23"/>
    <x v="20"/>
    <d v="2025-03-23T00:00:00"/>
    <s v="28-03-2025"/>
    <d v="2025-03-28T00:00:00"/>
    <s v="OK"/>
    <n v="5"/>
    <s v="CUST-8643"/>
    <s v="Vikram Iyer"/>
    <s v="Vikram Iyer"/>
    <s v="Small Business"/>
    <x v="1"/>
    <s v="North"/>
    <x v="0"/>
    <s v="Rajasthan"/>
    <s v="Rajasthan"/>
    <s v="Jaipur"/>
    <s v="Jaipur"/>
    <s v="Furniture"/>
    <x v="1"/>
    <s v="Furnishings"/>
    <x v="3"/>
    <s v="Max Furnishings 821"/>
    <s v="Standard Class"/>
    <x v="3"/>
    <n v="9"/>
    <n v="3298"/>
    <n v="0.15"/>
    <n v="25229.7"/>
    <n v="20170.43"/>
    <n v="5059.2700000000004"/>
    <s v="Paid"/>
    <x v="0"/>
    <s v="Completed"/>
    <x v="0"/>
    <s v="ORD-2025-10455|03-23-2025|28-03-2025|CUST-8643|Vikram Iyer|Small Business|North|Rajasthan|Jaipur|Furniture|Furnishings|Max Furnishings 821|Standard Class|9|3298|0.15|25229.7|20170.43|5059.27|Paid|Completed"/>
    <s v="Keep"/>
    <n v="1"/>
    <s v="Unique"/>
    <s v=""/>
    <n v="0.15"/>
    <n v="25229.7"/>
    <n v="5059.2700000000004"/>
    <n v="0.20052834556098567"/>
    <n v="3"/>
    <n v="2025"/>
    <b v="0"/>
    <b v="0"/>
    <x v="0"/>
    <s v=""/>
    <s v="Clean"/>
  </r>
  <r>
    <s v="ORD-2024-10456"/>
    <s v="18 Jul 2024"/>
    <x v="0"/>
    <d v="2024-07-18T00:00:00"/>
    <s v="22-07-2024"/>
    <d v="2024-07-22T00:00:00"/>
    <s v="OK"/>
    <n v="4"/>
    <s v="CUST-1800"/>
    <s v="Neha Gupta"/>
    <s v="Neha Gupta"/>
    <s v="Small Business"/>
    <x v="1"/>
    <s v="South"/>
    <x v="2"/>
    <s v="Telangana"/>
    <s v="Telangana"/>
    <s v="Hyderabad"/>
    <s v="Hyderabad"/>
    <s v="Office Supplies"/>
    <x v="0"/>
    <s v="Art"/>
    <x v="2"/>
    <s v="Basic Art 556"/>
    <s v="Standard Class"/>
    <x v="3"/>
    <n v="4"/>
    <n v="808.77"/>
    <n v="0"/>
    <n v="3235.08"/>
    <n v="1848.6"/>
    <n v="1386.48"/>
    <s v="Paid"/>
    <x v="0"/>
    <s v="Completed"/>
    <x v="0"/>
    <s v="ORD-2024-10456|07-18-2024|22-07-2024|CUST-1800|Neha Gupta|Small Business|South|Telangana|Hyderabad|Office Supplies|Art|Basic Art 556|Standard Class|4|808.77|0|3235.08|1848.6|1386.48|Paid|Completed"/>
    <s v="Keep"/>
    <n v="1"/>
    <s v="Unique"/>
    <s v=""/>
    <n v="0"/>
    <n v="3235.08"/>
    <n v="1386.48"/>
    <n v="0.42857672762342819"/>
    <n v="7"/>
    <n v="2024"/>
    <b v="0"/>
    <b v="0"/>
    <x v="0"/>
    <s v=""/>
    <s v="Clean"/>
  </r>
  <r>
    <s v="ORD-2024-10457"/>
    <s v="2024-02-20"/>
    <x v="17"/>
    <d v="2024-02-20T00:00:00"/>
    <s v="2024-02-20"/>
    <d v="2024-02-20T00:00:00"/>
    <s v="OK"/>
    <n v="0"/>
    <s v="CUST-7688"/>
    <s v="Neha Gupta"/>
    <s v="Neha Gupta"/>
    <s v="Corporate"/>
    <x v="2"/>
    <s v="North"/>
    <x v="0"/>
    <s v="Uttar Pradesh"/>
    <s v="Uttar Pradesh"/>
    <s v="Noida"/>
    <s v="Noida"/>
    <s v="Technology"/>
    <x v="2"/>
    <s v="Accessories"/>
    <x v="5"/>
    <s v="Smart Accessories 265"/>
    <s v="Same Day"/>
    <x v="1"/>
    <n v="5"/>
    <n v="2604.91"/>
    <n v="0.15"/>
    <n v="11070.87"/>
    <n v="6623.61"/>
    <n v="4447.26"/>
    <s v="Paid"/>
    <x v="0"/>
    <s v="Returned"/>
    <x v="2"/>
    <s v="ORD-2024-10457|02-20-2024|02-20-2024|CUST-7688|Neha Gupta|Corporate|North|Uttar Pradesh|Noida|Technology|Accessories|Smart Accessories 265|Same Day|5|2604.91|0.15|11070.87|6623.61|4447.26|Paid|Returned"/>
    <s v="Keep"/>
    <n v="1"/>
    <s v="Unique"/>
    <s v=""/>
    <n v="0.15"/>
    <n v="11070.867499999998"/>
    <n v="4447.2574999999988"/>
    <n v="0.40170813172499803"/>
    <n v="2"/>
    <n v="2024"/>
    <b v="0"/>
    <b v="0"/>
    <x v="1"/>
    <s v="Returned order excluded"/>
    <s v="Warning"/>
  </r>
  <r>
    <s v="ORD-2024-10458"/>
    <s v="05/04/2024"/>
    <x v="5"/>
    <d v="2024-05-04T00:00:00"/>
    <s v="2024-05-04"/>
    <d v="2024-05-04T00:00:00"/>
    <s v="OK"/>
    <n v="0"/>
    <s v="CUST-4957"/>
    <s v="Mira Das"/>
    <s v="Mira Das"/>
    <s v="Small Business"/>
    <x v="1"/>
    <s v="West"/>
    <x v="3"/>
    <s v="Goa"/>
    <s v="Goa"/>
    <s v="Panaji"/>
    <s v="Panaji"/>
    <s v="Furniture"/>
    <x v="1"/>
    <s v="Tables"/>
    <x v="1"/>
    <s v="Elite Tables 418"/>
    <s v="Standard Class"/>
    <x v="3"/>
    <n v="7"/>
    <n v="2851.51"/>
    <n v="0"/>
    <n v="19960.57"/>
    <n v="16603.599999999999"/>
    <n v="3356.97"/>
    <s v="Paid"/>
    <x v="0"/>
    <s v="Completed"/>
    <x v="0"/>
    <s v="ORD-2024-10458|05-04-2024|05-04-2024|CUST-4957|Mira Das|Small Business|West|Goa|Panaji|Furniture|Tables|Elite Tables 418|Standard Class|7|2851.51|0|19960.57|16603.6|3356.97|Paid|Completed"/>
    <s v="Keep"/>
    <n v="1"/>
    <s v="Unique"/>
    <s v=""/>
    <n v="0"/>
    <n v="19960.57"/>
    <n v="3356.9700000000012"/>
    <n v="0.1681800670020947"/>
    <n v="5"/>
    <n v="2024"/>
    <b v="0"/>
    <b v="0"/>
    <x v="0"/>
    <s v=""/>
    <s v="Clean"/>
  </r>
  <r>
    <s v="ORD-2024-10459"/>
    <s v="2024-02-10"/>
    <x v="17"/>
    <d v="2024-02-10T00:00:00"/>
    <s v="02/11/2024"/>
    <d v="2024-02-11T00:00:00"/>
    <s v="OK"/>
    <n v="1"/>
    <s v="CUST-1263"/>
    <s v="Karan Malhotra"/>
    <s v="Karan Malhotra"/>
    <s v="Corporate"/>
    <x v="2"/>
    <s v="North"/>
    <x v="0"/>
    <s v="Rajasthan"/>
    <s v="Rajasthan"/>
    <s v="Jaipur"/>
    <s v="Jaipur"/>
    <s v="Technology"/>
    <x v="2"/>
    <s v="Phones"/>
    <x v="11"/>
    <s v="Pro Phones 907"/>
    <s v="Second Class"/>
    <x v="0"/>
    <n v="3"/>
    <n v="3183.72"/>
    <n v="0.1"/>
    <n v="8596.0400000000009"/>
    <n v="5378.16"/>
    <n v="3217.88"/>
    <s v="Paid"/>
    <x v="0"/>
    <s v="Completed"/>
    <x v="0"/>
    <s v="ORD-2024-10459|02-10-2024|02-11-2024|CUST-1263|Karan Malhotra|Corporate|North|Rajasthan|Jaipur|Technology|Phones|Pro Phones 907|Second Class|3|3183.72|0.1|8596.04|5378.16|3217.88|Paid|Completed"/>
    <s v="Keep"/>
    <n v="1"/>
    <s v="Unique"/>
    <s v=""/>
    <n v="0.1"/>
    <n v="8596.0439999999999"/>
    <n v="3217.884"/>
    <n v="0.37434475672762962"/>
    <n v="2"/>
    <n v="2024"/>
    <b v="0"/>
    <b v="0"/>
    <x v="0"/>
    <s v=""/>
    <s v="Clean"/>
  </r>
  <r>
    <s v="ORD-2024-10460"/>
    <s v="03/28/2024"/>
    <x v="15"/>
    <d v="2024-03-28T00:00:00"/>
    <s v="04-04-2024"/>
    <d v="2024-04-04T00:00:00"/>
    <s v="OK"/>
    <n v="7"/>
    <s v="CUST-4745"/>
    <s v="Ananya Rao"/>
    <s v="Ananya Rao"/>
    <s v="Home Office"/>
    <x v="3"/>
    <s v="West"/>
    <x v="3"/>
    <s v="Goa"/>
    <s v="Goa"/>
    <s v="Panaji"/>
    <s v="Panaji"/>
    <s v="Office Supplies"/>
    <x v="0"/>
    <s v="Paper"/>
    <x v="0"/>
    <s v="Basic Paper 233"/>
    <s v="First Class"/>
    <x v="2"/>
    <n v="3"/>
    <n v="1150.92"/>
    <n v="0"/>
    <n v="3452.76"/>
    <n v="2077.96"/>
    <n v="1374.8"/>
    <s v="Paid"/>
    <x v="0"/>
    <s v="Completed"/>
    <x v="0"/>
    <s v="ORD-2024-10460|03-28-2024|04-04-2024|CUST-4745|Ananya Rao|Home Office|West|Goa|Panaji|Office Supplies|Paper|Basic Paper 233|First Class|3|1150.92|0|3452.76|2077.96|1374.8|Paid|Completed"/>
    <s v="Keep"/>
    <n v="1"/>
    <s v="Unique"/>
    <s v=""/>
    <n v="0"/>
    <n v="3452.76"/>
    <n v="1374.8000000000002"/>
    <n v="0.39817421425178701"/>
    <n v="3"/>
    <n v="2024"/>
    <b v="0"/>
    <b v="0"/>
    <x v="0"/>
    <s v=""/>
    <s v="Clean"/>
  </r>
  <r>
    <s v="ORD-2025-10461"/>
    <s v="30 Sep 2025"/>
    <x v="8"/>
    <d v="2025-09-30T00:00:00"/>
    <s v="06 Oct 2025"/>
    <d v="2025-10-06T00:00:00"/>
    <s v="OK"/>
    <n v="6"/>
    <s v="CUST-5551"/>
    <s v="Aarav Sharma"/>
    <s v="Aarav Sharma"/>
    <s v="Corporate"/>
    <x v="2"/>
    <m/>
    <x v="4"/>
    <s v="Rajasthan"/>
    <s v="Rajasthan"/>
    <s v="Jaipur"/>
    <s v="Jaipur"/>
    <s v="Technology"/>
    <x v="2"/>
    <s v="Copiers"/>
    <x v="6"/>
    <s v="Eco Copiers 603"/>
    <s v="Second Class"/>
    <x v="0"/>
    <n v="9"/>
    <n v="1359.88"/>
    <n v="0.05"/>
    <n v="11626.97"/>
    <n v="7394.07"/>
    <n v="4232.8999999999996"/>
    <s v="Paid"/>
    <x v="0"/>
    <s v="Completed"/>
    <x v="0"/>
    <s v="ORD-2025-10461|09-30-2025|10-06-2025|CUST-5551|Aarav Sharma|Corporate||Rajasthan|Jaipur|Technology|Copiers|Eco Copiers 603|Second Class|9|1359.88|0.05|11626.97|7394.07|4232.9|Paid|Completed"/>
    <s v="Keep"/>
    <n v="1"/>
    <s v="Unique"/>
    <s v=""/>
    <n v="0.05"/>
    <n v="11626.974000000002"/>
    <n v="4232.9040000000023"/>
    <n v="0.36405895463428417"/>
    <n v="9"/>
    <n v="2025"/>
    <b v="0"/>
    <b v="0"/>
    <x v="0"/>
    <s v="Missing region filled as Unknown"/>
    <s v="Warning"/>
  </r>
  <r>
    <s v="ORD-2025-10462"/>
    <s v="05/25/2025"/>
    <x v="9"/>
    <d v="2025-05-25T00:00:00"/>
    <s v="05/26/2025"/>
    <d v="2025-05-26T00:00:00"/>
    <s v="OK"/>
    <n v="1"/>
    <s v="CUST-3659"/>
    <s v="Neha Gupta"/>
    <s v="Neha Gupta"/>
    <s v="Corporate"/>
    <x v="2"/>
    <s v="South"/>
    <x v="2"/>
    <s v="Andhra Pradesh"/>
    <s v="Andhra Pradesh"/>
    <s v="Vijayawada"/>
    <s v="Vijayawada"/>
    <s v="Office Supplies"/>
    <x v="0"/>
    <s v="Paper"/>
    <x v="0"/>
    <s v="Max Paper 700"/>
    <s v="Standard Class"/>
    <x v="3"/>
    <n v="3"/>
    <n v="3378.15"/>
    <n v="0.15"/>
    <n v="8614.2800000000007"/>
    <n v="7052.08"/>
    <n v="1562.2"/>
    <s v="Paid"/>
    <x v="0"/>
    <s v="Completed"/>
    <x v="0"/>
    <s v="ORD-2025-10462|05-25-2025|05-26-2025|CUST-3659|Neha Gupta|Corporate|South|Andhra Pradesh|Vijayawada|Office Supplies|Paper|Max Paper 700|Standard Class|3|3378.15|0.15|8614.28|7052.08|1562.2|Paid|Completed"/>
    <s v="Keep"/>
    <n v="1"/>
    <s v="Unique"/>
    <s v=""/>
    <n v="0.15"/>
    <n v="8614.2825000000012"/>
    <n v="1562.2025000000012"/>
    <n v="0.18135027496486225"/>
    <n v="5"/>
    <n v="2025"/>
    <b v="0"/>
    <b v="0"/>
    <x v="0"/>
    <s v=""/>
    <s v="Clean"/>
  </r>
  <r>
    <s v="ORD-2024-10463"/>
    <s v="09/23/2024"/>
    <x v="21"/>
    <d v="2024-09-23T00:00:00"/>
    <s v="25-09-2024"/>
    <d v="2024-09-25T00:00:00"/>
    <s v="OK"/>
    <n v="2"/>
    <s v="CUST-6594"/>
    <s v="Aarav Sharma"/>
    <s v="Aarav Sharma"/>
    <s v="Home Office"/>
    <x v="3"/>
    <s v="North"/>
    <x v="0"/>
    <s v="Delhi"/>
    <s v="Delhi"/>
    <s v="New Delhi"/>
    <s v="New Delhi"/>
    <s v="Office Supplies"/>
    <x v="0"/>
    <s v="Binders"/>
    <x v="9"/>
    <s v="Pro Binders 404"/>
    <s v="First Class"/>
    <x v="2"/>
    <n v="2"/>
    <n v="1275.1400000000001"/>
    <n v="0.2"/>
    <n v="2040.22"/>
    <n v="1395.71"/>
    <n v="644.51"/>
    <s v="Paid"/>
    <x v="0"/>
    <s v="Completed"/>
    <x v="0"/>
    <s v="ORD-2024-10463|09-23-2024|25-09-2024|CUST-6594|Aarav Sharma|Home Office|North|Delhi|New Delhi|Office Supplies|Binders|Pro Binders 404|First Class|2|1275.14|0.2|2040.22|1395.71|644.51|Paid|Completed"/>
    <s v="Keep"/>
    <n v="1"/>
    <s v="Unique"/>
    <s v=""/>
    <n v="0.2"/>
    <n v="2040.2240000000002"/>
    <n v="644.51400000000012"/>
    <n v="0.31590354784572677"/>
    <n v="9"/>
    <n v="2024"/>
    <b v="0"/>
    <b v="0"/>
    <x v="0"/>
    <s v=""/>
    <s v="Clean"/>
  </r>
  <r>
    <s v="ORD-2025-10464"/>
    <s v="07-02-2025"/>
    <x v="7"/>
    <d v="2025-02-07T00:00:00"/>
    <s v="2025-02-08"/>
    <d v="2025-02-08T00:00:00"/>
    <s v="OK"/>
    <n v="1"/>
    <s v="CUST-2626"/>
    <s v="Arjun Bose"/>
    <s v="Arjun Bose"/>
    <s v="Corporate"/>
    <x v="2"/>
    <s v="West"/>
    <x v="3"/>
    <s v="Madhya Pradesh"/>
    <s v="Madhya Pradesh"/>
    <s v="Indore"/>
    <s v="Indore"/>
    <s v="Technology"/>
    <x v="2"/>
    <s v="Phones"/>
    <x v="11"/>
    <s v="Eco Phones 208"/>
    <s v="Standard Class"/>
    <x v="3"/>
    <n v="4"/>
    <n v="889.5"/>
    <n v="0.2"/>
    <n v="2846.4"/>
    <n v="2132.37"/>
    <n v="714.03"/>
    <s v="Paid"/>
    <x v="0"/>
    <s v="Completed"/>
    <x v="0"/>
    <s v="ORD-2025-10464|07-02-2025|02-08-2025|CUST-2626|Arjun Bose|Corporate|West|Madhya Pradesh|Indore|Technology|Phones|Eco Phones 208|Standard Class|4|889.5|0.2|2846.4|2132.37|714.03|Paid|Completed"/>
    <s v="Keep"/>
    <n v="1"/>
    <s v="Unique"/>
    <s v=""/>
    <n v="0.2"/>
    <n v="2846.4"/>
    <n v="714.0300000000002"/>
    <n v="0.25085370994940986"/>
    <n v="2"/>
    <n v="2025"/>
    <b v="0"/>
    <b v="0"/>
    <x v="0"/>
    <s v=""/>
    <s v="Clean"/>
  </r>
  <r>
    <s v="ORD-2025-10465"/>
    <s v="11-03-2025"/>
    <x v="20"/>
    <d v="2025-03-11T00:00:00"/>
    <s v="03/15/2025"/>
    <d v="2025-03-15T00:00:00"/>
    <s v="OK"/>
    <n v="4"/>
    <s v="CUST-7362"/>
    <s v="Arjun Bose"/>
    <s v="Arjun Bose"/>
    <s v="Corporate"/>
    <x v="2"/>
    <s v="East"/>
    <x v="1"/>
    <s v="Bihar"/>
    <s v="Bihar"/>
    <s v="Patna"/>
    <s v="Patna"/>
    <s v="Office Supplies"/>
    <x v="0"/>
    <s v="Paper"/>
    <x v="0"/>
    <s v="Elite Paper 106"/>
    <s v="Same Day"/>
    <x v="1"/>
    <n v="3"/>
    <n v="3625.08"/>
    <n v="0.05"/>
    <n v="10331.48"/>
    <n v="7131.91"/>
    <n v="3199.57"/>
    <s v="Pending"/>
    <x v="2"/>
    <s v="Cancelled"/>
    <x v="1"/>
    <s v="ORD-2025-10465|11-03-2025|03-15-2025|CUST-7362|Arjun Bose|Corporate|East|Bihar|Patna|Office Supplies|Paper|Elite Paper 106|Same Day|3|3625.08|0.05|10331.48|7131.91|3199.57|Pending|Cancelled"/>
    <s v="Keep"/>
    <n v="1"/>
    <s v="Unique"/>
    <s v=""/>
    <n v="0.05"/>
    <n v="10331.477999999999"/>
    <n v="3199.5679999999993"/>
    <n v="0.30969121746181905"/>
    <n v="3"/>
    <n v="2025"/>
    <b v="0"/>
    <b v="0"/>
    <x v="1"/>
    <s v="Cancelled order excluded"/>
    <s v="Warning"/>
  </r>
  <r>
    <s v="ORD-2024-10466"/>
    <s v="29-01-2024"/>
    <x v="12"/>
    <d v="2024-01-29T00:00:00"/>
    <s v="2024-02-06"/>
    <d v="2024-02-06T00:00:00"/>
    <s v="OK"/>
    <n v="8"/>
    <s v="CUST-1748"/>
    <s v="Aarav Sharma"/>
    <s v="Aarav Sharma"/>
    <s v="Small Business"/>
    <x v="1"/>
    <s v="West"/>
    <x v="3"/>
    <s v="Madhya Pradesh"/>
    <s v="Madhya Pradesh"/>
    <s v="Indore"/>
    <s v="Indore"/>
    <s v="Office Supplies"/>
    <x v="0"/>
    <s v="Labels"/>
    <x v="7"/>
    <s v="Eco Labels 914"/>
    <s v="Standard Class"/>
    <x v="3"/>
    <n v="2"/>
    <n v="1258.9000000000001"/>
    <n v="0"/>
    <n v="2517.8000000000002"/>
    <n v="1478.54"/>
    <n v="1039.26"/>
    <s v="Paid"/>
    <x v="0"/>
    <s v="Completed"/>
    <x v="0"/>
    <s v="ORD-2024-10466|29-01-2024|02-06-2024|CUST-1748|Aarav Sharma|Small Business|West|Madhya Pradesh|Indore|Office Supplies|Labels|Eco Labels 914|Standard Class|2|1258.9|0|2517.8|1478.54|1039.26|Paid|Completed"/>
    <s v="Keep"/>
    <n v="1"/>
    <s v="Unique"/>
    <s v=""/>
    <n v="0"/>
    <n v="2517.8000000000002"/>
    <n v="1039.2600000000002"/>
    <n v="0.41276511239971408"/>
    <n v="1"/>
    <n v="2024"/>
    <b v="0"/>
    <b v="0"/>
    <x v="0"/>
    <s v=""/>
    <s v="Clean"/>
  </r>
  <r>
    <s v="ORD-2024-10467"/>
    <s v="04-01-2024"/>
    <x v="12"/>
    <d v="2024-01-04T00:00:00"/>
    <s v="01/08/2024"/>
    <d v="2024-01-08T00:00:00"/>
    <s v="OK"/>
    <n v="4"/>
    <s v="CUST-2725"/>
    <s v="Mira Das"/>
    <s v="Mira Das"/>
    <s v="Small Business"/>
    <x v="1"/>
    <s v="East"/>
    <x v="1"/>
    <s v="Bihar"/>
    <s v="Bihar"/>
    <s v="Patna"/>
    <s v="Patna"/>
    <s v="Technology"/>
    <x v="2"/>
    <s v="Accessories"/>
    <x v="5"/>
    <s v="Max Accessories 486"/>
    <s v="Same Day"/>
    <x v="1"/>
    <n v="9"/>
    <n v="1591.96"/>
    <n v="0.2"/>
    <n v="11462.11"/>
    <n v="7105.48"/>
    <n v="4356.63"/>
    <s v="Paid"/>
    <x v="0"/>
    <s v="Completed"/>
    <x v="0"/>
    <s v="ORD-2024-10467|04-01-2024|01-08-2024|CUST-2725|Mira Das|Small Business|East|Bihar|Patna|Technology|Accessories|Max Accessories 486|Same Day|9|1591.96|0.2|11462.11|7105.48|4356.63|Paid|Completed"/>
    <s v="Keep"/>
    <n v="1"/>
    <s v="Unique"/>
    <s v=""/>
    <n v="0.2"/>
    <n v="11462.112000000001"/>
    <n v="4356.6320000000014"/>
    <n v="0.38008981241851425"/>
    <n v="1"/>
    <n v="2024"/>
    <b v="0"/>
    <b v="0"/>
    <x v="0"/>
    <s v=""/>
    <s v="Clean"/>
  </r>
  <r>
    <s v="ORD-2024-10468"/>
    <s v="20-08-2024"/>
    <x v="1"/>
    <d v="2024-08-20T00:00:00"/>
    <s v="21 Aug 2024"/>
    <d v="2024-08-21T00:00:00"/>
    <s v="OK"/>
    <n v="1"/>
    <s v="CUST-9470"/>
    <s v="Aditi Sen"/>
    <s v="Aditi Sen"/>
    <s v="Corporate"/>
    <x v="2"/>
    <s v="East"/>
    <x v="1"/>
    <s v="Odisha"/>
    <s v="Odisha"/>
    <s v="Bhubaneswar"/>
    <s v="Bhubaneswar"/>
    <s v="Technology"/>
    <x v="2"/>
    <s v="Copiers"/>
    <x v="6"/>
    <s v="Max Copiers 867"/>
    <s v="First Class"/>
    <x v="2"/>
    <n v="5"/>
    <n v="4288.33"/>
    <n v="0.1"/>
    <n v="19297.490000000002"/>
    <n v="15451.66"/>
    <n v="3845.83"/>
    <s v="Refunded"/>
    <x v="1"/>
    <s v="Cancelled"/>
    <x v="1"/>
    <s v="ORD-2024-10468|20-08-2024|08-21-2024|CUST-9470|Aditi Sen|Corporate|East|Odisha|Bhubaneswar|Technology|Copiers|Max Copiers 867|First Class|5|4288.33|0.1|19297.49|15451.66|3845.83|Refunded|Cancelled"/>
    <s v="Keep"/>
    <n v="1"/>
    <s v="Unique"/>
    <s v=""/>
    <n v="0.1"/>
    <n v="19297.485000000001"/>
    <n v="3845.8250000000007"/>
    <n v="0.1992915138941681"/>
    <n v="8"/>
    <n v="2024"/>
    <b v="0"/>
    <b v="0"/>
    <x v="1"/>
    <s v="Refunded order summarized separately; Cancelled order excluded"/>
    <s v="Warning"/>
  </r>
  <r>
    <s v="ORD-2025-10469"/>
    <s v="09 Jan 2025"/>
    <x v="14"/>
    <d v="2025-01-09T00:00:00"/>
    <s v="07 Jan 2025"/>
    <d v="2025-01-07T00:00:00"/>
    <s v="Ship date before order date"/>
    <n v="-2"/>
    <s v="CUST-4176"/>
    <s v="Aarav Sharma"/>
    <s v="Aarav Sharma"/>
    <s v="Home Office"/>
    <x v="3"/>
    <s v="East"/>
    <x v="1"/>
    <s v="West Bengal"/>
    <s v="West Bengal"/>
    <s v="Kolkata"/>
    <s v="Kolkata"/>
    <s v="Office Supplies"/>
    <x v="0"/>
    <s v="Binders"/>
    <x v="9"/>
    <s v="Pro Binders 555"/>
    <s v="Second Class"/>
    <x v="0"/>
    <n v="3"/>
    <n v="2188.33"/>
    <n v="0"/>
    <n v="6564.99"/>
    <n v="5407.24"/>
    <n v="1157.75"/>
    <s v="Paid"/>
    <x v="0"/>
    <s v="Completed"/>
    <x v="0"/>
    <s v="ORD-2025-10469|01-09-2025|01-07-2025|CUST-4176|Aarav Sharma|Home Office|East|West Bengal|Kolkata|Office Supplies|Binders|Pro Binders 555|Second Class|3|2188.33|0|6564.99|5407.24|1157.75|Paid|Completed"/>
    <s v="Keep"/>
    <n v="1"/>
    <s v="Unique"/>
    <s v=""/>
    <n v="0"/>
    <n v="6564.99"/>
    <n v="1157.75"/>
    <n v="0.17635213458055535"/>
    <n v="1"/>
    <n v="2025"/>
    <b v="0"/>
    <b v="0"/>
    <x v="1"/>
    <s v="Ship date before order date"/>
    <s v="Invalid"/>
  </r>
  <r>
    <s v="ORD-2024-10470"/>
    <s v="2024-01-19"/>
    <x v="12"/>
    <d v="2024-01-19T00:00:00"/>
    <s v="01/25/2024"/>
    <d v="2024-01-25T00:00:00"/>
    <s v="OK"/>
    <n v="6"/>
    <s v="CUST-3448"/>
    <s v="Aditi Sen"/>
    <s v="Aditi Sen"/>
    <s v="Corporate"/>
    <x v="2"/>
    <s v="West"/>
    <x v="3"/>
    <s v="Goa"/>
    <s v="Goa"/>
    <s v="Panaji"/>
    <s v="Panaji"/>
    <s v="Technology"/>
    <x v="2"/>
    <s v="Copiers"/>
    <x v="6"/>
    <s v="Pro Copiers 971"/>
    <s v="First Class"/>
    <x v="2"/>
    <n v="3"/>
    <n v="1041.6600000000001"/>
    <n v="0.1"/>
    <n v="2812.48"/>
    <n v="2282.12"/>
    <n v="530.36"/>
    <s v="Paid"/>
    <x v="0"/>
    <s v="Completed"/>
    <x v="0"/>
    <s v="ORD-2024-10470|01-19-2024|01-25-2024|CUST-3448|Aditi Sen|Corporate|West|Goa|Panaji|Technology|Copiers|Pro Copiers 971|First Class|3|1041.66|0.1|2812.48|2282.12|530.36|Paid|Completed"/>
    <s v="Keep"/>
    <n v="1"/>
    <s v="Unique"/>
    <s v=""/>
    <n v="0.1"/>
    <n v="2812.4820000000004"/>
    <n v="530.36200000000053"/>
    <n v="0.18857436243147527"/>
    <n v="1"/>
    <n v="2024"/>
    <b v="0"/>
    <b v="0"/>
    <x v="0"/>
    <s v=""/>
    <s v="Clean"/>
  </r>
  <r>
    <s v="ORD-2024-10471"/>
    <s v="28-07-2024"/>
    <x v="0"/>
    <d v="2024-07-28T00:00:00"/>
    <s v="07/31/2024"/>
    <d v="2024-07-31T00:00:00"/>
    <s v="OK"/>
    <n v="3"/>
    <s v="CUST-4970"/>
    <s v="Aditi Sen"/>
    <s v="Aditi Sen"/>
    <s v="Consumer"/>
    <x v="0"/>
    <s v="North"/>
    <x v="0"/>
    <s v="Rajasthan"/>
    <s v="Rajasthan"/>
    <s v="Jaipur"/>
    <s v="Jaipur"/>
    <s v="Furniture"/>
    <x v="1"/>
    <s v="Tables"/>
    <x v="1"/>
    <s v="Pro Tables 833"/>
    <s v="Same Day"/>
    <x v="1"/>
    <n v="2"/>
    <n v="4424.78"/>
    <n v="0.2"/>
    <n v="7079.65"/>
    <n v="4465.91"/>
    <n v="2613.7399999999998"/>
    <s v="Paid"/>
    <x v="0"/>
    <s v="Completed"/>
    <x v="0"/>
    <s v="ORD-2024-10471|28-07-2024|07-31-2024|CUST-4970|Aditi Sen|Consumer|North|Rajasthan|Jaipur|Furniture|Tables|Pro Tables 833|Same Day|2|4424.78|0.2|7079.65|4465.91|2613.74|Paid|Completed"/>
    <s v="Keep"/>
    <n v="1"/>
    <s v="Unique"/>
    <s v=""/>
    <n v="0.2"/>
    <n v="7079.6480000000001"/>
    <n v="2613.7380000000003"/>
    <n v="0.36919038912669105"/>
    <n v="7"/>
    <n v="2024"/>
    <b v="0"/>
    <b v="0"/>
    <x v="0"/>
    <s v=""/>
    <s v="Clean"/>
  </r>
  <r>
    <s v="ORD-2024-10472"/>
    <s v="11-02-2024"/>
    <x v="17"/>
    <d v="2024-02-11T00:00:00"/>
    <s v="02/15/2024"/>
    <d v="2024-02-15T00:00:00"/>
    <s v="OK"/>
    <n v="4"/>
    <s v="CUST-6147"/>
    <s v="Kabir Singh"/>
    <s v="Kabir Singh"/>
    <s v="Consumer"/>
    <x v="0"/>
    <s v="South"/>
    <x v="2"/>
    <s v="Telangana"/>
    <s v="Telangana"/>
    <s v="Hyderabad"/>
    <s v="Hyderabad"/>
    <s v="Office Supplies"/>
    <x v="0"/>
    <s v="Binders"/>
    <x v="9"/>
    <s v="Prime Binders 497"/>
    <s v="Standard Class"/>
    <x v="3"/>
    <n v="3"/>
    <n v="3019.14"/>
    <n v="0.25"/>
    <n v="6793.07"/>
    <n v="4985.22"/>
    <n v="1807.85"/>
    <s v="Paid"/>
    <x v="0"/>
    <s v="Completed"/>
    <x v="0"/>
    <s v="ORD-2024-10472|11-02-2024|02-15-2024|CUST-6147|Kabir Singh|Consumer|South|Telangana|Hyderabad|Office Supplies|Binders|Prime Binders 497|Standard Class|3|3019.14|0.25|6793.07|4985.22|1807.85|Paid|Completed"/>
    <s v="Keep"/>
    <n v="1"/>
    <s v="Unique"/>
    <s v=""/>
    <n v="0.25"/>
    <n v="6793.0650000000005"/>
    <n v="1807.8450000000003"/>
    <n v="0.26613097327936652"/>
    <n v="2"/>
    <n v="2024"/>
    <b v="0"/>
    <b v="0"/>
    <x v="0"/>
    <s v=""/>
    <s v="Clean"/>
  </r>
  <r>
    <s v="ORD-2024-10473"/>
    <s v="02-03-2024"/>
    <x v="15"/>
    <d v="2024-03-02T00:00:00"/>
    <s v="03/07/2024"/>
    <d v="2024-03-07T00:00:00"/>
    <s v="OK"/>
    <n v="5"/>
    <s v="CUST-7208"/>
    <s v="Rohan Mehta"/>
    <s v="Rohan Mehta"/>
    <s v="Corporate"/>
    <x v="2"/>
    <s v="East"/>
    <x v="1"/>
    <s v="Odisha"/>
    <s v="Odisha"/>
    <s v="Bhubaneswar"/>
    <s v="Bhubaneswar"/>
    <s v="Office Supplies"/>
    <x v="0"/>
    <s v="Storage"/>
    <x v="8"/>
    <s v="Pro Storage 756"/>
    <s v="Standard Class"/>
    <x v="3"/>
    <n v="7"/>
    <n v="263.45999999999998"/>
    <n v="0"/>
    <n v="1844.22"/>
    <n v="1094.21"/>
    <n v="750.01"/>
    <s v="Paid"/>
    <x v="0"/>
    <s v="Completed"/>
    <x v="0"/>
    <s v="ORD-2024-10473|02-03-2024|03-07-2024|CUST-7208|Rohan Mehta|Corporate|East|Odisha|Bhubaneswar|Office Supplies|Storage|Pro Storage 756|Standard Class|7|263.46|0|1844.22|1094.21|750.01|Paid|Completed"/>
    <s v="Keep"/>
    <n v="1"/>
    <s v="Unique"/>
    <s v=""/>
    <n v="0"/>
    <n v="1844.2199999999998"/>
    <n v="750.00999999999976"/>
    <n v="0.40668141544934977"/>
    <n v="3"/>
    <n v="2024"/>
    <b v="0"/>
    <b v="0"/>
    <x v="0"/>
    <s v=""/>
    <s v="Clean"/>
  </r>
  <r>
    <s v="ORD-2024-10474"/>
    <s v="13-11-2024"/>
    <x v="3"/>
    <d v="2024-11-13T00:00:00"/>
    <s v="13 Nov 2024"/>
    <d v="2024-11-13T00:00:00"/>
    <s v="OK"/>
    <n v="0"/>
    <s v="CUST-2794"/>
    <s v="Priya Menon"/>
    <s v="Priya Menon"/>
    <s v="Consumer"/>
    <x v="0"/>
    <s v="West"/>
    <x v="3"/>
    <s v="Goa"/>
    <s v="Goa"/>
    <s v="Panaji"/>
    <s v="Panaji"/>
    <s v="Technology"/>
    <x v="2"/>
    <s v="Copiers"/>
    <x v="6"/>
    <s v="Max Copiers 829"/>
    <s v="Standard Class"/>
    <x v="3"/>
    <n v="6"/>
    <n v="191.45"/>
    <n v="0.2"/>
    <n v="918.96"/>
    <n v="554.17999999999995"/>
    <n v="364.78"/>
    <s v="Paid"/>
    <x v="0"/>
    <s v="Completed"/>
    <x v="0"/>
    <s v="ORD-2024-10474|13-11-2024|11-13-2024|CUST-2794|Priya Menon|Consumer|West|Goa|Panaji|Technology|Copiers|Max Copiers 829|Standard Class|6|191.45|0.2|918.96|554.18|364.78|Paid|Completed"/>
    <s v="Keep"/>
    <n v="1"/>
    <s v="Unique"/>
    <s v=""/>
    <n v="0.2"/>
    <n v="918.95999999999992"/>
    <n v="364.78"/>
    <n v="0.39694872464525116"/>
    <n v="11"/>
    <n v="2024"/>
    <b v="0"/>
    <b v="0"/>
    <x v="0"/>
    <s v=""/>
    <s v="Clean"/>
  </r>
  <r>
    <s v="ORD-2024-10475"/>
    <s v="03-06-2024"/>
    <x v="2"/>
    <d v="2024-06-03T00:00:00"/>
    <s v="2024-06-10"/>
    <d v="2024-06-10T00:00:00"/>
    <s v="OK"/>
    <n v="7"/>
    <s v="CUST-6249"/>
    <s v="Diya Patel"/>
    <s v="Diya Patel"/>
    <s v="Corporate"/>
    <x v="2"/>
    <s v="North"/>
    <x v="0"/>
    <s v="Punjab"/>
    <s v="Punjab"/>
    <s v="Ludhiana"/>
    <s v="Ludhiana"/>
    <s v="Furniture"/>
    <x v="1"/>
    <s v="Furnishings"/>
    <x v="3"/>
    <s v="Prime Furnishings 827"/>
    <s v="Standard Class"/>
    <x v="3"/>
    <n v="3"/>
    <n v="1633.57"/>
    <n v="0"/>
    <n v="4900.71"/>
    <n v="2713.9"/>
    <n v="2186.81"/>
    <s v="Paid"/>
    <x v="0"/>
    <s v="Completed"/>
    <x v="0"/>
    <s v="ORD-2024-10475|03-06-2024|06-10-2024|CUST-6249|Diya Patel|Corporate|North|Punjab|Ludhiana|Furniture|Furnishings|Prime Furnishings 827|Standard Class|3|1633.57|0|4900.71|2713.9|2186.81|Paid|Completed"/>
    <s v="Keep"/>
    <n v="1"/>
    <s v="Unique"/>
    <s v=""/>
    <n v="0"/>
    <n v="4900.71"/>
    <n v="2186.81"/>
    <n v="0.44622309828575857"/>
    <n v="6"/>
    <n v="2024"/>
    <b v="0"/>
    <b v="0"/>
    <x v="0"/>
    <s v=""/>
    <s v="Clean"/>
  </r>
  <r>
    <s v="ORD-2025-10476"/>
    <s v="03/01/2025"/>
    <x v="20"/>
    <d v="2025-03-01T00:00:00"/>
    <s v="08 Mar 2025"/>
    <d v="2025-03-08T00:00:00"/>
    <s v="OK"/>
    <n v="7"/>
    <s v="CUST-5712"/>
    <s v="Vikram Iyer"/>
    <s v="Vikram Iyer"/>
    <s v="Consumer"/>
    <x v="0"/>
    <s v="East"/>
    <x v="1"/>
    <s v="West Bengal"/>
    <s v="West Bengal"/>
    <s v="Kolkata"/>
    <s v="Kolkata"/>
    <s v="Furniture"/>
    <x v="1"/>
    <s v="Chairs"/>
    <x v="4"/>
    <s v="Eco Chairs 365"/>
    <s v="Same Day"/>
    <x v="1"/>
    <n v="8"/>
    <n v="3378.82"/>
    <n v="0.25"/>
    <n v="20272.919999999998"/>
    <n v="15873.38"/>
    <n v="4399.54"/>
    <s v="Pending"/>
    <x v="2"/>
    <s v="Returned"/>
    <x v="2"/>
    <s v="ORD-2025-10476|03-01-2025|03-08-2025|CUST-5712|Vikram Iyer|Consumer|East|West Bengal|Kolkata|Furniture|Chairs|Eco Chairs 365|Same Day|8|3378.82|0.25|20272.92|15873.38|4399.54|Pending|Returned"/>
    <s v="Keep"/>
    <n v="1"/>
    <s v="Unique"/>
    <s v=""/>
    <n v="0.25"/>
    <n v="20272.920000000002"/>
    <n v="4399.5400000000027"/>
    <n v="0.21701560505344086"/>
    <n v="3"/>
    <n v="2025"/>
    <b v="0"/>
    <b v="0"/>
    <x v="1"/>
    <s v="Returned order excluded"/>
    <s v="Warning"/>
  </r>
  <r>
    <s v="ORD-2024-10477"/>
    <s v="05/07/2024"/>
    <x v="5"/>
    <d v="2024-05-07T00:00:00"/>
    <s v="05/14/2024"/>
    <d v="2024-05-14T00:00:00"/>
    <s v="OK"/>
    <n v="7"/>
    <s v="CUST-3004"/>
    <s v="Sneha Kapoor"/>
    <s v="Sneha Kapoor"/>
    <s v="Small Business"/>
    <x v="1"/>
    <s v="North"/>
    <x v="0"/>
    <s v="Rajasthan"/>
    <s v="Rajasthan"/>
    <s v="Jaipur"/>
    <s v="Jaipur"/>
    <s v="Office Supplies"/>
    <x v="0"/>
    <s v="Storage"/>
    <x v="8"/>
    <s v="Classic Storage 545"/>
    <s v="First Class"/>
    <x v="2"/>
    <n v="3"/>
    <n v="383.58"/>
    <n v="0.1"/>
    <n v="1035.67"/>
    <n v="595.41999999999996"/>
    <n v="440.25"/>
    <s v="Paid"/>
    <x v="0"/>
    <s v="Completed"/>
    <x v="0"/>
    <s v="ORD-2024-10477|05-07-2024|05-14-2024|CUST-3004|Sneha Kapoor|Small Business|North|Rajasthan|Jaipur|Office Supplies|Storage|Classic Storage 545|First Class|3|383.58|0.1|1035.67|595.42|440.25|Paid|Completed"/>
    <s v="Keep"/>
    <n v="1"/>
    <s v="Unique"/>
    <s v=""/>
    <n v="0.1"/>
    <n v="1035.6659999999999"/>
    <n v="440.24599999999998"/>
    <n v="0.42508492120046426"/>
    <n v="5"/>
    <n v="2024"/>
    <b v="0"/>
    <b v="0"/>
    <x v="0"/>
    <s v=""/>
    <s v="Clean"/>
  </r>
  <r>
    <s v="ORD-2025-10478"/>
    <s v="08/23/2025"/>
    <x v="4"/>
    <d v="2025-08-23T00:00:00"/>
    <s v="28-08-2025"/>
    <d v="2025-08-28T00:00:00"/>
    <s v="OK"/>
    <n v="5"/>
    <s v="CUST-6920"/>
    <s v="Vikram Iyer"/>
    <s v="Vikram Iyer"/>
    <s v="Corporate"/>
    <x v="2"/>
    <s v="West"/>
    <x v="3"/>
    <s v="Gujarat"/>
    <s v="Gujarat"/>
    <s v="Ahmedabad"/>
    <s v="Ahmedabad"/>
    <s v="Furniture"/>
    <x v="1"/>
    <s v="Chairs"/>
    <x v="4"/>
    <s v="Pro Chairs 186"/>
    <s v="Standard Class"/>
    <x v="3"/>
    <n v="6"/>
    <n v="2193.23"/>
    <n v="0.1"/>
    <n v="11843.44"/>
    <n v="9356.8799999999992"/>
    <n v="2486.56"/>
    <s v="Paid"/>
    <x v="0"/>
    <s v="Cancelled"/>
    <x v="1"/>
    <s v="ORD-2025-10478|08-23-2025|28-08-2025|CUST-6920|Vikram Iyer|Corporate|West|Gujarat|Ahmedabad|Furniture|Chairs|Pro Chairs 186|Standard Class|6|2193.23|0.1|11843.44|9356.88|2486.56|Paid|Cancelled"/>
    <s v="Keep"/>
    <n v="1"/>
    <s v="Unique"/>
    <s v=""/>
    <n v="0.1"/>
    <n v="11843.442000000001"/>
    <n v="2486.5620000000017"/>
    <n v="0.20995264721184953"/>
    <n v="8"/>
    <n v="2025"/>
    <b v="0"/>
    <b v="0"/>
    <x v="1"/>
    <s v="Cancelled order excluded"/>
    <s v="Warning"/>
  </r>
  <r>
    <s v="ORD-2024-10479"/>
    <s v="06/09/2024"/>
    <x v="2"/>
    <d v="2024-06-09T00:00:00"/>
    <s v="2024-06-13"/>
    <d v="2024-06-13T00:00:00"/>
    <s v="OK"/>
    <n v="4"/>
    <s v="CUST-4838"/>
    <s v="Mira Das"/>
    <s v="Mira Das"/>
    <s v="Home Office"/>
    <x v="3"/>
    <m/>
    <x v="4"/>
    <s v="Uttar Pradesh"/>
    <s v="Uttar Pradesh"/>
    <s v="Noida"/>
    <s v="Noida"/>
    <s v="Technology"/>
    <x v="2"/>
    <s v="Machines"/>
    <x v="12"/>
    <s v="Classic Machines 561"/>
    <s v="Same Day"/>
    <x v="1"/>
    <n v="7"/>
    <n v="4079.71"/>
    <n v="0.1"/>
    <n v="25702.17"/>
    <n v="14571.48"/>
    <n v="11130.69"/>
    <s v="Refunded"/>
    <x v="1"/>
    <s v="Returned"/>
    <x v="2"/>
    <s v="ORD-2024-10479|06-09-2024|06-13-2024|CUST-4838|Mira Das|Home Office||Uttar Pradesh|Noida|Technology|Machines|Classic Machines 561|Same Day|7|4079.71|0.1|25702.17|14571.48|11130.69|Refunded|Returned"/>
    <s v="Keep"/>
    <n v="1"/>
    <s v="Unique"/>
    <s v=""/>
    <n v="0.1"/>
    <n v="25702.173000000003"/>
    <n v="11130.693000000003"/>
    <n v="0.43306427826160854"/>
    <n v="6"/>
    <n v="2024"/>
    <b v="0"/>
    <b v="0"/>
    <x v="1"/>
    <s v="Missing region filled as Unknown; Refunded order summarized separately; Returned order excluded"/>
    <s v="Warning"/>
  </r>
  <r>
    <s v="ORD-2024-10480"/>
    <s v="23 Feb 2024"/>
    <x v="17"/>
    <d v="2024-02-23T00:00:00"/>
    <s v="2024-02-20"/>
    <d v="2024-02-20T00:00:00"/>
    <s v="Ship date before order date"/>
    <n v="-3"/>
    <s v="CUST-7520"/>
    <s v="Arjun Bose"/>
    <s v="Arjun Bose"/>
    <s v="Corporate"/>
    <x v="2"/>
    <s v="East"/>
    <x v="1"/>
    <s v="Odisha"/>
    <s v="Odisha"/>
    <s v="Bhubaneswar"/>
    <s v="Bhubaneswar"/>
    <s v="Furniture"/>
    <x v="1"/>
    <s v="Chairs"/>
    <x v="4"/>
    <s v="Max Chairs 594"/>
    <s v="Second Class"/>
    <x v="0"/>
    <n v="1"/>
    <n v="2202.5500000000002"/>
    <m/>
    <n v="1651.91"/>
    <n v="1034.57"/>
    <n v="617.34"/>
    <s v="Paid"/>
    <x v="0"/>
    <s v="Completed"/>
    <x v="0"/>
    <s v="ORD-2024-10480|02-23-2024|02-20-2024|CUST-7520|Arjun Bose|Corporate|East|Odisha|Bhubaneswar|Furniture|Chairs|Max Chairs 594|Second Class|1|2202.55||1651.91|1034.57|617.34|Paid|Completed"/>
    <s v="Keep"/>
    <n v="1"/>
    <s v="Unique"/>
    <s v=""/>
    <n v="0"/>
    <n v="2202.5500000000002"/>
    <n v="1167.9800000000002"/>
    <n v="0.53028535107035035"/>
    <n v="2"/>
    <n v="2024"/>
    <b v="1"/>
    <b v="1"/>
    <x v="1"/>
    <s v="Missing discount treated as 0; Ship date before order date; Sales mismatch; Profit mismatch"/>
    <s v="Invalid"/>
  </r>
  <r>
    <s v="ORD-2025-10481"/>
    <s v="2025-01-05"/>
    <x v="14"/>
    <d v="2025-01-05T00:00:00"/>
    <s v="09 Jan 2025"/>
    <d v="2025-01-09T00:00:00"/>
    <s v="OK"/>
    <n v="4"/>
    <s v="CUST-9947"/>
    <s v="Neha Gupta"/>
    <s v="Neha Gupta"/>
    <s v="Small Business"/>
    <x v="1"/>
    <s v="South"/>
    <x v="2"/>
    <s v="Tamil Nadu"/>
    <s v="Tamil Nadu"/>
    <s v="Chennai"/>
    <s v="Chennai"/>
    <s v="Office Supplies"/>
    <x v="0"/>
    <s v="Storage"/>
    <x v="8"/>
    <s v="Eco Storage 923"/>
    <m/>
    <x v="4"/>
    <n v="5"/>
    <n v="905.16"/>
    <n v="0"/>
    <n v="4525.8"/>
    <n v="2714.51"/>
    <n v="1811.29"/>
    <s v="Paid"/>
    <x v="0"/>
    <s v="Completed"/>
    <x v="0"/>
    <s v="ORD-2025-10481|01-05-2025|01-09-2025|CUST-9947|Neha Gupta|Small Business|South|Tamil Nadu|Chennai|Office Supplies|Storage|Eco Storage 923||5|905.16|0|4525.8|2714.51|1811.29|Paid|Completed"/>
    <s v="Keep"/>
    <n v="1"/>
    <s v="Unique"/>
    <s v=""/>
    <n v="0"/>
    <n v="4525.8"/>
    <n v="1811.29"/>
    <n v="0.40021432674886204"/>
    <n v="1"/>
    <n v="2025"/>
    <b v="0"/>
    <b v="0"/>
    <x v="0"/>
    <s v="Missing ship mode filled as Unknown"/>
    <s v="Warning"/>
  </r>
  <r>
    <s v="ORD-2025-10482"/>
    <s v="2025-06-05"/>
    <x v="18"/>
    <d v="2025-06-05T00:00:00"/>
    <s v="06/13/2025"/>
    <d v="2025-06-13T00:00:00"/>
    <s v="OK"/>
    <n v="8"/>
    <s v="CUST-4403"/>
    <s v="Isha Nair"/>
    <s v="Isha Nair"/>
    <s v="Consumer"/>
    <x v="0"/>
    <s v="North"/>
    <x v="0"/>
    <s v="Uttar Pradesh"/>
    <s v="Uttar Pradesh"/>
    <s v="Noida"/>
    <s v="Noida"/>
    <s v="Technology"/>
    <x v="2"/>
    <s v="Machines"/>
    <x v="12"/>
    <s v="Classic Machines 287"/>
    <s v="Same Day"/>
    <x v="1"/>
    <n v="4"/>
    <n v="2793.88"/>
    <s v="85%"/>
    <n v="10616.74"/>
    <n v="6353.59"/>
    <n v="4263.1499999999996"/>
    <s v="Paid"/>
    <x v="0"/>
    <s v="Completed"/>
    <x v="0"/>
    <s v="ORD-2025-10482|06-05-2025|06-13-2025|CUST-4403|Isha Nair|Consumer|North|Uttar Pradesh|Noida|Technology|Machines|Classic Machines 287|Same Day|4|2793.88|85%|10616.74|6353.59|4263.15|Paid|Completed"/>
    <s v="Keep"/>
    <n v="1"/>
    <s v="Unique"/>
    <s v=""/>
    <n v="0.85"/>
    <n v="1676.3280000000002"/>
    <n v="-4677.2619999999997"/>
    <n v="-2.7901830667983827"/>
    <n v="6"/>
    <n v="2025"/>
    <b v="1"/>
    <b v="1"/>
    <x v="1"/>
    <s v="Discount above 50%; Sales mismatch; Profit mismatch"/>
    <s v="Invalid"/>
  </r>
  <r>
    <s v="ORD-2024-10483"/>
    <s v="07/22/2024"/>
    <x v="0"/>
    <d v="2024-07-22T00:00:00"/>
    <s v="07/22/2024"/>
    <d v="2024-07-22T00:00:00"/>
    <s v="OK"/>
    <n v="0"/>
    <s v="CUST-3583"/>
    <s v="Priya Menon"/>
    <s v="Priya Menon"/>
    <s v="Consumer"/>
    <x v="0"/>
    <s v="South"/>
    <x v="2"/>
    <s v="Karnataka"/>
    <s v="Karnataka"/>
    <s v="Bengaluru"/>
    <s v="Bengaluru"/>
    <s v="Technology"/>
    <x v="2"/>
    <s v="Accessories"/>
    <x v="5"/>
    <s v="Basic Accessories 518"/>
    <s v="Second Class"/>
    <x v="0"/>
    <n v="3"/>
    <n v="1286.22"/>
    <n v="0.25"/>
    <n v="2893.99"/>
    <n v="1856.03"/>
    <n v="1037.96"/>
    <s v="Paid"/>
    <x v="0"/>
    <s v="Completed"/>
    <x v="0"/>
    <s v="ORD-2024-10483|07-22-2024|07-22-2024|CUST-3583|Priya Menon|Consumer|South|Karnataka|Bengaluru|Technology|Accessories|Basic Accessories 518|Second Class|3|1286.22|0.25|2893.99|1856.03|1037.96|Paid|Completed"/>
    <s v="Keep"/>
    <n v="1"/>
    <s v="Unique"/>
    <s v=""/>
    <n v="0.25"/>
    <n v="2893.9949999999999"/>
    <n v="1037.9649999999999"/>
    <n v="0.35866164247001114"/>
    <n v="7"/>
    <n v="2024"/>
    <b v="0"/>
    <b v="0"/>
    <x v="0"/>
    <s v=""/>
    <s v="Clean"/>
  </r>
  <r>
    <s v="ORD-2024-10484"/>
    <s v="25 Dec 2024"/>
    <x v="10"/>
    <d v="2024-12-25T00:00:00"/>
    <s v="25-12-2024"/>
    <d v="2024-12-25T00:00:00"/>
    <s v="OK"/>
    <n v="0"/>
    <s v="CUST-9432"/>
    <s v="Mira Das"/>
    <s v="Mira Das"/>
    <s v="Corporate"/>
    <x v="2"/>
    <s v="East"/>
    <x v="1"/>
    <s v="Bihar"/>
    <s v="Bihar"/>
    <s v="Patna"/>
    <s v="Patna"/>
    <s v="Technology"/>
    <x v="2"/>
    <s v="Copiers"/>
    <x v="6"/>
    <s v="Pro Copiers 984"/>
    <s v="Standard Class"/>
    <x v="3"/>
    <n v="1"/>
    <n v="829.66"/>
    <n v="0.15"/>
    <n v="705.21"/>
    <n v="438.32"/>
    <n v="266.89"/>
    <s v="Paid"/>
    <x v="0"/>
    <s v="Completed"/>
    <x v="0"/>
    <s v="ORD-2024-10484|12-25-2024|25-12-2024|CUST-9432|Mira Das|Corporate|East|Bihar|Patna|Technology|Copiers|Pro Copiers 984|Standard Class|1|829.66|0.15|705.21|438.32|266.89|Paid|Completed"/>
    <s v="Keep"/>
    <n v="1"/>
    <s v="Unique"/>
    <s v=""/>
    <n v="0.15"/>
    <n v="705.2109999999999"/>
    <n v="266.89099999999991"/>
    <n v="0.37845552607659261"/>
    <n v="12"/>
    <n v="2024"/>
    <b v="0"/>
    <b v="0"/>
    <x v="0"/>
    <s v=""/>
    <s v="Clean"/>
  </r>
  <r>
    <s v="ORD-2024-10485"/>
    <s v="2024-12-28"/>
    <x v="10"/>
    <d v="2024-12-28T00:00:00"/>
    <s v="12/31/2024"/>
    <d v="2024-12-31T00:00:00"/>
    <s v="OK"/>
    <n v="3"/>
    <s v="CUST-1801"/>
    <s v="Mira Das"/>
    <s v="Mira Das"/>
    <s v="Small Business"/>
    <x v="1"/>
    <s v="South"/>
    <x v="2"/>
    <s v="Andhra Pradesh"/>
    <s v="Andhra Pradesh"/>
    <s v="Vijayawada"/>
    <s v="Vijayawada"/>
    <s v="Furniture"/>
    <x v="1"/>
    <s v="Furnishings"/>
    <x v="3"/>
    <s v="Max Furnishings 297"/>
    <s v="First Class"/>
    <x v="2"/>
    <n v="6"/>
    <n v="3641.22"/>
    <n v="0.25"/>
    <n v="16385.490000000002"/>
    <n v="13679.24"/>
    <n v="2706.25"/>
    <s v="Paid"/>
    <x v="0"/>
    <s v="Completed"/>
    <x v="0"/>
    <s v="ORD-2024-10485|12-28-2024|12-31-2024|CUST-1801|Mira Das|Small Business|South|Andhra Pradesh|Vijayawada|Furniture|Furnishings|Max Furnishings 297|First Class|6|3641.22|0.25|16385.49|13679.24|2706.25|Paid|Completed"/>
    <s v="Keep"/>
    <n v="1"/>
    <s v="Unique"/>
    <s v=""/>
    <n v="0.25"/>
    <n v="16385.489999999998"/>
    <n v="2706.2499999999982"/>
    <n v="0.16516137143289572"/>
    <n v="12"/>
    <n v="2024"/>
    <b v="0"/>
    <b v="0"/>
    <x v="0"/>
    <s v=""/>
    <s v="Clean"/>
  </r>
  <r>
    <s v="ORD-2025-10486"/>
    <s v="2025-01-22"/>
    <x v="14"/>
    <d v="2025-01-22T00:00:00"/>
    <s v="23 Jan 2025"/>
    <d v="2025-01-23T00:00:00"/>
    <s v="OK"/>
    <n v="1"/>
    <s v="CUST-1594"/>
    <s v="Rahul Verma"/>
    <s v="Rahul Verma"/>
    <s v="Corporate"/>
    <x v="2"/>
    <s v="West"/>
    <x v="3"/>
    <s v="Goa"/>
    <s v="Goa"/>
    <s v="Panaji"/>
    <s v="Panaji"/>
    <s v="Furniture"/>
    <x v="1"/>
    <s v="Bookcases"/>
    <x v="10"/>
    <s v="Elite Bookcases 802"/>
    <s v="Standard Class"/>
    <x v="3"/>
    <n v="4"/>
    <n v="2555.19"/>
    <n v="0.25"/>
    <n v="7665.57"/>
    <n v="5595.6"/>
    <n v="2069.9699999999998"/>
    <s v="Paid"/>
    <x v="0"/>
    <s v="Completed"/>
    <x v="0"/>
    <s v="ORD-2025-10486|01-22-2025|01-23-2025|CUST-1594|Rahul Verma|Corporate|West|Goa|Panaji|Furniture|Bookcases|Elite Bookcases 802|Standard Class|4|2555.19|0.25|7665.57|5595.6|2069.97|Paid|Completed"/>
    <s v="Keep"/>
    <n v="1"/>
    <s v="Unique"/>
    <s v=""/>
    <n v="0.25"/>
    <n v="7665.57"/>
    <n v="2069.9699999999993"/>
    <n v="0.27003471366121495"/>
    <n v="1"/>
    <n v="2025"/>
    <b v="0"/>
    <b v="0"/>
    <x v="0"/>
    <s v=""/>
    <s v="Clean"/>
  </r>
  <r>
    <s v="ORD-2025-10487"/>
    <s v="22-06-2025"/>
    <x v="18"/>
    <d v="2025-06-22T00:00:00"/>
    <s v="06/26/2025"/>
    <d v="2025-06-26T00:00:00"/>
    <s v="OK"/>
    <n v="4"/>
    <s v="CUST-8132"/>
    <s v="Rahul Verma"/>
    <s v="Rahul Verma"/>
    <s v="Corporate"/>
    <x v="2"/>
    <s v="West"/>
    <x v="3"/>
    <s v="Goa"/>
    <s v="Goa"/>
    <s v="Panaji"/>
    <s v="Panaji"/>
    <s v="Furniture"/>
    <x v="1"/>
    <s v="Tables"/>
    <x v="1"/>
    <s v="Pro Tables 257"/>
    <s v="Standard Class"/>
    <x v="3"/>
    <n v="3"/>
    <n v="1946.18"/>
    <n v="0.2"/>
    <n v="4670.83"/>
    <n v="3166.49"/>
    <n v="1504.34"/>
    <s v="Paid"/>
    <x v="0"/>
    <s v="Completed"/>
    <x v="0"/>
    <s v="ORD-2025-10487|22-06-2025|06-26-2025|CUST-8132|Rahul Verma|Corporate|West|Goa|Panaji|Furniture|Tables|Pro Tables 257|Standard Class|3|1946.18|0.2|4670.83|3166.49|1504.34|Paid|Completed"/>
    <s v="Keep"/>
    <n v="1"/>
    <s v="Unique"/>
    <s v=""/>
    <n v="0.2"/>
    <n v="4670.8320000000003"/>
    <n v="1504.3420000000006"/>
    <n v="0.3220715281560117"/>
    <n v="6"/>
    <n v="2025"/>
    <b v="0"/>
    <b v="0"/>
    <x v="0"/>
    <s v=""/>
    <s v="Clean"/>
  </r>
  <r>
    <s v="ORD-2025-10488"/>
    <s v="10 Jun 2025"/>
    <x v="18"/>
    <d v="2025-06-10T00:00:00"/>
    <s v="06/17/2025"/>
    <d v="2025-06-17T00:00:00"/>
    <s v="OK"/>
    <n v="7"/>
    <s v="CUST-7685"/>
    <s v="Rahul Verma"/>
    <s v="Rahul Verma"/>
    <s v="Corporate"/>
    <x v="2"/>
    <s v="South"/>
    <x v="2"/>
    <s v="Telangana"/>
    <s v="Telangana"/>
    <s v="Hyderabad"/>
    <s v="Hyderabad"/>
    <s v="Furniture"/>
    <x v="1"/>
    <s v="Furnishings"/>
    <x v="3"/>
    <s v="Prime Furnishings 299"/>
    <s v="Standard Class"/>
    <x v="3"/>
    <n v="5"/>
    <n v="1231.0999999999999"/>
    <n v="0"/>
    <n v="6155.5"/>
    <n v="4282.09"/>
    <n v="1873.41"/>
    <s v="Refunded"/>
    <x v="1"/>
    <s v="Returned"/>
    <x v="2"/>
    <s v="ORD-2025-10488|06-10-2025|06-17-2025|CUST-7685|Rahul Verma|Corporate|South|Telangana|Hyderabad|Furniture|Furnishings|Prime Furnishings 299|Standard Class|5|1231.1|0|6155.5|4282.09|1873.41|Refunded|Returned"/>
    <s v="Keep"/>
    <n v="1"/>
    <s v="Unique"/>
    <s v=""/>
    <n v="0"/>
    <n v="6155.5"/>
    <n v="1873.4099999999999"/>
    <n v="0.3043473316546178"/>
    <n v="6"/>
    <n v="2025"/>
    <b v="0"/>
    <b v="0"/>
    <x v="1"/>
    <s v="Refunded order summarized separately; Returned order excluded"/>
    <s v="Warning"/>
  </r>
  <r>
    <s v="ORD-2024-10489"/>
    <s v="14 Oct 2024"/>
    <x v="16"/>
    <d v="2024-10-14T00:00:00"/>
    <s v="2024-10-20"/>
    <d v="2024-10-20T00:00:00"/>
    <s v="OK"/>
    <n v="6"/>
    <s v="CUST-2183"/>
    <s v="Aditi Sen"/>
    <s v="Aditi Sen"/>
    <s v="Small Business"/>
    <x v="1"/>
    <s v="North "/>
    <x v="0"/>
    <s v="Rajasthan"/>
    <s v="Rajasthan"/>
    <s v="Jaipur"/>
    <s v="Jaipur"/>
    <s v="Furniture"/>
    <x v="1"/>
    <s v="Tables"/>
    <x v="1"/>
    <s v="Eco Tables 487"/>
    <s v="Same Day"/>
    <x v="1"/>
    <n v="7"/>
    <n v="1547.6"/>
    <n v="0.2"/>
    <n v="8666.56"/>
    <n v="5967.44"/>
    <n v="2699.12"/>
    <s v="Paid"/>
    <x v="0"/>
    <s v="Completed"/>
    <x v="0"/>
    <s v="ORD-2024-10489|10-14-2024|10-20-2024|CUST-2183|Aditi Sen|Small Business|North |Rajasthan|Jaipur|Furniture|Tables|Eco Tables 487|Same Day|7|1547.6|0.2|8666.56|5967.44|2699.12|Paid|Completed"/>
    <s v="Keep"/>
    <n v="1"/>
    <s v="Unique"/>
    <s v=""/>
    <n v="0.2"/>
    <n v="8666.56"/>
    <n v="2699.12"/>
    <n v="0.31144075619392242"/>
    <n v="10"/>
    <n v="2024"/>
    <b v="0"/>
    <b v="0"/>
    <x v="0"/>
    <s v=""/>
    <s v="Clean"/>
  </r>
  <r>
    <s v="ORD-2024-10490"/>
    <s v="2024-02-07"/>
    <x v="17"/>
    <d v="2024-02-07T00:00:00"/>
    <s v="2024-02-12"/>
    <d v="2024-02-12T00:00:00"/>
    <s v="OK"/>
    <n v="5"/>
    <s v="CUST-1636"/>
    <s v="Arjun Bose"/>
    <s v="Arjun Bose"/>
    <s v="Home Office"/>
    <x v="3"/>
    <s v="East"/>
    <x v="1"/>
    <s v="West Bengal"/>
    <s v="West Bengal"/>
    <s v="Kolkata"/>
    <s v="Kolkata"/>
    <s v="Technology"/>
    <x v="2"/>
    <s v="Accessories"/>
    <x v="5"/>
    <s v="Prime Accessories 960"/>
    <s v="Second Class"/>
    <x v="0"/>
    <n v="1"/>
    <n v="452.19"/>
    <n v="0.2"/>
    <n v="361.75"/>
    <n v="262.52999999999997"/>
    <n v="99.22"/>
    <s v="Paid"/>
    <x v="0"/>
    <s v="Completed"/>
    <x v="0"/>
    <s v="ORD-2024-10490|02-07-2024|02-12-2024|CUST-1636|Arjun Bose|Home Office|East|West Bengal|Kolkata|Technology|Accessories|Prime Accessories 960|Second Class|1|452.19|0.2|361.75|262.53|99.22|Paid|Completed"/>
    <s v="Keep"/>
    <n v="1"/>
    <s v="Unique"/>
    <s v=""/>
    <n v="0.2"/>
    <n v="361.75200000000001"/>
    <n v="99.222000000000037"/>
    <n v="0.27428182843495003"/>
    <n v="2"/>
    <n v="2024"/>
    <b v="0"/>
    <b v="0"/>
    <x v="0"/>
    <s v=""/>
    <s v="Clean"/>
  </r>
  <r>
    <s v="ORD-2024-10491"/>
    <s v="2024-09-16"/>
    <x v="21"/>
    <d v="2024-09-16T00:00:00"/>
    <s v="09/19/2024"/>
    <d v="2024-09-19T00:00:00"/>
    <s v="OK"/>
    <n v="3"/>
    <s v="CUST-1350"/>
    <s v="Aditi Sen"/>
    <s v="Aditi Sen"/>
    <s v="Consumer"/>
    <x v="0"/>
    <s v="West"/>
    <x v="3"/>
    <s v="Rajasthan"/>
    <s v="Rajasthan"/>
    <s v="Udaipur"/>
    <s v="Udaipur"/>
    <s v="Office Supplies"/>
    <x v="0"/>
    <s v="Binders"/>
    <x v="9"/>
    <s v="Smart Binders 191"/>
    <s v="First Class"/>
    <x v="2"/>
    <n v="7"/>
    <n v="406.42"/>
    <n v="0.15"/>
    <n v="2418.1999999999998"/>
    <n v="1613.82"/>
    <n v="804.38"/>
    <s v="Paid"/>
    <x v="0"/>
    <s v="Completed"/>
    <x v="0"/>
    <s v="ORD-2024-10491|09-16-2024|09-19-2024|CUST-1350|Aditi Sen|Consumer|West|Rajasthan|Udaipur|Office Supplies|Binders|Smart Binders 191|First Class|7|406.42|0.15|2418.2|1613.82|804.38|Paid|Completed"/>
    <s v="Keep"/>
    <n v="1"/>
    <s v="Unique"/>
    <s v=""/>
    <n v="0.15"/>
    <n v="2418.1990000000001"/>
    <n v="804.37900000000013"/>
    <n v="0.33263556886757462"/>
    <n v="9"/>
    <n v="2024"/>
    <b v="0"/>
    <b v="0"/>
    <x v="0"/>
    <s v=""/>
    <s v="Clean"/>
  </r>
  <r>
    <s v="ORD-2025-10492"/>
    <s v="2025-04-29"/>
    <x v="6"/>
    <d v="2025-04-29T00:00:00"/>
    <s v="30-04-2025"/>
    <d v="2025-04-30T00:00:00"/>
    <s v="OK"/>
    <n v="1"/>
    <s v="CUST-4101"/>
    <s v="Mira Das"/>
    <s v="Mira Das"/>
    <s v="Corporate"/>
    <x v="2"/>
    <s v="South"/>
    <x v="2"/>
    <s v="Kerala"/>
    <s v="Kerala"/>
    <s v="Kochi"/>
    <s v="Kochi"/>
    <s v="Technology"/>
    <x v="2"/>
    <s v="Accessories"/>
    <x v="5"/>
    <s v="Prime Accessories 118"/>
    <s v="Standard Class"/>
    <x v="3"/>
    <n v="4"/>
    <n v="606.58000000000004"/>
    <n v="0.2"/>
    <n v="1941.06"/>
    <n v="1207.42"/>
    <n v="733.64"/>
    <s v="Paid"/>
    <x v="0"/>
    <s v="Completed"/>
    <x v="0"/>
    <s v="ORD-2025-10492|04-29-2025|30-04-2025|CUST-4101|Mira Das|Corporate|South|Kerala|Kochi|Technology|Accessories|Prime Accessories 118|Standard Class|4|606.58|0.2|1941.06|1207.42|733.64|Paid|Completed"/>
    <s v="Keep"/>
    <n v="1"/>
    <s v="Unique"/>
    <s v=""/>
    <n v="0.2"/>
    <n v="1941.0560000000003"/>
    <n v="733.63600000000019"/>
    <n v="0.37795715321969076"/>
    <n v="4"/>
    <n v="2025"/>
    <b v="0"/>
    <b v="0"/>
    <x v="0"/>
    <s v=""/>
    <s v="Clean"/>
  </r>
  <r>
    <s v="ORD-2025-10493"/>
    <s v="28-06-2025"/>
    <x v="18"/>
    <d v="2025-06-28T00:00:00"/>
    <s v="07/02/2025"/>
    <d v="2025-07-02T00:00:00"/>
    <s v="OK"/>
    <n v="4"/>
    <s v="CUST-4679"/>
    <s v="Ananya Rao"/>
    <s v="Ananya Rao"/>
    <s v="Corporate"/>
    <x v="2"/>
    <s v="South"/>
    <x v="2"/>
    <s v="Andhra Pradesh"/>
    <s v="Andhra Pradesh"/>
    <s v="Vijayawada"/>
    <s v="Vijayawada"/>
    <s v="Office Supplies"/>
    <x v="0"/>
    <s v="Storage"/>
    <x v="8"/>
    <s v="Elite Storage 331"/>
    <s v="Second Class"/>
    <x v="0"/>
    <n v="2"/>
    <n v="2725.44"/>
    <n v="0.25"/>
    <n v="4088.16"/>
    <n v="3205.68"/>
    <n v="882.48"/>
    <s v="Paid"/>
    <x v="0"/>
    <s v="Completed"/>
    <x v="0"/>
    <s v="ORD-2025-10493|28-06-2025|07-02-2025|CUST-4679|Ananya Rao|Corporate|South|Andhra Pradesh|Vijayawada|Office Supplies|Storage|Elite Storage 331|Second Class|2|2725.44|0.25|4088.16|3205.68|882.48|Paid|Completed"/>
    <s v="Keep"/>
    <n v="1"/>
    <s v="Unique"/>
    <s v=""/>
    <n v="0.25"/>
    <n v="4088.16"/>
    <n v="882.48"/>
    <n v="0.21586239286133616"/>
    <n v="6"/>
    <n v="2025"/>
    <b v="0"/>
    <b v="0"/>
    <x v="0"/>
    <s v=""/>
    <s v="Clean"/>
  </r>
  <r>
    <s v="ORD-2025-10494"/>
    <s v="13 Feb 2025"/>
    <x v="7"/>
    <d v="2025-02-13T00:00:00"/>
    <s v="2025-02-13"/>
    <d v="2025-02-13T00:00:00"/>
    <s v="OK"/>
    <n v="0"/>
    <s v="CUST-3765"/>
    <s v="Kabir Singh"/>
    <s v="Kabir Singh"/>
    <s v="Corporate"/>
    <x v="2"/>
    <s v="East"/>
    <x v="1"/>
    <s v="Odisha"/>
    <s v="Odisha"/>
    <s v="Bhubaneswar"/>
    <s v="Bhubaneswar"/>
    <s v="Office Supplies"/>
    <x v="0"/>
    <s v="Paper"/>
    <x v="0"/>
    <s v="Prime Paper 996"/>
    <s v="Second Class"/>
    <x v="0"/>
    <n v="7"/>
    <n v="2296.6999999999998"/>
    <n v="0.05"/>
    <n v="15273.05"/>
    <n v="11088.76"/>
    <n v="4184.29"/>
    <s v="Paid"/>
    <x v="0"/>
    <s v="Completed"/>
    <x v="0"/>
    <s v="ORD-2025-10494|02-13-2025|02-13-2025|CUST-3765|Kabir Singh|Corporate|East|Odisha|Bhubaneswar|Office Supplies|Paper|Prime Paper 996|Second Class|7|2296.7|0.05|15273.05|11088.76|4184.29|Paid|COMPLETED"/>
    <s v="Keep"/>
    <n v="1"/>
    <s v="Unique"/>
    <s v=""/>
    <n v="0.05"/>
    <n v="15273.054999999997"/>
    <n v="4184.2949999999964"/>
    <n v="0.27396581757873573"/>
    <n v="2"/>
    <n v="2025"/>
    <b v="0"/>
    <b v="0"/>
    <x v="0"/>
    <s v=""/>
    <s v="Clean"/>
  </r>
  <r>
    <s v="ORD-2024-10495"/>
    <s v="2024-11-14"/>
    <x v="3"/>
    <d v="2024-11-14T00:00:00"/>
    <s v="2024-11-22"/>
    <d v="2024-11-22T00:00:00"/>
    <s v="OK"/>
    <n v="8"/>
    <s v="CUST-9056"/>
    <s v="Isha Nair"/>
    <s v="Isha Nair"/>
    <s v="Consumer"/>
    <x v="0"/>
    <s v="West"/>
    <x v="3"/>
    <s v="Madhya Pradesh"/>
    <s v="Madhya Pradesh"/>
    <s v="Indore"/>
    <s v="Indore"/>
    <s v="Technology"/>
    <x v="2"/>
    <s v="Phones"/>
    <x v="11"/>
    <s v="Smart Phones 125"/>
    <s v="Standard Class"/>
    <x v="3"/>
    <n v="3"/>
    <n v="671.68"/>
    <n v="-0.13"/>
    <n v="1712.78"/>
    <n v="1569.38"/>
    <n v="360.66"/>
    <s v="Failed"/>
    <x v="3"/>
    <s v="Cancelled"/>
    <x v="1"/>
    <s v="ORD-2024-10495|11-14-2024|11-22-2024|CUST-9056|Isha Nair|Consumer|West|Madhya Pradesh|Indore|Technology|Phones|Smart Phones 125|Standard Class|3|671.68|-0.13|1712.78|1569.38|360.66|Failed|Cancelled"/>
    <s v="Keep"/>
    <n v="1"/>
    <s v="Unique"/>
    <s v=""/>
    <n v="-0.13"/>
    <n v="2276.9951999999998"/>
    <n v="707.61519999999973"/>
    <n v="0.31076710218800629"/>
    <n v="11"/>
    <n v="2024"/>
    <b v="1"/>
    <b v="1"/>
    <x v="1"/>
    <s v="Negative discount; Failed payment excluded; Cancelled order excluded; Sales mismatch; Profit mismatch"/>
    <s v="Invalid"/>
  </r>
  <r>
    <s v="ORD-2024-10496"/>
    <s v="05/09/2024"/>
    <x v="5"/>
    <d v="2024-05-09T00:00:00"/>
    <s v="05/15/2024"/>
    <d v="2024-05-15T00:00:00"/>
    <s v="OK"/>
    <n v="6"/>
    <s v="CUST-9801"/>
    <s v="Mira Das"/>
    <s v="Mira Das"/>
    <s v="Small Business"/>
    <x v="1"/>
    <s v="East"/>
    <x v="1"/>
    <s v="Assam"/>
    <s v="Assam"/>
    <s v="Guwahati"/>
    <s v="Guwahati"/>
    <s v="Technology"/>
    <x v="2"/>
    <s v="Phones"/>
    <x v="11"/>
    <s v="Eco Phones 220"/>
    <s v="Second Class"/>
    <x v="0"/>
    <n v="4"/>
    <n v="995.98"/>
    <n v="0.05"/>
    <n v="3784.72"/>
    <n v="2419.2399999999998"/>
    <n v="1365.48"/>
    <s v="Refunded"/>
    <x v="1"/>
    <s v="Returned"/>
    <x v="2"/>
    <s v="ORD-2024-10496|05-09-2024|05-15-2024|CUST-9801|Mira Das|Small Business|East|Assam|Guwahati|Technology|Phones|Eco Phones 220|Second Class|4|995.98|0.05|3784.72|2419.24|1365.48|Refunded|Returned"/>
    <s v="Keep"/>
    <n v="1"/>
    <s v="Unique"/>
    <s v=""/>
    <n v="0.05"/>
    <n v="3784.7239999999997"/>
    <n v="1365.4839999999999"/>
    <n v="0.36078826355633858"/>
    <n v="5"/>
    <n v="2024"/>
    <b v="0"/>
    <b v="0"/>
    <x v="1"/>
    <s v="Refunded order summarized separately; Returned order excluded"/>
    <s v="Warning"/>
  </r>
  <r>
    <s v="ORD-2025-10497"/>
    <s v="2025-07-04"/>
    <x v="13"/>
    <d v="2025-07-04T00:00:00"/>
    <s v="2025-07-06"/>
    <d v="2025-07-06T00:00:00"/>
    <s v="OK"/>
    <n v="2"/>
    <s v="CUST-2038"/>
    <s v="Kabir Singh"/>
    <s v="Kabir Singh"/>
    <s v="Small Business"/>
    <x v="1"/>
    <s v="East"/>
    <x v="1"/>
    <s v="Jharkhand"/>
    <s v="Jharkhand"/>
    <s v="Ranchi"/>
    <s v="Ranchi"/>
    <s v="Furniture"/>
    <x v="1"/>
    <s v="Chairs"/>
    <x v="4"/>
    <s v="Eco Chairs 795"/>
    <s v="Second Class"/>
    <x v="0"/>
    <n v="2"/>
    <n v="3686.42"/>
    <n v="0.1"/>
    <n v="6635.56"/>
    <n v="3652.91"/>
    <n v="2982.65"/>
    <s v="Paid"/>
    <x v="0"/>
    <s v="Completed"/>
    <x v="0"/>
    <s v="ORD-2025-10497|07-04-2025|07-06-2025|CUST-2038|Kabir Singh|Small Business|East|Jharkhand|Ranchi|Furniture|Chairs|Eco Chairs 795|Second Class|2|3686.42|0.1|6635.56|3652.91|2982.65|Paid|Completed"/>
    <s v="Keep"/>
    <n v="1"/>
    <s v="Unique"/>
    <s v=""/>
    <n v="0.1"/>
    <n v="6635.5560000000005"/>
    <n v="2982.6460000000006"/>
    <n v="0.44949451108543131"/>
    <n v="7"/>
    <n v="2025"/>
    <b v="0"/>
    <b v="0"/>
    <x v="0"/>
    <s v=""/>
    <s v="Clean"/>
  </r>
  <r>
    <s v="ORD-2024-10498"/>
    <s v="29 Aug 2024"/>
    <x v="1"/>
    <d v="2024-08-29T00:00:00"/>
    <s v="29 Aug 2024"/>
    <d v="2024-08-29T00:00:00"/>
    <s v="OK"/>
    <n v="0"/>
    <s v="CUST-1567"/>
    <s v="Sneha Kapoor"/>
    <s v="Sneha Kapoor"/>
    <s v="Small Business"/>
    <x v="1"/>
    <s v="North"/>
    <x v="0"/>
    <s v="Uttar Pradesh"/>
    <s v="Uttar Pradesh"/>
    <s v="Noida"/>
    <s v="Noida"/>
    <s v="Technology"/>
    <x v="2"/>
    <s v="Accessories"/>
    <x v="5"/>
    <s v="Smart Accessories 896"/>
    <s v="Second Class"/>
    <x v="0"/>
    <n v="1"/>
    <n v="3106.88"/>
    <n v="0.2"/>
    <n v="2485.5"/>
    <n v="2028.43"/>
    <n v="457.07"/>
    <s v="Paid"/>
    <x v="0"/>
    <s v="Cancelled"/>
    <x v="1"/>
    <s v="ORD-2024-10498|08-29-2024|08-29-2024|CUST-1567|Sneha Kapoor|Small Business|NORTH|Uttar Pradesh|Noida|Technology|Accessories|Smart Accessories 896|Second Class|1|3106.88|0.2|2485.5|2028.43|457.07|Paid|Cancelled"/>
    <s v="Keep"/>
    <n v="1"/>
    <s v="Unique"/>
    <s v=""/>
    <n v="0.2"/>
    <n v="2485.5040000000004"/>
    <n v="457.0740000000003"/>
    <n v="0.18389590199814615"/>
    <n v="8"/>
    <n v="2024"/>
    <b v="0"/>
    <b v="0"/>
    <x v="1"/>
    <s v="Cancelled order excluded"/>
    <s v="Warning"/>
  </r>
  <r>
    <s v="ORD-2025-10499"/>
    <s v="2025-09-07"/>
    <x v="8"/>
    <d v="2025-09-07T00:00:00"/>
    <s v="10 Sep 2025"/>
    <d v="2025-09-10T00:00:00"/>
    <s v="OK"/>
    <n v="3"/>
    <s v="CUST-1190"/>
    <s v="Karan Malhotra"/>
    <s v="Karan Malhotra"/>
    <s v="Consumer"/>
    <x v="0"/>
    <s v="North"/>
    <x v="0"/>
    <s v="Punjab"/>
    <s v="Punjab"/>
    <s v="Ludhiana"/>
    <s v="Ludhiana"/>
    <s v="Furniture"/>
    <x v="1"/>
    <s v="Chairs"/>
    <x v="4"/>
    <s v="Basic Chairs 255"/>
    <s v="Same Day"/>
    <x v="1"/>
    <n v="2"/>
    <n v="447.55"/>
    <n v="0.05"/>
    <n v="850.35"/>
    <n v="600.98"/>
    <n v="249.37"/>
    <s v="Refunded"/>
    <x v="1"/>
    <s v="Cancelled"/>
    <x v="1"/>
    <s v="ORD-2025-10499|09-07-2025|09-10-2025|CUST-1190|Karan Malhotra|Consumer|North|Punjab|Ludhiana|Furniture|Chairs|Basic Chairs 255|Same Day|2|447.55|0.05|850.35|600.98|249.37|Refunded|cancelled"/>
    <s v="Keep"/>
    <n v="1"/>
    <s v="Unique"/>
    <s v=""/>
    <n v="0.05"/>
    <n v="850.34500000000003"/>
    <n v="249.36500000000001"/>
    <n v="0.29325156260106194"/>
    <n v="9"/>
    <n v="2025"/>
    <b v="0"/>
    <b v="0"/>
    <x v="1"/>
    <s v="Refunded order summarized separately; Cancelled order excluded"/>
    <s v="Warning"/>
  </r>
  <r>
    <s v="ORD-2024-10500"/>
    <s v="2024-12-22"/>
    <x v="10"/>
    <d v="2024-12-22T00:00:00"/>
    <s v="26-12-2024"/>
    <d v="2024-12-26T00:00:00"/>
    <s v="OK"/>
    <n v="4"/>
    <s v="CUST-5604"/>
    <s v="Rahul Verma"/>
    <s v="Rahul Verma"/>
    <s v="Home Office"/>
    <x v="3"/>
    <s v="North"/>
    <x v="0"/>
    <s v="Uttar Pradesh"/>
    <s v="Uttar Pradesh"/>
    <s v="Noida"/>
    <s v="Noida"/>
    <s v="Furniture"/>
    <x v="1"/>
    <s v="Chairs"/>
    <x v="4"/>
    <s v="Eco Chairs 210"/>
    <s v="Standard Class"/>
    <x v="3"/>
    <n v="9"/>
    <n v="1110.8699999999999"/>
    <m/>
    <n v="7498.37"/>
    <n v="6059.07"/>
    <n v="1439.3"/>
    <s v="Paid"/>
    <x v="0"/>
    <s v="Cancelled"/>
    <x v="1"/>
    <s v="ORD-2024-10500|12-22-2024|26-12-2024|CUST-5604|Rahul Verma|Home Office|North|Uttar Pradesh|Noida|Furniture|Chairs|Eco Chairs 210|Standard Class|9|1110.87||7498.37|6059.07|1439.3|Paid|Cancelled"/>
    <s v="Keep"/>
    <n v="1"/>
    <s v="Unique"/>
    <s v=""/>
    <n v="0"/>
    <n v="9997.8299999999981"/>
    <n v="3938.7599999999984"/>
    <n v="0.3939614896432525"/>
    <n v="12"/>
    <n v="2024"/>
    <b v="1"/>
    <b v="1"/>
    <x v="1"/>
    <s v="Missing discount treated as 0; Cancelled order excluded; Sales mismatch; Profit mismatch"/>
    <s v="Invalid"/>
  </r>
  <r>
    <s v="ORD-2024-10501"/>
    <s v="05/17/2024"/>
    <x v="5"/>
    <d v="2024-05-17T00:00:00"/>
    <s v="05/22/2024"/>
    <d v="2024-05-22T00:00:00"/>
    <s v="OK"/>
    <n v="5"/>
    <s v="CUST-7661"/>
    <s v="Sneha Kapoor"/>
    <s v="Sneha Kapoor"/>
    <s v="Consumer"/>
    <x v="0"/>
    <s v="South"/>
    <x v="2"/>
    <s v="Kerala"/>
    <s v="Kerala"/>
    <s v="Kochi"/>
    <s v="Kochi"/>
    <s v="Technology"/>
    <x v="2"/>
    <s v="Phones"/>
    <x v="11"/>
    <s v="Prime Phones 533"/>
    <s v="Same Day"/>
    <x v="1"/>
    <n v="9"/>
    <n v="3795.99"/>
    <s v="85%"/>
    <n v="34163.910000000003"/>
    <n v="28577.15"/>
    <n v="5586.76"/>
    <s v="Paid"/>
    <x v="0"/>
    <s v="Completed"/>
    <x v="0"/>
    <s v="ORD-2024-10501|05-17-2024|05-22-2024|CUST-7661|Sneha Kapoor|Consumer|South|Kerala|Kochi|Technology|Phones|Prime Phones 533|Same Day|9|3795.99|85%|34163.91|28577.15|5586.76|Paid|Completed"/>
    <s v="Keep"/>
    <n v="1"/>
    <s v="Unique"/>
    <s v=""/>
    <n v="0.85"/>
    <n v="5124.5865000000003"/>
    <n v="-23452.5635"/>
    <n v="-4.5764791949555343"/>
    <n v="5"/>
    <n v="2024"/>
    <b v="1"/>
    <b v="1"/>
    <x v="1"/>
    <s v="Discount above 50%; Sales mismatch; Profit mismatch"/>
    <s v="Invalid"/>
  </r>
  <r>
    <s v="ORD-2024-10502"/>
    <s v="11 Aug 2024"/>
    <x v="1"/>
    <d v="2024-08-11T00:00:00"/>
    <s v="08/17/2024"/>
    <d v="2024-08-17T00:00:00"/>
    <s v="OK"/>
    <n v="6"/>
    <s v="CUST-3710"/>
    <s v="Neha Gupta"/>
    <s v="Neha Gupta"/>
    <s v="Consumer"/>
    <x v="0"/>
    <s v="East"/>
    <x v="1"/>
    <s v="Jharkhand"/>
    <s v="Jharkhand"/>
    <s v="Ranchi"/>
    <s v="Ranchi"/>
    <s v="Office Supplies"/>
    <x v="0"/>
    <s v="Art"/>
    <x v="2"/>
    <s v="Elite Art 325"/>
    <s v="Second Class"/>
    <x v="0"/>
    <n v="6"/>
    <n v="3497.54"/>
    <n v="0.15"/>
    <n v="17837.45"/>
    <n v="13627.02"/>
    <n v="4210.43"/>
    <s v="Paid"/>
    <x v="0"/>
    <s v="Completed"/>
    <x v="0"/>
    <s v="ORD-2024-10502|08-11-2024|08-17-2024|CUST-3710|Neha Gupta|Consumer|East|Jharkhand|Ranchi|Office Supplies|Art|Elite Art 325|Second Class|6|3497.54|0.15|17837.45|13627.02|4210.43|Paid|Completed"/>
    <s v="Keep"/>
    <n v="1"/>
    <s v="Unique"/>
    <s v=""/>
    <n v="0.15"/>
    <n v="17837.453999999998"/>
    <n v="4210.4339999999975"/>
    <n v="0.23604456106796395"/>
    <n v="8"/>
    <n v="2024"/>
    <b v="0"/>
    <b v="0"/>
    <x v="0"/>
    <s v=""/>
    <s v="Clean"/>
  </r>
  <r>
    <s v="ORD-2024-10503"/>
    <s v="04/01/2024"/>
    <x v="19"/>
    <d v="2024-04-01T00:00:00"/>
    <s v="2024-04-09"/>
    <d v="2024-04-09T00:00:00"/>
    <s v="OK"/>
    <n v="8"/>
    <s v="CUST-1534"/>
    <s v="Priya Menon"/>
    <s v="Priya Menon"/>
    <s v="Small Business"/>
    <x v="1"/>
    <s v="  East "/>
    <x v="1"/>
    <s v="Odisha"/>
    <s v="Odisha"/>
    <s v="Bhubaneswar"/>
    <s v="Bhubaneswar"/>
    <s v="Technology"/>
    <x v="2"/>
    <s v="Copiers"/>
    <x v="6"/>
    <s v="Prime Copiers 557"/>
    <s v="Second Class"/>
    <x v="0"/>
    <n v="6"/>
    <n v="826.93"/>
    <n v="0.1"/>
    <n v="4465.42"/>
    <n v="3377.1"/>
    <n v="1088.32"/>
    <s v="Paid"/>
    <x v="0"/>
    <s v="Completed"/>
    <x v="0"/>
    <s v="ORD-2024-10503|04-01-2024|04-09-2024|CUST-1534|Priya Menon|Small Business|  East |Odisha|Bhubaneswar|Technology|Copiers|Prime Copiers 557|Second Class|6|826.93|0.1|4465.42|3377.1|1088.32|Paid|Completed"/>
    <s v="Keep"/>
    <n v="1"/>
    <s v="Unique"/>
    <s v=""/>
    <n v="0.1"/>
    <n v="4465.4220000000005"/>
    <n v="1088.3220000000006"/>
    <n v="0.24372209390288319"/>
    <n v="4"/>
    <n v="2024"/>
    <b v="0"/>
    <b v="0"/>
    <x v="0"/>
    <s v=""/>
    <s v="Clean"/>
  </r>
  <r>
    <s v="ORD-2024-10504"/>
    <s v="2024-09-28"/>
    <x v="21"/>
    <d v="2024-09-28T00:00:00"/>
    <s v="2024-10-05"/>
    <d v="2024-10-05T00:00:00"/>
    <s v="OK"/>
    <n v="7"/>
    <s v="CUST-7422"/>
    <s v="Aarav Sharma"/>
    <s v="Aarav Sharma"/>
    <s v="Consumer"/>
    <x v="0"/>
    <s v="South"/>
    <x v="2"/>
    <s v="Tamil Nadu"/>
    <s v="Tamil Nadu"/>
    <s v="Chennai"/>
    <s v="Chennai"/>
    <s v="Technology"/>
    <x v="2"/>
    <s v="Phones"/>
    <x v="11"/>
    <s v="Smart Phones 674"/>
    <s v="Standard Class"/>
    <x v="3"/>
    <n v="7"/>
    <n v="1681.6"/>
    <n v="0.1"/>
    <n v="10594.08"/>
    <n v="7160.31"/>
    <n v="3433.77"/>
    <s v="Paid"/>
    <x v="0"/>
    <s v="Completed"/>
    <x v="0"/>
    <s v="ORD-2024-10504|09-28-2024|10-05-2024|CUST-7422|Aarav Sharma|Consumer|South|Tamil Nadu|Chennai|Technology|Phones|Smart Phones 674|Standard Class|7|1681.6|0.1|10594.08|7160.31|3433.77|Paid|Completed"/>
    <s v="Keep"/>
    <n v="1"/>
    <s v="Unique"/>
    <s v=""/>
    <n v="0.1"/>
    <n v="10594.08"/>
    <n v="3433.7699999999995"/>
    <n v="0.32412158488514337"/>
    <n v="9"/>
    <n v="2024"/>
    <b v="0"/>
    <b v="0"/>
    <x v="0"/>
    <s v=""/>
    <s v="Clean"/>
  </r>
  <r>
    <s v="ORD-2025-10505"/>
    <s v="2025-02-12"/>
    <x v="7"/>
    <d v="2025-02-12T00:00:00"/>
    <s v="2025-02-17"/>
    <d v="2025-02-17T00:00:00"/>
    <s v="OK"/>
    <n v="5"/>
    <s v="CUST-9693"/>
    <s v="Arjun Bose"/>
    <s v="Arjun Bose"/>
    <s v="Corporate"/>
    <x v="2"/>
    <s v="West"/>
    <x v="3"/>
    <s v="Gujarat"/>
    <s v="Gujarat"/>
    <s v="Ahmedabad"/>
    <s v="Ahmedabad"/>
    <s v="Office Supplies"/>
    <x v="0"/>
    <s v="Art"/>
    <x v="2"/>
    <s v="Elite Art 553"/>
    <s v="Standard Class"/>
    <x v="3"/>
    <n v="4"/>
    <n v="4328.12"/>
    <n v="0"/>
    <n v="17312.48"/>
    <n v="14424.22"/>
    <n v="2888.26"/>
    <s v="Paid"/>
    <x v="0"/>
    <s v="Completed"/>
    <x v="0"/>
    <s v="ORD-2025-10505|02-12-2025|02-17-2025|CUST-9693|Arjun Bose|Corporate|West|Gujarat|Ahmedabad|Office Supplies|Art|Elite Art 553|Standard Class|4|4328.12|0|17312.48|14424.22|2888.26|Paid|Completed"/>
    <s v="Keep"/>
    <n v="1"/>
    <s v="Unique"/>
    <s v=""/>
    <n v="0"/>
    <n v="17312.48"/>
    <n v="2888.26"/>
    <n v="0.16683109525613893"/>
    <n v="2"/>
    <n v="2025"/>
    <b v="0"/>
    <b v="0"/>
    <x v="0"/>
    <s v=""/>
    <s v="Clean"/>
  </r>
  <r>
    <s v="ORD-2024-10506"/>
    <s v="2024-11-09"/>
    <x v="3"/>
    <d v="2024-11-09T00:00:00"/>
    <s v="14 Nov 2024"/>
    <d v="2024-11-14T00:00:00"/>
    <s v="OK"/>
    <n v="5"/>
    <s v="CUST-5458"/>
    <s v="Neha Gupta"/>
    <s v="Neha Gupta"/>
    <s v="Corporate"/>
    <x v="2"/>
    <s v="West"/>
    <x v="3"/>
    <s v="Madhya Pradesh"/>
    <s v="Madhya Pradesh"/>
    <s v="Indore"/>
    <s v="Indore"/>
    <s v="Office Supplies"/>
    <x v="0"/>
    <s v="Art"/>
    <x v="2"/>
    <s v="Classic Art 339"/>
    <s v="First Class"/>
    <x v="2"/>
    <n v="9"/>
    <n v="2438.29"/>
    <n v="0.2"/>
    <n v="17555.689999999999"/>
    <n v="13293.2"/>
    <n v="4262.49"/>
    <s v="Paid"/>
    <x v="0"/>
    <s v="Cancelled"/>
    <x v="1"/>
    <s v="ORD-2024-10506|11-09-2024|11-14-2024|CUST-5458|Neha Gupta|Corporate|West|Madhya Pradesh|Indore|Office Supplies|Art|Classic Art 339|First Class|9|2438.29|0.2|17555.69|13293.2|4262.49|Paid|Cancelled"/>
    <s v="Keep"/>
    <n v="1"/>
    <s v="Unique"/>
    <s v=""/>
    <n v="0.2"/>
    <n v="17555.688000000002"/>
    <n v="4262.4880000000012"/>
    <n v="0.24279811762432785"/>
    <n v="11"/>
    <n v="2024"/>
    <b v="0"/>
    <b v="0"/>
    <x v="1"/>
    <s v="Cancelled order excluded"/>
    <s v="Warning"/>
  </r>
  <r>
    <s v="ORD-2024-10507"/>
    <s v="15-12-2024"/>
    <x v="10"/>
    <d v="2024-12-15T00:00:00"/>
    <s v="2024-12-15"/>
    <d v="2024-12-15T00:00:00"/>
    <s v="OK"/>
    <n v="0"/>
    <s v="CUST-3011"/>
    <s v="Aarav Sharma"/>
    <s v="Aarav Sharma"/>
    <s v="Small Business"/>
    <x v="1"/>
    <s v="North"/>
    <x v="0"/>
    <s v="Punjab"/>
    <s v="Punjab"/>
    <s v="Ludhiana"/>
    <s v="Ludhiana"/>
    <s v="Furniture"/>
    <x v="1"/>
    <s v="Furnishings"/>
    <x v="3"/>
    <s v="Smart Furnishings 352"/>
    <s v="First Class"/>
    <x v="2"/>
    <n v="2"/>
    <n v="669.8"/>
    <n v="0.1"/>
    <n v="1205.6400000000001"/>
    <n v="842.07"/>
    <n v="363.57"/>
    <s v="Refunded"/>
    <x v="1"/>
    <s v="Returned"/>
    <x v="2"/>
    <s v="ORD-2024-10507|15-12-2024|12-15-2024|CUST-3011|Aarav Sharma|Small Business|North|Punjab|Ludhiana|Furniture|Furnishings|Smart Furnishings 352|First Class|2|669.8|0.1|1205.64|842.07|363.57|Refunded|Returned"/>
    <s v="Keep"/>
    <n v="1"/>
    <s v="Unique"/>
    <s v=""/>
    <n v="0.1"/>
    <n v="1205.6399999999999"/>
    <n v="363.56999999999982"/>
    <n v="0.30155767890912699"/>
    <n v="12"/>
    <n v="2024"/>
    <b v="0"/>
    <b v="0"/>
    <x v="1"/>
    <s v="Refunded order summarized separately; Returned order excluded"/>
    <s v="Warning"/>
  </r>
  <r>
    <s v="ORD-2025-10508"/>
    <s v="2025-04-15"/>
    <x v="6"/>
    <d v="2025-04-15T00:00:00"/>
    <s v="2025-04-22"/>
    <d v="2025-04-22T00:00:00"/>
    <s v="OK"/>
    <n v="7"/>
    <s v="CUST-1826"/>
    <s v="Isha Nair"/>
    <s v="Isha Nair"/>
    <s v="Small Business"/>
    <x v="1"/>
    <s v="North"/>
    <x v="0"/>
    <s v="Haryana"/>
    <s v="Haryana"/>
    <s v="Gurugram"/>
    <s v="Gurugram"/>
    <s v="Office Supplies"/>
    <x v="0"/>
    <s v="Binders"/>
    <x v="9"/>
    <s v="Classic Binders 602"/>
    <s v="Same Day"/>
    <x v="1"/>
    <n v="4"/>
    <n v="2990.42"/>
    <n v="0.25"/>
    <n v="8971.26"/>
    <n v="6814.35"/>
    <n v="2156.91"/>
    <s v="Paid"/>
    <x v="0"/>
    <s v="Completed"/>
    <x v="0"/>
    <s v="ORD-2025-10508|04-15-2025|04-22-2025|CUST-1826|Isha Nair|Small Business|North|Haryana|Gurugram|Office Supplies|Binders|Classic Binders 602|Same Day|4|2990.42|0.25|8971.26|6814.35|2156.91|Paid|Completed"/>
    <s v="Keep"/>
    <n v="1"/>
    <s v="Unique"/>
    <s v=""/>
    <n v="0.25"/>
    <n v="8971.26"/>
    <n v="2156.91"/>
    <n v="0.24042442198754688"/>
    <n v="4"/>
    <n v="2025"/>
    <b v="0"/>
    <b v="0"/>
    <x v="0"/>
    <s v=""/>
    <s v="Clean"/>
  </r>
  <r>
    <s v="ORD-2024-10509"/>
    <s v="31 Mar 2024"/>
    <x v="15"/>
    <d v="2024-03-31T00:00:00"/>
    <s v="07-04-2024"/>
    <d v="2024-04-07T00:00:00"/>
    <s v="OK"/>
    <n v="7"/>
    <s v="CUST-3333"/>
    <s v="Isha Nair"/>
    <s v="Isha Nair"/>
    <s v="Small Business"/>
    <x v="1"/>
    <s v="North"/>
    <x v="0"/>
    <s v="Haryana"/>
    <s v="Haryana"/>
    <s v="Gurugram"/>
    <s v="Gurugram"/>
    <s v="Technology"/>
    <x v="2"/>
    <s v="Machines"/>
    <x v="12"/>
    <s v="Smart Machines 853"/>
    <s v="Second Class"/>
    <x v="0"/>
    <n v="4"/>
    <n v="1831"/>
    <n v="0"/>
    <n v="7324"/>
    <n v="4179.63"/>
    <n v="3144.37"/>
    <s v="Paid"/>
    <x v="0"/>
    <s v="Completed"/>
    <x v="0"/>
    <s v="ORD-2024-10509|03-31-2024|07-04-2024|CUST-3333|Isha Nair|Small Business|North|Haryana|Gurugram|Technology|Machines|Smart Machines 853|Second Class|4|1831|0|7324|4179.63|3144.37|Paid|Completed"/>
    <s v="Keep"/>
    <n v="1"/>
    <s v="Unique"/>
    <s v=""/>
    <n v="0"/>
    <n v="7324"/>
    <n v="3144.37"/>
    <n v="0.42932413981430911"/>
    <n v="3"/>
    <n v="2024"/>
    <b v="0"/>
    <b v="0"/>
    <x v="0"/>
    <s v=""/>
    <s v="Clean"/>
  </r>
  <r>
    <s v="ORD-2025-10510"/>
    <s v="2025-05-12"/>
    <x v="9"/>
    <d v="2025-05-12T00:00:00"/>
    <s v="05/14/2025"/>
    <d v="2025-05-14T00:00:00"/>
    <s v="OK"/>
    <n v="2"/>
    <s v="CUST-7901"/>
    <s v="Neha Gupta"/>
    <s v="Neha Gupta"/>
    <s v="Consumer"/>
    <x v="0"/>
    <s v="West"/>
    <x v="3"/>
    <s v="Gujarat"/>
    <s v="Gujarat"/>
    <s v="Ahmedabad"/>
    <s v="Ahmedabad"/>
    <s v="Technology"/>
    <x v="2"/>
    <s v="Machines"/>
    <x v="12"/>
    <s v="Classic Machines 599"/>
    <s v="Same Day"/>
    <x v="1"/>
    <n v="8"/>
    <n v="3631.44"/>
    <n v="0.2"/>
    <n v="23241.22"/>
    <n v="17220.900000000001"/>
    <n v="6020.32"/>
    <s v="Paid"/>
    <x v="0"/>
    <s v="Completed"/>
    <x v="0"/>
    <s v="ORD-2025-10510|05-12-2025|05-14-2025|CUST-7901|Neha Gupta|Consumer|West|Gujarat|Ahmedabad|Technology|Machines|Classic Machines 599|Same Day|8|3631.44|0.2|23241.22|17220.9|6020.32|Paid|Completed"/>
    <s v="Keep"/>
    <n v="1"/>
    <s v="Unique"/>
    <s v=""/>
    <n v="0.2"/>
    <n v="23241.216"/>
    <n v="6020.3159999999989"/>
    <n v="0.25903618812371948"/>
    <n v="5"/>
    <n v="2025"/>
    <b v="0"/>
    <b v="0"/>
    <x v="0"/>
    <s v=""/>
    <s v="Clean"/>
  </r>
  <r>
    <s v="ORD-2024-10511"/>
    <s v="10/18/2024"/>
    <x v="16"/>
    <d v="2024-10-18T00:00:00"/>
    <s v="21-10-2024"/>
    <d v="2024-10-21T00:00:00"/>
    <s v="OK"/>
    <n v="3"/>
    <s v="CUST-9759"/>
    <s v="Aarav  Sharma"/>
    <s v="Aarav Sharma"/>
    <s v="Consumer"/>
    <x v="0"/>
    <s v="South"/>
    <x v="2"/>
    <s v="Karnataka"/>
    <s v="Karnataka"/>
    <s v="Bengaluru"/>
    <s v="Bengaluru"/>
    <s v="Office Supplies"/>
    <x v="0"/>
    <s v="Storage"/>
    <x v="8"/>
    <s v="Pro Storage 373"/>
    <s v="Second Class"/>
    <x v="0"/>
    <n v="2"/>
    <n v="4238.51"/>
    <n v="0"/>
    <n v="8477.02"/>
    <n v="6884.96"/>
    <n v="1592.06"/>
    <s v="Paid"/>
    <x v="0"/>
    <s v="Completed"/>
    <x v="0"/>
    <s v="ORD-2024-10511|10-18-2024|21-10-2024|CUST-9759|Aarav  Sharma|Consumer|South|Karnataka|Bengaluru|Office Supplies|Storage|Pro Storage 373|Second Class|2|4238.51|0|8477.02|6884.96|1592.06|Paid|Completed"/>
    <s v="Keep"/>
    <n v="1"/>
    <s v="Unique"/>
    <s v=""/>
    <n v="0"/>
    <n v="8477.02"/>
    <n v="1592.0600000000004"/>
    <n v="0.18780892341884298"/>
    <n v="10"/>
    <n v="2024"/>
    <b v="0"/>
    <b v="0"/>
    <x v="0"/>
    <s v=""/>
    <s v="Clean"/>
  </r>
  <r>
    <s v="ORD-2024-10512"/>
    <s v="10/23/2024"/>
    <x v="16"/>
    <d v="2024-10-23T00:00:00"/>
    <s v="26 Oct 2024"/>
    <d v="2024-10-26T00:00:00"/>
    <s v="OK"/>
    <n v="3"/>
    <s v="CUST-7232"/>
    <s v="Sneha Kapoor"/>
    <s v="Sneha Kapoor"/>
    <s v="Consumer"/>
    <x v="0"/>
    <s v="West"/>
    <x v="3"/>
    <s v="Madhya Pradesh"/>
    <s v="Madhya Pradesh"/>
    <s v="Indore"/>
    <s v="Indore"/>
    <s v="Furniture"/>
    <x v="1"/>
    <s v="Bookcases"/>
    <x v="10"/>
    <s v="Smart Bookcases 920"/>
    <s v="Standard Class"/>
    <x v="3"/>
    <n v="9"/>
    <n v="544.27"/>
    <n v="0.25"/>
    <n v="3673.82"/>
    <n v="2088.15"/>
    <n v="1585.67"/>
    <s v="Paid"/>
    <x v="0"/>
    <s v="Completed"/>
    <x v="0"/>
    <s v="ORD-2024-10512|10-23-2024|10-26-2024|CUST-7232|Sneha Kapoor|Consumer|West|Madhya Pradesh|Indore|Furniture|Bookcases|Smart Bookcases 920|Standard Class|9|544.27|0.25|3673.82|2088.15|1585.67|Paid|Completed"/>
    <s v="Keep"/>
    <n v="1"/>
    <s v="Unique"/>
    <s v=""/>
    <n v="0.25"/>
    <n v="3673.8225000000002"/>
    <n v="1585.6725000000001"/>
    <n v="0.43161380278987349"/>
    <n v="10"/>
    <n v="2024"/>
    <b v="0"/>
    <b v="0"/>
    <x v="0"/>
    <s v=""/>
    <s v="Clean"/>
  </r>
  <r>
    <s v="ORD-2025-10513"/>
    <s v="03/02/2025"/>
    <x v="20"/>
    <d v="2025-03-02T00:00:00"/>
    <s v="2025-03-03"/>
    <d v="2025-03-03T00:00:00"/>
    <s v="OK"/>
    <n v="1"/>
    <s v="CUST-9943"/>
    <s v="Isha Nair"/>
    <s v="Isha Nair"/>
    <s v="Corporate"/>
    <x v="2"/>
    <s v="South"/>
    <x v="2"/>
    <s v="Kerala"/>
    <s v="Kerala"/>
    <s v="Kochi"/>
    <s v="Kochi"/>
    <s v="Office Supplies"/>
    <x v="0"/>
    <s v="Labels"/>
    <x v="7"/>
    <s v="Pro Labels 849"/>
    <s v="Second Class"/>
    <x v="0"/>
    <n v="2"/>
    <n v="4031.45"/>
    <n v="0.25"/>
    <n v="6047.17"/>
    <n v="3368.79"/>
    <n v="2678.38"/>
    <s v="Paid"/>
    <x v="0"/>
    <s v="Completed"/>
    <x v="0"/>
    <s v="ORD-2025-10513|03-02-2025|03-03-2025|CUST-9943|Isha Nair|Corporate|South|Kerala|Kochi|Office Supplies|Labels|Pro Labels 849|Second Class|2|4031.45|0.25|6047.17|3368.79|2678.38|Paid|Completed"/>
    <s v="Keep"/>
    <n v="1"/>
    <s v="Unique"/>
    <s v=""/>
    <n v="0.25"/>
    <n v="6047.1749999999993"/>
    <n v="2678.3849999999993"/>
    <n v="0.44291508018206843"/>
    <n v="3"/>
    <n v="2025"/>
    <b v="0"/>
    <b v="0"/>
    <x v="0"/>
    <s v=""/>
    <s v="Clean"/>
  </r>
  <r>
    <s v="ORD-2025-10514"/>
    <s v="27-06-2025"/>
    <x v="18"/>
    <d v="2025-06-27T00:00:00"/>
    <s v="07/02/2025"/>
    <d v="2025-07-02T00:00:00"/>
    <s v="OK"/>
    <n v="5"/>
    <s v="CUST-8993"/>
    <s v="Aarav Sharma"/>
    <s v="Aarav Sharma"/>
    <s v="Corporate"/>
    <x v="2"/>
    <s v="South"/>
    <x v="2"/>
    <s v="Kerala"/>
    <s v="Kerala"/>
    <s v="Kochi"/>
    <s v="Kochi"/>
    <s v="Technology"/>
    <x v="2"/>
    <s v="Accessories "/>
    <x v="5"/>
    <s v="Prime Accessories 849"/>
    <s v="First Class"/>
    <x v="2"/>
    <n v="6"/>
    <n v="1099.49"/>
    <n v="0.1"/>
    <n v="6212.38"/>
    <n v="4088.46"/>
    <n v="1848.79"/>
    <s v="Paid"/>
    <x v="0"/>
    <s v="Completed"/>
    <x v="0"/>
    <s v="ORD-2025-10514|27-06-2025|07-02-2025|CUST-8993|Aarav Sharma|Corporate|South|Kerala|Kochi|Technology|Accessories |Prime Accessories 849|First Class|6|1099.49|0.1|6212.38|4088.46|1848.79|Paid|Completed"/>
    <s v="Keep"/>
    <n v="1"/>
    <s v="Unique"/>
    <s v=""/>
    <n v="0.1"/>
    <n v="5937.246000000001"/>
    <n v="1848.786000000001"/>
    <n v="0.31138780505304997"/>
    <n v="6"/>
    <n v="2025"/>
    <b v="1"/>
    <b v="0"/>
    <x v="1"/>
    <s v="Sales mismatch"/>
    <s v="Invalid"/>
  </r>
  <r>
    <s v="ORD-2024-10515"/>
    <s v="18 Nov 2024"/>
    <x v="3"/>
    <d v="2024-11-18T00:00:00"/>
    <s v="2024-11-22"/>
    <d v="2024-11-22T00:00:00"/>
    <s v="OK"/>
    <n v="4"/>
    <s v="CUST-7729"/>
    <s v="Karan Malhotra"/>
    <s v="Karan Malhotra"/>
    <s v="Home Office"/>
    <x v="3"/>
    <s v="South"/>
    <x v="2"/>
    <s v="Kerala"/>
    <s v="Kerala"/>
    <s v="Kochi"/>
    <s v="Kochi"/>
    <s v="Technology"/>
    <x v="2"/>
    <s v="Accessories"/>
    <x v="5"/>
    <s v="Smart Accessories 388"/>
    <s v="Standard Class"/>
    <x v="3"/>
    <n v="6"/>
    <n v="3872.94"/>
    <n v="0.1"/>
    <n v="20913.88"/>
    <n v="11684.68"/>
    <n v="9229.2000000000007"/>
    <s v="Paid"/>
    <x v="0"/>
    <s v="Completed"/>
    <x v="0"/>
    <s v="ORD-2024-10515|11-18-2024|11-22-2024|CUST-7729|Karan Malhotra|Home Office|South|Kerala|Kochi|Technology|Accessories|Smart Accessories 388|Standard Class|6|3872.94|0.1|20913.88|11684.68|9229.2|Paid|Completed"/>
    <s v="Keep"/>
    <n v="1"/>
    <s v="Unique"/>
    <s v=""/>
    <n v="0.1"/>
    <n v="20913.876"/>
    <n v="9229.1959999999999"/>
    <n v="0.44129533903710627"/>
    <n v="11"/>
    <n v="2024"/>
    <b v="0"/>
    <b v="0"/>
    <x v="0"/>
    <s v=""/>
    <s v="Clean"/>
  </r>
  <r>
    <s v="ORD-2025-10516"/>
    <s v="04/11/2025"/>
    <x v="6"/>
    <d v="2025-04-11T00:00:00"/>
    <s v="2025-04-11"/>
    <d v="2025-04-11T00:00:00"/>
    <s v="OK"/>
    <n v="0"/>
    <s v="CUST-9986"/>
    <s v="Rahul Verma"/>
    <s v="Rahul Verma"/>
    <s v="Corporate"/>
    <x v="2"/>
    <s v="North"/>
    <x v="0"/>
    <s v="Delhi"/>
    <s v="Delhi"/>
    <s v="New Delhi"/>
    <s v="New Delhi"/>
    <s v="Office Supplies"/>
    <x v="0"/>
    <s v="Paper"/>
    <x v="0"/>
    <s v="Classic Paper 752"/>
    <s v="Standard Class"/>
    <x v="3"/>
    <n v="1"/>
    <n v="4458.49"/>
    <n v="-7.0000000000000007E-2"/>
    <n v="3566.79"/>
    <n v="2083.41"/>
    <n v="1483.38"/>
    <s v="Paid"/>
    <x v="0"/>
    <s v="Completed"/>
    <x v="0"/>
    <s v="ORD-2025-10516|04-11-2025|04-11-2025|CUST-9986|Rahul Verma|Corporate|North|Delhi|New Delhi|Office Supplies|Paper|Classic Paper 752|Standard Class|1|4458.49|-0.07|3566.79|2083.41|1483.38|Paid|Completed"/>
    <s v="Keep"/>
    <n v="1"/>
    <s v="Unique"/>
    <s v=""/>
    <n v="-7.0000000000000007E-2"/>
    <n v="4770.5843000000004"/>
    <n v="2687.1743000000006"/>
    <n v="0.56327991101635089"/>
    <n v="4"/>
    <n v="2025"/>
    <b v="1"/>
    <b v="1"/>
    <x v="1"/>
    <s v="Negative discount; Sales mismatch; Profit mismatch"/>
    <s v="Invalid"/>
  </r>
  <r>
    <s v="ORD-2024-10517"/>
    <s v="09/28/2024"/>
    <x v="21"/>
    <d v="2024-09-28T00:00:00"/>
    <s v="04 Oct 2024"/>
    <d v="2024-10-04T00:00:00"/>
    <s v="OK"/>
    <n v="6"/>
    <s v="CUST-2731"/>
    <s v="Kabir Singh"/>
    <s v="Kabir Singh"/>
    <s v="Home Office"/>
    <x v="3"/>
    <s v="North"/>
    <x v="0"/>
    <s v="Delhi"/>
    <s v="Delhi"/>
    <s v="New Delhi"/>
    <s v="New Delhi"/>
    <s v="Technology"/>
    <x v="2"/>
    <s v="Copiers"/>
    <x v="6"/>
    <s v="Classic Copiers 143"/>
    <s v="Standard Class"/>
    <x v="3"/>
    <n v="1"/>
    <n v="2233.1799999999998"/>
    <n v="0"/>
    <n v="2233.1799999999998"/>
    <n v="1585.82"/>
    <n v="647.36"/>
    <s v="Failed"/>
    <x v="3"/>
    <s v="Returned"/>
    <x v="2"/>
    <s v="ORD-2024-10517|09-28-2024|10-04-2024|CUST-2731|Kabir Singh|Home Office|North|Delhi|New Delhi|Technology|Copiers|Classic Copiers 143|Standard Class|1|2233.18|0|2233.18|1585.82|647.36|Failed|Returned"/>
    <s v="Keep"/>
    <n v="1"/>
    <s v="Unique"/>
    <s v=""/>
    <n v="0"/>
    <n v="2233.1799999999998"/>
    <n v="647.3599999999999"/>
    <n v="0.28988258895386843"/>
    <n v="9"/>
    <n v="2024"/>
    <b v="0"/>
    <b v="0"/>
    <x v="1"/>
    <s v="Failed payment excluded; Returned order excluded"/>
    <s v="Warning"/>
  </r>
  <r>
    <s v="ORD-2025-10518"/>
    <s v="2025-05-25"/>
    <x v="9"/>
    <d v="2025-05-25T00:00:00"/>
    <s v="27 May 2025"/>
    <d v="2025-05-27T00:00:00"/>
    <s v="OK"/>
    <n v="2"/>
    <s v="CUST-4235"/>
    <s v="Rahul Verma"/>
    <s v="Rahul Verma"/>
    <s v="Consumer"/>
    <x v="0"/>
    <s v="East"/>
    <x v="1"/>
    <s v="Odisha"/>
    <s v="Odisha"/>
    <s v="Bhubaneswar"/>
    <s v="Bhubaneswar"/>
    <s v="Furniture"/>
    <x v="1"/>
    <s v="Furnishings"/>
    <x v="3"/>
    <s v="Basic Furnishings 386"/>
    <s v="Second Class"/>
    <x v="0"/>
    <n v="7"/>
    <n v="2123.2800000000002"/>
    <n v="0.2"/>
    <n v="11890.37"/>
    <n v="9234.5300000000007"/>
    <n v="2655.84"/>
    <s v="Refunded"/>
    <x v="1"/>
    <s v="Returned"/>
    <x v="2"/>
    <s v="ORD-2025-10518|05-25-2025|05-27-2025|CUST-4235|Rahul Verma|Consumer|East|Odisha|Bhubaneswar|Furniture|Furnishings|Basic Furnishings 386|Second Class|7|2123.28|0.2|11890.37|9234.53|2655.84|Refunded|Returned"/>
    <s v="Keep"/>
    <n v="1"/>
    <s v="Unique"/>
    <s v=""/>
    <n v="0.2"/>
    <n v="11890.368000000002"/>
    <n v="2655.8380000000016"/>
    <n v="0.22336045444514427"/>
    <n v="5"/>
    <n v="2025"/>
    <b v="0"/>
    <b v="0"/>
    <x v="1"/>
    <s v="Refunded order summarized separately; Returned order excluded"/>
    <s v="Warning"/>
  </r>
  <r>
    <s v="ORD-2025-10519"/>
    <s v="30-04-2025"/>
    <x v="6"/>
    <d v="2025-04-30T00:00:00"/>
    <s v="26 Apr 2025"/>
    <d v="2025-04-26T00:00:00"/>
    <s v="Ship date before order date"/>
    <n v="-4"/>
    <s v="CUST-3377"/>
    <s v="Diya Patel"/>
    <s v="Diya Patel"/>
    <s v="Corporate"/>
    <x v="2"/>
    <s v="East"/>
    <x v="1"/>
    <s v="Odisha"/>
    <s v="Odisha"/>
    <s v="Bhubaneswar"/>
    <s v="Bhubaneswar"/>
    <s v="Furniture"/>
    <x v="1"/>
    <s v="Tables"/>
    <x v="1"/>
    <s v="Classic Tables 592"/>
    <s v="First Class"/>
    <x v="2"/>
    <n v="7"/>
    <n v="1604.13"/>
    <n v="0.25"/>
    <n v="8421.68"/>
    <n v="6534.47"/>
    <n v="1887.21"/>
    <s v="Paid"/>
    <x v="0"/>
    <s v="Cancelled"/>
    <x v="1"/>
    <s v="ORD-2025-10519|30-04-2025|04-26-2025|CUST-3377|Diya Patel|Corporate|East|Odisha|Bhubaneswar|Furniture|Tables|Classic Tables 592|First Class|7|1604.13|0.25|8421.68|6534.47|1887.21|Paid|Cancelled"/>
    <s v="Keep"/>
    <n v="1"/>
    <s v="Unique"/>
    <s v=""/>
    <n v="0.25"/>
    <n v="8421.682499999999"/>
    <n v="1887.2124999999987"/>
    <n v="0.22408972316398759"/>
    <n v="4"/>
    <n v="2025"/>
    <b v="0"/>
    <b v="0"/>
    <x v="1"/>
    <s v="Ship date before order date; Cancelled order excluded"/>
    <s v="Invalid"/>
  </r>
  <r>
    <s v="ORD-2025-10520"/>
    <s v="03-07-2025"/>
    <x v="13"/>
    <d v="2025-07-03T00:00:00"/>
    <s v="2025-07-07"/>
    <d v="2025-07-07T00:00:00"/>
    <s v="OK"/>
    <n v="4"/>
    <s v="CUST-3258"/>
    <s v="Priya Menon"/>
    <s v="Priya Menon"/>
    <s v="Consumer"/>
    <x v="0"/>
    <s v="North"/>
    <x v="0"/>
    <s v="Uttar Pradesh"/>
    <s v="Uttar Pradesh"/>
    <s v="Noida"/>
    <s v="Noida"/>
    <s v="Furniture"/>
    <x v="1"/>
    <s v="Tables"/>
    <x v="1"/>
    <s v="Pro Tables 412"/>
    <s v="Standard Class"/>
    <x v="3"/>
    <n v="4"/>
    <n v="4365.21"/>
    <n v="0.2"/>
    <n v="13968.67"/>
    <n v="8857.58"/>
    <n v="5111.09"/>
    <s v="Pending"/>
    <x v="2"/>
    <s v="Cancelled"/>
    <x v="1"/>
    <s v="ORD-2025-10520|03-07-2025|07-07-2025|CUST-3258|Priya Menon|Consumer|North|Uttar Pradesh|Noida|Furniture|Tables|Pro Tables 412|Standard Class|4|4365.21|0.2|13968.67|8857.58|5111.09|Pending|Cancelled"/>
    <s v="Keep"/>
    <n v="1"/>
    <s v="Unique"/>
    <s v=""/>
    <n v="0.2"/>
    <n v="13968.672"/>
    <n v="5111.0920000000006"/>
    <n v="0.36589677243477409"/>
    <n v="7"/>
    <n v="2025"/>
    <b v="0"/>
    <b v="0"/>
    <x v="1"/>
    <s v="Cancelled order excluded"/>
    <s v="Warning"/>
  </r>
  <r>
    <s v="ORD-2024-10521"/>
    <s v="2024-07-16"/>
    <x v="0"/>
    <d v="2024-07-16T00:00:00"/>
    <s v="23 Jul 2024"/>
    <d v="2024-07-23T00:00:00"/>
    <s v="OK"/>
    <n v="7"/>
    <s v="CUST-2155"/>
    <s v="Aarav Sharma"/>
    <s v="Aarav Sharma"/>
    <s v="Home Office"/>
    <x v="3"/>
    <s v="South"/>
    <x v="2"/>
    <s v="Karnataka"/>
    <s v="Karnataka"/>
    <s v="Bengaluru"/>
    <s v="Bengaluru"/>
    <s v="Technology"/>
    <x v="2"/>
    <s v="Machines"/>
    <x v="12"/>
    <s v="Prime Machines 393"/>
    <s v="Same Day"/>
    <x v="1"/>
    <n v="1"/>
    <n v="1695.91"/>
    <n v="0.05"/>
    <n v="1611.11"/>
    <n v="895.15"/>
    <n v="715.96"/>
    <s v="Paid"/>
    <x v="0"/>
    <s v="Completed"/>
    <x v="0"/>
    <s v="ORD-2024-10521|07-16-2024|07-23-2024|CUST-2155|Aarav Sharma|Home Office|South|Karnataka|Bengaluru|Technology|Machines|Prime Machines 393|Same Day|1|1695.91|0.05|1611.11|895.15|715.96|Paid|Completed"/>
    <s v="Keep"/>
    <n v="1"/>
    <s v="Unique"/>
    <s v=""/>
    <n v="0.05"/>
    <n v="1611.1144999999999"/>
    <n v="715.96449999999993"/>
    <n v="0.44439082386757739"/>
    <n v="7"/>
    <n v="2024"/>
    <b v="0"/>
    <b v="0"/>
    <x v="0"/>
    <s v=""/>
    <s v="Clean"/>
  </r>
  <r>
    <s v="ORD-2025-10522"/>
    <s v="2025-03-25"/>
    <x v="20"/>
    <d v="2025-03-25T00:00:00"/>
    <s v="2025-04-01"/>
    <d v="2025-04-01T00:00:00"/>
    <s v="OK"/>
    <n v="7"/>
    <s v="CUST-8012"/>
    <s v="Diya Patel"/>
    <s v="Diya Patel"/>
    <s v="Consumer"/>
    <x v="0"/>
    <s v="North"/>
    <x v="0"/>
    <s v="Punjab"/>
    <s v="Punjab"/>
    <s v="Ludhiana"/>
    <s v="Ludhiana"/>
    <s v="Office Supplies"/>
    <x v="0"/>
    <s v="Labels"/>
    <x v="7"/>
    <s v="Classic Labels 776"/>
    <s v="Second Class"/>
    <x v="0"/>
    <n v="6"/>
    <n v="2192.11"/>
    <n v="0.05"/>
    <n v="12495.03"/>
    <n v="9184.52"/>
    <n v="3310.51"/>
    <s v="Paid"/>
    <x v="0"/>
    <s v="Completed"/>
    <x v="0"/>
    <s v="ORD-2025-10522|03-25-2025|04-01-2025|CUST-8012|Diya Patel|Consumer|North|Punjab|Ludhiana|Office Supplies|Labels|Classic Labels 776|Second Class|6|2192.11|0.05|12495.03|9184.52|3310.51|Paid|Completed"/>
    <s v="Keep"/>
    <n v="1"/>
    <s v="Unique"/>
    <s v=""/>
    <n v="0.05"/>
    <n v="12495.027"/>
    <n v="3310.5069999999996"/>
    <n v="0.26494596610315446"/>
    <n v="3"/>
    <n v="2025"/>
    <b v="0"/>
    <b v="0"/>
    <x v="0"/>
    <s v=""/>
    <s v="Clean"/>
  </r>
  <r>
    <s v="ORD-2025-10523"/>
    <s v="02/28/2025"/>
    <x v="7"/>
    <d v="2025-02-28T00:00:00"/>
    <s v="08 Mar 2025"/>
    <d v="2025-03-08T00:00:00"/>
    <s v="OK"/>
    <n v="8"/>
    <s v="CUST-2917"/>
    <s v="Neha Gupta"/>
    <s v="Neha Gupta"/>
    <s v="Small Business"/>
    <x v="1"/>
    <s v="East"/>
    <x v="1"/>
    <s v="Jharkhand"/>
    <s v="Jharkhand"/>
    <s v="Ranchi"/>
    <s v="Ranchi"/>
    <s v="Technology"/>
    <x v="2"/>
    <s v="Phones"/>
    <x v="11"/>
    <s v="Max Phones 612"/>
    <s v="First Class"/>
    <x v="2"/>
    <n v="9"/>
    <n v="3670.54"/>
    <n v="0"/>
    <n v="33034.86"/>
    <n v="24539.83"/>
    <n v="8495.0300000000007"/>
    <s v="Paid"/>
    <x v="0"/>
    <s v="Completed"/>
    <x v="0"/>
    <s v="ORD-2025-10523|02-28-2025|03-08-2025|CUST-2917|Neha Gupta|Small Business|East|Jharkhand|Ranchi|Technology|Phones|Max Phones 612|First Class|9|3670.54|0|33034.86|24539.83|8495.03|Paid|Completed"/>
    <s v="Keep"/>
    <n v="1"/>
    <s v="Unique"/>
    <s v=""/>
    <n v="0"/>
    <n v="33034.86"/>
    <n v="8495.0299999999988"/>
    <n v="0.25715350390466307"/>
    <n v="2"/>
    <n v="2025"/>
    <b v="0"/>
    <b v="0"/>
    <x v="0"/>
    <s v=""/>
    <s v="Clean"/>
  </r>
  <r>
    <s v="ORD-2024-10524"/>
    <s v="02-04-2024"/>
    <x v="19"/>
    <d v="2024-04-02T00:00:00"/>
    <s v="2024-04-03"/>
    <d v="2024-04-03T00:00:00"/>
    <s v="OK"/>
    <n v="1"/>
    <s v="CUST-4653"/>
    <s v="Kabir Singh"/>
    <s v="Kabir Singh"/>
    <s v="Home Office"/>
    <x v="3"/>
    <s v="West"/>
    <x v="3"/>
    <s v="Goa"/>
    <s v="Goa"/>
    <s v="Panaji"/>
    <s v="Panaji"/>
    <s v="Office Supplies"/>
    <x v="0"/>
    <s v="Paper"/>
    <x v="0"/>
    <s v="Basic Paper 315"/>
    <s v="Second Class"/>
    <x v="0"/>
    <n v="2"/>
    <n v="2902.63"/>
    <n v="0"/>
    <n v="5805.26"/>
    <n v="4654.3599999999997"/>
    <n v="1150.9000000000001"/>
    <s v="Paid"/>
    <x v="0"/>
    <s v="Returned"/>
    <x v="2"/>
    <s v="ORD-2024-10524|02-04-2024|04-03-2024|CUST-4653|Kabir Singh|Home Office|West|Goa|Panaji|Office Supplies|Paper|Basic Paper 315|Second Class|2|2902.63|0|5805.26|4654.36|1150.9|Paid|Returned"/>
    <s v="Keep"/>
    <n v="1"/>
    <s v="Unique"/>
    <s v=""/>
    <n v="0"/>
    <n v="5805.26"/>
    <n v="1150.9000000000005"/>
    <n v="0.19825124111581574"/>
    <n v="4"/>
    <n v="2024"/>
    <b v="0"/>
    <b v="0"/>
    <x v="1"/>
    <s v="Returned order excluded"/>
    <s v="Warning"/>
  </r>
  <r>
    <s v="ORD-2024-10525"/>
    <s v="30 Nov 2024"/>
    <x v="3"/>
    <d v="2024-11-30T00:00:00"/>
    <s v="01 Dec 2024"/>
    <d v="2024-12-01T00:00:00"/>
    <s v="OK"/>
    <n v="1"/>
    <s v="CUST-3311"/>
    <s v="Ananya Rao"/>
    <s v="Ananya Rao"/>
    <s v="Corporate"/>
    <x v="2"/>
    <s v="West"/>
    <x v="3"/>
    <s v="Gujarat"/>
    <s v="Gujarat"/>
    <s v="Ahmedabad"/>
    <s v="Ahmedabad"/>
    <s v="Furniture"/>
    <x v="1"/>
    <s v="Chairs"/>
    <x v="4"/>
    <s v="Basic Chairs 333"/>
    <s v="First Class"/>
    <x v="2"/>
    <n v="9"/>
    <n v="4207.3599999999997"/>
    <n v="0.1"/>
    <n v="34079.620000000003"/>
    <n v="21871.39"/>
    <n v="12208.23"/>
    <s v="Paid"/>
    <x v="0"/>
    <s v="Completed"/>
    <x v="0"/>
    <s v="ORD-2024-10525|11-30-2024|12-01-2024|CUST-3311|Ananya Rao|Corporate|West|Gujarat|Ahmedabad|Furniture|Chairs|Basic Chairs 333|First Class|9|4207.36|0.1|34079.62|21871.39|12208.23|Paid|Completed"/>
    <s v="Keep"/>
    <n v="1"/>
    <s v="Unique"/>
    <s v=""/>
    <n v="0.1"/>
    <n v="34079.616000000002"/>
    <n v="12208.226000000002"/>
    <n v="0.35822663025311091"/>
    <n v="11"/>
    <n v="2024"/>
    <b v="0"/>
    <b v="0"/>
    <x v="0"/>
    <s v=""/>
    <s v="Clean"/>
  </r>
  <r>
    <s v="ORD-2024-10526"/>
    <s v="10/17/2024"/>
    <x v="16"/>
    <d v="2024-10-17T00:00:00"/>
    <s v="2024-10-17"/>
    <d v="2024-10-17T00:00:00"/>
    <s v="OK"/>
    <n v="0"/>
    <s v="CUST-2924"/>
    <s v="Priya Menon"/>
    <s v="Priya Menon"/>
    <s v="Home Office"/>
    <x v="3"/>
    <s v="East"/>
    <x v="1"/>
    <s v="West Bengal"/>
    <s v="West Bengal"/>
    <s v="Kolkata"/>
    <s v="Kolkata"/>
    <s v="Furniture"/>
    <x v="1"/>
    <s v="Chairs"/>
    <x v="4"/>
    <s v="Prime Chairs 215"/>
    <s v="Standard Class"/>
    <x v="3"/>
    <n v="5"/>
    <n v="2524.4"/>
    <n v="0.1"/>
    <n v="11359.8"/>
    <n v="7062.44"/>
    <n v="4297.3599999999997"/>
    <s v="Paid"/>
    <x v="0"/>
    <s v="Completed"/>
    <x v="0"/>
    <s v="ORD-2024-10526|10-17-2024|10-17-2024|CUST-2924|Priya Menon|Home Office|East|West Bengal|Kolkata|Furniture|Chairs|Prime Chairs 215|Standard Class|5|2524.4|0.1|11359.8|7062.44|4297.36|Paid|Completed"/>
    <s v="Keep"/>
    <n v="1"/>
    <s v="Unique"/>
    <s v=""/>
    <n v="0.1"/>
    <n v="11359.800000000001"/>
    <n v="4297.3600000000015"/>
    <n v="0.37829539252451638"/>
    <n v="10"/>
    <n v="2024"/>
    <b v="0"/>
    <b v="0"/>
    <x v="0"/>
    <s v=""/>
    <s v="Clean"/>
  </r>
  <r>
    <s v="ORD-2025-10527"/>
    <s v="2025-07-18"/>
    <x v="13"/>
    <d v="2025-07-18T00:00:00"/>
    <s v="21 Jul 2025"/>
    <d v="2025-07-21T00:00:00"/>
    <s v="OK"/>
    <n v="3"/>
    <s v="CUST-7198"/>
    <s v="Priya Menon"/>
    <s v="Priya Menon"/>
    <s v="Consumer"/>
    <x v="0"/>
    <s v="East"/>
    <x v="1"/>
    <s v="Odisha"/>
    <s v="Odisha"/>
    <s v="Bhubaneswar"/>
    <s v="Bhubaneswar"/>
    <s v="Furniture"/>
    <x v="1"/>
    <s v="Tables"/>
    <x v="1"/>
    <s v="Elite Tables 815"/>
    <s v="Second Class"/>
    <x v="0"/>
    <n v="4"/>
    <n v="284.04000000000002"/>
    <m/>
    <n v="908.93"/>
    <n v="572.08000000000004"/>
    <n v="336.85"/>
    <s v="Paid"/>
    <x v="0"/>
    <s v="Completed"/>
    <x v="0"/>
    <s v="ORD-2025-10527|07-18-2025|07-21-2025|CUST-7198|Priya Menon|Consumer|East|Odisha|Bhubaneswar|Furniture|Tables|Elite Tables 815|Second Class|4|284.04||908.93|572.08|336.85|Paid|Completed"/>
    <s v="Keep"/>
    <n v="1"/>
    <s v="Unique"/>
    <s v=""/>
    <n v="0"/>
    <n v="1136.1600000000001"/>
    <n v="564.08000000000004"/>
    <n v="0.49647936910294327"/>
    <n v="7"/>
    <n v="2025"/>
    <b v="1"/>
    <b v="1"/>
    <x v="1"/>
    <s v="Missing discount treated as 0; Sales mismatch; Profit mismatch"/>
    <s v="Invalid"/>
  </r>
  <r>
    <s v="ORD-2025-10528"/>
    <s v="01-10-2025"/>
    <x v="11"/>
    <d v="2025-10-01T00:00:00"/>
    <s v="2025-10-05"/>
    <d v="2025-10-05T00:00:00"/>
    <s v="OK"/>
    <n v="4"/>
    <s v="CUST-3419"/>
    <s v="Aditi Sen"/>
    <s v="Aditi Sen"/>
    <s v="Home Office"/>
    <x v="3"/>
    <s v="North"/>
    <x v="0"/>
    <s v="Haryana"/>
    <s v="Haryana"/>
    <s v="Gurugram"/>
    <s v="Gurugram"/>
    <s v="Office Supplies"/>
    <x v="0"/>
    <s v="Paper"/>
    <x v="0"/>
    <s v="Basic Paper 388"/>
    <s v="First Class"/>
    <x v="2"/>
    <n v="5"/>
    <n v="3247.56"/>
    <n v="0.15"/>
    <n v="13802.13"/>
    <n v="10075.93"/>
    <n v="3726.2"/>
    <s v="Paid"/>
    <x v="0"/>
    <s v="Completed"/>
    <x v="0"/>
    <s v="ORD-2025-10528|01-10-2025|10-05-2025|CUST-3419|Aditi Sen|Home Office|North|Haryana|Gurugram|Office Supplies|Paper|Basic Paper 388|First Class|5|3247.56|0.15|13802.13|10075.93|3726.2|Paid|Completed"/>
    <s v="Keep"/>
    <n v="1"/>
    <s v="Unique"/>
    <s v=""/>
    <n v="0.15"/>
    <n v="13802.13"/>
    <n v="3726.1999999999989"/>
    <n v="0.26997282303528508"/>
    <n v="10"/>
    <n v="2025"/>
    <b v="0"/>
    <b v="0"/>
    <x v="0"/>
    <s v=""/>
    <s v="Clean"/>
  </r>
  <r>
    <s v="ORD-2024-10529"/>
    <s v="2024-10-07"/>
    <x v="16"/>
    <d v="2024-10-07T00:00:00"/>
    <s v="09-10-2024"/>
    <d v="2024-10-09T00:00:00"/>
    <s v="OK"/>
    <n v="2"/>
    <s v="CUST-2390"/>
    <s v="Diya Patel"/>
    <s v="Diya Patel"/>
    <s v="Consumer"/>
    <x v="0"/>
    <s v="South"/>
    <x v="2"/>
    <s v="Tamil Nadu"/>
    <s v="Tamil Nadu"/>
    <s v="Chennai"/>
    <s v="Chennai"/>
    <s v="Office Supplies"/>
    <x v="0"/>
    <s v="Binders"/>
    <x v="9"/>
    <s v="Eco Binders 855"/>
    <s v="Standard Class"/>
    <x v="3"/>
    <n v="9"/>
    <n v="3457.09"/>
    <n v="0.05"/>
    <n v="29558.12"/>
    <n v="21302.13"/>
    <n v="8255.99"/>
    <s v="Pending"/>
    <x v="2"/>
    <s v="Returned"/>
    <x v="2"/>
    <s v="ORD-2024-10529|10-07-2024|09-10-2024|CUST-2390|Diya Patel|Consumer|South|Tamil Nadu|Chennai|Office Supplies|Binders|Eco Binders 855|Standard Class|9|3457.09|0.05|29558.12|21302.13|8255.99|Pending|Returned"/>
    <s v="Keep"/>
    <n v="1"/>
    <s v="Unique"/>
    <s v=""/>
    <n v="0.05"/>
    <n v="29558.119500000001"/>
    <n v="8255.9894999999997"/>
    <n v="0.27931376013281223"/>
    <n v="10"/>
    <n v="2024"/>
    <b v="0"/>
    <b v="0"/>
    <x v="1"/>
    <s v="Returned order excluded"/>
    <s v="Warning"/>
  </r>
  <r>
    <s v="ORD-2024-10530"/>
    <s v="2024-02-06"/>
    <x v="17"/>
    <d v="2024-02-06T00:00:00"/>
    <s v="2024-02-08"/>
    <d v="2024-02-08T00:00:00"/>
    <s v="OK"/>
    <n v="2"/>
    <s v="CUST-3362"/>
    <s v="Karan Malhotra"/>
    <s v="Karan Malhotra"/>
    <s v="Consumer"/>
    <x v="0"/>
    <s v="East"/>
    <x v="1"/>
    <s v="Jharkhand"/>
    <s v="Jharkhand"/>
    <s v="Ranchi"/>
    <s v="Ranchi"/>
    <s v="Furniture"/>
    <x v="1"/>
    <s v="Bookcases"/>
    <x v="10"/>
    <s v="Classic Bookcases 947"/>
    <s v="Second Class"/>
    <x v="0"/>
    <n v="9"/>
    <n v="1822.25"/>
    <n v="0"/>
    <n v="16400.25"/>
    <n v="12146.96"/>
    <n v="4253.29"/>
    <s v="Paid"/>
    <x v="0"/>
    <s v="Completed"/>
    <x v="0"/>
    <s v="ORD-2024-10530|02-06-2024|02-08-2024|CUST-3362|Karan Malhotra|Consumer|East|Jharkhand|Ranchi|Furniture|Bookcases|Classic Bookcases 947|Second Class|9|1822.25|0|16400.25|12146.96|4253.29|Paid|Completed"/>
    <s v="Keep"/>
    <n v="1"/>
    <s v="Unique"/>
    <s v=""/>
    <n v="0"/>
    <n v="16400.25"/>
    <n v="4253.2900000000009"/>
    <n v="0.25934299782015524"/>
    <n v="2"/>
    <n v="2024"/>
    <b v="0"/>
    <b v="0"/>
    <x v="0"/>
    <s v=""/>
    <s v="Clean"/>
  </r>
  <r>
    <s v="ORD-2025-10531"/>
    <s v="05/30/2025"/>
    <x v="9"/>
    <d v="2025-05-30T00:00:00"/>
    <s v="2025-06-01"/>
    <d v="2025-06-01T00:00:00"/>
    <s v="OK"/>
    <n v="2"/>
    <s v="CUST-8177"/>
    <s v="Rahul Verma"/>
    <s v="Rahul Verma"/>
    <s v="Home Office"/>
    <x v="3"/>
    <s v="South"/>
    <x v="2"/>
    <s v="Tamil Nadu"/>
    <s v="Tamil Nadu"/>
    <s v="Chennai"/>
    <s v="Chennai"/>
    <s v="Office Supplies"/>
    <x v="0"/>
    <s v="Binders"/>
    <x v="9"/>
    <s v="Eco Binders 352"/>
    <s v="Standard Class"/>
    <x v="3"/>
    <n v="9"/>
    <n v="1994.51"/>
    <n v="0.05"/>
    <n v="17053.060000000001"/>
    <n v="10742.38"/>
    <n v="6310.68"/>
    <s v="Paid"/>
    <x v="0"/>
    <s v="Completed"/>
    <x v="0"/>
    <s v="ORD-2025-10531|05-30-2025|06-01-2025|CUST-8177|Rahul Verma|Home Office|South|Tamil Nadu|Chennai|Office Supplies|Binders|Eco Binders 352|Standard Class|9|1994.51|0.05|17053.06|10742.38|6310.68|Paid|Completed"/>
    <s v="Keep"/>
    <n v="1"/>
    <s v="Unique"/>
    <s v=""/>
    <n v="0.05"/>
    <n v="17053.0605"/>
    <n v="6310.6805000000004"/>
    <n v="0.37006146198801093"/>
    <n v="5"/>
    <n v="2025"/>
    <b v="0"/>
    <b v="0"/>
    <x v="0"/>
    <s v=""/>
    <s v="Clean"/>
  </r>
  <r>
    <s v="ORD-2024-10532"/>
    <s v="01 Aug 2024"/>
    <x v="1"/>
    <d v="2024-08-01T00:00:00"/>
    <s v="08-08-2024"/>
    <d v="2024-08-08T00:00:00"/>
    <s v="OK"/>
    <n v="7"/>
    <s v="CUST-6357"/>
    <s v="Diya Patel"/>
    <s v="Diya Patel"/>
    <s v="Small Business"/>
    <x v="1"/>
    <s v="West"/>
    <x v="3"/>
    <s v="Maharashtra"/>
    <s v="Maharashtra"/>
    <s v="Mumbai"/>
    <s v="Mumbai"/>
    <s v="Office Supplies"/>
    <x v="0"/>
    <s v="Storage"/>
    <x v="8"/>
    <s v="Pro Storage 364"/>
    <m/>
    <x v="4"/>
    <n v="1"/>
    <n v="442.97"/>
    <n v="0.1"/>
    <n v="398.67"/>
    <n v="311.66000000000003"/>
    <n v="87.01"/>
    <s v="Paid"/>
    <x v="0"/>
    <s v="Completed"/>
    <x v="0"/>
    <s v="ORD-2024-10532|08-01-2024|08-08-2024|CUST-6357|Diya Patel|Small Business|West|Maharashtra|Mumbai|Office Supplies|Storage|Pro Storage 364||1|442.97|0.1|398.67|311.66|87.01|Paid|Completed"/>
    <s v="Keep"/>
    <n v="1"/>
    <s v="Unique"/>
    <s v=""/>
    <n v="0.1"/>
    <n v="398.67300000000006"/>
    <n v="87.013000000000034"/>
    <n v="0.21825656615822997"/>
    <n v="8"/>
    <n v="2024"/>
    <b v="0"/>
    <b v="0"/>
    <x v="0"/>
    <s v="Missing ship mode filled as Unknown"/>
    <s v="Warning"/>
  </r>
  <r>
    <s v="ORD-2025-10533"/>
    <s v="2025-10-05"/>
    <x v="11"/>
    <d v="2025-10-05T00:00:00"/>
    <s v="2025-10-10"/>
    <d v="2025-10-10T00:00:00"/>
    <s v="OK"/>
    <n v="5"/>
    <s v="CUST-7690"/>
    <s v="Priya Menon"/>
    <s v="Priya Menon"/>
    <s v="Corporate"/>
    <x v="2"/>
    <s v="East"/>
    <x v="1"/>
    <s v="Assam"/>
    <s v="Assam"/>
    <s v="Guwahati"/>
    <s v="Guwahati"/>
    <s v="Furniture"/>
    <x v="1"/>
    <s v="Tables"/>
    <x v="1"/>
    <s v="Classic Tables 213"/>
    <s v="Second Class"/>
    <x v="0"/>
    <n v="9"/>
    <n v="2089.14"/>
    <n v="0.05"/>
    <n v="17862.150000000001"/>
    <n v="9892.2099999999991"/>
    <n v="7969.94"/>
    <s v="Failed"/>
    <x v="3"/>
    <s v="Cancelled"/>
    <x v="1"/>
    <s v="ORD-2025-10533|10-05-2025|10-10-2025|CUST-7690|Priya Menon|Corporate|East|Assam|Guwahati|Furniture|Tables|Classic Tables 213|Second Class|9|2089.14|0.05|17862.15|9892.21|7969.94|Failed|Cancelled"/>
    <s v="Keep"/>
    <n v="1"/>
    <s v="Unique"/>
    <s v=""/>
    <n v="0.05"/>
    <n v="17862.146999999997"/>
    <n v="7969.9369999999981"/>
    <n v="0.44619143488182017"/>
    <n v="10"/>
    <n v="2025"/>
    <b v="0"/>
    <b v="0"/>
    <x v="1"/>
    <s v="Failed payment excluded; Cancelled order excluded"/>
    <s v="Warning"/>
  </r>
  <r>
    <s v="ORD-2024-10534"/>
    <s v="25 Aug 2024"/>
    <x v="1"/>
    <d v="2024-08-25T00:00:00"/>
    <s v="2024-09-01"/>
    <d v="2024-09-01T00:00:00"/>
    <s v="OK"/>
    <n v="7"/>
    <s v="CUST-4487"/>
    <s v="Isha Nair"/>
    <s v="Isha Nair"/>
    <s v="Home Office"/>
    <x v="3"/>
    <s v="North"/>
    <x v="0"/>
    <s v="Rajasthan"/>
    <s v="Rajasthan"/>
    <s v="Jaipur"/>
    <s v="Jaipur"/>
    <s v="Furniture"/>
    <x v="1"/>
    <s v="Tables"/>
    <x v="1"/>
    <s v="Smart Tables 659"/>
    <s v="Same Day"/>
    <x v="1"/>
    <n v="6"/>
    <n v="481.3"/>
    <n v="0.25"/>
    <n v="2165.85"/>
    <n v="2124.48"/>
    <n v="430.45"/>
    <s v="Paid"/>
    <x v="0"/>
    <s v="Completed"/>
    <x v="0"/>
    <s v="ORD-2024-10534|08-25-2024|09-01-2024|CUST-4487|Isha Nair|Home Office|North|Rajasthan|Jaipur|Furniture|Tables|Smart Tables 659|Same Day|6|481.3|0.25|2165.85|2124.48|430.45|Paid|Completed"/>
    <s v="Keep"/>
    <n v="1"/>
    <s v="Unique"/>
    <s v=""/>
    <n v="0.25"/>
    <n v="2165.8500000000004"/>
    <n v="41.370000000000346"/>
    <n v="1.91010457787937E-2"/>
    <n v="8"/>
    <n v="2024"/>
    <b v="0"/>
    <b v="1"/>
    <x v="1"/>
    <s v="Profit mismatch"/>
    <s v="Invalid"/>
  </r>
  <r>
    <s v="ORD-2025-10535"/>
    <s v="04/27/2025"/>
    <x v="6"/>
    <d v="2025-04-27T00:00:00"/>
    <s v="2025-05-05"/>
    <d v="2025-05-05T00:00:00"/>
    <s v="OK"/>
    <n v="8"/>
    <s v="CUST-8204"/>
    <s v="Rohan Mehta"/>
    <s v="Rohan Mehta"/>
    <s v="Home Office"/>
    <x v="3"/>
    <s v="East"/>
    <x v="1"/>
    <s v="Bihar"/>
    <s v="Bihar"/>
    <s v="Patna"/>
    <s v="Patna"/>
    <s v="Technology"/>
    <x v="2"/>
    <s v="Accessories"/>
    <x v="5"/>
    <s v="Classic Accessories 325"/>
    <s v="Second Class"/>
    <x v="0"/>
    <n v="4"/>
    <n v="3963.39"/>
    <n v="0.1"/>
    <n v="14268.2"/>
    <n v="11705.3"/>
    <n v="2562.9"/>
    <s v="Pending"/>
    <x v="2"/>
    <s v="Returned"/>
    <x v="2"/>
    <s v="ORD-2025-10535|04-27-2025|05-05-2025|CUST-8204|Rohan Mehta|Home Office|East|Bihar|Patna|Technology|Accessories|Classic Accessories 325|Second Class|4|3963.39|0.1|14268.2|11705.3|2562.9|Pending|Returned"/>
    <s v="Keep"/>
    <n v="1"/>
    <s v="Unique"/>
    <s v=""/>
    <n v="0.1"/>
    <n v="14268.204"/>
    <n v="2562.9040000000005"/>
    <n v="0.17962344805274724"/>
    <n v="4"/>
    <n v="2025"/>
    <b v="0"/>
    <b v="0"/>
    <x v="1"/>
    <s v="Returned order excluded"/>
    <s v="Warning"/>
  </r>
  <r>
    <s v="ORD-2024-10536"/>
    <s v="19-05-2024"/>
    <x v="5"/>
    <d v="2024-05-19T00:00:00"/>
    <s v="21 May 2024"/>
    <d v="2024-05-21T00:00:00"/>
    <s v="OK"/>
    <n v="2"/>
    <s v="CUST-1729"/>
    <s v="Diya Patel"/>
    <s v="Diya Patel"/>
    <s v="Small Business"/>
    <x v="1"/>
    <s v="West"/>
    <x v="3"/>
    <s v="Maharashtra"/>
    <s v="Maharashtra"/>
    <s v="Mumbai"/>
    <s v="Mumbai"/>
    <s v="Technology"/>
    <x v="2"/>
    <s v="Copiers"/>
    <x v="6"/>
    <s v="Eco Copiers 243"/>
    <s v="First Class"/>
    <x v="2"/>
    <n v="3"/>
    <n v="4000.98"/>
    <n v="0.2"/>
    <n v="9602.35"/>
    <n v="7387.57"/>
    <n v="2214.7800000000002"/>
    <s v="Paid"/>
    <x v="0"/>
    <s v="Completed"/>
    <x v="0"/>
    <s v="ORD-2024-10536|19-05-2024|05-21-2024|CUST-1729|Diya Patel|Small Business|West|Maharashtra|Mumbai|Technology|Copiers|Eco Copiers 243|First Class|3|4000.98|0.2|9602.35|7387.57|2214.78|Paid|Completed"/>
    <s v="Keep"/>
    <n v="1"/>
    <s v="Unique"/>
    <s v=""/>
    <n v="0.2"/>
    <n v="9602.3520000000008"/>
    <n v="2214.7820000000011"/>
    <n v="0.23064994909580494"/>
    <n v="5"/>
    <n v="2024"/>
    <b v="0"/>
    <b v="0"/>
    <x v="0"/>
    <s v=""/>
    <s v="Clean"/>
  </r>
  <r>
    <s v="ORD-2025-10537"/>
    <s v="2025-04-10"/>
    <x v="6"/>
    <d v="2025-04-10T00:00:00"/>
    <s v="2025-04-17"/>
    <d v="2025-04-17T00:00:00"/>
    <s v="OK"/>
    <n v="7"/>
    <s v="CUST-4269"/>
    <s v="Ananya Rao"/>
    <s v="Ananya Rao"/>
    <s v="Small Business"/>
    <x v="1"/>
    <s v="West"/>
    <x v="3"/>
    <s v="Rajasthan"/>
    <s v="Rajasthan"/>
    <s v="Udaipur"/>
    <s v="Udaipur"/>
    <s v="Furniture"/>
    <x v="1"/>
    <s v="Chairs"/>
    <x v="4"/>
    <s v="Elite Chairs 777"/>
    <s v="First Class"/>
    <x v="2"/>
    <n v="7"/>
    <n v="3788.9"/>
    <n v="0.25"/>
    <n v="19891.72"/>
    <n v="12295.76"/>
    <n v="7595.96"/>
    <s v="Failed"/>
    <x v="3"/>
    <s v="Cancelled"/>
    <x v="1"/>
    <s v="ORD-2025-10537|04-10-2025|04-17-2025|CUST-4269|Ananya Rao|Small Business|West|Rajasthan|Udaipur|Furniture|Chairs|Elite Chairs 777|First Class|7|3788.9|0.25|19891.72|12295.76|7595.96|Failed|Cancelled"/>
    <s v="Keep"/>
    <n v="1"/>
    <s v="Unique"/>
    <s v=""/>
    <n v="0.25"/>
    <n v="19891.724999999999"/>
    <n v="7595.9649999999983"/>
    <n v="0.38186557475533162"/>
    <n v="4"/>
    <n v="2025"/>
    <b v="0"/>
    <b v="0"/>
    <x v="1"/>
    <s v="Failed payment excluded; Cancelled order excluded"/>
    <s v="Warning"/>
  </r>
  <r>
    <s v="ORD-2024-10538"/>
    <s v="2024-01-22"/>
    <x v="12"/>
    <d v="2024-01-22T00:00:00"/>
    <s v="2024-01-30"/>
    <d v="2024-01-30T00:00:00"/>
    <s v="OK"/>
    <n v="8"/>
    <s v="CUST-1370"/>
    <s v="Ananya Rao"/>
    <s v="Ananya Rao"/>
    <s v="Small Business"/>
    <x v="1"/>
    <s v="North"/>
    <x v="0"/>
    <s v="Haryana"/>
    <s v="Haryana"/>
    <s v="Gurugram"/>
    <s v="Gurugram"/>
    <s v="Office Supplies"/>
    <x v="0"/>
    <s v="Art"/>
    <x v="2"/>
    <s v="Classic Art 772"/>
    <s v="Same Day"/>
    <x v="1"/>
    <n v="3"/>
    <n v="676.37"/>
    <n v="0.05"/>
    <n v="1927.65"/>
    <n v="1460.6"/>
    <n v="467.05"/>
    <s v="Failed"/>
    <x v="3"/>
    <s v="Cancelled"/>
    <x v="1"/>
    <s v="ORD-2024-10538|01-22-2024|01-30-2024|CUST-1370|Ananya Rao|Small Business|North|Haryana|Gurugram|Office Supplies|Art|Classic Art 772|Same Day|3|676.37|0.05|1927.65|1460.6|467.05|Failed|Cancelled"/>
    <s v="Keep"/>
    <n v="1"/>
    <s v="Unique"/>
    <s v=""/>
    <n v="0.05"/>
    <n v="1927.6545000000001"/>
    <n v="467.05450000000019"/>
    <n v="0.24229160360427668"/>
    <n v="1"/>
    <n v="2024"/>
    <b v="0"/>
    <b v="0"/>
    <x v="1"/>
    <s v="Failed payment excluded; Cancelled order excluded"/>
    <s v="Warning"/>
  </r>
  <r>
    <s v="ORD-2024-10539"/>
    <s v="25-09-2024"/>
    <x v="21"/>
    <d v="2024-09-25T00:00:00"/>
    <s v="01-10-2024"/>
    <d v="2024-10-01T00:00:00"/>
    <s v="OK"/>
    <n v="6"/>
    <s v="CUST-5381"/>
    <s v="Diya Patel"/>
    <s v="Diya Patel"/>
    <s v="Small Business"/>
    <x v="1"/>
    <s v="East"/>
    <x v="1"/>
    <s v="Jharkhand"/>
    <s v="Jharkhand"/>
    <s v="Ranchi"/>
    <s v="Ranchi"/>
    <s v="Furniture"/>
    <x v="1"/>
    <s v="Tables"/>
    <x v="1"/>
    <s v="Elite Tables 888"/>
    <s v="Second Class"/>
    <x v="0"/>
    <n v="9"/>
    <n v="3908.6"/>
    <n v="0.15"/>
    <n v="29900.79"/>
    <n v="24650.67"/>
    <n v="5250.12"/>
    <s v="Paid"/>
    <x v="0"/>
    <s v="Completed"/>
    <x v="0"/>
    <s v="ORD-2024-10539|25-09-2024|01-10-2024|CUST-5381|Diya Patel|Small Business|East|Jharkhand|Ranchi|Furniture|Tables|Elite Tables 888|Second Class|9|3908.6|0.15|29900.79|24650.67|5250.12|Paid|Completed"/>
    <s v="Keep"/>
    <n v="1"/>
    <s v="Unique"/>
    <s v=""/>
    <n v="0.15"/>
    <n v="29900.79"/>
    <n v="5250.1200000000026"/>
    <n v="0.17558465846554563"/>
    <n v="9"/>
    <n v="2024"/>
    <b v="0"/>
    <b v="0"/>
    <x v="0"/>
    <s v=""/>
    <s v="Clean"/>
  </r>
  <r>
    <s v="ORD-2025-10540"/>
    <s v="07/04/2025"/>
    <x v="13"/>
    <d v="2025-07-04T00:00:00"/>
    <s v="2025-07-04"/>
    <d v="2025-07-04T00:00:00"/>
    <s v="OK"/>
    <n v="0"/>
    <s v="CUST-3694"/>
    <s v="Mira Das"/>
    <s v="Mira Das"/>
    <s v="Small Business"/>
    <x v="1"/>
    <s v="South"/>
    <x v="2"/>
    <s v="Tamil Nadu"/>
    <s v="Tamil Nadu"/>
    <s v="Chennai"/>
    <s v="Chennai"/>
    <s v="Furniture"/>
    <x v="1"/>
    <s v="Chairs"/>
    <x v="4"/>
    <s v="Classic Chairs 666"/>
    <s v="Standard Class"/>
    <x v="3"/>
    <n v="3"/>
    <n v="705.35"/>
    <n v="0.1"/>
    <n v="1904.45"/>
    <n v="1316.54"/>
    <n v="587.91"/>
    <s v="Paid"/>
    <x v="0"/>
    <s v="Cancelled"/>
    <x v="1"/>
    <s v="ORD-2025-10540|07-04-2025|07-04-2025|CUST-3694|mira das|Small Business|South|Tamil Nadu|Chennai|Furniture|Chairs|Classic Chairs 666|Standard Class|3|705.35|0.1|1904.45|1316.54|587.91|Paid|Cancelled"/>
    <s v="Keep"/>
    <n v="1"/>
    <s v="Unique"/>
    <s v=""/>
    <n v="0.1"/>
    <n v="1904.4450000000002"/>
    <n v="587.9050000000002"/>
    <n v="0.30870148520960183"/>
    <n v="7"/>
    <n v="2025"/>
    <b v="0"/>
    <b v="0"/>
    <x v="1"/>
    <s v="Cancelled order excluded"/>
    <s v="Warning"/>
  </r>
  <r>
    <s v="ORD-2024-10541"/>
    <s v="26-02-2024"/>
    <x v="17"/>
    <d v="2024-02-26T00:00:00"/>
    <s v="23 Feb 2024"/>
    <d v="2024-02-23T00:00:00"/>
    <s v="Ship date before order date"/>
    <n v="-3"/>
    <s v="CUST-7563"/>
    <s v="Kabir Singh"/>
    <s v="Kabir Singh"/>
    <s v="Consumer"/>
    <x v="0"/>
    <s v="West"/>
    <x v="3"/>
    <s v="Gujarat"/>
    <s v="Gujarat"/>
    <s v="Ahmedabad"/>
    <s v="Ahmedabad"/>
    <s v="Furniture"/>
    <x v="1"/>
    <s v="Furnishings"/>
    <x v="3"/>
    <s v="Basic Furnishings 350"/>
    <s v="Standard Class"/>
    <x v="3"/>
    <n v="7"/>
    <n v="3852.07"/>
    <n v="0.2"/>
    <n v="21571.59"/>
    <n v="17118.07"/>
    <n v="4453.5200000000004"/>
    <s v="Paid"/>
    <x v="0"/>
    <s v="Completed"/>
    <x v="0"/>
    <s v="ORD-2024-10541|26-02-2024|02-23-2024|CUST-7563|Kabir Singh|Consumer|West|Gujarat|Ahmedabad|Furniture|Furnishings|Basic Furnishings 350|Standard Class|7|3852.07|0.2|21571.59|17118.07|4453.52|Paid|Completed"/>
    <s v="Keep"/>
    <n v="1"/>
    <s v="Unique"/>
    <s v=""/>
    <n v="0.2"/>
    <n v="21571.592000000004"/>
    <n v="4453.5220000000045"/>
    <n v="0.20645309813017063"/>
    <n v="2"/>
    <n v="2024"/>
    <b v="0"/>
    <b v="0"/>
    <x v="1"/>
    <s v="Ship date before order date"/>
    <s v="Invalid"/>
  </r>
  <r>
    <s v="ORD-2025-10542"/>
    <s v="08-07-2025"/>
    <x v="13"/>
    <d v="2025-07-08T00:00:00"/>
    <s v="2025-07-09"/>
    <d v="2025-07-09T00:00:00"/>
    <s v="OK"/>
    <n v="1"/>
    <s v="CUST-4188"/>
    <s v="Sneha Kapoor"/>
    <s v="Sneha Kapoor"/>
    <s v="Consumer"/>
    <x v="0"/>
    <s v="West"/>
    <x v="3"/>
    <s v="Maharashtra"/>
    <s v="Maharashtra"/>
    <s v="Mumbai"/>
    <s v="Mumbai"/>
    <s v="Technology"/>
    <x v="2"/>
    <s v="Copiers"/>
    <x v="6"/>
    <s v="Elite Copiers 831"/>
    <s v="Same Day"/>
    <x v="1"/>
    <n v="3"/>
    <n v="2880.56"/>
    <n v="0"/>
    <n v="8641.68"/>
    <n v="5747.09"/>
    <n v="2894.59"/>
    <s v="Paid"/>
    <x v="0"/>
    <s v="Returned"/>
    <x v="2"/>
    <s v="ORD-2025-10542|08-07-2025|07-09-2025|CUST-4188|Sneha Kapoor|Consumer|West|Maharashtra|Mumbai|Technology|Copiers|Elite Copiers 831|Same Day|3|2880.56|0|8641.68|5747.09|2894.59|Paid|Returned"/>
    <s v="Keep"/>
    <n v="1"/>
    <s v="Unique"/>
    <s v=""/>
    <n v="0"/>
    <n v="8641.68"/>
    <n v="2894.59"/>
    <n v="0.33495686024013849"/>
    <n v="7"/>
    <n v="2025"/>
    <b v="0"/>
    <b v="0"/>
    <x v="1"/>
    <s v="Returned order excluded"/>
    <s v="Warning"/>
  </r>
  <r>
    <s v="ORD-2024-10543"/>
    <s v="09/17/2024"/>
    <x v="21"/>
    <d v="2024-09-17T00:00:00"/>
    <s v="2024-09-23"/>
    <d v="2024-09-23T00:00:00"/>
    <s v="OK"/>
    <n v="6"/>
    <s v="CUST-9376"/>
    <s v="Rahul Verma"/>
    <s v="Rahul Verma"/>
    <s v="Home Office"/>
    <x v="3"/>
    <s v="South"/>
    <x v="2"/>
    <s v="Kerala"/>
    <s v="Kerala"/>
    <s v="Kochi"/>
    <s v="Kochi"/>
    <s v="Furniture"/>
    <x v="1"/>
    <s v="Bookcases"/>
    <x v="10"/>
    <s v="Eco Bookcases 759"/>
    <s v="Second Class"/>
    <x v="0"/>
    <n v="3"/>
    <n v="4067.62"/>
    <n v="0.2"/>
    <n v="9988.5300000000007"/>
    <n v="8368.24"/>
    <n v="1394.05"/>
    <s v="Paid"/>
    <x v="0"/>
    <s v="Cancelled"/>
    <x v="1"/>
    <s v="ORD-2024-10543|09-17-2024|09-23-2024|CUST-9376|Rahul Verma|Home Office|South|Kerala|Kochi|Furniture|Bookcases|Eco Bookcases 759|Second Class|3|4067.62|0.2|9988.53|8368.24|1394.05|Paid|CANCELLED"/>
    <s v="Keep"/>
    <n v="1"/>
    <s v="Unique"/>
    <s v=""/>
    <n v="0.2"/>
    <n v="9762.2880000000005"/>
    <n v="1394.0480000000007"/>
    <n v="0.14279931098119628"/>
    <n v="9"/>
    <n v="2024"/>
    <b v="1"/>
    <b v="0"/>
    <x v="1"/>
    <s v="Cancelled order excluded; Sales mismatch"/>
    <s v="Invalid"/>
  </r>
  <r>
    <s v="ORD-2024-10544"/>
    <s v="2024-07-14"/>
    <x v="0"/>
    <d v="2024-07-14T00:00:00"/>
    <s v="20-07-2024"/>
    <d v="2024-07-20T00:00:00"/>
    <s v="OK"/>
    <n v="6"/>
    <s v="CUST-9094"/>
    <s v="Mira Das"/>
    <s v="Mira Das"/>
    <s v="Consumer"/>
    <x v="0"/>
    <s v="East"/>
    <x v="1"/>
    <s v="Bihar"/>
    <s v="Bihar"/>
    <s v="Patna"/>
    <s v="Patna"/>
    <s v="Technology"/>
    <x v="2"/>
    <s v="Copiers"/>
    <x v="6"/>
    <s v="Max Copiers 440"/>
    <s v="Same Day"/>
    <x v="1"/>
    <n v="1"/>
    <n v="492.67"/>
    <n v="0.15"/>
    <n v="418.77"/>
    <n v="313.72000000000003"/>
    <n v="105.05"/>
    <s v="Paid"/>
    <x v="0"/>
    <s v="Completed"/>
    <x v="0"/>
    <s v="ORD-2024-10544|07-14-2024|20-07-2024|CUST-9094|Mira Das|Consumer|East|Bihar|Patna|Technology|Copiers|Max Copiers 440|Same Day|1|492.67|0.15|418.77|313.72|105.05|Paid|Completed"/>
    <s v="Keep"/>
    <n v="1"/>
    <s v="Unique"/>
    <s v=""/>
    <n v="0.15"/>
    <n v="418.76949999999999"/>
    <n v="105.04949999999997"/>
    <n v="0.25085279610859906"/>
    <n v="7"/>
    <n v="2024"/>
    <b v="0"/>
    <b v="0"/>
    <x v="0"/>
    <s v=""/>
    <s v="Clean"/>
  </r>
  <r>
    <s v="ORD-2025-10545"/>
    <s v="2025-01-29"/>
    <x v="14"/>
    <d v="2025-01-29T00:00:00"/>
    <s v="02/05/2025"/>
    <d v="2025-02-05T00:00:00"/>
    <s v="OK"/>
    <n v="7"/>
    <s v="CUST-2366"/>
    <s v="Ananya Rao"/>
    <s v="Ananya Rao"/>
    <s v="Consumer"/>
    <x v="0"/>
    <s v="South"/>
    <x v="2"/>
    <s v="Kerala"/>
    <s v="Kerala"/>
    <s v="Kochi"/>
    <s v="Kochi"/>
    <s v="Office Supplies"/>
    <x v="0"/>
    <s v="Art"/>
    <x v="2"/>
    <s v="Smart Art 201"/>
    <s v="Same Day"/>
    <x v="1"/>
    <n v="8"/>
    <n v="3643.62"/>
    <n v="0.25"/>
    <n v="21861.72"/>
    <n v="18464.34"/>
    <n v="3397.38"/>
    <s v="Paid"/>
    <x v="0"/>
    <s v="Cancelled"/>
    <x v="1"/>
    <s v="ORD-2025-10545|01-29-2025|02-05-2025|CUST-2366|Ananya Rao|Consumer|South|Kerala|Kochi|Office Supplies|Art|Smart Art 201|Same Day|8|3643.62|0.25|21861.72|18464.34|3397.38|Paid|Cancelled"/>
    <s v="Keep"/>
    <n v="1"/>
    <s v="Unique"/>
    <s v=""/>
    <n v="0.25"/>
    <n v="21861.72"/>
    <n v="3397.380000000001"/>
    <n v="0.1554031430280875"/>
    <n v="1"/>
    <n v="2025"/>
    <b v="0"/>
    <b v="0"/>
    <x v="1"/>
    <s v="Cancelled order excluded"/>
    <s v="Warning"/>
  </r>
  <r>
    <s v="ORD-2024-10546"/>
    <s v="05/27/2024"/>
    <x v="5"/>
    <d v="2024-05-27T00:00:00"/>
    <s v="30 May 2024"/>
    <d v="2024-05-30T00:00:00"/>
    <s v="OK"/>
    <n v="3"/>
    <s v="CUST-7168"/>
    <s v="Kabir Singh"/>
    <s v="Kabir Singh"/>
    <s v="Small Business"/>
    <x v="1"/>
    <s v="East"/>
    <x v="1"/>
    <s v="Jharkhand"/>
    <s v="Jharkhand"/>
    <s v="Ranchi"/>
    <s v="Ranchi"/>
    <s v="Office Supplies"/>
    <x v="0"/>
    <s v="Storage"/>
    <x v="8"/>
    <s v="Classic Storage 755"/>
    <s v="Same Day"/>
    <x v="1"/>
    <n v="7"/>
    <n v="2900.86"/>
    <n v="0.15"/>
    <n v="17260.12"/>
    <n v="13513.51"/>
    <n v="3746.61"/>
    <s v="Paid"/>
    <x v="0"/>
    <s v="Completed"/>
    <x v="0"/>
    <s v="ORD-2024-10546|05-27-2024|05-30-2024|CUST-7168|Kabir Singh|Small Business|East|Jharkhand|Ranchi|Office Supplies|Storage|Classic Storage 755|Same Day|7|2900.86|0.15|17260.12|13513.51|3746.61|Paid|Completed"/>
    <s v="Keep"/>
    <n v="1"/>
    <s v="Unique"/>
    <s v=""/>
    <n v="0.15"/>
    <n v="17260.116999999998"/>
    <n v="3746.6069999999982"/>
    <n v="0.21706730029697935"/>
    <n v="5"/>
    <n v="2024"/>
    <b v="0"/>
    <b v="0"/>
    <x v="0"/>
    <s v=""/>
    <s v="Clean"/>
  </r>
  <r>
    <s v="ORD-2025-10547"/>
    <s v="2025-08-14"/>
    <x v="4"/>
    <d v="2025-08-14T00:00:00"/>
    <s v="22 Aug 2025"/>
    <d v="2025-08-22T00:00:00"/>
    <s v="OK"/>
    <n v="8"/>
    <s v="CUST-8157"/>
    <s v="Arjun Bose"/>
    <s v="Arjun Bose"/>
    <s v="Corporate"/>
    <x v="2"/>
    <s v="West"/>
    <x v="3"/>
    <s v="Gujarat"/>
    <s v="Gujarat"/>
    <s v="Ahmedabad"/>
    <s v="Ahmedabad"/>
    <s v="Office Supplies"/>
    <x v="0"/>
    <s v="Paper"/>
    <x v="0"/>
    <s v="Prime Paper 143"/>
    <s v="First Class"/>
    <x v="2"/>
    <n v="5"/>
    <n v="2567.37"/>
    <n v="0.15"/>
    <n v="10911.32"/>
    <n v="6966.44"/>
    <n v="4395.17"/>
    <s v="Paid"/>
    <x v="0"/>
    <s v="Completed"/>
    <x v="0"/>
    <s v="ORD-2025-10547|08-14-2025|08-22-2025|CUST-8157|Arjun Bose|Corporate|West|Gujarat|Ahmedabad|office supplies|Paper|Prime Paper 143|First Class|5|2567.37|0.15|10911.32|6966.44|4395.17|Paid|Completed"/>
    <s v="Keep"/>
    <n v="1"/>
    <s v="Unique"/>
    <s v=""/>
    <n v="0.15"/>
    <n v="10911.322499999998"/>
    <n v="3944.8824999999988"/>
    <n v="0.36154027158486052"/>
    <n v="8"/>
    <n v="2025"/>
    <b v="0"/>
    <b v="1"/>
    <x v="1"/>
    <s v="Profit mismatch"/>
    <s v="Invalid"/>
  </r>
  <r>
    <s v="ORD-2024-10548"/>
    <s v="16 May 2024"/>
    <x v="5"/>
    <d v="2024-05-16T00:00:00"/>
    <s v="23 May 2024"/>
    <d v="2024-05-23T00:00:00"/>
    <s v="OK"/>
    <n v="7"/>
    <s v="CUST-9146"/>
    <s v="Neha Gupta"/>
    <s v="Neha Gupta"/>
    <s v="Small Business"/>
    <x v="1"/>
    <s v="North"/>
    <x v="0"/>
    <s v="Uttar Pradesh"/>
    <s v="Uttar Pradesh"/>
    <s v="Noida"/>
    <s v="Noida"/>
    <s v="Technology"/>
    <x v="2"/>
    <s v="Copiers"/>
    <x v="6"/>
    <s v="Max Copiers 607"/>
    <s v="Standard Class"/>
    <x v="3"/>
    <n v="9"/>
    <n v="3722.09"/>
    <n v="0.1"/>
    <n v="30148.93"/>
    <n v="25155.07"/>
    <n v="4993.8599999999997"/>
    <s v="Paid"/>
    <x v="0"/>
    <s v="Completed"/>
    <x v="0"/>
    <s v="ORD-2024-10548|05-16-2024|05-23-2024|CUST-9146|Neha Gupta|Small Business|North|Uttar Pradesh|Noida|Technology|Copiers|Max Copiers 607|Standard Class|9|3722.09|0.1|30148.93|25155.07|4993.86|Paid|Completed"/>
    <s v="Keep"/>
    <n v="1"/>
    <s v="Unique"/>
    <s v=""/>
    <n v="0.1"/>
    <n v="30148.929"/>
    <n v="4993.8590000000004"/>
    <n v="0.16563968159532302"/>
    <n v="5"/>
    <n v="2024"/>
    <b v="0"/>
    <b v="0"/>
    <x v="0"/>
    <s v=""/>
    <s v="Clean"/>
  </r>
  <r>
    <s v="ORD-2024-10549"/>
    <s v="29 May 2024"/>
    <x v="5"/>
    <d v="2024-05-29T00:00:00"/>
    <s v="29-05-2024"/>
    <d v="2024-05-29T00:00:00"/>
    <s v="OK"/>
    <n v="0"/>
    <s v="CUST-5129"/>
    <s v="Rohan Mehta"/>
    <s v="Rohan Mehta"/>
    <s v="Corporate"/>
    <x v="2"/>
    <s v="East"/>
    <x v="1"/>
    <s v="Bihar"/>
    <s v="Bihar"/>
    <s v="Patna"/>
    <s v="Patna"/>
    <s v="Furniture"/>
    <x v="1"/>
    <s v="Bookcases"/>
    <x v="10"/>
    <s v="Prime Bookcases 402"/>
    <s v="Same Day"/>
    <x v="1"/>
    <n v="1"/>
    <n v="1072.01"/>
    <n v="0"/>
    <n v="1072.01"/>
    <n v="852.62"/>
    <n v="219.39"/>
    <s v="Pending"/>
    <x v="2"/>
    <s v="Cancelled"/>
    <x v="1"/>
    <s v="ORD-2024-10549|05-29-2024|29-05-2024|CUST-5129|Rohan Mehta|Corporate|East|Bihar|Patna|Furniture|Bookcases|Prime Bookcases 402|Same Day|1|1072.01|0|1072.01|852.62|219.39|Pending|Cancelled"/>
    <s v="Keep"/>
    <n v="1"/>
    <s v="Unique"/>
    <s v=""/>
    <n v="0"/>
    <n v="1072.01"/>
    <n v="219.39"/>
    <n v="0.20465294167032022"/>
    <n v="5"/>
    <n v="2024"/>
    <b v="0"/>
    <b v="0"/>
    <x v="1"/>
    <s v="Cancelled order excluded"/>
    <s v="Warning"/>
  </r>
  <r>
    <s v="ORD-2025-10550"/>
    <s v="10/11/2025"/>
    <x v="11"/>
    <d v="2025-10-11T00:00:00"/>
    <s v="13 Oct 2025"/>
    <d v="2025-10-13T00:00:00"/>
    <s v="OK"/>
    <n v="2"/>
    <s v="CUST-6028"/>
    <s v="Mira Das"/>
    <s v="Mira Das"/>
    <s v="Corporate"/>
    <x v="2"/>
    <s v="South"/>
    <x v="2"/>
    <s v="Telangana"/>
    <s v="Telangana"/>
    <s v="Hyderabad"/>
    <s v="Hyderabad"/>
    <s v="Office Supplies"/>
    <x v="0"/>
    <s v="Art"/>
    <x v="2"/>
    <s v="Pro Art 287"/>
    <s v="Second Class"/>
    <x v="0"/>
    <n v="3"/>
    <n v="3804.27"/>
    <n v="0.1"/>
    <n v="10271.530000000001"/>
    <n v="8272.24"/>
    <n v="1999.29"/>
    <s v="Paid"/>
    <x v="0"/>
    <s v="Completed"/>
    <x v="0"/>
    <s v="ORD-2025-10550|10-11-2025|10-13-2025|CUST-6028|Mira Das|Corporate|South|Telangana|Hyderabad|Office Supplies|Art|Pro Art 287|Second Class|3|3804.27|0.1|10271.53|8272.24|1999.29|Paid|Completed"/>
    <s v="Keep"/>
    <n v="1"/>
    <s v="Unique"/>
    <s v=""/>
    <n v="0.1"/>
    <n v="10271.529"/>
    <n v="1999.2890000000007"/>
    <n v="0.19464375751652949"/>
    <n v="10"/>
    <n v="2025"/>
    <b v="0"/>
    <b v="0"/>
    <x v="0"/>
    <s v=""/>
    <s v="Clean"/>
  </r>
  <r>
    <s v="ORD-2024-10551"/>
    <s v="02-08-2024"/>
    <x v="1"/>
    <d v="2024-08-02T00:00:00"/>
    <s v="08/10/2024"/>
    <d v="2024-08-10T00:00:00"/>
    <s v="OK"/>
    <n v="8"/>
    <s v="CUST-8687"/>
    <s v="Mira Das"/>
    <s v="Mira Das"/>
    <s v="Home Office"/>
    <x v="3"/>
    <s v="East"/>
    <x v="1"/>
    <s v="Odisha"/>
    <s v="Odisha"/>
    <s v="Bhubaneswar"/>
    <s v="Bhubaneswar"/>
    <s v="Technology"/>
    <x v="2"/>
    <s v="Accessories"/>
    <x v="5"/>
    <s v="Max Accessories 591"/>
    <s v="Standard Class"/>
    <x v="3"/>
    <n v="6"/>
    <n v="2126.44"/>
    <n v="0.2"/>
    <n v="10206.91"/>
    <n v="6764.53"/>
    <n v="3442.38"/>
    <s v="Paid"/>
    <x v="0"/>
    <s v="Completed"/>
    <x v="0"/>
    <s v="ORD-2024-10551|02-08-2024|08-10-2024|CUST-8687|Mira Das|Home Office|East|Odisha|Bhubaneswar|Technology|Accessories|Max Accessories 591|Standard Class|6|2126.44|0.2|10206.91|6764.53|3442.38|Paid|Completed"/>
    <s v="Keep"/>
    <n v="1"/>
    <s v="Unique"/>
    <s v=""/>
    <n v="0.2"/>
    <n v="10206.912"/>
    <n v="3442.3820000000005"/>
    <n v="0.33725988820125036"/>
    <n v="8"/>
    <n v="2024"/>
    <b v="0"/>
    <b v="0"/>
    <x v="0"/>
    <s v=""/>
    <s v="Clean"/>
  </r>
  <r>
    <s v="ORD-2024-10552"/>
    <s v="27-02-2024"/>
    <x v="17"/>
    <d v="2024-02-27T00:00:00"/>
    <s v="2024-02-27"/>
    <d v="2024-02-27T00:00:00"/>
    <s v="OK"/>
    <n v="0"/>
    <s v="CUST-8172"/>
    <s v="Sneha Kapoor"/>
    <s v="Sneha Kapoor"/>
    <s v="Consumer"/>
    <x v="0"/>
    <s v="East"/>
    <x v="1"/>
    <s v="Jharkhand"/>
    <s v="Jharkhand"/>
    <s v="Ranchi"/>
    <s v="Ranchi"/>
    <s v="Furniture"/>
    <x v="1"/>
    <s v="Chairs"/>
    <x v="4"/>
    <s v="Elite Chairs 314"/>
    <s v="Second Class"/>
    <x v="0"/>
    <n v="3"/>
    <n v="3148.09"/>
    <n v="0.15"/>
    <n v="8027.63"/>
    <n v="5496.09"/>
    <n v="2531.54"/>
    <s v="Paid"/>
    <x v="0"/>
    <s v="Completed"/>
    <x v="0"/>
    <s v="ORD-2024-10552|27-02-2024|02-27-2024|CUST-8172|Sneha Kapoor|Consumer|East|Jharkhand|Ranchi|Furniture|Chairs|Elite Chairs 314|Second Class|3|3148.09|0.15|8027.63|5496.09|2531.54|Paid|Completed"/>
    <s v="Keep"/>
    <n v="1"/>
    <s v="Unique"/>
    <s v=""/>
    <n v="0.15"/>
    <n v="8027.6295"/>
    <n v="2531.5394999999999"/>
    <n v="0.31535330572991688"/>
    <n v="2"/>
    <n v="2024"/>
    <b v="0"/>
    <b v="0"/>
    <x v="0"/>
    <s v=""/>
    <s v="Clean"/>
  </r>
  <r>
    <s v="ORD-2025-10553"/>
    <s v="24-01-2025"/>
    <x v="14"/>
    <d v="2025-01-24T00:00:00"/>
    <s v="30 Jan 2025"/>
    <d v="2025-01-30T00:00:00"/>
    <s v="OK"/>
    <n v="6"/>
    <s v="CUST-8861"/>
    <s v="Ananya Rao"/>
    <s v="Ananya Rao"/>
    <s v="Corporate"/>
    <x v="2"/>
    <s v="East"/>
    <x v="1"/>
    <s v="West Bengal"/>
    <s v="West Bengal"/>
    <s v="Kolkata"/>
    <s v="Kolkata"/>
    <s v="Technology"/>
    <x v="2"/>
    <s v="Copiers"/>
    <x v="6"/>
    <s v="Pro Copiers 246"/>
    <s v="Standard Class"/>
    <x v="3"/>
    <n v="8"/>
    <n v="312.52999999999997"/>
    <s v="70%"/>
    <n v="1875.18"/>
    <n v="1579.17"/>
    <n v="296.01"/>
    <s v="Paid"/>
    <x v="0"/>
    <s v="Completed"/>
    <x v="0"/>
    <s v="ORD-2025-10553|24-01-2025|01-30-2025|CUST-8861|Ananya Rao|Corporate|East|West Bengal|Kolkata|Technology|Copiers|Pro Copiers 246|Standard Class|8|312.53|70%|1875.18|1579.17|296.01|Paid|Completed"/>
    <s v="Keep"/>
    <n v="1"/>
    <s v="Unique"/>
    <s v=""/>
    <n v="0.7"/>
    <n v="750.072"/>
    <n v="-829.09800000000007"/>
    <n v="-1.1053578856429784"/>
    <n v="1"/>
    <n v="2025"/>
    <b v="1"/>
    <b v="1"/>
    <x v="1"/>
    <s v="Discount above 50%; Sales mismatch; Profit mismatch"/>
    <s v="Invalid"/>
  </r>
  <r>
    <s v="ORD-2025-10554"/>
    <s v="04/25/2025"/>
    <x v="6"/>
    <d v="2025-04-25T00:00:00"/>
    <s v="2025-04-28"/>
    <d v="2025-04-28T00:00:00"/>
    <s v="OK"/>
    <n v="3"/>
    <s v="CUST-9241"/>
    <s v="Aarav Sharma"/>
    <s v="Aarav Sharma"/>
    <s v="Small Business"/>
    <x v="1"/>
    <s v="West"/>
    <x v="3"/>
    <s v="Gujarat"/>
    <s v="Gujarat"/>
    <s v="Ahmedabad"/>
    <s v="Ahmedabad"/>
    <s v="Office Supplies"/>
    <x v="0"/>
    <s v="Storage"/>
    <x v="8"/>
    <s v="Pro Storage 128"/>
    <s v="First Class"/>
    <x v="2"/>
    <n v="9"/>
    <n v="1294.1099999999999"/>
    <n v="0.25"/>
    <n v="8735.24"/>
    <n v="6620.07"/>
    <n v="2115.17"/>
    <s v="Paid"/>
    <x v="0"/>
    <s v="Completed"/>
    <x v="0"/>
    <s v="ORD-2025-10554|04-25-2025|04-28-2025|CUST-9241|Aarav Sharma|Small Business|West|Gujarat|Ahmedabad|Office Supplies|Storage|Pro Storage 128|First Class|9|1294.11|0.25|8735.24|6620.07|2115.17|Paid|Completed"/>
    <s v="Keep"/>
    <n v="1"/>
    <s v="Unique"/>
    <s v=""/>
    <n v="0.25"/>
    <n v="8735.2425000000003"/>
    <n v="2115.1725000000006"/>
    <n v="0.24214239043735769"/>
    <n v="4"/>
    <n v="2025"/>
    <b v="0"/>
    <b v="0"/>
    <x v="0"/>
    <s v=""/>
    <s v="Clean"/>
  </r>
  <r>
    <s v="ORD-2024-10555"/>
    <s v="2024-10-12"/>
    <x v="16"/>
    <d v="2024-10-12T00:00:00"/>
    <s v="17 Oct 2024"/>
    <d v="2024-10-17T00:00:00"/>
    <s v="OK"/>
    <n v="5"/>
    <s v="CUST-2126"/>
    <s v="Arjun Bose"/>
    <s v="Arjun Bose"/>
    <s v="Consumer"/>
    <x v="0"/>
    <m/>
    <x v="4"/>
    <s v="Jharkhand"/>
    <s v="Jharkhand"/>
    <s v="Ranchi"/>
    <s v="Ranchi"/>
    <s v="Furniture"/>
    <x v="1"/>
    <s v="Furnishings"/>
    <x v="3"/>
    <s v="Prime Furnishings 892"/>
    <s v="Standard Class"/>
    <x v="3"/>
    <n v="4"/>
    <n v="1071.22"/>
    <n v="0.05"/>
    <n v="4070.64"/>
    <n v="2831.62"/>
    <n v="1239.02"/>
    <s v="Paid"/>
    <x v="0"/>
    <s v="Completed"/>
    <x v="0"/>
    <s v="ORD-2024-10555|10-12-2024|10-17-2024|CUST-2126|Arjun Bose|Consumer||Jharkhand|Ranchi|Furniture|Furnishings|Prime Furnishings 892|Standard Class|4|1071.22|0.05|4070.64|2831.62|1239.02|Paid|Completed"/>
    <s v="Keep"/>
    <n v="1"/>
    <s v="Unique"/>
    <s v=""/>
    <n v="0.05"/>
    <n v="4070.636"/>
    <n v="1239.0160000000001"/>
    <n v="0.30437897173807732"/>
    <n v="10"/>
    <n v="2024"/>
    <b v="0"/>
    <b v="0"/>
    <x v="0"/>
    <s v="Missing region filled as Unknown"/>
    <s v="Warning"/>
  </r>
  <r>
    <s v="ORD-2025-10556"/>
    <s v="04-02-2025"/>
    <x v="7"/>
    <d v="2025-02-04T00:00:00"/>
    <s v="10 Feb 2025"/>
    <d v="2025-02-10T00:00:00"/>
    <s v="OK"/>
    <n v="6"/>
    <s v="CUST-7513"/>
    <s v="Ananya Rao"/>
    <s v="Ananya Rao"/>
    <s v="Small Business"/>
    <x v="1"/>
    <s v="South"/>
    <x v="2"/>
    <s v="Telangana"/>
    <s v="Telangana"/>
    <s v="Hyderabad"/>
    <s v="Hyderabad"/>
    <s v="Office Supplies"/>
    <x v="0"/>
    <s v="Storage"/>
    <x v="8"/>
    <s v="Prime Storage 689"/>
    <s v="Standard Class"/>
    <x v="3"/>
    <n v="6"/>
    <n v="1042.8"/>
    <n v="0.05"/>
    <n v="5943.96"/>
    <n v="3604.14"/>
    <n v="2339.8200000000002"/>
    <s v="Paid"/>
    <x v="0"/>
    <s v="Completed"/>
    <x v="0"/>
    <s v="ORD-2025-10556|04-02-2025|02-10-2025|CUST-7513|Ananya Rao|Small Business|South|Telangana|Hyderabad|Office Supplies|Storage|Prime Storage 689|Standard Class|6|1042.8|0.05|5943.96|3604.14|2339.82|Paid|Completed"/>
    <s v="Keep"/>
    <n v="1"/>
    <s v="Unique"/>
    <s v=""/>
    <n v="0.05"/>
    <n v="5943.9599999999991"/>
    <n v="2339.8199999999993"/>
    <n v="0.39364665980255581"/>
    <n v="2"/>
    <n v="2025"/>
    <b v="0"/>
    <b v="0"/>
    <x v="0"/>
    <s v=""/>
    <s v="Clean"/>
  </r>
  <r>
    <s v="ORD-2024-10557"/>
    <s v="23 Jun 2024"/>
    <x v="2"/>
    <d v="2024-06-23T00:00:00"/>
    <s v="2024-06-29"/>
    <d v="2024-06-29T00:00:00"/>
    <s v="OK"/>
    <n v="6"/>
    <s v="CUST-1992"/>
    <s v="Neha Gupta"/>
    <s v="Neha Gupta"/>
    <s v="Consumer"/>
    <x v="0"/>
    <s v="North"/>
    <x v="0"/>
    <s v="Haryana"/>
    <s v="Haryana"/>
    <s v="Gurugram"/>
    <s v="Gurugram"/>
    <s v="Furniture"/>
    <x v="1"/>
    <s v="Tables"/>
    <x v="1"/>
    <s v="Classic Tables 769"/>
    <s v="First Class"/>
    <x v="2"/>
    <n v="1"/>
    <n v="4426.66"/>
    <n v="0"/>
    <n v="4426.66"/>
    <n v="3035.2"/>
    <n v="1816.23"/>
    <s v="Paid"/>
    <x v="0"/>
    <s v="Returned"/>
    <x v="2"/>
    <s v="ORD-2024-10557|06-23-2024|06-29-2024|CUST-1992|Neha Gupta|Consumer|North|Haryana|Gurugram|Furniture|Tables|Classic Tables 769|First Class|1|4426.66|0|4426.66|3035.2|1816.23|Paid|Returned"/>
    <s v="Keep"/>
    <n v="1"/>
    <s v="Unique"/>
    <s v=""/>
    <n v="0"/>
    <n v="4426.66"/>
    <n v="1391.46"/>
    <n v="0.31433631677156143"/>
    <n v="6"/>
    <n v="2024"/>
    <b v="0"/>
    <b v="1"/>
    <x v="1"/>
    <s v="Returned order excluded; Profit mismatch"/>
    <s v="Invalid"/>
  </r>
  <r>
    <s v="ORD-2024-10558"/>
    <s v="2024-05-08"/>
    <x v="5"/>
    <d v="2024-05-08T00:00:00"/>
    <s v="14-05-2024"/>
    <d v="2024-05-14T00:00:00"/>
    <s v="OK"/>
    <n v="6"/>
    <s v="CUST-8848"/>
    <s v="Vikram Iyer"/>
    <s v="Vikram Iyer"/>
    <s v="Home Office"/>
    <x v="3"/>
    <s v="North"/>
    <x v="0"/>
    <s v="Haryana"/>
    <s v="Haryana"/>
    <s v="Gurugram"/>
    <s v="Gurugram"/>
    <s v="Technology"/>
    <x v="2"/>
    <s v="Phones"/>
    <x v="11"/>
    <s v="Prime Phones 503"/>
    <s v="First Class"/>
    <x v="2"/>
    <n v="9"/>
    <n v="3769.46"/>
    <n v="0.05"/>
    <n v="32228.880000000001"/>
    <n v="24971.360000000001"/>
    <n v="7257.52"/>
    <s v="Paid"/>
    <x v="0"/>
    <s v="Cancelled"/>
    <x v="1"/>
    <s v="ORD-2024-10558|05-08-2024|14-05-2024|CUST-8848|Vikram Iyer|Home Office|North|Haryana|Gurugram|Technology|Phones|Prime Phones 503|First Class|9|3769.46|0.05|32228.88|24971.36|7257.52|Paid|Cancelled"/>
    <s v="Keep"/>
    <n v="1"/>
    <s v="Unique"/>
    <s v=""/>
    <n v="0.05"/>
    <n v="32228.882999999998"/>
    <n v="7257.5229999999974"/>
    <n v="0.22518692317074712"/>
    <n v="5"/>
    <n v="2024"/>
    <b v="0"/>
    <b v="0"/>
    <x v="1"/>
    <s v="Cancelled order excluded"/>
    <s v="Warning"/>
  </r>
  <r>
    <s v="ORD-2025-10559"/>
    <s v="2025-09-04"/>
    <x v="8"/>
    <d v="2025-09-04T00:00:00"/>
    <s v="09/04/2025"/>
    <d v="2025-09-04T00:00:00"/>
    <s v="OK"/>
    <n v="0"/>
    <s v="CUST-9368"/>
    <s v="Aditi Sen"/>
    <s v="Aditi Sen"/>
    <s v="Corporate"/>
    <x v="2"/>
    <s v="North"/>
    <x v="0"/>
    <s v="Punjab"/>
    <s v="Punjab"/>
    <s v="Ludhiana"/>
    <s v="Ludhiana"/>
    <s v="Technology"/>
    <x v="2"/>
    <s v="Machines"/>
    <x v="12"/>
    <s v="Basic Machines 136"/>
    <s v="First Class"/>
    <x v="2"/>
    <n v="8"/>
    <n v="3079.95"/>
    <n v="0.2"/>
    <n v="19711.68"/>
    <n v="14461.8"/>
    <n v="5249.88"/>
    <s v="Paid"/>
    <x v="0"/>
    <s v="Completed"/>
    <x v="0"/>
    <s v="ORD-2025-10559|09-04-2025|09-04-2025|CUST-9368|Aditi Sen|Corporate|North|Punjab|Ludhiana|Technology|Machines|Basic Machines 136|First Class|8|3079.95|0.2|19711.68|14461.8|5249.88|Paid|Completed"/>
    <s v="Keep"/>
    <n v="1"/>
    <s v="Unique"/>
    <s v=""/>
    <n v="0.2"/>
    <n v="19711.68"/>
    <n v="5249.880000000001"/>
    <n v="0.26633346320557155"/>
    <n v="9"/>
    <n v="2025"/>
    <b v="0"/>
    <b v="0"/>
    <x v="0"/>
    <s v=""/>
    <s v="Clean"/>
  </r>
  <r>
    <s v="ORD-2025-10560"/>
    <s v="30 Sep 2025"/>
    <x v="8"/>
    <d v="2025-09-30T00:00:00"/>
    <s v="2025-10-07"/>
    <d v="2025-10-07T00:00:00"/>
    <s v="OK"/>
    <n v="7"/>
    <s v="CUST-6797"/>
    <s v="Diya Patel"/>
    <s v="Diya Patel"/>
    <s v="Corporate"/>
    <x v="2"/>
    <s v="East"/>
    <x v="1"/>
    <s v="Bihar"/>
    <s v="Bihar"/>
    <s v="Patna"/>
    <s v="Patna"/>
    <s v="Technology"/>
    <x v="2"/>
    <s v="Copiers"/>
    <x v="6"/>
    <s v="Basic Copiers 512"/>
    <s v="Second Class"/>
    <x v="0"/>
    <n v="5"/>
    <n v="3277.82"/>
    <n v="0.1"/>
    <n v="14750.19"/>
    <n v="9482.58"/>
    <n v="5267.61"/>
    <s v="Paid"/>
    <x v="0"/>
    <s v="Returned"/>
    <x v="2"/>
    <s v="ORD-2025-10560|09-30-2025|10-07-2025|CUST-6797|Diya Patel|Corporate|East|Bihar|Patna|Technology|Copiers|Basic Copiers 512|Second Class|5|3277.82|0.1|14750.19|9482.58|5267.61|Paid|Returned"/>
    <s v="Keep"/>
    <n v="1"/>
    <s v="Unique"/>
    <s v=""/>
    <n v="0.1"/>
    <n v="14750.190000000002"/>
    <n v="5267.6100000000024"/>
    <n v="0.35712150148574368"/>
    <n v="9"/>
    <n v="2025"/>
    <b v="0"/>
    <b v="0"/>
    <x v="1"/>
    <s v="Returned order excluded"/>
    <s v="Warning"/>
  </r>
  <r>
    <s v="ORD-2024-10561"/>
    <s v="2024-01-16"/>
    <x v="12"/>
    <d v="2024-01-16T00:00:00"/>
    <s v="22-01-2024"/>
    <d v="2024-01-22T00:00:00"/>
    <s v="OK"/>
    <n v="6"/>
    <s v="CUST-9333"/>
    <s v="Arjun Bose"/>
    <s v="Arjun Bose"/>
    <s v="Consumer"/>
    <x v="0"/>
    <s v="West"/>
    <x v="3"/>
    <s v="Goa"/>
    <s v="Goa"/>
    <s v="Panaji"/>
    <s v="Panaji"/>
    <s v="Office Supplies"/>
    <x v="0"/>
    <s v="Storage"/>
    <x v="8"/>
    <s v="Smart Storage 767"/>
    <s v="Standard Class"/>
    <x v="3"/>
    <n v="4"/>
    <n v="282.52999999999997"/>
    <n v="0"/>
    <n v="1130.1199999999999"/>
    <n v="848.62"/>
    <n v="281.5"/>
    <s v="Paid"/>
    <x v="0"/>
    <s v="Cancelled"/>
    <x v="1"/>
    <s v="ORD-2024-10561|01-16-2024|22-01-2024|CUST-9333|Arjun Bose|Consumer|West|Goa|Panaji|Office Supplies|Storage|Smart Storage 767|Standard Class|4|282.53|0|1130.12|848.62|281.5|Paid|Cancelled"/>
    <s v="Keep"/>
    <n v="1"/>
    <s v="Unique"/>
    <s v=""/>
    <n v="0"/>
    <n v="1130.1199999999999"/>
    <n v="281.49999999999989"/>
    <n v="0.249088592361873"/>
    <n v="1"/>
    <n v="2024"/>
    <b v="0"/>
    <b v="0"/>
    <x v="1"/>
    <s v="Cancelled order excluded"/>
    <s v="Warning"/>
  </r>
  <r>
    <s v="ORD-2025-10562"/>
    <s v="2025-07-14"/>
    <x v="13"/>
    <d v="2025-07-14T00:00:00"/>
    <s v="18 Jul 2025"/>
    <d v="2025-07-18T00:00:00"/>
    <s v="OK"/>
    <n v="4"/>
    <s v="CUST-6654"/>
    <s v="Aditi Sen"/>
    <s v="Aditi Sen"/>
    <s v="Consumer"/>
    <x v="0"/>
    <s v="North"/>
    <x v="0"/>
    <s v="Punjab"/>
    <s v="Punjab"/>
    <s v="Ludhiana"/>
    <s v="Ludhiana"/>
    <s v="Technology"/>
    <x v="2"/>
    <s v="Copiers"/>
    <x v="6"/>
    <s v="Eco Copiers 954"/>
    <s v="First Class"/>
    <x v="2"/>
    <n v="4"/>
    <n v="725.22"/>
    <n v="0"/>
    <n v="2900.88"/>
    <n v="2391.85"/>
    <n v="509.03"/>
    <s v="Pending"/>
    <x v="2"/>
    <s v="Returned"/>
    <x v="2"/>
    <s v="ORD-2025-10562|07-14-2025|07-18-2025|CUST-6654|Aditi Sen|Consumer|North|Punjab|Ludhiana|Technology|Copiers|Eco Copiers 954|First Class|4|725.22|0|2900.88|2391.85|509.03|Pending|Returned"/>
    <s v="Keep"/>
    <n v="1"/>
    <s v="Unique"/>
    <s v=""/>
    <n v="0"/>
    <n v="2900.88"/>
    <n v="509.0300000000002"/>
    <n v="0.17547433882132324"/>
    <n v="7"/>
    <n v="2025"/>
    <b v="0"/>
    <b v="0"/>
    <x v="1"/>
    <s v="Returned order excluded"/>
    <s v="Warning"/>
  </r>
  <r>
    <s v="ORD-2024-10563"/>
    <s v="10 May 2024"/>
    <x v="5"/>
    <d v="2024-05-10T00:00:00"/>
    <s v="16 May 2024"/>
    <d v="2024-05-16T00:00:00"/>
    <s v="OK"/>
    <n v="6"/>
    <s v="CUST-8622"/>
    <s v="Karan Malhotra"/>
    <s v="Karan Malhotra"/>
    <s v="Consumer"/>
    <x v="0"/>
    <s v="North"/>
    <x v="0"/>
    <s v="Punjab"/>
    <s v="Punjab"/>
    <s v="Ludhiana"/>
    <s v="Ludhiana"/>
    <s v="Office Supplies"/>
    <x v="0"/>
    <s v="Binders"/>
    <x v="9"/>
    <s v="Elite Binders 143"/>
    <s v="Same Day"/>
    <x v="1"/>
    <n v="7"/>
    <n v="121.54"/>
    <n v="0.2"/>
    <n v="680.62"/>
    <n v="463.49"/>
    <n v="217.13"/>
    <s v="Failed"/>
    <x v="3"/>
    <s v="Returned"/>
    <x v="2"/>
    <s v="ORD-2024-10563|05-10-2024|05-16-2024|CUST-8622|Karan Malhotra|Consumer|North|Punjab|Ludhiana|Office Supplies|Binders|Elite Binders 143|Same Day|7|121.54|0.2|680.62|463.49|217.13|Failed|Returned"/>
    <s v="Keep"/>
    <n v="1"/>
    <s v="Unique"/>
    <s v=""/>
    <n v="0.2"/>
    <n v="680.62400000000014"/>
    <n v="217.13400000000013"/>
    <n v="0.31902195632243363"/>
    <n v="5"/>
    <n v="2024"/>
    <b v="0"/>
    <b v="0"/>
    <x v="1"/>
    <s v="Failed payment excluded; Returned order excluded"/>
    <s v="Warning"/>
  </r>
  <r>
    <s v="ORD-2024-10564"/>
    <s v="05/06/2024"/>
    <x v="5"/>
    <d v="2024-05-06T00:00:00"/>
    <s v="12-05-2024"/>
    <d v="2024-05-12T00:00:00"/>
    <s v="OK"/>
    <n v="6"/>
    <s v="CUST-8776"/>
    <s v="Arjun Bose"/>
    <s v="Arjun Bose"/>
    <s v="Corporate"/>
    <x v="2"/>
    <s v="West"/>
    <x v="3"/>
    <s v="Goa"/>
    <s v="Goa"/>
    <s v="Panaji"/>
    <s v="Panaji"/>
    <s v="Furniture"/>
    <x v="1"/>
    <s v="Tables"/>
    <x v="1"/>
    <s v="Classic Tables 560"/>
    <s v="Standard Class"/>
    <x v="3"/>
    <n v="9"/>
    <n v="790.97"/>
    <n v="0.2"/>
    <n v="5694.98"/>
    <n v="4618.33"/>
    <n v="1076.6500000000001"/>
    <s v="Pending"/>
    <x v="2"/>
    <s v="Cancelled"/>
    <x v="1"/>
    <s v="ORD-2024-10564|05-06-2024|12-05-2024|CUST-8776|Arjun Bose|Corporate|West|Goa|Panaji|Furniture|Tables|Classic Tables 560|Standard Class|9|790.97|0.2|5694.98|4618.33|1076.65|Pending|Cancelled"/>
    <s v="Keep"/>
    <n v="1"/>
    <s v="Unique"/>
    <s v=""/>
    <n v="0.2"/>
    <n v="5694.9840000000004"/>
    <n v="1076.6540000000005"/>
    <n v="0.1890530333360024"/>
    <n v="5"/>
    <n v="2024"/>
    <b v="0"/>
    <b v="0"/>
    <x v="1"/>
    <s v="Cancelled order excluded"/>
    <s v="Warning"/>
  </r>
  <r>
    <s v="ORD-2024-10565"/>
    <s v="11/10/2024"/>
    <x v="3"/>
    <d v="2024-11-10T00:00:00"/>
    <s v="14-11-2024"/>
    <d v="2024-11-14T00:00:00"/>
    <s v="OK"/>
    <n v="4"/>
    <s v="CUST-9100"/>
    <s v="Sneha Kapoor"/>
    <s v="Sneha Kapoor"/>
    <s v="Corporate"/>
    <x v="2"/>
    <s v="South"/>
    <x v="2"/>
    <s v="Andhra Pradesh"/>
    <s v="Andhra Pradesh"/>
    <s v="Vijayawada"/>
    <s v="Vijayawada"/>
    <s v="Furniture"/>
    <x v="1"/>
    <s v="Tables"/>
    <x v="1"/>
    <s v="Basic Tables 759"/>
    <s v="First Class"/>
    <x v="2"/>
    <n v="2"/>
    <n v="921.34"/>
    <n v="0.2"/>
    <n v="1474.14"/>
    <n v="968.46"/>
    <n v="505.68"/>
    <s v="Paid"/>
    <x v="0"/>
    <s v="Completed"/>
    <x v="0"/>
    <s v="ORD-2024-10565|11-10-2024|14-11-2024|CUST-9100|Sneha Kapoor|Corporate|South|Andhra Pradesh|Vijayawada|Furniture|Tables|Basic Tables 759|First Class|2|921.34|0.2|1474.14|968.46|505.68|Paid|Completed"/>
    <s v="Keep"/>
    <n v="1"/>
    <s v="Unique"/>
    <s v=""/>
    <n v="0.2"/>
    <n v="1474.1440000000002"/>
    <n v="505.6840000000002"/>
    <n v="0.34303568715132315"/>
    <n v="11"/>
    <n v="2024"/>
    <b v="0"/>
    <b v="0"/>
    <x v="0"/>
    <s v=""/>
    <s v="Clean"/>
  </r>
  <r>
    <s v="ORD-2025-10566"/>
    <s v="07 Aug 2025"/>
    <x v="4"/>
    <d v="2025-08-07T00:00:00"/>
    <s v="13-08-2025"/>
    <d v="2025-08-13T00:00:00"/>
    <s v="OK"/>
    <n v="6"/>
    <s v="CUST-5601"/>
    <s v="Mira Das"/>
    <s v="Mira Das"/>
    <s v="Corporate"/>
    <x v="2"/>
    <s v="North"/>
    <x v="0"/>
    <s v="Delhi"/>
    <s v="Delhi"/>
    <s v="New Delhi"/>
    <s v="New Delhi"/>
    <s v="Technology"/>
    <x v="2"/>
    <s v="Phones"/>
    <x v="11"/>
    <s v="Prime Phones 564"/>
    <s v="Standard Class"/>
    <x v="3"/>
    <n v="6"/>
    <n v="1921.86"/>
    <n v="0.2"/>
    <n v="9224.93"/>
    <n v="7005.2"/>
    <n v="2219.73"/>
    <s v="Refunded"/>
    <x v="1"/>
    <s v="Cancelled"/>
    <x v="1"/>
    <s v="ORD-2025-10566|08-07-2025|13-08-2025|CUST-5601|Mira Das|Corporate|North|Delhi|New Delhi|Technology|Phones|Prime Phones 564|Standard Class|6|1921.86|0.2|9224.93|7005.2|2219.73|Refunded|Cancelled"/>
    <s v="Keep"/>
    <n v="1"/>
    <s v="Unique"/>
    <s v=""/>
    <n v="0.2"/>
    <n v="9224.9279999999999"/>
    <n v="2219.7280000000001"/>
    <n v="0.24062279944081949"/>
    <n v="8"/>
    <n v="2025"/>
    <b v="0"/>
    <b v="0"/>
    <x v="1"/>
    <s v="Refunded order summarized separately; Cancelled order excluded"/>
    <s v="Warning"/>
  </r>
  <r>
    <s v="ORD-2024-10567"/>
    <s v="11 Aug 2024"/>
    <x v="1"/>
    <d v="2024-08-11T00:00:00"/>
    <s v="2024-08-19"/>
    <d v="2024-08-19T00:00:00"/>
    <s v="OK"/>
    <n v="8"/>
    <s v="CUST-5246"/>
    <s v="Sneha Kapoor"/>
    <s v="Sneha Kapoor"/>
    <s v="Small Business"/>
    <x v="1"/>
    <s v="West"/>
    <x v="3"/>
    <s v="Maharashtra"/>
    <s v="Maharashtra"/>
    <s v="Mumbai"/>
    <s v="Mumbai"/>
    <s v="Office Supplies"/>
    <x v="0"/>
    <s v="Paper"/>
    <x v="0"/>
    <s v="Smart Paper 807"/>
    <s v="Same Day"/>
    <x v="1"/>
    <n v="2"/>
    <n v="2617.89"/>
    <n v="0.1"/>
    <n v="4712.2"/>
    <n v="3851.91"/>
    <n v="860.29"/>
    <s v="Failed"/>
    <x v="3"/>
    <s v="Returned"/>
    <x v="2"/>
    <s v="ORD-2024-10567|08-11-2024|08-19-2024|CUST-5246|Sneha Kapoor|Small Business|West|Maharashtra|Mumbai|Office Supplies|Paper|Smart Paper 807|Same Day|2|2617.89|0.1|4712.2|3851.91|860.29|Failed|Returned"/>
    <s v="Keep"/>
    <n v="1"/>
    <s v="Unique"/>
    <s v=""/>
    <n v="0.1"/>
    <n v="4712.2020000000002"/>
    <n v="860.29200000000037"/>
    <n v="0.18256687637754077"/>
    <n v="8"/>
    <n v="2024"/>
    <b v="0"/>
    <b v="0"/>
    <x v="1"/>
    <s v="Failed payment excluded; Returned order excluded"/>
    <s v="Warning"/>
  </r>
  <r>
    <s v="ORD-2024-10568"/>
    <s v="06 Feb 2024"/>
    <x v="17"/>
    <d v="2024-02-06T00:00:00"/>
    <s v="10-02-2024"/>
    <d v="2024-02-10T00:00:00"/>
    <s v="OK"/>
    <n v="4"/>
    <s v="CUST-3128"/>
    <s v="Arjun Bose"/>
    <s v="Arjun Bose"/>
    <s v="Home Office"/>
    <x v="3"/>
    <s v="North"/>
    <x v="0"/>
    <s v="Uttar Pradesh"/>
    <s v="Uttar Pradesh"/>
    <s v="Noida"/>
    <s v="Noida"/>
    <s v="Furniture"/>
    <x v="1"/>
    <s v="Furnishings"/>
    <x v="3"/>
    <s v="Pro Furnishings 108"/>
    <s v="Same Day"/>
    <x v="1"/>
    <n v="1"/>
    <n v="1374.06"/>
    <n v="0.05"/>
    <n v="1305.3599999999999"/>
    <n v="731.89"/>
    <n v="573.47"/>
    <s v="Paid"/>
    <x v="0"/>
    <s v="Completed"/>
    <x v="0"/>
    <s v="ORD-2024-10568|02-06-2024|10-02-2024|CUST-3128|Arjun Bose|Home Office|North|Uttar Pradesh|Noida|Furniture|Furnishings|Pro Furnishings 108|Same Day|1|1374.06|0.05|1305.36|731.89|573.47|Paid|Completed"/>
    <s v="Keep"/>
    <n v="1"/>
    <s v="Unique"/>
    <s v=""/>
    <n v="0.05"/>
    <n v="1305.357"/>
    <n v="573.46699999999998"/>
    <n v="0.4393181328939133"/>
    <n v="2"/>
    <n v="2024"/>
    <b v="0"/>
    <b v="0"/>
    <x v="0"/>
    <s v=""/>
    <s v="Clean"/>
  </r>
  <r>
    <s v="ORD-2024-10569"/>
    <s v="21 Jan 2024"/>
    <x v="12"/>
    <d v="2024-01-21T00:00:00"/>
    <s v="24 Jan 2024"/>
    <d v="2024-01-24T00:00:00"/>
    <s v="OK"/>
    <n v="3"/>
    <s v="CUST-4604"/>
    <s v="Kabir Singh"/>
    <s v="Kabir Singh"/>
    <s v="Corporate"/>
    <x v="2"/>
    <s v="North"/>
    <x v="0"/>
    <s v="Punjab"/>
    <s v="Punjab"/>
    <s v="Ludhiana"/>
    <s v="Ludhiana"/>
    <s v="Technology"/>
    <x v="2"/>
    <s v="Machines"/>
    <x v="12"/>
    <s v="Classic Machines 522"/>
    <s v="Same Day"/>
    <x v="1"/>
    <n v="1"/>
    <n v="3806.3"/>
    <n v="0.25"/>
    <n v="2854.73"/>
    <n v="1968.12"/>
    <n v="886.61"/>
    <s v="Paid"/>
    <x v="0"/>
    <s v="Completed"/>
    <x v="0"/>
    <s v="ORD-2024-10569|01-21-2024|01-24-2024|CUST-4604|Kabir Singh|Corporate|North|Punjab|Ludhiana|Technology|Machines|Classic Machines 522|Same Day|1|3806.3|0.25|2854.73|1968.12|886.61|Paid|Completed"/>
    <s v="Keep"/>
    <n v="1"/>
    <s v="Unique"/>
    <s v=""/>
    <n v="0.25"/>
    <n v="2854.7250000000004"/>
    <n v="886.60500000000047"/>
    <n v="0.31057457373302172"/>
    <n v="1"/>
    <n v="2024"/>
    <b v="0"/>
    <b v="0"/>
    <x v="0"/>
    <s v=""/>
    <s v="Clean"/>
  </r>
  <r>
    <s v="ORD-2025-10570"/>
    <s v="09/08/2025"/>
    <x v="8"/>
    <d v="2025-09-08T00:00:00"/>
    <s v="2025-09-10"/>
    <d v="2025-09-10T00:00:00"/>
    <s v="OK"/>
    <n v="2"/>
    <s v="CUST-2586"/>
    <s v="Rahul Verma"/>
    <s v="Rahul Verma"/>
    <s v="Home Office"/>
    <x v="3"/>
    <s v="West"/>
    <x v="3"/>
    <s v="Maharashtra"/>
    <s v="Maharashtra"/>
    <s v="Mumbai"/>
    <s v="Mumbai"/>
    <s v="Furniture"/>
    <x v="1"/>
    <s v="Furnishings"/>
    <x v="3"/>
    <s v="Elite Furnishings 822"/>
    <s v="Standard Class"/>
    <x v="3"/>
    <n v="6"/>
    <n v="3251.17"/>
    <n v="0.25"/>
    <n v="14630.26"/>
    <n v="11906.36"/>
    <n v="2723.9"/>
    <s v="Refunded"/>
    <x v="1"/>
    <s v="Returned"/>
    <x v="2"/>
    <s v="ORD-2025-10570|09-08-2025|09-10-2025|CUST-2586|Rahul Verma|Home Office|West|Maharashtra|Mumbai|Furniture|Furnishings|Elite Furnishings 822|Standard Class|6|3251.17|0.25|14630.26|11906.36|2723.9|Refunded|Returned"/>
    <s v="Keep"/>
    <n v="1"/>
    <s v="Unique"/>
    <s v=""/>
    <n v="0.25"/>
    <n v="14630.264999999999"/>
    <n v="2723.9049999999988"/>
    <n v="0.18618288868998606"/>
    <n v="9"/>
    <n v="2025"/>
    <b v="0"/>
    <b v="0"/>
    <x v="1"/>
    <s v="Refunded order summarized separately; Returned order excluded"/>
    <s v="Warning"/>
  </r>
  <r>
    <s v="ORD-2025-10571"/>
    <s v="2025-08-18"/>
    <x v="4"/>
    <d v="2025-08-18T00:00:00"/>
    <s v="08/22/2025"/>
    <d v="2025-08-22T00:00:00"/>
    <s v="OK"/>
    <n v="4"/>
    <s v="CUST-6585"/>
    <s v="Arjun Bose"/>
    <s v="Arjun Bose"/>
    <s v="Consumer"/>
    <x v="0"/>
    <s v="East"/>
    <x v="1"/>
    <s v="Jharkhand"/>
    <s v="Jharkhand"/>
    <s v="Ranchi"/>
    <s v="Ranchi"/>
    <s v="Furniture"/>
    <x v="1"/>
    <s v="Furnishings"/>
    <x v="3"/>
    <s v="Max Furnishings 647"/>
    <s v="Second Class"/>
    <x v="0"/>
    <n v="3"/>
    <n v="3946.44"/>
    <n v="0.25"/>
    <n v="8879.49"/>
    <n v="6344.57"/>
    <n v="2534.92"/>
    <s v="Failed"/>
    <x v="3"/>
    <s v="Returned"/>
    <x v="2"/>
    <s v="ORD-2025-10571|08-18-2025|08-22-2025|CUST-6585|Arjun Bose|Consumer|East|Jharkhand|Ranchi|Furniture|Furnishings|Max Furnishings 647|Second Class|3|3946.44|0.25|8879.49|6344.57|2534.92|Failed|Returned"/>
    <s v="Keep"/>
    <n v="1"/>
    <s v="Unique"/>
    <s v=""/>
    <n v="0.25"/>
    <n v="8879.49"/>
    <n v="2534.92"/>
    <n v="0.28548035979543873"/>
    <n v="8"/>
    <n v="2025"/>
    <b v="0"/>
    <b v="0"/>
    <x v="1"/>
    <s v="Failed payment excluded; Returned order excluded"/>
    <s v="Warning"/>
  </r>
  <r>
    <s v="ORD-2025-10572"/>
    <s v="10 Feb 2025"/>
    <x v="7"/>
    <d v="2025-02-10T00:00:00"/>
    <s v="2025-02-14"/>
    <d v="2025-02-14T00:00:00"/>
    <s v="OK"/>
    <n v="4"/>
    <s v="CUST-3425"/>
    <s v="Priya Menon"/>
    <s v="Priya Menon"/>
    <s v="Small Business"/>
    <x v="1"/>
    <s v="North"/>
    <x v="0"/>
    <s v="Uttar Pradesh"/>
    <s v="Uttar Pradesh"/>
    <s v="Noida"/>
    <s v="Noida"/>
    <s v="Technology"/>
    <x v="2"/>
    <s v="Phones"/>
    <x v="11"/>
    <s v="Prime Phones 895"/>
    <m/>
    <x v="4"/>
    <n v="5"/>
    <n v="4276.29"/>
    <n v="0"/>
    <n v="21381.45"/>
    <n v="13240.21"/>
    <n v="8141.24"/>
    <s v="Failed"/>
    <x v="3"/>
    <s v="Returned"/>
    <x v="2"/>
    <s v="ORD-2025-10572|02-10-2025|02-14-2025|CUST-3425|Priya Menon|Small Business|North|Uttar Pradesh|Noida|Technology|Phones|Prime Phones 895||5|4276.29|0|21381.45|13240.21|8141.24|Failed|Returned"/>
    <s v="Keep"/>
    <n v="2"/>
    <s v="Duplicate order_id"/>
    <s v="Review conflicting duplicate"/>
    <n v="0"/>
    <n v="21381.45"/>
    <n v="8141.2400000000016"/>
    <n v="0.38076182859441249"/>
    <n v="2"/>
    <n v="2025"/>
    <b v="0"/>
    <b v="0"/>
    <x v="1"/>
    <s v="Missing ship mode filled as Unknown; Failed payment excluded; Returned order excluded; Duplicate order ID conflict"/>
    <s v="Warning"/>
  </r>
  <r>
    <s v="ORD-2024-10573"/>
    <s v="01/02/2024"/>
    <x v="12"/>
    <d v="2024-01-02T00:00:00"/>
    <s v="09-01-2024"/>
    <d v="2024-01-09T00:00:00"/>
    <s v="OK"/>
    <n v="7"/>
    <s v="CUST-8633"/>
    <s v="  Diya Patel "/>
    <s v="Diya Patel"/>
    <s v="Corporate"/>
    <x v="2"/>
    <s v="North"/>
    <x v="0"/>
    <s v="Delhi"/>
    <s v="Delhi"/>
    <s v="New Delhi"/>
    <s v="New Delhi"/>
    <s v="Technology"/>
    <x v="2"/>
    <s v="Phones"/>
    <x v="11"/>
    <s v="Eco Phones 368"/>
    <s v="Standard Class"/>
    <x v="3"/>
    <n v="3"/>
    <n v="739.56"/>
    <n v="0.2"/>
    <n v="1774.94"/>
    <n v="1007.4"/>
    <n v="767.54"/>
    <s v="Paid"/>
    <x v="0"/>
    <s v="Completed"/>
    <x v="0"/>
    <s v="ORD-2024-10573|01-02-2024|09-01-2024|CUST-8633|  Diya Patel |Corporate|North|Delhi|New Delhi|Technology|Phones|Eco Phones 368|Standard Class|3|739.56|0.2|1774.94|1007.4|767.54|Paid|Completed"/>
    <s v="Keep"/>
    <n v="1"/>
    <s v="Unique"/>
    <s v=""/>
    <n v="0.2"/>
    <n v="1774.944"/>
    <n v="767.54399999999998"/>
    <n v="0.43243279787982042"/>
    <n v="1"/>
    <n v="2024"/>
    <b v="0"/>
    <b v="0"/>
    <x v="0"/>
    <s v=""/>
    <s v="Clean"/>
  </r>
  <r>
    <s v="ORD-2025-10574"/>
    <s v="09/22/2025"/>
    <x v="8"/>
    <d v="2025-09-22T00:00:00"/>
    <s v="09/26/2025"/>
    <d v="2025-09-26T00:00:00"/>
    <s v="OK"/>
    <n v="4"/>
    <s v="CUST-8243"/>
    <s v="Isha Nair"/>
    <s v="Isha Nair"/>
    <s v="Consumer"/>
    <x v="0"/>
    <s v="South"/>
    <x v="2"/>
    <s v="Andhra Pradesh"/>
    <s v="Andhra Pradesh"/>
    <s v="Vijayawada"/>
    <s v="Vijayawada"/>
    <s v="Technology"/>
    <x v="2"/>
    <s v="Phones"/>
    <x v="11"/>
    <s v="Pro Phones 644"/>
    <s v="Standard Class"/>
    <x v="3"/>
    <n v="1"/>
    <n v="573.65"/>
    <n v="0"/>
    <n v="573.65"/>
    <n v="322.67"/>
    <n v="250.98"/>
    <s v="Paid"/>
    <x v="0"/>
    <s v="Completed"/>
    <x v="0"/>
    <s v="ORD-2025-10574|09-22-2025|09-26-2025|CUST-8243|Isha Nair|Consumer|South|Andhra Pradesh|Vijayawada|Technology|Phones|Pro Phones 644|Standard Class|1|573.65|0|573.65|322.67|250.98|Paid|Completed"/>
    <s v="Keep"/>
    <n v="1"/>
    <s v="Unique"/>
    <s v=""/>
    <n v="0"/>
    <n v="573.65"/>
    <n v="250.97999999999996"/>
    <n v="0.43751416368866031"/>
    <n v="9"/>
    <n v="2025"/>
    <b v="0"/>
    <b v="0"/>
    <x v="0"/>
    <s v=""/>
    <s v="Clean"/>
  </r>
  <r>
    <s v="ORD-2024-10575"/>
    <s v="20 Feb 2024"/>
    <x v="17"/>
    <d v="2024-02-20T00:00:00"/>
    <s v="25-02-2024"/>
    <d v="2024-02-25T00:00:00"/>
    <s v="OK"/>
    <n v="5"/>
    <s v="CUST-9139"/>
    <s v="Diya Patel"/>
    <s v="Diya Patel"/>
    <s v="Home Office"/>
    <x v="3"/>
    <s v="North"/>
    <x v="0"/>
    <s v="Punjab"/>
    <s v="Punjab"/>
    <s v="Ludhiana"/>
    <s v="Ludhiana"/>
    <s v="Technology"/>
    <x v="2"/>
    <s v="Machines"/>
    <x v="12"/>
    <s v="Smart Machines 566"/>
    <s v="Standard Class"/>
    <x v="3"/>
    <n v="4"/>
    <n v="1355.8"/>
    <n v="0"/>
    <n v="5423.2"/>
    <n v="4072.44"/>
    <n v="1350.76"/>
    <s v="Paid"/>
    <x v="0"/>
    <s v="Completed"/>
    <x v="0"/>
    <s v="ORD-2024-10575|02-20-2024|25-02-2024|CUST-9139|Diya Patel|Home Office|North|Punjab|Ludhiana|Technology|Machines|Smart Machines 566|Standard Class|4|1355.8|0|5423.2|4072.44|1350.76|Paid|Completed"/>
    <s v="Keep"/>
    <n v="1"/>
    <s v="Unique"/>
    <s v=""/>
    <n v="0"/>
    <n v="5423.2"/>
    <n v="1350.7599999999998"/>
    <n v="0.24907065938929043"/>
    <n v="2"/>
    <n v="2024"/>
    <b v="0"/>
    <b v="0"/>
    <x v="0"/>
    <s v=""/>
    <s v="Clean"/>
  </r>
  <r>
    <s v="ORD-2025-10576"/>
    <s v="11 Mar 2025"/>
    <x v="20"/>
    <d v="2025-03-11T00:00:00"/>
    <s v="14 Mar 2025"/>
    <d v="2025-03-14T00:00:00"/>
    <s v="OK"/>
    <n v="3"/>
    <s v="CUST-5496"/>
    <s v="Sneha Kapoor"/>
    <s v="Sneha Kapoor"/>
    <s v="Home Office"/>
    <x v="3"/>
    <s v="South"/>
    <x v="2"/>
    <s v="Kerala"/>
    <s v="Kerala"/>
    <s v="Kochi"/>
    <s v="Kochi"/>
    <s v="Furniture"/>
    <x v="1"/>
    <s v="Furnishings"/>
    <x v="3"/>
    <s v="Elite Furnishings 173"/>
    <s v="Same Day"/>
    <x v="1"/>
    <n v="4"/>
    <n v="1244.82"/>
    <n v="0.2"/>
    <n v="3983.42"/>
    <n v="3174.91"/>
    <n v="808.51"/>
    <s v="Failed"/>
    <x v="3"/>
    <s v="Returned"/>
    <x v="2"/>
    <s v="ORD-2025-10576|03-11-2025|03-14-2025|CUST-5496|Sneha Kapoor|Home Office|South|Kerala|Kochi|Furniture|Furnishings|Elite Furnishings 173|Same Day|4|1244.82|0.2|3983.42|3174.91|808.51|Failed|Returned"/>
    <s v="Keep"/>
    <n v="1"/>
    <s v="Unique"/>
    <s v=""/>
    <n v="0.2"/>
    <n v="3983.424"/>
    <n v="808.51400000000012"/>
    <n v="0.2029696060474607"/>
    <n v="3"/>
    <n v="2025"/>
    <b v="0"/>
    <b v="0"/>
    <x v="1"/>
    <s v="Failed payment excluded; Returned order excluded"/>
    <s v="Warning"/>
  </r>
  <r>
    <s v="ORD-2024-10577"/>
    <s v="17-02-2024"/>
    <x v="17"/>
    <d v="2024-02-17T00:00:00"/>
    <s v="02/23/2024"/>
    <d v="2024-02-23T00:00:00"/>
    <s v="OK"/>
    <n v="6"/>
    <s v="CUST-2228"/>
    <s v="Rohan Mehta"/>
    <s v="Rohan Mehta"/>
    <s v="Home Office"/>
    <x v="3"/>
    <m/>
    <x v="4"/>
    <s v="Bihar"/>
    <s v="Bihar"/>
    <s v="Patna"/>
    <s v="Patna"/>
    <s v="Office Supplies"/>
    <x v="0"/>
    <s v="Binders"/>
    <x v="9"/>
    <s v="Smart Binders 417"/>
    <s v="Standard Class"/>
    <x v="3"/>
    <n v="9"/>
    <n v="2614.46"/>
    <n v="0"/>
    <n v="23530.14"/>
    <n v="19537.79"/>
    <n v="3992.35"/>
    <s v="Refunded"/>
    <x v="1"/>
    <s v="Returned"/>
    <x v="2"/>
    <s v="ORD-2024-10577|17-02-2024|02-23-2024|CUST-2228|Rohan Mehta|Home Office||Bihar|Patna|Office Supplies|Binders|Smart Binders 417|Standard Class|9|2614.46|0|23530.14|19537.79|3992.35|Refunded|Returned"/>
    <s v="Keep"/>
    <n v="1"/>
    <s v="Unique"/>
    <s v=""/>
    <n v="0"/>
    <n v="23530.14"/>
    <n v="3992.3499999999985"/>
    <n v="0.16966962372514566"/>
    <n v="2"/>
    <n v="2024"/>
    <b v="0"/>
    <b v="0"/>
    <x v="1"/>
    <s v="Missing region filled as Unknown; Refunded order summarized separately; Returned order excluded"/>
    <s v="Warning"/>
  </r>
  <r>
    <s v="ORD-2025-10578"/>
    <s v="08/28/2025"/>
    <x v="4"/>
    <d v="2025-08-28T00:00:00"/>
    <s v="2025-09-03"/>
    <d v="2025-09-03T00:00:00"/>
    <s v="OK"/>
    <n v="6"/>
    <s v="CUST-4151"/>
    <s v="Priya Menon"/>
    <s v="Priya Menon"/>
    <s v="Corporate"/>
    <x v="2"/>
    <s v="West"/>
    <x v="3"/>
    <s v="Madhya Pradesh"/>
    <s v="Madhya Pradesh"/>
    <s v="Indore"/>
    <s v="Indore"/>
    <s v="Furniture"/>
    <x v="1"/>
    <s v="Furnishings"/>
    <x v="3"/>
    <s v="Smart Furnishings 714"/>
    <s v="Standard Class"/>
    <x v="3"/>
    <n v="7"/>
    <n v="268.45"/>
    <n v="0"/>
    <n v="1879.15"/>
    <n v="1134.9000000000001"/>
    <n v="744.25"/>
    <s v="Paid"/>
    <x v="0"/>
    <s v="Completed"/>
    <x v="0"/>
    <s v="ORD-2025-10578|08-28-2025|09-03-2025|CUST-4151|Priya Menon|Corporate|West|Madhya Pradesh|Indore|Furniture|Furnishings|Smart Furnishings 714|Standard Class|7|268.45|0|1879.15|1134.9|744.25|Paid|Completed"/>
    <s v="Keep"/>
    <n v="1"/>
    <s v="Unique"/>
    <s v=""/>
    <n v="0"/>
    <n v="1879.1499999999999"/>
    <n v="744.24999999999977"/>
    <n v="0.39605672777585599"/>
    <n v="8"/>
    <n v="2025"/>
    <b v="0"/>
    <b v="0"/>
    <x v="0"/>
    <s v=""/>
    <s v="Clean"/>
  </r>
  <r>
    <s v="ORD-2024-10579"/>
    <s v="2024-02-21"/>
    <x v="17"/>
    <d v="2024-02-21T00:00:00"/>
    <s v="23-02-2024"/>
    <d v="2024-02-23T00:00:00"/>
    <s v="OK"/>
    <n v="2"/>
    <s v="CUST-4900"/>
    <s v="Neha Gupta"/>
    <s v="Neha Gupta"/>
    <s v="Small Business"/>
    <x v="1"/>
    <s v="West"/>
    <x v="3"/>
    <s v="Gujarat"/>
    <s v="Gujarat"/>
    <s v="Ahmedabad"/>
    <s v="Ahmedabad"/>
    <s v="Technology"/>
    <x v="2"/>
    <s v="Copiers"/>
    <x v="6"/>
    <s v="Elite Copiers 682"/>
    <s v="First Class"/>
    <x v="2"/>
    <n v="6"/>
    <n v="2633.65"/>
    <n v="0.05"/>
    <n v="15011.81"/>
    <n v="9660.36"/>
    <n v="5351.45"/>
    <s v="Paid"/>
    <x v="0"/>
    <s v="Completed"/>
    <x v="0"/>
    <s v="ORD-2024-10579|02-21-2024|23-02-2024|CUST-4900|Neha Gupta|Small Business|West|Gujarat|Ahmedabad|Technology|Copiers|Elite Copiers 682|First Class|6|2633.65|0.05|15011.81|9660.36|5351.45|Paid|Completed"/>
    <s v="Keep"/>
    <n v="1"/>
    <s v="Unique"/>
    <s v=""/>
    <n v="0.05"/>
    <n v="15011.805"/>
    <n v="5351.4449999999997"/>
    <n v="0.35648244831317749"/>
    <n v="2"/>
    <n v="2024"/>
    <b v="0"/>
    <b v="0"/>
    <x v="0"/>
    <s v=""/>
    <s v="Clean"/>
  </r>
  <r>
    <s v="ORD-2024-10580"/>
    <s v="19-06-2024"/>
    <x v="2"/>
    <d v="2024-06-19T00:00:00"/>
    <s v="24 Jun 2024"/>
    <d v="2024-06-24T00:00:00"/>
    <s v="OK"/>
    <n v="5"/>
    <s v="CUST-9617"/>
    <s v="Aarav Sharma"/>
    <s v="Aarav Sharma"/>
    <s v="Small Business"/>
    <x v="1"/>
    <s v="South"/>
    <x v="2"/>
    <s v="Tamil Nadu"/>
    <s v="Tamil Nadu"/>
    <s v="Chennai"/>
    <s v="Chennai"/>
    <s v="Office Supplies"/>
    <x v="0"/>
    <s v="Storage"/>
    <x v="8"/>
    <s v="Pro Storage 482"/>
    <s v="Same Day"/>
    <x v="1"/>
    <n v="1"/>
    <n v="3202.41"/>
    <n v="0"/>
    <n v="3202.41"/>
    <n v="2608.44"/>
    <n v="593.97"/>
    <s v="Paid"/>
    <x v="0"/>
    <s v="Completed"/>
    <x v="0"/>
    <s v="ORD-2024-10580|19-06-2024|06-24-2024|CUST-9617|Aarav Sharma|Small Business|South|Tamil Nadu|Chennai|Office Supplies|Storage|Pro Storage 482|Same Day|1|3202.41|0|3202.41|2608.44|593.97|Paid|Completed"/>
    <s v="Keep"/>
    <n v="1"/>
    <s v="Unique"/>
    <s v=""/>
    <n v="0"/>
    <n v="3202.41"/>
    <n v="593.9699999999998"/>
    <n v="0.18547593843386695"/>
    <n v="6"/>
    <n v="2024"/>
    <b v="0"/>
    <b v="0"/>
    <x v="0"/>
    <s v=""/>
    <s v="Clean"/>
  </r>
  <r>
    <s v="ORD-2025-10581"/>
    <s v="06-03-2025"/>
    <x v="20"/>
    <d v="2025-03-06T00:00:00"/>
    <s v="03/13/2025"/>
    <d v="2025-03-13T00:00:00"/>
    <s v="OK"/>
    <n v="7"/>
    <s v="CUST-7958"/>
    <s v="Kabir Singh"/>
    <s v="Kabir Singh"/>
    <s v="Consumer"/>
    <x v="0"/>
    <s v="South"/>
    <x v="2"/>
    <s v="Kerala"/>
    <s v="Kerala"/>
    <s v="Kochi"/>
    <s v="Kochi"/>
    <s v="Furniture"/>
    <x v="1"/>
    <s v="Chairs"/>
    <x v="4"/>
    <s v="Pro Chairs 888"/>
    <s v="Standard Class"/>
    <x v="3"/>
    <n v="3"/>
    <n v="163.72"/>
    <n v="0.15"/>
    <n v="417.49"/>
    <n v="261.67"/>
    <n v="155.82"/>
    <s v="Failed"/>
    <x v="3"/>
    <s v="Returned"/>
    <x v="2"/>
    <s v="ORD-2025-10581|06-03-2025|03-13-2025|CUST-7958|Kabir Singh|Consumer|South|Kerala|Kochi|Furniture|Chairs|Pro Chairs 888|Standard Class|3|163.72|0.15|417.49|261.67|155.82|Failed|Returned"/>
    <s v="Keep"/>
    <n v="1"/>
    <s v="Unique"/>
    <s v=""/>
    <n v="0.15"/>
    <n v="417.48599999999999"/>
    <n v="155.81599999999997"/>
    <n v="0.37322449136018926"/>
    <n v="3"/>
    <n v="2025"/>
    <b v="0"/>
    <b v="0"/>
    <x v="1"/>
    <s v="Failed payment excluded; Returned order excluded"/>
    <s v="Warning"/>
  </r>
  <r>
    <s v="ORD-2025-10582"/>
    <s v="2025-08-09"/>
    <x v="4"/>
    <d v="2025-08-09T00:00:00"/>
    <s v="08/10/2025"/>
    <d v="2025-08-10T00:00:00"/>
    <s v="OK"/>
    <n v="1"/>
    <s v="CUST-9931"/>
    <s v="Neha Gupta"/>
    <s v="Neha Gupta"/>
    <s v="Consumer"/>
    <x v="0"/>
    <s v="North"/>
    <x v="0"/>
    <s v="Delhi"/>
    <s v="Delhi"/>
    <s v="New Delhi"/>
    <s v="New Delhi"/>
    <s v="Office Supplies"/>
    <x v="0"/>
    <s v="Art"/>
    <x v="2"/>
    <s v="Classic Art 611"/>
    <s v="Second Class"/>
    <x v="0"/>
    <n v="4"/>
    <n v="4080.95"/>
    <n v="0"/>
    <n v="16323.8"/>
    <n v="9965.7900000000009"/>
    <n v="6358.01"/>
    <s v="Refunded"/>
    <x v="1"/>
    <s v="Returned"/>
    <x v="2"/>
    <s v="ORD-2025-10582|08-09-2025|08-10-2025|CUST-9931|Neha Gupta|Consumer|North|Delhi|New Delhi|Office Supplies|Art|Classic Art 611|Second Class|4|4080.95|0|16323.8|9965.79|6358.01|Refunded|Returned"/>
    <s v="Keep"/>
    <n v="1"/>
    <s v="Unique"/>
    <s v=""/>
    <n v="0"/>
    <n v="16323.8"/>
    <n v="6358.0099999999984"/>
    <n v="0.38949325524693995"/>
    <n v="8"/>
    <n v="2025"/>
    <b v="0"/>
    <b v="0"/>
    <x v="1"/>
    <s v="Refunded order summarized separately; Returned order excluded"/>
    <s v="Warning"/>
  </r>
  <r>
    <s v="ORD-2024-10583"/>
    <s v="2024-10-15"/>
    <x v="16"/>
    <d v="2024-10-15T00:00:00"/>
    <s v="10/20/2024"/>
    <d v="2024-10-20T00:00:00"/>
    <s v="OK"/>
    <n v="5"/>
    <s v="CUST-2088"/>
    <s v="Ananya Rao"/>
    <s v="Ananya Rao"/>
    <s v="Consumer"/>
    <x v="0"/>
    <s v="East"/>
    <x v="1"/>
    <s v="Odisha"/>
    <s v="Odisha"/>
    <s v="Bhubaneswar"/>
    <s v="Bhubaneswar"/>
    <s v="Office Supplies"/>
    <x v="0"/>
    <s v="Art"/>
    <x v="2"/>
    <s v="Basic Art 174"/>
    <s v="First Class"/>
    <x v="2"/>
    <n v="5"/>
    <n v="671.24"/>
    <n v="0"/>
    <n v="3356.2"/>
    <n v="2205.7199999999998"/>
    <n v="1150.48"/>
    <s v="Pending"/>
    <x v="2"/>
    <s v="Returned"/>
    <x v="2"/>
    <s v="ORD-2024-10583|10-15-2024|10-20-2024|CUST-2088|Ananya Rao|Consumer|East|Odisha|Bhubaneswar|Office Supplies|Art|Basic Art 174|First Class|5|671.24|0|3356.2|2205.72|1150.48|Pending|Returned"/>
    <s v="Keep"/>
    <n v="1"/>
    <s v="Unique"/>
    <s v=""/>
    <n v="0"/>
    <n v="3356.2"/>
    <n v="1150.48"/>
    <n v="0.34279244383528995"/>
    <n v="10"/>
    <n v="2024"/>
    <b v="0"/>
    <b v="0"/>
    <x v="1"/>
    <s v="Returned order excluded"/>
    <s v="Warning"/>
  </r>
  <r>
    <s v="ORD-2024-10584"/>
    <s v="28 Feb 2024"/>
    <x v="17"/>
    <d v="2024-02-28T00:00:00"/>
    <s v="02/28/2024"/>
    <d v="2024-02-28T00:00:00"/>
    <s v="OK"/>
    <n v="0"/>
    <s v="CUST-1686"/>
    <s v="Rohan Mehta"/>
    <s v="Rohan Mehta"/>
    <s v="Small Business"/>
    <x v="1"/>
    <s v="East"/>
    <x v="1"/>
    <s v="West Bengal"/>
    <s v="West Bengal"/>
    <s v="Kolkata"/>
    <s v="Kolkata"/>
    <s v="Office Supplies"/>
    <x v="0"/>
    <s v="Storage"/>
    <x v="8"/>
    <s v="Classic Storage 451"/>
    <s v="First Class"/>
    <x v="2"/>
    <n v="1"/>
    <n v="2626.84"/>
    <n v="0.2"/>
    <n v="2101.4699999999998"/>
    <n v="1217.83"/>
    <n v="883.64"/>
    <s v="Failed"/>
    <x v="3"/>
    <s v="Returned"/>
    <x v="2"/>
    <s v="ORD-2024-10584|02-28-2024|02-28-2024|CUST-1686|Rohan Mehta|Small Business|East|West Bengal|Kolkata|Office Supplies|Storage|Classic Storage 451|First Class|1|2626.84|0.2|2101.47|1217.83|883.64|Failed|Returned"/>
    <s v="Keep"/>
    <n v="1"/>
    <s v="Unique"/>
    <s v=""/>
    <n v="0.2"/>
    <n v="2101.4720000000002"/>
    <n v="883.64200000000028"/>
    <n v="0.42048716328364127"/>
    <n v="2"/>
    <n v="2024"/>
    <b v="0"/>
    <b v="0"/>
    <x v="1"/>
    <s v="Failed payment excluded; Returned order excluded"/>
    <s v="Warning"/>
  </r>
  <r>
    <s v="ORD-2024-10585"/>
    <s v="08/04/2024"/>
    <x v="1"/>
    <d v="2024-08-04T00:00:00"/>
    <s v="10-08-2024"/>
    <d v="2024-08-10T00:00:00"/>
    <s v="OK"/>
    <n v="6"/>
    <s v="CUST-4894"/>
    <s v="Vikram Iyer"/>
    <s v="Vikram Iyer"/>
    <s v="Consumer"/>
    <x v="0"/>
    <s v="East"/>
    <x v="1"/>
    <s v="Bihar"/>
    <s v="Bihar"/>
    <s v="Patna"/>
    <s v="Patna"/>
    <s v="Office Supplies"/>
    <x v="0"/>
    <s v="Art"/>
    <x v="2"/>
    <s v="Pro Art 172"/>
    <s v="Same Day"/>
    <x v="1"/>
    <n v="1"/>
    <n v="984.93"/>
    <n v="0.15"/>
    <n v="837.19"/>
    <n v="583.79"/>
    <n v="253.4"/>
    <s v="Pending"/>
    <x v="2"/>
    <s v="Returned"/>
    <x v="2"/>
    <s v="ORD-2024-10585|08-04-2024|10-08-2024|CUST-4894|Vikram Iyer|Consumer|East|Bihar|Patna|Office Supplies|Art|Pro Art 172|Same Day|1|984.93|0.15|837.19|583.79|253.4|Pending|Returned"/>
    <s v="Keep"/>
    <n v="1"/>
    <s v="Unique"/>
    <s v=""/>
    <n v="0.15"/>
    <n v="837.19049999999993"/>
    <n v="253.40049999999997"/>
    <n v="0.30267961712417901"/>
    <n v="8"/>
    <n v="2024"/>
    <b v="0"/>
    <b v="0"/>
    <x v="1"/>
    <s v="Returned order excluded"/>
    <s v="Warning"/>
  </r>
  <r>
    <s v="ORD-2025-10586"/>
    <s v="22 Jun 2025"/>
    <x v="18"/>
    <d v="2025-06-22T00:00:00"/>
    <s v="2025-06-25"/>
    <d v="2025-06-25T00:00:00"/>
    <s v="OK"/>
    <n v="3"/>
    <s v="CUST-5201"/>
    <s v="Diya Patel"/>
    <s v="Diya Patel"/>
    <s v="Small Business"/>
    <x v="1"/>
    <s v="West"/>
    <x v="3"/>
    <s v="Maharashtra"/>
    <s v="Maharashtra"/>
    <s v="Mumbai"/>
    <s v="Mumbai"/>
    <s v="Technology"/>
    <x v="2"/>
    <s v="Phones"/>
    <x v="11"/>
    <s v="Prime Phones 744"/>
    <s v="First Class"/>
    <x v="2"/>
    <n v="8"/>
    <n v="3453.66"/>
    <n v="0"/>
    <n v="27629.279999999999"/>
    <n v="22026.48"/>
    <n v="5602.8"/>
    <s v="Paid"/>
    <x v="0"/>
    <s v="Completed"/>
    <x v="0"/>
    <s v="ORD-2025-10586|06-22-2025|06-25-2025|CUST-5201|Diya Patel|Small Business|WEST|Maharashtra|Mumbai|Technology|Phones|Prime Phones 744|First Class|8|3453.66|0|27629.28|22026.48|5602.8|Paid|Completed"/>
    <s v="Keep"/>
    <n v="1"/>
    <s v="Unique"/>
    <s v=""/>
    <n v="0"/>
    <n v="27629.279999999999"/>
    <n v="5602.7999999999993"/>
    <n v="0.20278487170132553"/>
    <n v="6"/>
    <n v="2025"/>
    <b v="0"/>
    <b v="0"/>
    <x v="0"/>
    <s v=""/>
    <s v="Clean"/>
  </r>
  <r>
    <s v="ORD-2025-10587"/>
    <s v="12-04-2025"/>
    <x v="6"/>
    <d v="2025-04-12T00:00:00"/>
    <s v="12 Apr 2025"/>
    <d v="2025-04-12T00:00:00"/>
    <s v="OK"/>
    <n v="0"/>
    <s v="CUST-8626"/>
    <s v="Mira Das"/>
    <s v="Mira Das"/>
    <s v="Home Office"/>
    <x v="3"/>
    <s v="North"/>
    <x v="0"/>
    <s v="Punjab"/>
    <s v="Punjab"/>
    <s v="Ludhiana"/>
    <s v="Ludhiana"/>
    <s v="Office Supplies"/>
    <x v="0"/>
    <s v="Binders"/>
    <x v="9"/>
    <s v="Prime Binders 249"/>
    <s v="Second Class"/>
    <x v="0"/>
    <n v="7"/>
    <n v="1334.2"/>
    <n v="0.2"/>
    <n v="7471.52"/>
    <n v="6184.32"/>
    <n v="1287.2"/>
    <s v="Paid"/>
    <x v="0"/>
    <s v="Completed"/>
    <x v="0"/>
    <s v="ORD-2025-10587|12-04-2025|04-12-2025|CUST-8626|Mira Das|Home Office|North|Punjab|Ludhiana|Office Supplies|Binders|Prime Binders 249|Second Class|7|1334.2|0.2|7471.52|6184.32|1287.2|Paid|Completed"/>
    <s v="Keep"/>
    <n v="1"/>
    <s v="Unique"/>
    <s v=""/>
    <n v="0.2"/>
    <n v="7471.52"/>
    <n v="1287.2000000000007"/>
    <n v="0.17228087457438387"/>
    <n v="4"/>
    <n v="2025"/>
    <b v="0"/>
    <b v="0"/>
    <x v="0"/>
    <s v=""/>
    <s v="Clean"/>
  </r>
  <r>
    <s v="ORD-2025-10588"/>
    <s v="23-07-2025"/>
    <x v="13"/>
    <d v="2025-07-23T00:00:00"/>
    <s v="2025-07-31"/>
    <d v="2025-07-31T00:00:00"/>
    <s v="OK"/>
    <n v="8"/>
    <s v="CUST-1013"/>
    <s v="Kabir Singh"/>
    <s v="Kabir Singh"/>
    <s v="Home Office"/>
    <x v="3"/>
    <s v="West"/>
    <x v="3"/>
    <s v="Madhya Pradesh"/>
    <s v="Madhya Pradesh"/>
    <s v="Indore"/>
    <s v="Indore"/>
    <s v="Technology"/>
    <x v="2"/>
    <s v="Accessories"/>
    <x v="5"/>
    <s v="Eco Accessories 948"/>
    <s v="First Class"/>
    <x v="2"/>
    <n v="1"/>
    <n v="4253.84"/>
    <n v="0.15"/>
    <n v="3615.76"/>
    <n v="2951.52"/>
    <n v="664.24"/>
    <s v="Refunded"/>
    <x v="1"/>
    <s v="Cancelled"/>
    <x v="1"/>
    <s v="ORD-2025-10588|23-07-2025|07-31-2025|CUST-1013|Kabir Singh|Home Office|West|Madhya Pradesh|Indore|Technology|Accessories|Eco Accessories 948|First Class|1|4253.84|0.15|3615.76|2951.52|664.24|Refunded|Cancelled"/>
    <s v="Keep"/>
    <n v="1"/>
    <s v="Unique"/>
    <s v=""/>
    <n v="0.15"/>
    <n v="3615.7640000000001"/>
    <n v="664.24400000000014"/>
    <n v="0.18370778623826114"/>
    <n v="7"/>
    <n v="2025"/>
    <b v="0"/>
    <b v="0"/>
    <x v="1"/>
    <s v="Refunded order summarized separately; Cancelled order excluded"/>
    <s v="Warning"/>
  </r>
  <r>
    <s v="ORD-2025-10589"/>
    <s v="2025-03-11"/>
    <x v="20"/>
    <d v="2025-03-11T00:00:00"/>
    <s v="15 Mar 2025"/>
    <d v="2025-03-15T00:00:00"/>
    <s v="OK"/>
    <n v="4"/>
    <s v="CUST-3601"/>
    <s v="Aarav Sharma"/>
    <s v="Aarav Sharma"/>
    <s v="Home Office"/>
    <x v="3"/>
    <s v="South"/>
    <x v="2"/>
    <s v="Karnataka"/>
    <s v="Karnataka"/>
    <s v="Bengaluru"/>
    <s v="Bengaluru"/>
    <s v="Technology"/>
    <x v="2"/>
    <s v="Accessories"/>
    <x v="5"/>
    <s v="Classic Accessories 458"/>
    <s v="Second Class"/>
    <x v="0"/>
    <n v="8"/>
    <n v="4446.3599999999997"/>
    <n v="0.1"/>
    <n v="32013.79"/>
    <n v="20896.88"/>
    <n v="11116.91"/>
    <s v="Refunded"/>
    <x v="1"/>
    <s v="Cancelled"/>
    <x v="1"/>
    <s v="ORD-2025-10589|03-11-2025|03-15-2025|CUST-3601|Aarav Sharma|Home Office|South|Karnataka|Bengaluru|Technology|Accessories|Classic Accessories 458|Second Class|8|4446.36|0.1|32013.79|20896.88|11116.91|Refunded|Cancelled"/>
    <s v="Keep"/>
    <n v="1"/>
    <s v="Unique"/>
    <s v=""/>
    <n v="0.1"/>
    <n v="32013.791999999998"/>
    <n v="11116.911999999997"/>
    <n v="0.34725383359771933"/>
    <n v="3"/>
    <n v="2025"/>
    <b v="0"/>
    <b v="0"/>
    <x v="1"/>
    <s v="Refunded order summarized separately; Cancelled order excluded"/>
    <s v="Warning"/>
  </r>
  <r>
    <s v="ORD-2024-10590"/>
    <s v="06 Dec 2024"/>
    <x v="10"/>
    <d v="2024-12-06T00:00:00"/>
    <s v="12/12/2024"/>
    <d v="2024-12-12T00:00:00"/>
    <s v="OK"/>
    <n v="6"/>
    <s v="CUST-7846"/>
    <s v="Rohan Mehta"/>
    <s v="Rohan Mehta"/>
    <s v="Corporate"/>
    <x v="2"/>
    <s v="North"/>
    <x v="0"/>
    <s v="Uttar Pradesh"/>
    <s v="Uttar Pradesh"/>
    <s v="Noida"/>
    <s v="Noida"/>
    <s v="Technology"/>
    <x v="2"/>
    <s v="Phones"/>
    <x v="11"/>
    <s v="Max Phones 318"/>
    <s v="First Class"/>
    <x v="2"/>
    <n v="3"/>
    <n v="524.75"/>
    <n v="0"/>
    <n v="1574.25"/>
    <n v="1326.12"/>
    <n v="248.13"/>
    <s v="Paid"/>
    <x v="0"/>
    <s v="Completed"/>
    <x v="0"/>
    <s v="ORD-2024-10590|12-06-2024|12-12-2024|CUST-7846|Rohan Mehta|Corporate|North|Uttar Pradesh|Noida|Technology|Phones|Max Phones 318|First Class|3|524.75|0|1574.25|1326.12|248.13|Paid|Completed"/>
    <s v="Keep"/>
    <n v="1"/>
    <s v="Unique"/>
    <s v=""/>
    <n v="0"/>
    <n v="1574.25"/>
    <n v="248.13000000000011"/>
    <n v="0.15761791329204389"/>
    <n v="12"/>
    <n v="2024"/>
    <b v="0"/>
    <b v="0"/>
    <x v="0"/>
    <s v=""/>
    <s v="Clean"/>
  </r>
  <r>
    <s v="ORD-2024-10591"/>
    <s v="29-05-2024"/>
    <x v="5"/>
    <d v="2024-05-29T00:00:00"/>
    <s v="2024-05-29"/>
    <d v="2024-05-29T00:00:00"/>
    <s v="OK"/>
    <n v="0"/>
    <s v="CUST-3433"/>
    <s v="Aarav Sharma"/>
    <s v="Aarav Sharma"/>
    <s v="Home Office"/>
    <x v="3"/>
    <s v="North"/>
    <x v="0"/>
    <s v="Delhi"/>
    <s v="Delhi"/>
    <s v="New Delhi"/>
    <s v="New Delhi"/>
    <s v="Furniture"/>
    <x v="1"/>
    <s v="Chairs"/>
    <x v="4"/>
    <s v="Elite Chairs 372"/>
    <s v="Same Day"/>
    <x v="1"/>
    <n v="6"/>
    <n v="3430.35"/>
    <n v="0"/>
    <n v="20582.099999999999"/>
    <n v="15897.65"/>
    <n v="4684.45"/>
    <s v="  Pending "/>
    <x v="2"/>
    <s v="Cancelled"/>
    <x v="1"/>
    <s v="ORD-2024-10591|29-05-2024|05-29-2024|CUST-3433|Aarav Sharma|Home Office|North|Delhi|New Delhi|Furniture|Chairs|Elite Chairs 372|Same Day|6|3430.35|0|20582.1|15897.65|4684.45|  Pending |Cancelled"/>
    <s v="Keep"/>
    <n v="1"/>
    <s v="Unique"/>
    <s v=""/>
    <n v="0"/>
    <n v="20582.099999999999"/>
    <n v="4684.4499999999989"/>
    <n v="0.22759825285077806"/>
    <n v="5"/>
    <n v="2024"/>
    <b v="0"/>
    <b v="0"/>
    <x v="1"/>
    <s v="Cancelled order excluded"/>
    <s v="Warning"/>
  </r>
  <r>
    <s v="ORD-2024-10592"/>
    <s v="2024-02-22"/>
    <x v="17"/>
    <d v="2024-02-22T00:00:00"/>
    <s v="24-02-2024"/>
    <d v="2024-02-24T00:00:00"/>
    <s v="OK"/>
    <n v="2"/>
    <s v="CUST-2423"/>
    <s v="Sneha Kapoor"/>
    <s v="Sneha Kapoor"/>
    <s v="Consumer"/>
    <x v="0"/>
    <s v="South"/>
    <x v="2"/>
    <s v="Karnataka"/>
    <s v="Karnataka"/>
    <s v="Bengaluru"/>
    <s v="Bengaluru"/>
    <s v="Technology"/>
    <x v="2"/>
    <s v="Copiers"/>
    <x v="6"/>
    <s v="Eco Copiers 324"/>
    <s v="First Class"/>
    <x v="2"/>
    <n v="3"/>
    <n v="3545.08"/>
    <n v="0"/>
    <n v="10635.24"/>
    <n v="6031.88"/>
    <n v="4603.3599999999997"/>
    <s v="Failed"/>
    <x v="3"/>
    <s v="Returned"/>
    <x v="2"/>
    <s v="ORD-2024-10592|02-22-2024|24-02-2024|CUST-2423|Sneha Kapoor|Consumer|South|Karnataka|Bengaluru|Technology|Copiers|Eco Copiers 324|First Class|3|3545.08|0|10635.24|6031.88|4603.36|Failed|Returned"/>
    <s v="Keep"/>
    <n v="1"/>
    <s v="Unique"/>
    <s v=""/>
    <n v="0"/>
    <n v="10635.24"/>
    <n v="4603.3599999999997"/>
    <n v="0.43284025560307055"/>
    <n v="2"/>
    <n v="2024"/>
    <b v="0"/>
    <b v="0"/>
    <x v="1"/>
    <s v="Failed payment excluded; Returned order excluded"/>
    <s v="Warning"/>
  </r>
  <r>
    <s v="ORD-2024-10593"/>
    <s v="04-03-2024"/>
    <x v="15"/>
    <d v="2024-03-04T00:00:00"/>
    <s v="2024-03-09"/>
    <d v="2024-03-09T00:00:00"/>
    <s v="OK"/>
    <n v="5"/>
    <s v="CUST-3559"/>
    <s v="Mira Das"/>
    <s v="Mira Das"/>
    <s v="Consumer"/>
    <x v="0"/>
    <s v="East"/>
    <x v="1"/>
    <s v="West Bengal"/>
    <s v="West Bengal"/>
    <s v="Kolkata"/>
    <s v="Kolkata"/>
    <s v="Technology"/>
    <x v="2"/>
    <s v="Accessories"/>
    <x v="5"/>
    <s v="Classic Accessories 131"/>
    <s v="Same Day"/>
    <x v="1"/>
    <n v="8"/>
    <n v="4401.41"/>
    <n v="0.15"/>
    <n v="29929.59"/>
    <n v="22436.03"/>
    <n v="7493.56"/>
    <s v="Paid"/>
    <x v="0"/>
    <s v="Completed"/>
    <x v="0"/>
    <s v="ORD-2024-10593|04-03-2024|03-09-2024|CUST-3559|Mira Das|Consumer|East|West Bengal|Kolkata|Technology|Accessories|Classic Accessories 131|Same Day|8|4401.41|0.15|29929.59|22436.03|7493.56|Paid|Completed"/>
    <s v="Keep"/>
    <n v="1"/>
    <s v="Unique"/>
    <s v=""/>
    <n v="0.15"/>
    <n v="29929.588"/>
    <n v="7493.5580000000009"/>
    <n v="0.25037290857461858"/>
    <n v="3"/>
    <n v="2024"/>
    <b v="0"/>
    <b v="0"/>
    <x v="0"/>
    <s v=""/>
    <s v="Clean"/>
  </r>
  <r>
    <s v="ORD-2025-10594"/>
    <s v="09/27/2025"/>
    <x v="8"/>
    <d v="2025-09-27T00:00:00"/>
    <s v="2025-09-29"/>
    <d v="2025-09-29T00:00:00"/>
    <s v="OK"/>
    <n v="2"/>
    <s v="CUST-2917"/>
    <s v="Arjun Bose"/>
    <s v="Arjun Bose"/>
    <s v="Home Office"/>
    <x v="3"/>
    <s v="North"/>
    <x v="0"/>
    <s v="Uttar Pradesh"/>
    <s v="Uttar Pradesh"/>
    <s v="Noida"/>
    <s v="Noida"/>
    <s v="Furniture"/>
    <x v="1"/>
    <s v="Tables"/>
    <x v="1"/>
    <s v="Eco Tables 550"/>
    <s v="Second Class"/>
    <x v="0"/>
    <n v="9"/>
    <n v="4100.1099999999997"/>
    <n v="0.25"/>
    <n v="27675.74"/>
    <n v="15571.08"/>
    <n v="12104.66"/>
    <s v="Paid"/>
    <x v="0"/>
    <s v="Completed"/>
    <x v="0"/>
    <s v="ORD-2025-10594|09-27-2025|09-29-2025|CUST-2917|Arjun Bose|Home Office|North|Uttar Pradesh|Noida|Furniture|Tables|Eco Tables 550|Second Class|9|4100.11|0.25|27675.74|15571.08|12104.66|Paid|Completed"/>
    <s v="Keep"/>
    <n v="1"/>
    <s v="Unique"/>
    <s v=""/>
    <n v="0.25"/>
    <n v="27675.7425"/>
    <n v="12104.6625"/>
    <n v="0.4373744444254748"/>
    <n v="9"/>
    <n v="2025"/>
    <b v="0"/>
    <b v="0"/>
    <x v="0"/>
    <s v=""/>
    <s v="Clean"/>
  </r>
  <r>
    <s v="ORD-2024-10595"/>
    <s v="2024-09-19"/>
    <x v="21"/>
    <d v="2024-09-19T00:00:00"/>
    <s v="2024-09-21"/>
    <d v="2024-09-21T00:00:00"/>
    <s v="OK"/>
    <n v="2"/>
    <s v="CUST-6850"/>
    <s v="Karan Malhotra"/>
    <s v="Karan Malhotra"/>
    <s v="Small Business"/>
    <x v="1"/>
    <s v="East"/>
    <x v="1"/>
    <s v="West Bengal"/>
    <s v="West Bengal"/>
    <s v="Kolkata"/>
    <s v="Kolkata"/>
    <s v="Furniture"/>
    <x v="1"/>
    <s v="Chairs"/>
    <x v="4"/>
    <s v="Basic Chairs 932"/>
    <s v="First Class"/>
    <x v="2"/>
    <n v="3"/>
    <n v="3981.76"/>
    <n v="0"/>
    <n v="11945.28"/>
    <n v="9700.31"/>
    <n v="2244.9699999999998"/>
    <s v="Paid"/>
    <x v="0"/>
    <s v="Completed"/>
    <x v="0"/>
    <s v="ORD-2024-10595|09-19-2024|09-21-2024|CUST-6850|Karan Malhotra|Small Business|East|West Bengal|Kolkata|Furniture|Chairs|Basic Chairs 932|First Class|3|3981.76|0|11945.28|9700.31|2244.97|Paid|Completed"/>
    <s v="Keep"/>
    <n v="1"/>
    <s v="Unique"/>
    <s v=""/>
    <n v="0"/>
    <n v="11945.28"/>
    <n v="2244.9700000000012"/>
    <n v="0.18793782983739193"/>
    <n v="9"/>
    <n v="2024"/>
    <b v="0"/>
    <b v="0"/>
    <x v="0"/>
    <s v=""/>
    <s v="Clean"/>
  </r>
  <r>
    <s v="ORD-2025-10596"/>
    <s v="02/11/2025"/>
    <x v="7"/>
    <d v="2025-02-11T00:00:00"/>
    <s v="16-02-2025"/>
    <d v="2025-02-16T00:00:00"/>
    <s v="OK"/>
    <n v="5"/>
    <s v="CUST-5566"/>
    <s v="Mira Das"/>
    <s v="Mira Das"/>
    <s v="Corporate"/>
    <x v="2"/>
    <s v="North"/>
    <x v="0"/>
    <s v="Uttar Pradesh"/>
    <s v="Uttar Pradesh"/>
    <s v="Noida"/>
    <s v="Noida"/>
    <s v="Technology"/>
    <x v="2"/>
    <s v="Phones"/>
    <x v="11"/>
    <s v="Classic Phones 294"/>
    <s v="First Class"/>
    <x v="2"/>
    <n v="8"/>
    <n v="1825.56"/>
    <n v="0.1"/>
    <n v="13144.03"/>
    <n v="9764"/>
    <n v="3380.03"/>
    <s v="Paid"/>
    <x v="0"/>
    <s v="Completed"/>
    <x v="0"/>
    <s v="ORD-2025-10596|02-11-2025|16-02-2025|CUST-5566|Mira Das|Corporate|North|Uttar Pradesh|Noida|Technology|Phones|Classic Phones 294|First Class|8|1825.56|0.1|13144.03|9764|3380.03|Paid|Completed"/>
    <s v="Keep"/>
    <n v="1"/>
    <s v="Unique"/>
    <s v=""/>
    <n v="0.1"/>
    <n v="13144.031999999999"/>
    <n v="3380.0319999999992"/>
    <n v="0.25715336055176974"/>
    <n v="2"/>
    <n v="2025"/>
    <b v="0"/>
    <b v="0"/>
    <x v="0"/>
    <s v=""/>
    <s v="Clean"/>
  </r>
  <r>
    <s v="ORD-2024-10597"/>
    <s v="10 Apr 2024"/>
    <x v="19"/>
    <d v="2024-04-10T00:00:00"/>
    <s v="04/16/2024"/>
    <d v="2024-04-16T00:00:00"/>
    <s v="OK"/>
    <n v="6"/>
    <s v="CUST-2593"/>
    <s v="Aditi Sen"/>
    <s v="Aditi Sen"/>
    <s v="Consumer"/>
    <x v="0"/>
    <s v="South"/>
    <x v="2"/>
    <s v="Kerala"/>
    <s v="Kerala"/>
    <s v="Kochi"/>
    <s v="Kochi"/>
    <s v="Furniture"/>
    <x v="1"/>
    <s v="Chairs"/>
    <x v="4"/>
    <s v="Elite Chairs 700"/>
    <s v="Second Class"/>
    <x v="0"/>
    <n v="9"/>
    <n v="2723.26"/>
    <n v="0.25"/>
    <n v="18382.009999999998"/>
    <n v="13108.2"/>
    <n v="5273.81"/>
    <s v="Paid"/>
    <x v="0"/>
    <s v="Completed"/>
    <x v="0"/>
    <s v="ORD-2024-10597|04-10-2024|04-16-2024|CUST-2593|Aditi Sen|Consumer|South|Kerala|Kochi|Furniture|Chairs|Elite Chairs 700|Second Class|9|2723.26|0.25|18382.01|13108.2|5273.81|Paid|Completed"/>
    <s v="Keep"/>
    <n v="1"/>
    <s v="Unique"/>
    <s v=""/>
    <n v="0.25"/>
    <n v="18382.005000000005"/>
    <n v="5273.8050000000039"/>
    <n v="0.28690042245119629"/>
    <n v="4"/>
    <n v="2024"/>
    <b v="0"/>
    <b v="0"/>
    <x v="0"/>
    <s v=""/>
    <s v="Clean"/>
  </r>
  <r>
    <s v="ORD-2025-10598"/>
    <s v="08 Jul 2025"/>
    <x v="13"/>
    <d v="2025-07-08T00:00:00"/>
    <s v="07/08/2025"/>
    <d v="2025-07-08T00:00:00"/>
    <s v="OK"/>
    <n v="0"/>
    <s v="CUST-6957"/>
    <s v="Aditi Sen"/>
    <s v="Aditi Sen"/>
    <s v="Consumer"/>
    <x v="0"/>
    <s v="South"/>
    <x v="2"/>
    <s v="Telangana"/>
    <s v="Telangana"/>
    <s v="Hyderabad"/>
    <s v="Hyderabad"/>
    <s v="Technology"/>
    <x v="2"/>
    <s v="Copiers"/>
    <x v="6"/>
    <s v="Prime Copiers 969"/>
    <s v="Same Day"/>
    <x v="1"/>
    <n v="9"/>
    <n v="274.88"/>
    <n v="0.25"/>
    <n v="1855.44"/>
    <n v="1262.74"/>
    <n v="592.70000000000005"/>
    <s v="Paid"/>
    <x v="0"/>
    <s v="Completed"/>
    <x v="0"/>
    <s v="ORD-2025-10598|07-08-2025|07-08-2025|CUST-6957|Aditi Sen|Consumer|South|Telangana|Hyderabad|Technology|Copiers|Prime Copiers 969|Same Day|9|274.88|0.25|1855.44|1262.74|592.7|Paid|Completed"/>
    <s v="Keep"/>
    <n v="1"/>
    <s v="Unique"/>
    <s v=""/>
    <n v="0.25"/>
    <n v="1855.44"/>
    <n v="592.70000000000005"/>
    <n v="0.3194390548872505"/>
    <n v="7"/>
    <n v="2025"/>
    <b v="0"/>
    <b v="0"/>
    <x v="0"/>
    <s v=""/>
    <s v="Clean"/>
  </r>
  <r>
    <s v="ORD-2024-10599"/>
    <s v="08/17/2024"/>
    <x v="1"/>
    <d v="2024-08-17T00:00:00"/>
    <s v="08/24/2024"/>
    <d v="2024-08-24T00:00:00"/>
    <s v="OK"/>
    <n v="7"/>
    <s v="CUST-8498"/>
    <s v="Ananya Rao"/>
    <s v="Ananya Rao"/>
    <s v="Corporate"/>
    <x v="2"/>
    <s v="East"/>
    <x v="1"/>
    <s v="West Bengal"/>
    <s v="West Bengal"/>
    <s v="Kolkata"/>
    <s v="Kolkata"/>
    <s v="Technology"/>
    <x v="2"/>
    <s v="Copiers"/>
    <x v="6"/>
    <s v="Eco Copiers 268"/>
    <s v="Same Day"/>
    <x v="1"/>
    <n v="3"/>
    <n v="1490.69"/>
    <n v="0.25"/>
    <n v="3354.05"/>
    <n v="2672.67"/>
    <n v="681.38"/>
    <s v="Paid"/>
    <x v="0"/>
    <s v="Completed"/>
    <x v="0"/>
    <s v="ORD-2024-10599|08-17-2024|08-24-2024|CUST-8498|Ananya Rao|Corporate|East|West Bengal|Kolkata|Technology|Copiers|Eco Copiers 268|Same Day|3|1490.69|0.25|3354.05|2672.67|681.38|Paid|Completed"/>
    <s v="Keep"/>
    <n v="1"/>
    <s v="Unique"/>
    <s v=""/>
    <n v="0.25"/>
    <n v="3354.0524999999998"/>
    <n v="681.38249999999971"/>
    <n v="0.20315200790685289"/>
    <n v="8"/>
    <n v="2024"/>
    <b v="0"/>
    <b v="0"/>
    <x v="0"/>
    <s v=""/>
    <s v="Clean"/>
  </r>
  <r>
    <s v="ORD-2024-10600"/>
    <s v="19-08-2024"/>
    <x v="1"/>
    <d v="2024-08-19T00:00:00"/>
    <s v="21 Aug 2024"/>
    <d v="2024-08-21T00:00:00"/>
    <s v="OK"/>
    <n v="2"/>
    <s v="CUST-2612"/>
    <s v="Arjun Bose"/>
    <s v="Arjun Bose"/>
    <s v="Consumer"/>
    <x v="0"/>
    <s v="North"/>
    <x v="0"/>
    <s v="Punjab"/>
    <s v="Punjab"/>
    <s v="Ludhiana"/>
    <s v="Ludhiana"/>
    <s v="Technology"/>
    <x v="2"/>
    <s v="Phones"/>
    <x v="11"/>
    <s v="Pro Phones 588"/>
    <s v="First Class"/>
    <x v="2"/>
    <n v="3"/>
    <n v="1103.54"/>
    <n v="0.25"/>
    <n v="2482.9699999999998"/>
    <n v="1621.72"/>
    <n v="861.25"/>
    <s v="Paid"/>
    <x v="0"/>
    <s v="Completed"/>
    <x v="0"/>
    <s v="ORD-2024-10600|19-08-2024|08-21-2024|CUST-2612|Arjun Bose|Consumer|North|Punjab|Ludhiana|Technology|Phones|Pro Phones 588|First Class|3|1103.54|0.25|2482.97|1621.72|861.25|Paid|Completed"/>
    <s v="Keep"/>
    <n v="1"/>
    <s v="Unique"/>
    <s v=""/>
    <n v="0.25"/>
    <n v="2482.9650000000001"/>
    <n v="861.24500000000012"/>
    <n v="0.34686151435884116"/>
    <n v="8"/>
    <n v="2024"/>
    <b v="0"/>
    <b v="0"/>
    <x v="0"/>
    <s v=""/>
    <s v="Clean"/>
  </r>
  <r>
    <s v="ORD-2025-10601"/>
    <s v="05-03-2025"/>
    <x v="20"/>
    <d v="2025-03-05T00:00:00"/>
    <s v="2025-03-12"/>
    <d v="2025-03-12T00:00:00"/>
    <s v="OK"/>
    <n v="7"/>
    <s v="CUST-6013"/>
    <s v="Ananya Rao"/>
    <s v="Ananya Rao"/>
    <s v="Corporate"/>
    <x v="2"/>
    <s v="West"/>
    <x v="3"/>
    <s v="Madhya Pradesh"/>
    <s v="Madhya Pradesh"/>
    <s v="Indore"/>
    <s v="Indore"/>
    <s v="Office Supplies"/>
    <x v="0"/>
    <s v="Storage"/>
    <x v="8"/>
    <s v="Prime Storage 432"/>
    <s v="Same Day"/>
    <x v="1"/>
    <n v="3"/>
    <n v="3682.75"/>
    <m/>
    <n v="11048.25"/>
    <n v="9062.7199999999993"/>
    <n v="1985.53"/>
    <s v="Paid"/>
    <x v="0"/>
    <s v="Completed"/>
    <x v="0"/>
    <s v="ORD-2025-10601|05-03-2025|03-12-2025|CUST-6013|Ananya Rao|Corporate|West|Madhya Pradesh|Indore|Office Supplies|Storage|Prime Storage 432|Same Day|3|3682.75||11048.25|9062.72|1985.53|Paid|Completed"/>
    <s v="Keep"/>
    <n v="1"/>
    <s v="Unique"/>
    <s v=""/>
    <n v="0"/>
    <n v="11048.25"/>
    <n v="1985.5300000000007"/>
    <n v="0.17971443441268986"/>
    <n v="3"/>
    <n v="2025"/>
    <b v="0"/>
    <b v="0"/>
    <x v="0"/>
    <s v="Missing discount treated as 0"/>
    <s v="Warning"/>
  </r>
  <r>
    <s v="ORD-2024-10602"/>
    <s v="26 Jan 2024"/>
    <x v="12"/>
    <d v="2024-01-26T00:00:00"/>
    <s v="01/31/2024"/>
    <d v="2024-01-31T00:00:00"/>
    <s v="OK"/>
    <n v="5"/>
    <s v="CUST-8289"/>
    <s v="Ananya Rao"/>
    <s v="Ananya Rao"/>
    <s v="Home Office"/>
    <x v="3"/>
    <s v="East"/>
    <x v="1"/>
    <s v="West Bengal"/>
    <s v="West Bengal"/>
    <s v="Kolkata"/>
    <s v="Kolkata"/>
    <s v="Office Supplies"/>
    <x v="0"/>
    <s v="Paper"/>
    <x v="0"/>
    <s v="Basic Paper 452"/>
    <s v="Second Class"/>
    <x v="0"/>
    <n v="5"/>
    <n v="1615.03"/>
    <n v="0.2"/>
    <n v="6460.12"/>
    <n v="3604.03"/>
    <n v="2856.09"/>
    <s v="Paid"/>
    <x v="0"/>
    <s v="Completed"/>
    <x v="0"/>
    <s v="ORD-2024-10602|01-26-2024|01-31-2024|CUST-8289|Ananya Rao|Home Office|East|West Bengal|Kolkata|Office Supplies|Paper|Basic Paper 452|Second Class|5|1615.03|0.2|6460.12|3604.03|2856.09|Paid|Completed"/>
    <s v="Keep"/>
    <n v="1"/>
    <s v="Unique"/>
    <s v=""/>
    <n v="0.2"/>
    <n v="6460.12"/>
    <n v="2856.0899999999997"/>
    <n v="0.44211098245853014"/>
    <n v="1"/>
    <n v="2024"/>
    <b v="0"/>
    <b v="0"/>
    <x v="0"/>
    <s v=""/>
    <s v="Clean"/>
  </r>
  <r>
    <s v="ORD-2024-10603"/>
    <s v="23-10-2024"/>
    <x v="16"/>
    <d v="2024-10-23T00:00:00"/>
    <s v="2024-10-30"/>
    <d v="2024-10-30T00:00:00"/>
    <s v="OK"/>
    <n v="7"/>
    <s v="CUST-5668"/>
    <s v="Aarav Sharma"/>
    <s v="Aarav Sharma"/>
    <s v="Consumer"/>
    <x v="0"/>
    <s v="East"/>
    <x v="1"/>
    <s v="Jharkhand"/>
    <s v="Jharkhand"/>
    <s v="Ranchi"/>
    <s v="Ranchi"/>
    <s v="Technology"/>
    <x v="2"/>
    <s v="Copiers"/>
    <x v="6"/>
    <s v="Max Copiers 477"/>
    <s v="Second Class"/>
    <x v="0"/>
    <n v="9"/>
    <n v="3423.82"/>
    <n v="0.15"/>
    <n v="26192.22"/>
    <n v="20795.55"/>
    <n v="5396.67"/>
    <s v="Paid"/>
    <x v="0"/>
    <s v="Completed"/>
    <x v="0"/>
    <s v="ORD-2024-10603|23-10-2024|10-30-2024|CUST-5668|Aarav Sharma|Consumer|East|Jharkhand|Ranchi|Technology|Copiers|Max Copiers 477|Second Class|9|3423.82|0.15|26192.22|20795.55|5396.67|Paid|Completed"/>
    <s v="Keep"/>
    <n v="1"/>
    <s v="Unique"/>
    <s v=""/>
    <n v="0.15"/>
    <n v="26192.223000000002"/>
    <n v="5396.6730000000025"/>
    <n v="0.20604104508426041"/>
    <n v="10"/>
    <n v="2024"/>
    <b v="0"/>
    <b v="0"/>
    <x v="0"/>
    <s v=""/>
    <s v="Clean"/>
  </r>
  <r>
    <s v="ORD-2025-10604"/>
    <s v="01/03/2025"/>
    <x v="14"/>
    <d v="2025-01-03T00:00:00"/>
    <s v="11-01-2025"/>
    <d v="2025-01-11T00:00:00"/>
    <s v="OK"/>
    <n v="8"/>
    <s v="CUST-5808"/>
    <s v="Vikram Iyer"/>
    <s v="Vikram Iyer"/>
    <s v="Corporate"/>
    <x v="2"/>
    <s v="East"/>
    <x v="1"/>
    <s v="Bihar"/>
    <s v="Bihar"/>
    <s v="Patna"/>
    <s v="Patna"/>
    <s v="Technology "/>
    <x v="2"/>
    <s v="Accessories"/>
    <x v="5"/>
    <s v="Prime Accessories 300"/>
    <s v="First Class"/>
    <x v="2"/>
    <n v="8"/>
    <n v="2574.29"/>
    <n v="0.05"/>
    <n v="19564.599999999999"/>
    <n v="11154.59"/>
    <n v="8410.01"/>
    <s v="Pending"/>
    <x v="2"/>
    <s v="Cancelled"/>
    <x v="1"/>
    <s v="ORD-2025-10604|01-03-2025|11-01-2025|CUST-5808|Vikram Iyer|Corporate|East|Bihar|Patna|Technology |Accessories|Prime Accessories 300|First Class|8|2574.29|0.05|19564.6|11154.59|8410.01|Pending|Cancelled"/>
    <s v="Keep"/>
    <n v="1"/>
    <s v="Unique"/>
    <s v=""/>
    <n v="0.05"/>
    <n v="19564.603999999999"/>
    <n v="8410.0139999999992"/>
    <n v="0.42985863654587642"/>
    <n v="1"/>
    <n v="2025"/>
    <b v="0"/>
    <b v="0"/>
    <x v="1"/>
    <s v="Cancelled order excluded"/>
    <s v="Warning"/>
  </r>
  <r>
    <s v="ORD-2025-10605"/>
    <s v="05-02-2025"/>
    <x v="7"/>
    <d v="2025-02-05T00:00:00"/>
    <s v="02/06/2025"/>
    <d v="2025-02-06T00:00:00"/>
    <s v="OK"/>
    <n v="1"/>
    <s v="CUST-4526"/>
    <s v="Ananya Rao"/>
    <s v="Ananya Rao"/>
    <s v="Consumer"/>
    <x v="0"/>
    <s v="West"/>
    <x v="3"/>
    <s v="Madhya Pradesh"/>
    <s v="Madhya Pradesh"/>
    <s v="Indore"/>
    <s v="Indore"/>
    <s v="Office Supplies"/>
    <x v="0"/>
    <s v="Binders"/>
    <x v="9"/>
    <s v="Max Binders 547"/>
    <s v="Same Day"/>
    <x v="1"/>
    <n v="3"/>
    <n v="1076.3"/>
    <n v="0"/>
    <n v="3228.9"/>
    <n v="1853.23"/>
    <n v="1375.67"/>
    <s v="Paid"/>
    <x v="0"/>
    <s v="Completed"/>
    <x v="0"/>
    <s v="ORD-2025-10605|05-02-2025|02-06-2025|CUST-4526|Ananya Rao|Consumer|West|Madhya Pradesh|Indore|Office Supplies|Binders|Max Binders 547|Same Day|3|1076.3|0|3228.9|1853.23|1375.67|Paid|Completed"/>
    <s v="Keep"/>
    <n v="1"/>
    <s v="Unique"/>
    <s v=""/>
    <n v="0"/>
    <n v="3228.8999999999996"/>
    <n v="1375.6699999999996"/>
    <n v="0.42604911889497965"/>
    <n v="2"/>
    <n v="2025"/>
    <b v="0"/>
    <b v="0"/>
    <x v="0"/>
    <s v=""/>
    <s v="Clean"/>
  </r>
  <r>
    <s v="ORD-2025-10606"/>
    <s v="2025-07-09"/>
    <x v="13"/>
    <d v="2025-07-09T00:00:00"/>
    <s v="13 Jul 2025"/>
    <d v="2025-07-13T00:00:00"/>
    <s v="OK"/>
    <n v="4"/>
    <s v="CUST-4447"/>
    <s v="Kabir Singh"/>
    <s v="Kabir Singh"/>
    <s v="Corporate"/>
    <x v="2"/>
    <s v="West"/>
    <x v="3"/>
    <s v="Goa"/>
    <s v="Goa"/>
    <s v="Panaji"/>
    <s v="Panaji"/>
    <s v="Furniture"/>
    <x v="1"/>
    <s v="Furnishings"/>
    <x v="3"/>
    <s v="Pro Furnishings 267"/>
    <s v="Second Class"/>
    <x v="0"/>
    <n v="5"/>
    <n v="1680.01"/>
    <s v="85%"/>
    <n v="7560.04"/>
    <n v="6448.05"/>
    <n v="1111.99"/>
    <s v="Paid"/>
    <x v="0"/>
    <s v="Cancelled"/>
    <x v="1"/>
    <s v="ORD-2025-10606|07-09-2025|07-13-2025|CUST-4447|Kabir Singh|Corporate|West|Goa|Panaji|Furniture|Furnishings|Pro Furnishings 267|Second Class|5|1680.01|85%|7560.04|6448.05|1111.99|Paid|Cancelled"/>
    <s v="Keep"/>
    <n v="1"/>
    <s v="Unique"/>
    <s v=""/>
    <n v="0.85"/>
    <n v="1260.0075000000002"/>
    <n v="-5188.0424999999996"/>
    <n v="-4.1174695388717915"/>
    <n v="7"/>
    <n v="2025"/>
    <b v="1"/>
    <b v="1"/>
    <x v="1"/>
    <s v="Discount above 50%; Cancelled order excluded; Sales mismatch; Profit mismatch"/>
    <s v="Invalid"/>
  </r>
  <r>
    <s v="ORD-2025-10607"/>
    <s v="22 Feb 2025"/>
    <x v="7"/>
    <d v="2025-02-22T00:00:00"/>
    <s v="02/28/2025"/>
    <d v="2025-02-28T00:00:00"/>
    <s v="OK"/>
    <n v="6"/>
    <s v="CUST-2698"/>
    <s v="Rahul Verma"/>
    <s v="Rahul Verma"/>
    <s v="Home Office"/>
    <x v="3"/>
    <s v="West"/>
    <x v="3"/>
    <s v="Madhya Pradesh"/>
    <s v="Madhya Pradesh"/>
    <s v="Indore"/>
    <s v="Indore"/>
    <s v="Technology"/>
    <x v="2"/>
    <s v="Copiers"/>
    <x v="6"/>
    <s v="Max Copiers 520"/>
    <s v="Same Day"/>
    <x v="1"/>
    <n v="3"/>
    <n v="3890.81"/>
    <n v="0.25"/>
    <n v="8754.32"/>
    <n v="6238.9"/>
    <n v="2515.42"/>
    <s v="Paid"/>
    <x v="0"/>
    <s v="Completed"/>
    <x v="0"/>
    <s v="ORD-2025-10607|02-22-2025|02-28-2025|CUST-2698|Rahul Verma|Home Office|West|Madhya Pradesh|Indore|Technology|Copiers|Max Copiers 520|Same Day|3|3890.81|0.25|8754.32|6238.9|2515.42|Paid|Completed"/>
    <s v="Keep"/>
    <n v="1"/>
    <s v="Unique"/>
    <s v=""/>
    <n v="0.25"/>
    <n v="8754.3225000000002"/>
    <n v="2515.4225000000006"/>
    <n v="0.28733491369549163"/>
    <n v="2"/>
    <n v="2025"/>
    <b v="0"/>
    <b v="0"/>
    <x v="0"/>
    <s v=""/>
    <s v="Clean"/>
  </r>
  <r>
    <s v="ORD-2025-10608"/>
    <s v="16-02-2025"/>
    <x v="7"/>
    <d v="2025-02-16T00:00:00"/>
    <s v="22 Feb 2025"/>
    <d v="2025-02-22T00:00:00"/>
    <s v="OK"/>
    <n v="6"/>
    <s v="CUST-6297"/>
    <s v="Sneha Kapoor"/>
    <s v="Sneha Kapoor"/>
    <s v="Home Office"/>
    <x v="3"/>
    <s v="East"/>
    <x v="1"/>
    <s v="Bihar"/>
    <s v="Bihar"/>
    <s v="Patna"/>
    <s v="Patna"/>
    <s v="Office Supplies"/>
    <x v="0"/>
    <s v="Storage"/>
    <x v="8"/>
    <s v="Max Storage 424"/>
    <s v="Same Day"/>
    <x v="1"/>
    <n v="5"/>
    <n v="954.67"/>
    <n v="0.15"/>
    <n v="4057.35"/>
    <n v="2862.03"/>
    <n v="1195.32"/>
    <s v="Paid"/>
    <x v="0"/>
    <s v="Completed"/>
    <x v="0"/>
    <s v="ORD-2025-10608|16-02-2025|02-22-2025|CUST-6297|Sneha Kapoor|Home Office|East|Bihar|Patna|Office Supplies|Storage|Max Storage 424|Same Day|5|954.67|0.15|4057.35|2862.03|1195.32|Paid|Completed"/>
    <s v="Keep"/>
    <n v="1"/>
    <s v="Unique"/>
    <s v=""/>
    <n v="0.15"/>
    <n v="4057.3474999999994"/>
    <n v="1195.3174999999992"/>
    <n v="0.29460565061286947"/>
    <n v="2"/>
    <n v="2025"/>
    <b v="0"/>
    <b v="0"/>
    <x v="0"/>
    <s v=""/>
    <s v="Clean"/>
  </r>
  <r>
    <s v="ORD-2024-10609"/>
    <s v="21 Jun 2024"/>
    <x v="2"/>
    <d v="2024-06-21T00:00:00"/>
    <s v="23 Jun 2024"/>
    <d v="2024-06-23T00:00:00"/>
    <s v="OK"/>
    <n v="2"/>
    <s v="CUST-7690"/>
    <s v="Karan Malhotra"/>
    <s v="Karan Malhotra"/>
    <s v="Home Office"/>
    <x v="3"/>
    <s v="West"/>
    <x v="3"/>
    <s v="Goa"/>
    <s v="Goa"/>
    <s v="Panaji"/>
    <s v="Panaji"/>
    <s v="Furniture"/>
    <x v="1"/>
    <s v="Furnishings"/>
    <x v="3"/>
    <s v="Elite Furnishings 706"/>
    <s v="Second Class"/>
    <x v="0"/>
    <n v="9"/>
    <n v="2153.75"/>
    <n v="0"/>
    <n v="19383.75"/>
    <n v="11667.43"/>
    <n v="7716.32"/>
    <s v="Paid"/>
    <x v="0"/>
    <s v="Completed"/>
    <x v="0"/>
    <s v="ORD-2024-10609|06-21-2024|06-23-2024|CUST-7690|Karan Malhotra|Home Office|West|Goa|Panaji|Furniture|Furnishings|Elite Furnishings 706|Second Class|9|2153.75|0|19383.75|11667.43|7716.32|Paid|Completed"/>
    <s v="Keep"/>
    <n v="1"/>
    <s v="Unique"/>
    <s v=""/>
    <n v="0"/>
    <n v="19383.75"/>
    <n v="7716.32"/>
    <n v="0.39808189849745274"/>
    <n v="6"/>
    <n v="2024"/>
    <b v="0"/>
    <b v="0"/>
    <x v="0"/>
    <s v=""/>
    <s v="Clean"/>
  </r>
  <r>
    <s v="ORD-2025-10610"/>
    <s v="2025-01-08"/>
    <x v="14"/>
    <d v="2025-01-08T00:00:00"/>
    <s v="12-01-2025"/>
    <d v="2025-01-12T00:00:00"/>
    <s v="OK"/>
    <n v="4"/>
    <s v="CUST-4380"/>
    <s v="Sneha Kapoor"/>
    <s v="Sneha Kapoor"/>
    <s v="Home Office"/>
    <x v="3"/>
    <s v="South"/>
    <x v="2"/>
    <s v="Karnataka"/>
    <s v="Karnataka"/>
    <s v="Bengaluru"/>
    <s v="Bengaluru"/>
    <s v="Furniture"/>
    <x v="1"/>
    <s v="Chairs"/>
    <x v="4"/>
    <s v="Pro Chairs 908"/>
    <s v="Standard Class"/>
    <x v="3"/>
    <n v="7"/>
    <n v="4337.4799999999996"/>
    <n v="0"/>
    <n v="30362.36"/>
    <n v="25065.4"/>
    <n v="5296.96"/>
    <s v="Paid"/>
    <x v="0"/>
    <s v="Completed"/>
    <x v="0"/>
    <s v="ORD-2025-10610|01-08-2025|12-01-2025|CUST-4380|Sneha Kapoor|Home Office|South|Karnataka|Bengaluru|Furniture|Chairs|Pro Chairs 908|Standard Class|7|4337.48|0|30362.36|25065.4|5296.96|Paid|Completed"/>
    <s v="Keep"/>
    <n v="1"/>
    <s v="Unique"/>
    <s v=""/>
    <n v="0"/>
    <n v="30362.359999999997"/>
    <n v="5296.9599999999955"/>
    <n v="0.17445811195177174"/>
    <n v="1"/>
    <n v="2025"/>
    <b v="0"/>
    <b v="0"/>
    <x v="0"/>
    <s v=""/>
    <s v="Clean"/>
  </r>
  <r>
    <s v="ORD-2024-10611"/>
    <s v="20 May 2024"/>
    <x v="5"/>
    <d v="2024-05-20T00:00:00"/>
    <s v="05/20/2024"/>
    <d v="2024-05-20T00:00:00"/>
    <s v="OK"/>
    <n v="0"/>
    <s v="CUST-2779"/>
    <s v="Karan Malhotra"/>
    <s v="Karan Malhotra"/>
    <s v="Home Office"/>
    <x v="3"/>
    <s v="West"/>
    <x v="3"/>
    <s v="Madhya Pradesh"/>
    <s v="Madhya Pradesh"/>
    <s v="Indore"/>
    <s v="Indore"/>
    <s v="Furniture"/>
    <x v="1"/>
    <s v="Chairs"/>
    <x v="4"/>
    <s v="Pro Chairs 712"/>
    <s v="Standard Class"/>
    <x v="3"/>
    <n v="1"/>
    <n v="3032.95"/>
    <n v="0.1"/>
    <n v="2729.65"/>
    <n v="1715.36"/>
    <n v="1014.29"/>
    <s v="Paid"/>
    <x v="0"/>
    <s v="Completed"/>
    <x v="0"/>
    <s v="ORD-2024-10611|05-20-2024|05-20-2024|CUST-2779|Karan Malhotra|Home Office|West|Madhya Pradesh|Indore|Furniture|Chairs|Pro Chairs 712|Standard Class|1|3032.95|0.1|2729.65|1715.36|1014.29|Paid|Completed"/>
    <s v="Keep"/>
    <n v="1"/>
    <s v="Unique"/>
    <s v=""/>
    <n v="0.1"/>
    <n v="2729.6549999999997"/>
    <n v="1014.2949999999998"/>
    <n v="0.37158358840219735"/>
    <n v="5"/>
    <n v="2024"/>
    <b v="0"/>
    <b v="0"/>
    <x v="0"/>
    <s v=""/>
    <s v="Clean"/>
  </r>
  <r>
    <s v="ORD-2025-10612"/>
    <s v="08-07-2025"/>
    <x v="13"/>
    <d v="2025-07-08T00:00:00"/>
    <s v="15 Jul 2025"/>
    <d v="2025-07-15T00:00:00"/>
    <s v="OK"/>
    <n v="7"/>
    <s v="CUST-6108"/>
    <s v="Ananya Rao"/>
    <s v="Ananya Rao"/>
    <s v="Small Business "/>
    <x v="1"/>
    <s v="North"/>
    <x v="0"/>
    <s v="Rajasthan"/>
    <s v="Rajasthan"/>
    <s v="Jaipur"/>
    <s v="Jaipur"/>
    <s v="Office Supplies"/>
    <x v="0"/>
    <s v="Binders"/>
    <x v="9"/>
    <s v="Max Binders 785"/>
    <s v="Same Day"/>
    <x v="1"/>
    <n v="8"/>
    <n v="655.28"/>
    <n v="0.1"/>
    <n v="4718.0200000000004"/>
    <n v="3908.23"/>
    <n v="809.79"/>
    <s v="Paid"/>
    <x v="0"/>
    <s v="Completed"/>
    <x v="0"/>
    <s v="ORD-2025-10612|08-07-2025|07-15-2025|CUST-6108|Ananya Rao|Small Business |North|Rajasthan|Jaipur|Office Supplies|Binders|Max Binders 785|Same Day|8|655.28|0.1|4718.02|3908.23|809.79|Paid|Completed"/>
    <s v="Keep"/>
    <n v="1"/>
    <s v="Unique"/>
    <s v=""/>
    <n v="0.1"/>
    <n v="4718.0159999999996"/>
    <n v="809.7859999999996"/>
    <n v="0.17163697622051297"/>
    <n v="7"/>
    <n v="2025"/>
    <b v="0"/>
    <b v="0"/>
    <x v="0"/>
    <s v=""/>
    <s v="Clean"/>
  </r>
  <r>
    <s v="ORD-2025-10613"/>
    <s v="06 Apr 2025"/>
    <x v="6"/>
    <d v="2025-04-06T00:00:00"/>
    <s v="13-04-2025"/>
    <d v="2025-04-13T00:00:00"/>
    <s v="OK"/>
    <n v="7"/>
    <s v="CUST-5663"/>
    <s v="Aditi Sen"/>
    <s v="Aditi Sen"/>
    <s v="Consumer"/>
    <x v="0"/>
    <m/>
    <x v="4"/>
    <s v="Odisha"/>
    <s v="Odisha"/>
    <s v="Bhubaneswar"/>
    <s v="Bhubaneswar"/>
    <s v="Technology"/>
    <x v="2"/>
    <s v="Phones"/>
    <x v="11"/>
    <s v="Elite Phones 239"/>
    <s v="Standard Class"/>
    <x v="3"/>
    <n v="1"/>
    <n v="3844.01"/>
    <n v="0"/>
    <n v="3844.01"/>
    <n v="2195.79"/>
    <n v="1648.22"/>
    <s v="Paid"/>
    <x v="0"/>
    <s v="Completed"/>
    <x v="0"/>
    <s v="ORD-2025-10613|04-06-2025|13-04-2025|CUST-5663|Aditi Sen|Consumer||Odisha|Bhubaneswar|Technology|Phones|Elite Phones 239|Standard Class|1|3844.01|0|3844.01|2195.79|1648.22|Paid|Completed"/>
    <s v="Keep"/>
    <n v="1"/>
    <s v="Unique"/>
    <s v=""/>
    <n v="0"/>
    <n v="3844.01"/>
    <n v="1648.2200000000003"/>
    <n v="0.42877619985379856"/>
    <n v="4"/>
    <n v="2025"/>
    <b v="0"/>
    <b v="0"/>
    <x v="0"/>
    <s v="Missing region filled as Unknown"/>
    <s v="Warning"/>
  </r>
  <r>
    <s v="ORD-2024-10614"/>
    <s v="2024-10-05"/>
    <x v="16"/>
    <d v="2024-10-05T00:00:00"/>
    <s v="10/10/2024"/>
    <d v="2024-10-10T00:00:00"/>
    <s v="OK"/>
    <n v="5"/>
    <s v="CUST-9311"/>
    <s v="Diya Patel"/>
    <s v="Diya Patel"/>
    <s v="Home Office"/>
    <x v="3"/>
    <s v="West"/>
    <x v="3"/>
    <s v="Gujarat"/>
    <s v="Gujarat"/>
    <s v="Ahmedabad"/>
    <s v="Ahmedabad"/>
    <s v="Technology"/>
    <x v="2"/>
    <s v="Machines"/>
    <x v="12"/>
    <s v="Basic Machines 413"/>
    <s v="Same Day"/>
    <x v="1"/>
    <n v="9"/>
    <n v="3361.3"/>
    <n v="0.25"/>
    <n v="22688.78"/>
    <n v="14672.41"/>
    <n v="8016.37"/>
    <s v="Paid"/>
    <x v="0"/>
    <s v="Completed"/>
    <x v="0"/>
    <s v="ORD-2024-10614|10-05-2024|10-10-2024|CUST-9311|Diya Patel|Home Office|West|Gujarat|Ahmedabad|Technology|Machines|Basic Machines 413|Same Day|9|3361.3|0.25|22688.78|14672.41|8016.37|Paid|Completed"/>
    <s v="Keep"/>
    <n v="1"/>
    <s v="Unique"/>
    <s v=""/>
    <n v="0.25"/>
    <n v="22688.775000000001"/>
    <n v="8016.3650000000016"/>
    <n v="0.35331854628555315"/>
    <n v="10"/>
    <n v="2024"/>
    <b v="0"/>
    <b v="0"/>
    <x v="0"/>
    <s v=""/>
    <s v="Clean"/>
  </r>
  <r>
    <s v="ORD-2024-10615"/>
    <s v="11-02-2024"/>
    <x v="17"/>
    <d v="2024-02-11T00:00:00"/>
    <s v="19-02-2024"/>
    <d v="2024-02-19T00:00:00"/>
    <s v="OK"/>
    <n v="8"/>
    <s v="CUST-8154"/>
    <s v="Ananya Rao"/>
    <s v="Ananya Rao"/>
    <s v="Home Office"/>
    <x v="3"/>
    <s v="South"/>
    <x v="2"/>
    <s v="Telangana"/>
    <s v="Telangana"/>
    <s v="Hyderabad"/>
    <s v="Hyderabad"/>
    <s v="Furniture"/>
    <x v="1"/>
    <s v="Chairs"/>
    <x v="4"/>
    <s v="Elite Chairs 140"/>
    <s v="Standard Class"/>
    <x v="3"/>
    <n v="8"/>
    <n v="3398.32"/>
    <n v="0.25"/>
    <n v="20389.919999999998"/>
    <n v="16661.080000000002"/>
    <n v="3728.84"/>
    <s v="Refunded"/>
    <x v="1"/>
    <s v="Cancelled"/>
    <x v="1"/>
    <s v="ORD-2024-10615|11-02-2024|19-02-2024|CUST-8154|Ananya Rao|Home Office|South|Telangana|Hyderabad|Furniture|Chairs|Elite Chairs 140|Standard Class|8|3398.32|0.25|20389.92|16661.08|3728.84|Refunded|Cancelled"/>
    <s v="Keep"/>
    <n v="1"/>
    <s v="Unique"/>
    <s v=""/>
    <n v="0.25"/>
    <n v="20389.920000000002"/>
    <n v="3728.84"/>
    <n v="0.18287663708342161"/>
    <n v="2"/>
    <n v="2024"/>
    <b v="0"/>
    <b v="0"/>
    <x v="1"/>
    <s v="Refunded order summarized separately; Cancelled order excluded"/>
    <s v="Warning"/>
  </r>
  <r>
    <s v="ORD-2024-10616"/>
    <s v="2024-10-04"/>
    <x v="16"/>
    <d v="2024-10-04T00:00:00"/>
    <s v="10/07/2024"/>
    <d v="2024-10-07T00:00:00"/>
    <s v="OK"/>
    <n v="3"/>
    <s v="CUST-4462"/>
    <s v="Rahul Verma"/>
    <s v="Rahul Verma"/>
    <s v="Corporate"/>
    <x v="2"/>
    <s v="South"/>
    <x v="2"/>
    <s v="Kerala"/>
    <s v="Kerala"/>
    <s v="Kochi"/>
    <s v="Kochi"/>
    <s v="Office Supplies"/>
    <x v="0"/>
    <s v="Art"/>
    <x v="2"/>
    <s v="Basic Art 771"/>
    <s v="Second Class"/>
    <x v="0"/>
    <n v="2"/>
    <n v="3144.38"/>
    <n v="0.1"/>
    <n v="5904.57"/>
    <n v="4337.79"/>
    <n v="1322.09"/>
    <s v="Paid"/>
    <x v="0"/>
    <s v="  Completed "/>
    <x v="0"/>
    <s v="ORD-2024-10616|10-04-2024|10-07-2024|CUST-4462|Rahul Verma|Corporate|South|Kerala|Kochi|Office Supplies|Art|Basic Art 771|Second Class|2|3144.38|0.1|5904.57|4337.79|1322.09|Paid|  Completed "/>
    <s v="Keep"/>
    <n v="1"/>
    <s v="Unique"/>
    <s v=""/>
    <n v="0.1"/>
    <n v="5659.884"/>
    <n v="1322.0940000000001"/>
    <n v="0.23359029973052453"/>
    <n v="10"/>
    <n v="2024"/>
    <b v="1"/>
    <b v="0"/>
    <x v="1"/>
    <s v="Sales mismatch"/>
    <s v="Invalid"/>
  </r>
  <r>
    <s v="ORD-2024-10617"/>
    <s v="16 Aug 2024"/>
    <x v="1"/>
    <d v="2024-08-16T00:00:00"/>
    <s v="19-08-2024"/>
    <d v="2024-08-19T00:00:00"/>
    <s v="OK"/>
    <n v="3"/>
    <s v="CUST-4660"/>
    <s v="Kabir Singh"/>
    <s v="Kabir Singh"/>
    <s v="Consumer"/>
    <x v="0"/>
    <s v="South"/>
    <x v="2"/>
    <s v="Telangana"/>
    <s v="Telangana"/>
    <s v="Hyderabad"/>
    <s v="Hyderabad"/>
    <s v="Office Supplies"/>
    <x v="0"/>
    <s v="Paper"/>
    <x v="0"/>
    <s v="Prime Paper 664"/>
    <s v="Standard Class"/>
    <x v="3"/>
    <n v="6"/>
    <n v="3925.55"/>
    <n v="0.2"/>
    <n v="18842.64"/>
    <n v="11840.58"/>
    <n v="7002.06"/>
    <s v="Paid"/>
    <x v="0"/>
    <s v="Completed"/>
    <x v="0"/>
    <s v="ORD-2024-10617|08-16-2024|19-08-2024|CUST-4660|Kabir Singh|Consumer|South|Telangana|Hyderabad|Office Supplies|Paper|Prime Paper 664|Standard Class|6|3925.55|0.2|18842.64|11840.58|7002.06|Paid|Completed"/>
    <s v="Keep"/>
    <n v="1"/>
    <s v="Unique"/>
    <s v=""/>
    <n v="0.2"/>
    <n v="18842.640000000003"/>
    <n v="7002.0600000000031"/>
    <n v="0.37160716332743193"/>
    <n v="8"/>
    <n v="2024"/>
    <b v="0"/>
    <b v="0"/>
    <x v="0"/>
    <s v=""/>
    <s v="Clean"/>
  </r>
  <r>
    <s v="ORD-2024-10618"/>
    <s v="09/29/2024"/>
    <x v="21"/>
    <d v="2024-09-29T00:00:00"/>
    <s v="2024-09-30"/>
    <d v="2024-09-30T00:00:00"/>
    <s v="OK"/>
    <n v="1"/>
    <s v="CUST-9002"/>
    <s v="Mira Das"/>
    <s v="Mira Das"/>
    <s v="Home Office"/>
    <x v="3"/>
    <s v="South"/>
    <x v="2"/>
    <s v="Telangana"/>
    <s v="Telangana"/>
    <s v="Hyderabad"/>
    <s v="Hyderabad"/>
    <s v="Technology"/>
    <x v="2"/>
    <s v="Phones"/>
    <x v="11"/>
    <s v="Pro Phones 226"/>
    <s v="Standard Class"/>
    <x v="3"/>
    <n v="9"/>
    <n v="2741.91"/>
    <n v="0"/>
    <n v="24677.19"/>
    <n v="20350.849999999999"/>
    <n v="4326.34"/>
    <s v="Paid"/>
    <x v="0"/>
    <s v="Completed"/>
    <x v="0"/>
    <s v="ORD-2024-10618|09-29-2024|09-30-2024|CUST-9002|Mira Das|Home Office|South|Telangana|Hyderabad|Technology|Phones|Pro Phones 226|Standard Class|9|2741.91|0|24677.19|20350.85|4326.34|Paid|Completed"/>
    <s v="Keep"/>
    <n v="1"/>
    <s v="Unique"/>
    <s v=""/>
    <n v="0"/>
    <n v="24677.19"/>
    <n v="4326.34"/>
    <n v="0.17531736798233513"/>
    <n v="9"/>
    <n v="2024"/>
    <b v="0"/>
    <b v="0"/>
    <x v="0"/>
    <s v=""/>
    <s v="Clean"/>
  </r>
  <r>
    <s v="ORD-2024-10619"/>
    <s v="2024-07-23"/>
    <x v="0"/>
    <d v="2024-07-23T00:00:00"/>
    <s v="2024-07-30"/>
    <d v="2024-07-30T00:00:00"/>
    <s v="OK"/>
    <n v="7"/>
    <s v="CUST-1057"/>
    <s v="Kabir Singh"/>
    <s v="Kabir Singh"/>
    <s v="Corporate"/>
    <x v="2"/>
    <s v="North"/>
    <x v="0"/>
    <s v="Rajasthan"/>
    <s v="Rajasthan"/>
    <s v="Jaipur"/>
    <s v="Jaipur"/>
    <s v="Furniture"/>
    <x v="1"/>
    <s v="Tables"/>
    <x v="1"/>
    <s v="Basic Tables 684"/>
    <s v="Same Day"/>
    <x v="1"/>
    <n v="9"/>
    <n v="1870.11"/>
    <n v="0.25"/>
    <n v="12623.24"/>
    <n v="10540.8"/>
    <n v="2082.44"/>
    <s v="Failed"/>
    <x v="3"/>
    <s v="Cancelled"/>
    <x v="1"/>
    <s v="ORD-2024-10619|07-23-2024|07-30-2024|CUST-1057|Kabir Singh|Corporate|North|Rajasthan|Jaipur|Furniture|Tables|Basic Tables 684|Same Day|9|1870.11|0.25|12623.24|10540.8|2082.44|Failed|Cancelled"/>
    <s v="Keep"/>
    <n v="1"/>
    <s v="Unique"/>
    <s v=""/>
    <n v="0.25"/>
    <n v="12623.242499999998"/>
    <n v="2082.4424999999992"/>
    <n v="0.16496890557239943"/>
    <n v="7"/>
    <n v="2024"/>
    <b v="0"/>
    <b v="0"/>
    <x v="1"/>
    <s v="Failed payment excluded; Cancelled order excluded"/>
    <s v="Warning"/>
  </r>
  <r>
    <s v="ORD-2024-10620"/>
    <s v="11/22/2024"/>
    <x v="3"/>
    <d v="2024-11-22T00:00:00"/>
    <s v="27 Nov 2024"/>
    <d v="2024-11-27T00:00:00"/>
    <s v="OK"/>
    <n v="5"/>
    <s v="CUST-9596"/>
    <s v="Priya Menon"/>
    <s v="Priya Menon"/>
    <s v="Corporate"/>
    <x v="2"/>
    <s v="South"/>
    <x v="2"/>
    <s v="Tamil Nadu"/>
    <s v="Tamil Nadu"/>
    <s v="Chennai"/>
    <s v="Chennai"/>
    <s v="Office Supplies"/>
    <x v="0"/>
    <s v="Binders"/>
    <x v="9"/>
    <s v="Prime Binders 938"/>
    <s v="First Class"/>
    <x v="2"/>
    <n v="1"/>
    <n v="4251.26"/>
    <n v="0.2"/>
    <n v="3401.01"/>
    <n v="2917.54"/>
    <n v="483.47"/>
    <s v="Refunded"/>
    <x v="1"/>
    <s v="Returned"/>
    <x v="2"/>
    <s v="ORD-2024-10620|11-22-2024|11-27-2024|CUST-9596|Priya Menon|Corporate|South|Tamil Nadu|Chennai|Office Supplies|Binders|Prime Binders 938|First Class|1|4251.26|0.2|3401.01|2917.54|483.47|Refunded|Returned"/>
    <s v="Keep"/>
    <n v="1"/>
    <s v="Unique"/>
    <s v=""/>
    <n v="0.2"/>
    <n v="3401.0080000000003"/>
    <n v="483.4680000000003"/>
    <n v="0.14215432601158254"/>
    <n v="11"/>
    <n v="2024"/>
    <b v="0"/>
    <b v="0"/>
    <x v="1"/>
    <s v="Refunded order summarized separately; Returned order excluded"/>
    <s v="Warning"/>
  </r>
  <r>
    <s v="ORD-2024-10621"/>
    <s v="18-08-2024"/>
    <x v="1"/>
    <d v="2024-08-18T00:00:00"/>
    <s v="08/21/2024"/>
    <d v="2024-08-21T00:00:00"/>
    <s v="OK"/>
    <n v="3"/>
    <s v="CUST-6947"/>
    <s v="Vikram Iyer"/>
    <s v="Vikram Iyer"/>
    <s v="Consumer"/>
    <x v="0"/>
    <s v="North"/>
    <x v="0"/>
    <s v="Uttar Pradesh"/>
    <s v="Uttar Pradesh"/>
    <s v="Noida"/>
    <s v="Noida"/>
    <s v="Technology"/>
    <x v="2"/>
    <s v="Machines"/>
    <x v="12"/>
    <s v="Classic Machines 337"/>
    <s v="Standard Class"/>
    <x v="3"/>
    <n v="9"/>
    <n v="734.34"/>
    <n v="0"/>
    <n v="6609.06"/>
    <n v="4946.78"/>
    <n v="1662.28"/>
    <s v="Paid"/>
    <x v="0"/>
    <s v="Completed"/>
    <x v="0"/>
    <s v="ORD-2024-10621|18-08-2024|08-21-2024|CUST-6947|Vikram Iyer|Consumer|North|Uttar Pradesh|Noida|Technology|Machines|Classic Machines 337|Standard Class|9|734.34|0|6609.06|4946.78|1662.28|Paid|Completed"/>
    <s v="Keep"/>
    <n v="1"/>
    <s v="Unique"/>
    <s v=""/>
    <n v="0"/>
    <n v="6609.06"/>
    <n v="1662.2800000000007"/>
    <n v="0.25151534408826681"/>
    <n v="8"/>
    <n v="2024"/>
    <b v="0"/>
    <b v="0"/>
    <x v="0"/>
    <s v=""/>
    <s v="Clean"/>
  </r>
  <r>
    <s v="ORD-2024-10622"/>
    <s v="28-11-2024"/>
    <x v="3"/>
    <d v="2024-11-28T00:00:00"/>
    <s v="06-12-2024"/>
    <d v="2024-12-06T00:00:00"/>
    <s v="OK"/>
    <n v="8"/>
    <s v="CUST-7236"/>
    <s v="Aditi Sen"/>
    <s v="Aditi Sen"/>
    <s v="Consumer"/>
    <x v="0"/>
    <s v="West"/>
    <x v="3"/>
    <s v="Maharashtra"/>
    <s v="Maharashtra"/>
    <s v="Mumbai"/>
    <s v="Mumbai"/>
    <s v="Furniture"/>
    <x v="1"/>
    <s v="Chairs"/>
    <x v="4"/>
    <s v="Max Chairs 748"/>
    <s v="Same Day"/>
    <x v="1"/>
    <n v="5"/>
    <n v="1092.8399999999999"/>
    <m/>
    <n v="5464.2"/>
    <n v="3318.09"/>
    <n v="2146.11"/>
    <s v="Paid"/>
    <x v="0"/>
    <s v="Completed"/>
    <x v="0"/>
    <s v="ORD-2024-10622|28-11-2024|06-12-2024|CUST-7236|Aditi Sen|Consumer|West|Maharashtra|Mumbai|Furniture|Chairs|Max Chairs 748|Same Day|5|1092.84||5464.2|3318.09|2146.11|Paid|Completed"/>
    <s v="Keep"/>
    <n v="1"/>
    <s v="Unique"/>
    <s v=""/>
    <n v="0"/>
    <n v="5464.2"/>
    <n v="2146.1099999999997"/>
    <n v="0.39275831777753373"/>
    <n v="11"/>
    <n v="2024"/>
    <b v="0"/>
    <b v="0"/>
    <x v="0"/>
    <s v="Missing discount treated as 0"/>
    <s v="Warning"/>
  </r>
  <r>
    <s v="ORD-2025-10623"/>
    <s v="29-01-2025"/>
    <x v="14"/>
    <d v="2025-01-29T00:00:00"/>
    <s v="06 Feb 2025"/>
    <d v="2025-02-06T00:00:00"/>
    <s v="OK"/>
    <n v="8"/>
    <s v="CUST-1127"/>
    <s v="Vikram Iyer"/>
    <s v="Vikram Iyer"/>
    <s v="Consumer"/>
    <x v="0"/>
    <s v="East"/>
    <x v="1"/>
    <s v="Bihar"/>
    <s v="Bihar"/>
    <s v="Patna"/>
    <s v="Patna"/>
    <s v="Office Supplies"/>
    <x v="0"/>
    <s v="Storage"/>
    <x v="8"/>
    <s v="Basic Storage 934"/>
    <s v="Standard Class"/>
    <x v="3"/>
    <n v="4"/>
    <n v="2759.01"/>
    <n v="0.05"/>
    <n v="10484.24"/>
    <n v="6680.15"/>
    <n v="3804.09"/>
    <s v="Paid"/>
    <x v="0"/>
    <s v="Completed"/>
    <x v="0"/>
    <s v="ORD-2025-10623|29-01-2025|02-06-2025|CUST-1127|Vikram Iyer|Consumer|East|Bihar|Patna|Office Supplies|Storage|Basic Storage 934|Standard Class|4|2759.01|0.05|10484.24|6680.15|3804.09|Paid|Completed"/>
    <s v="Keep"/>
    <n v="1"/>
    <s v="Unique"/>
    <s v=""/>
    <n v="0.05"/>
    <n v="10484.238000000001"/>
    <n v="3804.0880000000016"/>
    <n v="0.36283876806306775"/>
    <n v="1"/>
    <n v="2025"/>
    <b v="0"/>
    <b v="0"/>
    <x v="0"/>
    <s v=""/>
    <s v="Clean"/>
  </r>
  <r>
    <s v="ORD-2024-10624"/>
    <s v="08 Aug 2024"/>
    <x v="1"/>
    <d v="2024-08-08T00:00:00"/>
    <s v="14 Aug 2024"/>
    <d v="2024-08-14T00:00:00"/>
    <s v="OK"/>
    <n v="6"/>
    <s v="CUST-6262"/>
    <s v="Vikram Iyer"/>
    <s v="Vikram Iyer"/>
    <s v="Home Office"/>
    <x v="3"/>
    <s v="North"/>
    <x v="0"/>
    <s v="Punjab"/>
    <s v="Punjab"/>
    <s v="Ludhiana"/>
    <s v="Ludhiana"/>
    <s v="Office Supplies"/>
    <x v="0"/>
    <s v="Storage"/>
    <x v="8"/>
    <s v="Pro Storage 509"/>
    <s v="Second Class"/>
    <x v="0"/>
    <n v="8"/>
    <n v="1359.19"/>
    <n v="0.05"/>
    <n v="10329.84"/>
    <n v="7512.22"/>
    <n v="2817.62"/>
    <s v="Paid"/>
    <x v="0"/>
    <s v="Completed"/>
    <x v="0"/>
    <s v="ORD-2024-10624|08-08-2024|08-14-2024|CUST-6262|Vikram Iyer|Home Office|North|Punjab|Ludhiana|Office Supplies|Storage|Pro Storage 509|Second Class|8|1359.19|0.05|10329.84|7512.22|2817.62|Paid|Completed"/>
    <s v="Keep"/>
    <n v="1"/>
    <s v="Unique"/>
    <s v=""/>
    <n v="0.05"/>
    <n v="10329.843999999999"/>
    <n v="2817.6239999999989"/>
    <n v="0.27276539703794161"/>
    <n v="8"/>
    <n v="2024"/>
    <b v="0"/>
    <b v="0"/>
    <x v="0"/>
    <s v=""/>
    <s v="Clean"/>
  </r>
  <r>
    <s v="ORD-2024-10625"/>
    <s v="01/30/2024"/>
    <x v="12"/>
    <d v="2024-01-30T00:00:00"/>
    <s v="2024-02-01"/>
    <d v="2024-02-01T00:00:00"/>
    <s v="OK"/>
    <n v="2"/>
    <s v="CUST-5070"/>
    <s v="Neha Gupta"/>
    <s v="Neha Gupta"/>
    <s v="Home Office"/>
    <x v="3"/>
    <s v="East"/>
    <x v="1"/>
    <s v="Assam"/>
    <s v="Assam"/>
    <s v="Guwahati"/>
    <s v="Guwahati"/>
    <s v="Furniture"/>
    <x v="1"/>
    <s v="Chairs"/>
    <x v="4"/>
    <s v="Prime Chairs 765"/>
    <s v="First Class"/>
    <x v="2"/>
    <n v="2"/>
    <n v="4451.03"/>
    <n v="0.05"/>
    <n v="8456.9599999999991"/>
    <n v="5462.85"/>
    <n v="2994.11"/>
    <s v="Paid"/>
    <x v="0"/>
    <s v="Completed"/>
    <x v="0"/>
    <s v="ORD-2024-10625|01-30-2024|02-01-2024|CUST-5070|Neha Gupta|Home Office|East|Assam|Guwahati|Furniture|Chairs|Prime Chairs 765|First Class|2|4451.03|0.05|8456.96|5462.85|2994.11|Paid|Completed"/>
    <s v="Keep"/>
    <n v="1"/>
    <s v="Unique"/>
    <s v=""/>
    <n v="0.05"/>
    <n v="8456.9569999999985"/>
    <n v="2994.1069999999982"/>
    <n v="0.35404070282017502"/>
    <n v="1"/>
    <n v="2024"/>
    <b v="0"/>
    <b v="0"/>
    <x v="0"/>
    <s v=""/>
    <s v="Clean"/>
  </r>
  <r>
    <s v="ORD-2024-10626"/>
    <s v="12/15/2024"/>
    <x v="10"/>
    <d v="2024-12-15T00:00:00"/>
    <s v="21 Dec 2024"/>
    <d v="2024-12-21T00:00:00"/>
    <s v="OK"/>
    <n v="6"/>
    <s v="CUST-7946"/>
    <s v="Diya Patel"/>
    <s v="Diya Patel"/>
    <s v="Corporate"/>
    <x v="2"/>
    <s v="West"/>
    <x v="3"/>
    <s v="Rajasthan"/>
    <s v="Rajasthan"/>
    <s v="Udaipur"/>
    <s v="Udaipur"/>
    <s v="Furniture"/>
    <x v="1"/>
    <s v="Chairs"/>
    <x v="4"/>
    <s v="Elite Chairs 358"/>
    <s v="Same Day"/>
    <x v="1"/>
    <n v="3"/>
    <n v="527.66999999999996"/>
    <n v="0.2"/>
    <n v="1266.4100000000001"/>
    <n v="983.92"/>
    <n v="282.49"/>
    <s v="Paid"/>
    <x v="0"/>
    <s v="Completed"/>
    <x v="0"/>
    <s v="ORD-2024-10626|12-15-2024|12-21-2024|CUST-7946|Diya Patel|Corporate|West|Rajasthan|Udaipur|Furniture|Chairs|Elite Chairs 358|Same Day|3|527.67|0.2|1266.41|983.92|282.49|Paid|Completed"/>
    <s v="Keep"/>
    <n v="1"/>
    <s v="Unique"/>
    <s v=""/>
    <n v="0.2"/>
    <n v="1266.4079999999999"/>
    <n v="282.48799999999994"/>
    <n v="0.22306239379410109"/>
    <n v="12"/>
    <n v="2024"/>
    <b v="0"/>
    <b v="0"/>
    <x v="0"/>
    <s v=""/>
    <s v="Clean"/>
  </r>
  <r>
    <s v="ORD-2025-10627"/>
    <s v="04-06-2025"/>
    <x v="18"/>
    <d v="2025-06-04T00:00:00"/>
    <s v="06/07/2025"/>
    <d v="2025-06-07T00:00:00"/>
    <s v="OK"/>
    <n v="3"/>
    <s v="CUST-1793"/>
    <s v="Sneha Kapoor"/>
    <s v="Sneha Kapoor"/>
    <s v="Home Office"/>
    <x v="3"/>
    <s v="East"/>
    <x v="1"/>
    <s v="Assam"/>
    <s v="Assam"/>
    <s v="Guwahati"/>
    <s v="Guwahati"/>
    <s v="  Technology "/>
    <x v="2"/>
    <s v="Machines"/>
    <x v="12"/>
    <s v="Elite Machines 971"/>
    <s v="Standard Class"/>
    <x v="3"/>
    <n v="8"/>
    <n v="1434.13"/>
    <n v="0"/>
    <n v="11473.04"/>
    <n v="8931.33"/>
    <n v="2541.71"/>
    <s v="Pending"/>
    <x v="2"/>
    <s v="Returned"/>
    <x v="2"/>
    <s v="ORD-2025-10627|04-06-2025|06-07-2025|CUST-1793|Sneha Kapoor|Home Office|East|Assam|Guwahati|  Technology |Machines|Elite Machines 971|Standard Class|8|1434.13|0|11473.04|8931.33|2541.71|Pending|Returned"/>
    <s v="Keep"/>
    <n v="1"/>
    <s v="Unique"/>
    <s v=""/>
    <n v="0"/>
    <n v="11473.04"/>
    <n v="2541.7100000000009"/>
    <n v="0.22153762211236086"/>
    <n v="6"/>
    <n v="2025"/>
    <b v="0"/>
    <b v="0"/>
    <x v="1"/>
    <s v="Returned order excluded"/>
    <s v="Warning"/>
  </r>
  <r>
    <s v="ORD-2025-10628"/>
    <s v="02/13/2025"/>
    <x v="7"/>
    <d v="2025-02-13T00:00:00"/>
    <s v="21-02-2025"/>
    <d v="2025-02-21T00:00:00"/>
    <s v="OK"/>
    <n v="8"/>
    <s v="CUST-8839"/>
    <s v="Karan Malhotra"/>
    <s v="Karan Malhotra"/>
    <s v="Small Business"/>
    <x v="1"/>
    <s v="South"/>
    <x v="2"/>
    <s v="Kerala"/>
    <s v="Kerala"/>
    <s v="Kochi"/>
    <s v="Kochi"/>
    <s v="Technology"/>
    <x v="2"/>
    <s v="Phones"/>
    <x v="11"/>
    <s v="Max Phones 825"/>
    <s v="Second Class"/>
    <x v="0"/>
    <n v="2"/>
    <n v="2360.02"/>
    <n v="0.15"/>
    <n v="4012.03"/>
    <n v="3142.92"/>
    <n v="869.11"/>
    <s v="Pending"/>
    <x v="2"/>
    <s v="Cancelled"/>
    <x v="1"/>
    <s v="ORD-2025-10628|02-13-2025|21-02-2025|CUST-8839|Karan Malhotra|Small Business|South|Kerala|Kochi|Technology|Phones|Max Phones 825|Second Class|2|2360.02|0.15|4012.03|3142.92|869.11|Pending|Cancelled"/>
    <s v="Keep"/>
    <n v="1"/>
    <s v="Unique"/>
    <s v=""/>
    <n v="0.15"/>
    <n v="4012.0339999999997"/>
    <n v="869.11399999999958"/>
    <n v="0.21662677833737193"/>
    <n v="2"/>
    <n v="2025"/>
    <b v="0"/>
    <b v="0"/>
    <x v="1"/>
    <s v="Cancelled order excluded"/>
    <s v="Warning"/>
  </r>
  <r>
    <s v="ORD-2025-10629"/>
    <s v="2025-10-05"/>
    <x v="11"/>
    <d v="2025-10-05T00:00:00"/>
    <s v="12 Oct 2025"/>
    <d v="2025-10-12T00:00:00"/>
    <s v="OK"/>
    <n v="7"/>
    <s v="CUST-6725"/>
    <s v="Ananya Rao"/>
    <s v="Ananya Rao"/>
    <s v="Home Office"/>
    <x v="3"/>
    <s v="East"/>
    <x v="1"/>
    <s v="Jharkhand"/>
    <s v="Jharkhand"/>
    <s v="Ranchi"/>
    <s v="Ranchi"/>
    <s v="Technology"/>
    <x v="2"/>
    <s v="Accessories"/>
    <x v="5"/>
    <s v="Eco Accessories 933"/>
    <s v="Same Day"/>
    <x v="1"/>
    <n v="7"/>
    <n v="806.67"/>
    <n v="0.05"/>
    <n v="5364.36"/>
    <n v="4391.29"/>
    <n v="973.07"/>
    <s v="Paid"/>
    <x v="0"/>
    <s v="Completed"/>
    <x v="0"/>
    <s v="ORD-2025-10629|10-05-2025|10-12-2025|CUST-6725|Ananya Rao|Home Office|East|Jharkhand|Ranchi|Technology|Accessories|Eco Accessories 933|Same Day|7|806.67|0.05|5364.36|4391.29|973.07|Paid|Completed"/>
    <s v="Keep"/>
    <n v="1"/>
    <s v="Unique"/>
    <s v=""/>
    <n v="0.05"/>
    <n v="5364.3554999999997"/>
    <n v="973.0654999999997"/>
    <n v="0.18139467080434915"/>
    <n v="10"/>
    <n v="2025"/>
    <b v="0"/>
    <b v="0"/>
    <x v="0"/>
    <s v=""/>
    <s v="Clean"/>
  </r>
  <r>
    <s v="ORD-2025-10630"/>
    <s v="09/10/2025"/>
    <x v="8"/>
    <d v="2025-09-10T00:00:00"/>
    <s v="14 Sep 2025"/>
    <d v="2025-09-14T00:00:00"/>
    <s v="OK"/>
    <n v="4"/>
    <s v="CUST-3793"/>
    <s v="Arjun Bose"/>
    <s v="Arjun Bose"/>
    <s v="Home Office"/>
    <x v="3"/>
    <s v="West"/>
    <x v="3"/>
    <s v="Gujarat"/>
    <s v="Gujarat"/>
    <s v="Ahmedabad"/>
    <s v="Ahmedabad"/>
    <s v="Furniture"/>
    <x v="1"/>
    <s v="Tables"/>
    <x v="1"/>
    <s v="Max Tables 908"/>
    <s v="Same Day"/>
    <x v="1"/>
    <n v="3"/>
    <n v="4198.46"/>
    <n v="0.15"/>
    <n v="10706.07"/>
    <n v="5927.1"/>
    <n v="4778.97"/>
    <s v="Paid"/>
    <x v="0"/>
    <s v="Completed"/>
    <x v="0"/>
    <s v="ORD-2025-10630|09-10-2025|09-14-2025|CUST-3793|Arjun Bose|Home Office|West|Gujarat|Ahmedabad|Furniture|Tables|Max Tables 908|Same Day|3|4198.46|0.15|10706.07|5927.1|4778.97|Paid|Completed"/>
    <s v="Keep"/>
    <n v="1"/>
    <s v="Unique"/>
    <s v=""/>
    <n v="0.15"/>
    <n v="10706.073"/>
    <n v="4778.973"/>
    <n v="0.44637963892082555"/>
    <n v="9"/>
    <n v="2025"/>
    <b v="0"/>
    <b v="0"/>
    <x v="0"/>
    <s v=""/>
    <s v="Clean"/>
  </r>
  <r>
    <s v="ORD-2024-10631"/>
    <s v="2024-04-09"/>
    <x v="19"/>
    <d v="2024-04-09T00:00:00"/>
    <s v="2024-04-10"/>
    <d v="2024-04-10T00:00:00"/>
    <s v="OK"/>
    <n v="1"/>
    <s v="CUST-6075"/>
    <s v="Priya Menon"/>
    <s v="Priya Menon"/>
    <s v="Corporate"/>
    <x v="2"/>
    <s v="East"/>
    <x v="1"/>
    <s v="Assam"/>
    <s v="Assam"/>
    <s v="Guwahati"/>
    <s v="Guwahati"/>
    <s v="Office Supplies"/>
    <x v="0"/>
    <s v="Paper"/>
    <x v="0"/>
    <s v="Elite Paper 239"/>
    <s v="Standard Class"/>
    <x v="3"/>
    <n v="4"/>
    <n v="3047.05"/>
    <n v="0.1"/>
    <n v="10969.38"/>
    <n v="9254.4599999999991"/>
    <n v="1714.92"/>
    <s v="Paid"/>
    <x v="0"/>
    <s v="Completed"/>
    <x v="0"/>
    <s v="ORD-2024-10631|04-09-2024|04-10-2024|CUST-6075|Priya Menon|Corporate|East|Assam|Guwahati|Office Supplies|Paper|Elite Paper 239|Standard Class|4|3047.05|0.1|10969.38|9254.46|1714.92|Paid|Completed"/>
    <s v="Keep"/>
    <n v="1"/>
    <s v="Unique"/>
    <s v=""/>
    <n v="0.1"/>
    <n v="10969.380000000001"/>
    <n v="1714.9200000000019"/>
    <n v="0.15633700354988173"/>
    <n v="4"/>
    <n v="2024"/>
    <b v="0"/>
    <b v="0"/>
    <x v="0"/>
    <s v=""/>
    <s v="Clean"/>
  </r>
  <r>
    <s v="ORD-2024-10632"/>
    <s v="10 Apr 2024"/>
    <x v="19"/>
    <d v="2024-04-10T00:00:00"/>
    <s v="15-04-2024"/>
    <d v="2024-04-15T00:00:00"/>
    <s v="OK"/>
    <n v="5"/>
    <s v="CUST-6381"/>
    <s v="Aarav Sharma"/>
    <s v="Aarav Sharma"/>
    <s v="Home Office"/>
    <x v="3"/>
    <s v="West"/>
    <x v="3"/>
    <s v="Rajasthan"/>
    <s v="Rajasthan"/>
    <s v="Udaipur"/>
    <s v="Udaipur"/>
    <s v="Furniture"/>
    <x v="1"/>
    <s v="Chairs"/>
    <x v="4"/>
    <s v="Eco Chairs 452"/>
    <s v="Standard Class"/>
    <x v="3"/>
    <n v="8"/>
    <n v="4362.4799999999996"/>
    <n v="0.1"/>
    <n v="31409.86"/>
    <n v="22523.54"/>
    <n v="8886.32"/>
    <s v="Paid"/>
    <x v="0"/>
    <s v="Completed"/>
    <x v="0"/>
    <s v="ORD-2024-10632|04-10-2024|15-04-2024|CUST-6381|Aarav Sharma|Home Office|West|Rajasthan|Udaipur|Furniture|Chairs|Eco Chairs 452|Standard Class|8|4362.48|0.1|31409.86|22523.54|8886.32|Paid|Completed"/>
    <s v="Keep"/>
    <n v="1"/>
    <s v="Unique"/>
    <s v=""/>
    <n v="0.1"/>
    <n v="31409.855999999996"/>
    <n v="8886.3159999999953"/>
    <n v="0.2829148914277097"/>
    <n v="4"/>
    <n v="2024"/>
    <b v="0"/>
    <b v="0"/>
    <x v="0"/>
    <s v=""/>
    <s v="Clean"/>
  </r>
  <r>
    <s v="ORD-2025-10633"/>
    <s v="15-04-2025"/>
    <x v="6"/>
    <d v="2025-04-15T00:00:00"/>
    <s v="16-04-2025"/>
    <d v="2025-04-16T00:00:00"/>
    <s v="OK"/>
    <n v="1"/>
    <s v="CUST-4593"/>
    <s v="Sneha Kapoor"/>
    <s v="Sneha Kapoor"/>
    <s v="Small Business"/>
    <x v="1"/>
    <s v="South"/>
    <x v="2"/>
    <s v="Karnataka"/>
    <s v="Karnataka"/>
    <s v="Bengaluru"/>
    <s v="Bengaluru"/>
    <s v="Furniture"/>
    <x v="1"/>
    <s v="Furnishings"/>
    <x v="3"/>
    <s v="Smart Furnishings 721"/>
    <s v="First Class"/>
    <x v="2"/>
    <n v="5"/>
    <n v="2850.53"/>
    <n v="0"/>
    <n v="14252.65"/>
    <n v="11558.31"/>
    <n v="2694.34"/>
    <s v="Paid"/>
    <x v="0"/>
    <s v="Completed"/>
    <x v="0"/>
    <s v="ORD-2025-10633|15-04-2025|16-04-2025|CUST-4593|Sneha Kapoor|Small Business|South|Karnataka|Bengaluru|Furniture|Furnishings|Smart Furnishings 721|First Class|5|2850.53|0|14252.65|11558.31|2694.34|Paid|Completed"/>
    <s v="Keep"/>
    <n v="1"/>
    <s v="Unique"/>
    <s v=""/>
    <n v="0"/>
    <n v="14252.650000000001"/>
    <n v="2694.340000000002"/>
    <n v="0.18904133617257154"/>
    <n v="4"/>
    <n v="2025"/>
    <b v="0"/>
    <b v="0"/>
    <x v="0"/>
    <s v=""/>
    <s v="Clean"/>
  </r>
  <r>
    <s v="ORD-2025-10634"/>
    <s v="04/18/2025"/>
    <x v="6"/>
    <d v="2025-04-18T00:00:00"/>
    <s v="20 Apr 2025"/>
    <d v="2025-04-20T00:00:00"/>
    <s v="OK"/>
    <n v="2"/>
    <s v="CUST-5043"/>
    <s v="Aarav Sharma"/>
    <s v="Aarav Sharma"/>
    <s v="Small Business"/>
    <x v="1"/>
    <s v="South"/>
    <x v="2"/>
    <s v="Tamil Nadu"/>
    <s v="Tamil Nadu"/>
    <s v="Chennai"/>
    <s v="Chennai"/>
    <s v="Technology"/>
    <x v="2"/>
    <s v="Accessories"/>
    <x v="5"/>
    <s v="Basic Accessories 729"/>
    <s v="Second Class"/>
    <x v="0"/>
    <n v="1"/>
    <n v="1626.08"/>
    <n v="0.15"/>
    <n v="1382.17"/>
    <n v="810.03"/>
    <n v="572.14"/>
    <s v="Paid"/>
    <x v="0"/>
    <s v="Completed"/>
    <x v="0"/>
    <s v="ORD-2025-10634|04-18-2025|04-20-2025|CUST-5043|Aarav Sharma|Small Business|South|Tamil Nadu|Chennai|Technology|Accessories|Basic Accessories 729|Second Class|1|1626.08|0.15|1382.17|810.03|572.14|Paid|Completed"/>
    <s v="Keep"/>
    <n v="1"/>
    <s v="Unique"/>
    <s v=""/>
    <n v="0.15"/>
    <n v="1382.1679999999999"/>
    <n v="572.13799999999992"/>
    <n v="0.4139424440444287"/>
    <n v="4"/>
    <n v="2025"/>
    <b v="0"/>
    <b v="0"/>
    <x v="0"/>
    <s v=""/>
    <s v="Clean"/>
  </r>
  <r>
    <s v="ORD-2025-10635"/>
    <s v="01/11/2025"/>
    <x v="14"/>
    <d v="2025-01-11T00:00:00"/>
    <s v="12 Jan 2025"/>
    <d v="2025-01-12T00:00:00"/>
    <s v="OK"/>
    <n v="1"/>
    <s v="CUST-4722"/>
    <s v="Aditi Sen"/>
    <s v="Aditi Sen"/>
    <s v="Consumer"/>
    <x v="0"/>
    <s v="South"/>
    <x v="2"/>
    <s v="Telangana"/>
    <s v="Telangana"/>
    <s v="Hyderabad"/>
    <s v="Hyderabad"/>
    <s v="Furniture"/>
    <x v="1"/>
    <s v="Chairs"/>
    <x v="4"/>
    <s v="Classic Chairs 220"/>
    <s v="Second Class"/>
    <x v="0"/>
    <n v="4"/>
    <n v="2427.15"/>
    <n v="0.05"/>
    <n v="9223.17"/>
    <n v="5103.7"/>
    <n v="4119.47"/>
    <s v="Paid"/>
    <x v="0"/>
    <s v="Completed"/>
    <x v="0"/>
    <s v="ORD-2025-10635|01-11-2025|01-12-2025|CUST-4722|Aditi Sen|Consumer|South|Telangana|Hyderabad|Furniture|Chairs|Classic Chairs 220|Second Class|4|2427.15|0.05|9223.17|5103.7|4119.47|Paid|Completed"/>
    <s v="Keep"/>
    <n v="1"/>
    <s v="Unique"/>
    <s v=""/>
    <n v="0.05"/>
    <n v="9223.17"/>
    <n v="4119.47"/>
    <n v="0.44664361602355807"/>
    <n v="1"/>
    <n v="2025"/>
    <b v="0"/>
    <b v="0"/>
    <x v="0"/>
    <s v=""/>
    <s v="Clean"/>
  </r>
  <r>
    <s v="ORD-2024-10636"/>
    <s v="20 May 2024"/>
    <x v="5"/>
    <d v="2024-05-20T00:00:00"/>
    <s v="2024-05-25"/>
    <d v="2024-05-25T00:00:00"/>
    <s v="OK"/>
    <n v="5"/>
    <s v="CUST-7931"/>
    <s v="Mira Das"/>
    <s v="Mira Das"/>
    <s v="Corporate"/>
    <x v="2"/>
    <s v="South"/>
    <x v="2"/>
    <s v="Andhra Pradesh"/>
    <s v="Andhra Pradesh"/>
    <s v="Vijayawada"/>
    <s v="Vijayawada"/>
    <s v="Furniture"/>
    <x v="1"/>
    <s v="Chairs"/>
    <x v="4"/>
    <s v="Max Chairs 305"/>
    <s v="Same Day"/>
    <x v="1"/>
    <n v="7"/>
    <n v="3122.85"/>
    <n v="0.25"/>
    <n v="16394.96"/>
    <n v="10404.17"/>
    <n v="5990.79"/>
    <s v="Paid"/>
    <x v="0"/>
    <s v="Completed"/>
    <x v="0"/>
    <s v="ORD-2024-10636|05-20-2024|05-25-2024|CUST-7931|Mira Das|Corporate|South|Andhra Pradesh|Vijayawada|Furniture|Chairs|Max Chairs 305|Same Day|7|3122.85|0.25|16394.96|10404.17|5990.79|Paid|Completed"/>
    <s v="Keep"/>
    <n v="1"/>
    <s v="Unique"/>
    <s v=""/>
    <n v="0.25"/>
    <n v="16394.962500000001"/>
    <n v="5990.7925000000014"/>
    <n v="0.36540446493854445"/>
    <n v="5"/>
    <n v="2024"/>
    <b v="0"/>
    <b v="0"/>
    <x v="0"/>
    <s v=""/>
    <s v="Clean"/>
  </r>
  <r>
    <s v="ORD-2024-10637"/>
    <s v="02 Oct 2024"/>
    <x v="16"/>
    <d v="2024-10-02T00:00:00"/>
    <s v="09 Oct 2024"/>
    <d v="2024-10-09T00:00:00"/>
    <s v="OK"/>
    <n v="7"/>
    <s v="CUST-7221"/>
    <s v="Ananya Rao"/>
    <s v="Ananya Rao"/>
    <s v="Consumer"/>
    <x v="0"/>
    <s v="South"/>
    <x v="2"/>
    <s v="Tamil Nadu"/>
    <s v="Tamil Nadu"/>
    <s v="Chennai"/>
    <s v="Chennai"/>
    <s v="Office Supplies"/>
    <x v="0"/>
    <s v="Paper"/>
    <x v="0"/>
    <s v="Smart Paper 872"/>
    <s v="Standard Class"/>
    <x v="3"/>
    <n v="8"/>
    <n v="1910.31"/>
    <n v="0.15"/>
    <n v="12990.11"/>
    <n v="10200.799999999999"/>
    <n v="2789.31"/>
    <s v="Paid"/>
    <x v="0"/>
    <s v="Completed"/>
    <x v="0"/>
    <s v="ORD-2024-10637|10-02-2024|10-09-2024|CUST-7221|Ananya Rao|Consumer|South|Tamil Nadu|Chennai|Office Supplies|Paper|Smart Paper 872|Standard Class|8|1910.31|0.15|12990.11|10200.8|2789.31|Paid|Completed"/>
    <s v="Keep"/>
    <n v="1"/>
    <s v="Unique"/>
    <s v=""/>
    <n v="0.15"/>
    <n v="12990.108"/>
    <n v="2789.3080000000009"/>
    <n v="0.2147255434673831"/>
    <n v="10"/>
    <n v="2024"/>
    <b v="0"/>
    <b v="0"/>
    <x v="0"/>
    <s v=""/>
    <s v="Clean"/>
  </r>
  <r>
    <s v="ORD-2024-10638"/>
    <s v="26-05-2024"/>
    <x v="5"/>
    <d v="2024-05-26T00:00:00"/>
    <s v="2024-05-26"/>
    <d v="2024-05-26T00:00:00"/>
    <s v="OK"/>
    <n v="0"/>
    <s v="CUST-2594"/>
    <s v="Rahul Verma"/>
    <s v="Rahul Verma"/>
    <s v="Small Business"/>
    <x v="1"/>
    <s v="West"/>
    <x v="3"/>
    <s v="Goa"/>
    <s v="Goa"/>
    <s v="Panaji"/>
    <s v="Panaji"/>
    <s v="Technology"/>
    <x v="2"/>
    <s v="Copiers"/>
    <x v="6"/>
    <s v="Max Copiers 994"/>
    <s v="First Class"/>
    <x v="2"/>
    <n v="2"/>
    <n v="3192.47"/>
    <n v="0.2"/>
    <n v="5107.95"/>
    <n v="3133.08"/>
    <n v="1974.87"/>
    <s v="Paid"/>
    <x v="0"/>
    <s v="Completed"/>
    <x v="0"/>
    <s v="ORD-2024-10638|26-05-2024|05-26-2024|CUST-2594|Rahul Verma|Small Business|West|Goa|Panaji|Technology|Copiers|Max Copiers 994|First Class|2|3192.47|0.2|5107.95|3133.08|1974.87|Paid|Completed"/>
    <s v="Keep"/>
    <n v="1"/>
    <s v="Unique"/>
    <s v=""/>
    <n v="0.2"/>
    <n v="5107.9520000000002"/>
    <n v="1974.8720000000003"/>
    <n v="0.38662696908663202"/>
    <n v="5"/>
    <n v="2024"/>
    <b v="0"/>
    <b v="0"/>
    <x v="0"/>
    <s v=""/>
    <s v="Clean"/>
  </r>
  <r>
    <s v="ORD-2024-10639"/>
    <s v="26 Jan 2024"/>
    <x v="12"/>
    <d v="2024-01-26T00:00:00"/>
    <s v="31-01-2024"/>
    <d v="2024-01-31T00:00:00"/>
    <s v="OK"/>
    <n v="5"/>
    <s v="CUST-2111"/>
    <s v="Karan Malhotra"/>
    <s v="Karan Malhotra"/>
    <s v="Corporate"/>
    <x v="2"/>
    <s v="South"/>
    <x v="2"/>
    <s v="Kerala"/>
    <s v="Kerala"/>
    <s v="Kochi"/>
    <s v="Kochi"/>
    <s v="Office Supplies"/>
    <x v="0"/>
    <s v="Storage"/>
    <x v="8"/>
    <s v="Pro Storage 744"/>
    <s v="Second Class"/>
    <x v="0"/>
    <n v="3"/>
    <n v="3224.32"/>
    <n v="0.2"/>
    <n v="7738.37"/>
    <n v="4626.8500000000004"/>
    <n v="3111.52"/>
    <s v="Failed"/>
    <x v="3"/>
    <s v="Returned"/>
    <x v="2"/>
    <s v="ORD-2024-10639|01-26-2024|31-01-2024|CUST-2111|Karan Malhotra|Corporate|South|Kerala|Kochi|Office Supplies|Storage|Pro Storage 744|Second Class|3|3224.32|0.2|7738.37|4626.85|3111.52|Failed|Returned"/>
    <s v="Keep"/>
    <n v="1"/>
    <s v="Unique"/>
    <s v=""/>
    <n v="0.2"/>
    <n v="7738.3680000000013"/>
    <n v="3111.5180000000009"/>
    <n v="0.40208969126306743"/>
    <n v="1"/>
    <n v="2024"/>
    <b v="0"/>
    <b v="0"/>
    <x v="1"/>
    <s v="Failed payment excluded; Returned order excluded"/>
    <s v="Warning"/>
  </r>
  <r>
    <s v="ORD-2024-10640"/>
    <s v="12/27/2024"/>
    <x v="10"/>
    <d v="2024-12-27T00:00:00"/>
    <s v="31-12-2024"/>
    <d v="2024-12-31T00:00:00"/>
    <s v="OK"/>
    <n v="4"/>
    <s v="CUST-6829"/>
    <s v="Isha Nair"/>
    <s v="Isha Nair"/>
    <s v="Small Business"/>
    <x v="1"/>
    <s v="East"/>
    <x v="1"/>
    <s v="Odisha"/>
    <s v="Odisha"/>
    <s v="Bhubaneswar"/>
    <s v="Bhubaneswar"/>
    <s v="Furniture"/>
    <x v="1"/>
    <s v="Chairs"/>
    <x v="4"/>
    <s v="Elite Chairs 744"/>
    <s v="Second Class"/>
    <x v="0"/>
    <n v="1"/>
    <n v="1594.7"/>
    <n v="0.05"/>
    <n v="1514.96"/>
    <n v="1046.17"/>
    <n v="468.79"/>
    <s v="Paid"/>
    <x v="0"/>
    <s v="Completed"/>
    <x v="0"/>
    <s v="ORD-2024-10640|12-27-2024|31-12-2024|CUST-6829|Isha Nair|Small Business|East|Odisha|Bhubaneswar|Furniture|Chairs|Elite Chairs 744|Second Class|1|1594.7|0.05|1514.96|1046.17|468.79|Paid|Completed"/>
    <s v="Keep"/>
    <n v="1"/>
    <s v="Unique"/>
    <s v=""/>
    <n v="0.05"/>
    <n v="1514.9649999999999"/>
    <n v="468.79499999999985"/>
    <n v="0.3094427924077453"/>
    <n v="12"/>
    <n v="2024"/>
    <b v="0"/>
    <b v="0"/>
    <x v="0"/>
    <s v=""/>
    <s v="Clean"/>
  </r>
  <r>
    <s v="ORD-2025-10641"/>
    <s v="14-01-2025"/>
    <x v="14"/>
    <d v="2025-01-14T00:00:00"/>
    <s v="17 Jan 2025"/>
    <d v="2025-01-17T00:00:00"/>
    <s v="OK"/>
    <n v="3"/>
    <s v="CUST-5061"/>
    <s v="Vikram Iyer"/>
    <s v="Vikram Iyer"/>
    <s v="Consumer"/>
    <x v="0"/>
    <s v="West"/>
    <x v="3"/>
    <s v="Goa"/>
    <s v="Goa"/>
    <s v="Panaji"/>
    <s v="Panaji"/>
    <s v="Office Supplies"/>
    <x v="0"/>
    <s v="Storage"/>
    <x v="8"/>
    <s v="Basic Storage 973"/>
    <s v="First Class"/>
    <x v="2"/>
    <n v="1"/>
    <n v="1584.12"/>
    <n v="0.2"/>
    <n v="1267.3"/>
    <n v="923.53"/>
    <n v="343.77"/>
    <s v="Paid"/>
    <x v="0"/>
    <s v="Completed"/>
    <x v="0"/>
    <s v="ORD-2025-10641|14-01-2025|01-17-2025|CUST-5061|Vikram Iyer|Consumer|West|Goa|Panaji|Office Supplies|Storage|Basic Storage 973|First Class|1|1584.12|0.2|1267.3|923.53|343.77|Paid|Completed"/>
    <s v="Keep"/>
    <n v="1"/>
    <s v="Unique"/>
    <s v=""/>
    <n v="0.2"/>
    <n v="1267.296"/>
    <n v="343.76600000000008"/>
    <n v="0.27125943741635739"/>
    <n v="1"/>
    <n v="2025"/>
    <b v="0"/>
    <b v="0"/>
    <x v="0"/>
    <s v=""/>
    <s v="Clean"/>
  </r>
  <r>
    <s v="ORD-2025-10642"/>
    <s v="2025-04-09"/>
    <x v="6"/>
    <d v="2025-04-09T00:00:00"/>
    <s v="2025-04-14"/>
    <d v="2025-04-14T00:00:00"/>
    <s v="OK"/>
    <n v="5"/>
    <s v="CUST-7915"/>
    <s v="Karan Malhotra"/>
    <s v="Karan Malhotra"/>
    <s v="Consumer"/>
    <x v="0"/>
    <s v="North"/>
    <x v="0"/>
    <s v="Delhi"/>
    <s v="Delhi"/>
    <s v="New Delhi"/>
    <s v="New Delhi"/>
    <s v="Furniture"/>
    <x v="1"/>
    <s v="Furnishings"/>
    <x v="3"/>
    <s v="Smart Furnishings 783"/>
    <s v="Same Day"/>
    <x v="1"/>
    <n v="2"/>
    <n v="3202.87"/>
    <n v="0"/>
    <n v="6405.74"/>
    <n v="3561.87"/>
    <n v="2843.87"/>
    <s v="Paid"/>
    <x v="0"/>
    <s v="Completed"/>
    <x v="0"/>
    <s v="ORD-2025-10642|04-09-2025|04-14-2025|CUST-7915|Karan Malhotra|Consumer|North|Delhi|New Delhi|Furniture|Furnishings|Smart Furnishings 783|Same Day|2|3202.87|0|6405.74|3561.87|2843.87|Paid|Completed"/>
    <s v="Keep"/>
    <n v="1"/>
    <s v="Unique"/>
    <s v=""/>
    <n v="0"/>
    <n v="6405.74"/>
    <n v="2843.87"/>
    <n v="0.44395651400150488"/>
    <n v="4"/>
    <n v="2025"/>
    <b v="0"/>
    <b v="0"/>
    <x v="0"/>
    <s v=""/>
    <s v="Clean"/>
  </r>
  <r>
    <s v="ORD-2024-10643"/>
    <s v="08/29/2024"/>
    <x v="1"/>
    <d v="2024-08-29T00:00:00"/>
    <s v="08/31/2024"/>
    <d v="2024-08-31T00:00:00"/>
    <s v="OK"/>
    <n v="2"/>
    <s v="CUST-1940"/>
    <s v="Isha Nair"/>
    <s v="Isha Nair"/>
    <s v="Home Office"/>
    <x v="3"/>
    <s v="East"/>
    <x v="1"/>
    <s v="Assam"/>
    <s v="Assam"/>
    <s v="Guwahati"/>
    <s v="Guwahati"/>
    <s v="Office Supplies"/>
    <x v="0"/>
    <s v="Binders"/>
    <x v="9"/>
    <s v="Prime Binders 287"/>
    <s v="Second Class"/>
    <x v="0"/>
    <n v="9"/>
    <n v="1275.21"/>
    <n v="0.25"/>
    <n v="8607.67"/>
    <n v="5337.64"/>
    <n v="3270.03"/>
    <s v="Failed"/>
    <x v="3"/>
    <s v="Returned"/>
    <x v="2"/>
    <s v="ORD-2024-10643|08-29-2024|08-31-2024|CUST-1940|Isha Nair|Home Office|East|Assam|Guwahati|Office Supplies|binders|Prime Binders 287|Second Class|9|1275.21|0.25|8607.67|5337.64|3270.03|Failed|Returned"/>
    <s v="Keep"/>
    <n v="1"/>
    <s v="Unique"/>
    <s v=""/>
    <n v="0.25"/>
    <n v="8607.6674999999996"/>
    <n v="3270.0274999999992"/>
    <n v="0.37989705108846261"/>
    <n v="8"/>
    <n v="2024"/>
    <b v="0"/>
    <b v="0"/>
    <x v="1"/>
    <s v="Failed payment excluded; Returned order excluded"/>
    <s v="Warning"/>
  </r>
  <r>
    <s v="ORD-2024-10644"/>
    <s v="05-02-2024"/>
    <x v="17"/>
    <d v="2024-02-05T00:00:00"/>
    <s v="2024-02-13"/>
    <d v="2024-02-13T00:00:00"/>
    <s v="OK"/>
    <n v="8"/>
    <s v="CUST-1986"/>
    <s v="Aarav Sharma"/>
    <s v="Aarav Sharma"/>
    <s v="Home Office"/>
    <x v="3"/>
    <s v="North"/>
    <x v="0"/>
    <s v="Uttar Pradesh"/>
    <s v="Uttar Pradesh"/>
    <s v="Noida"/>
    <s v="Noida"/>
    <s v="Office Supplies"/>
    <x v="0"/>
    <s v="Labels"/>
    <x v="7"/>
    <s v="Elite Labels 654"/>
    <s v="Standard Class"/>
    <x v="3"/>
    <n v="8"/>
    <n v="3871.18"/>
    <n v="0.15"/>
    <n v="26324.02"/>
    <n v="16277.96"/>
    <n v="10046.06"/>
    <s v="Failed"/>
    <x v="3"/>
    <s v="Returned"/>
    <x v="2"/>
    <s v="ORD-2024-10644|05-02-2024|02-13-2024|CUST-1986|Aarav Sharma|Home Office|North|Uttar Pradesh|Noida|Office Supplies|Labels|Elite Labels 654|Standard Class|8|3871.18|0.15|26324.02|16277.96|10046.06|Failed|Returned"/>
    <s v="Keep"/>
    <n v="1"/>
    <s v="Unique"/>
    <s v=""/>
    <n v="0.15"/>
    <n v="26324.023999999998"/>
    <n v="10046.063999999998"/>
    <n v="0.3816310150758106"/>
    <n v="2"/>
    <n v="2024"/>
    <b v="0"/>
    <b v="0"/>
    <x v="1"/>
    <s v="Failed payment excluded; Returned order excluded"/>
    <s v="Warning"/>
  </r>
  <r>
    <s v="ORD-2025-10645"/>
    <s v="2025-04-10"/>
    <x v="6"/>
    <d v="2025-04-10T00:00:00"/>
    <s v="04/17/2025"/>
    <d v="2025-04-17T00:00:00"/>
    <s v="OK"/>
    <n v="7"/>
    <s v="CUST-5549"/>
    <s v="Vikram Iyer"/>
    <s v="Vikram Iyer"/>
    <s v="Consumer"/>
    <x v="0"/>
    <s v="East"/>
    <x v="1"/>
    <s v="West Bengal"/>
    <s v="West Bengal"/>
    <s v="Kolkata"/>
    <s v="Kolkata"/>
    <s v="Furniture"/>
    <x v="1"/>
    <s v="Chairs"/>
    <x v="4"/>
    <s v="Pro Chairs 812"/>
    <s v="Standard Class"/>
    <x v="3"/>
    <n v="4"/>
    <n v="3750.02"/>
    <n v="0.05"/>
    <n v="14250.08"/>
    <n v="10914.92"/>
    <n v="3335.16"/>
    <s v="Paid"/>
    <x v="0"/>
    <s v="Completed"/>
    <x v="0"/>
    <s v="ORD-2025-10645|04-10-2025|04-17-2025|CUST-5549|Vikram Iyer|Consumer|East|West Bengal|Kolkata|Furniture|Chairs|Pro Chairs 812|Standard Class|4|3750.02|0.05|14250.08|10914.92|3335.16|Paid|Completed"/>
    <s v="Keep"/>
    <n v="1"/>
    <s v="Unique"/>
    <s v=""/>
    <n v="0.05"/>
    <n v="14250.075999999999"/>
    <n v="3335.155999999999"/>
    <n v="0.23404478684885605"/>
    <n v="4"/>
    <n v="2025"/>
    <b v="0"/>
    <b v="0"/>
    <x v="0"/>
    <s v=""/>
    <s v="Clean"/>
  </r>
  <r>
    <s v="ORD-2024-10646"/>
    <s v="2024-01-04"/>
    <x v="12"/>
    <d v="2024-01-04T00:00:00"/>
    <s v="09-01-2024"/>
    <d v="2024-01-09T00:00:00"/>
    <s v="OK"/>
    <n v="5"/>
    <s v="CUST-2314"/>
    <s v="Kabir Singh"/>
    <s v="Kabir Singh"/>
    <s v="Consumer"/>
    <x v="0"/>
    <s v="East"/>
    <x v="1"/>
    <s v="Bihar"/>
    <s v="Bihar"/>
    <s v="Patna"/>
    <s v="Patna"/>
    <s v="Furniture"/>
    <x v="1"/>
    <s v="Chairs"/>
    <x v="4"/>
    <s v="Basic Chairs 480"/>
    <s v="Second Class"/>
    <x v="0"/>
    <n v="6"/>
    <n v="2423.61"/>
    <n v="0.1"/>
    <n v="13087.49"/>
    <n v="7608.89"/>
    <n v="5133.22"/>
    <s v="Paid"/>
    <x v="0"/>
    <s v="Completed"/>
    <x v="0"/>
    <s v="ORD-2024-10646|01-04-2024|09-01-2024|CUST-2314|Kabir Singh|Consumer|East|Bihar|Patna|Furniture|Chairs|Basic Chairs 480|Second Class|6|2423.61|0.1|13087.49|7608.89|5133.22|Paid|Completed"/>
    <s v="Keep"/>
    <n v="1"/>
    <s v="Unique"/>
    <s v=""/>
    <n v="0.1"/>
    <n v="13087.494000000001"/>
    <n v="5478.6040000000003"/>
    <n v="0.41861367806548755"/>
    <n v="1"/>
    <n v="2024"/>
    <b v="0"/>
    <b v="1"/>
    <x v="1"/>
    <s v="Profit mismatch"/>
    <s v="Invalid"/>
  </r>
  <r>
    <s v="ORD-2024-10647"/>
    <s v="09/18/2024"/>
    <x v="21"/>
    <d v="2024-09-18T00:00:00"/>
    <s v="24-09-2024"/>
    <d v="2024-09-24T00:00:00"/>
    <s v="OK"/>
    <n v="6"/>
    <s v="CUST-6360"/>
    <s v="Vikram Iyer"/>
    <s v="Vikram Iyer"/>
    <s v="Small Business"/>
    <x v="1"/>
    <s v="East"/>
    <x v="1"/>
    <s v="Jharkhand"/>
    <s v="Jharkhand"/>
    <s v="Ranchi"/>
    <s v="Ranchi"/>
    <s v="Technology"/>
    <x v="2"/>
    <s v="Machines"/>
    <x v="12"/>
    <s v="Elite Machines 955"/>
    <s v="First Class"/>
    <x v="2"/>
    <n v="3"/>
    <n v="729.14"/>
    <n v="0.25"/>
    <n v="1640.57"/>
    <n v="1136.98"/>
    <n v="503.59"/>
    <s v="Paid"/>
    <x v="0"/>
    <s v="Completed"/>
    <x v="0"/>
    <s v="ORD-2024-10647|09-18-2024|24-09-2024|CUST-6360|Vikram Iyer|Small Business|East|Jharkhand|Ranchi|Technology|Machines|Elite Machines 955|First Class|3|729.14|0.25|1640.57|1136.98|503.59|Paid|Completed"/>
    <s v="Keep"/>
    <n v="1"/>
    <s v="Unique"/>
    <s v=""/>
    <n v="0.25"/>
    <n v="1640.5650000000001"/>
    <n v="503.58500000000004"/>
    <n v="0.30695827352162214"/>
    <n v="9"/>
    <n v="2024"/>
    <b v="0"/>
    <b v="0"/>
    <x v="0"/>
    <s v=""/>
    <s v="Clean"/>
  </r>
  <r>
    <s v="ORD-2025-10648"/>
    <s v="01/01/2025"/>
    <x v="14"/>
    <d v="2025-01-01T00:00:00"/>
    <s v="09-01-2025"/>
    <d v="2025-01-09T00:00:00"/>
    <s v="OK"/>
    <n v="8"/>
    <s v="CUST-9942"/>
    <s v="Rohan  Mehta"/>
    <s v="Rohan Mehta"/>
    <s v="Small Business"/>
    <x v="1"/>
    <s v="North"/>
    <x v="0"/>
    <s v="Punjab"/>
    <s v="Punjab"/>
    <s v="Ludhiana"/>
    <s v="Ludhiana"/>
    <s v="Office Supplies"/>
    <x v="0"/>
    <s v="Art"/>
    <x v="2"/>
    <s v="Prime Art 461"/>
    <s v="First Class"/>
    <x v="2"/>
    <n v="8"/>
    <n v="2123.81"/>
    <n v="0.15"/>
    <n v="14441.91"/>
    <n v="10872.89"/>
    <n v="3569.02"/>
    <s v="Paid"/>
    <x v="0"/>
    <s v="Completed"/>
    <x v="0"/>
    <s v="ORD-2025-10648|01-01-2025|09-01-2025|CUST-9942|Rohan  Mehta|Small Business|North|Punjab|Ludhiana|Office Supplies|Art|Prime Art 461|First Class|8|2123.81|0.15|14441.91|10872.89|3569.02|Paid|Completed"/>
    <s v="Keep"/>
    <n v="1"/>
    <s v="Unique"/>
    <s v=""/>
    <n v="0.15"/>
    <n v="14441.907999999999"/>
    <n v="3569.018"/>
    <n v="0.24712925743606731"/>
    <n v="1"/>
    <n v="2025"/>
    <b v="0"/>
    <b v="0"/>
    <x v="0"/>
    <s v=""/>
    <s v="Clean"/>
  </r>
  <r>
    <s v="ORD-2024-10649"/>
    <s v="21-04-2024"/>
    <x v="19"/>
    <d v="2024-04-21T00:00:00"/>
    <s v="24 Apr 2024"/>
    <d v="2024-04-24T00:00:00"/>
    <s v="OK"/>
    <n v="3"/>
    <s v="CUST-1808"/>
    <s v="Neha Gupta"/>
    <s v="Neha Gupta"/>
    <s v="Small Business"/>
    <x v="1"/>
    <s v="South"/>
    <x v="2"/>
    <s v="Andhra Pradesh"/>
    <s v="Andhra Pradesh"/>
    <s v="Vijayawada"/>
    <s v="Vijayawada"/>
    <s v="Office Supplies"/>
    <x v="0"/>
    <s v="Art"/>
    <x v="2"/>
    <s v="Prime Art 301"/>
    <s v="Same Day"/>
    <x v="1"/>
    <n v="9"/>
    <n v="703.59"/>
    <n v="0.2"/>
    <n v="5065.8500000000004"/>
    <n v="3517.23"/>
    <n v="1548.62"/>
    <s v="Failed"/>
    <x v="3"/>
    <s v="Returned"/>
    <x v="2"/>
    <s v="ORD-2024-10649|21-04-2024|04-24-2024|CUST-1808|Neha Gupta|Small Business|South|Andhra Pradesh|Vijayawada|Office Supplies|Art|Prime Art 301|Same Day|9|703.59|0.2|5065.85|3517.23|1548.62|Failed|Returned"/>
    <s v="Keep"/>
    <n v="1"/>
    <s v="Unique"/>
    <s v=""/>
    <n v="0.2"/>
    <n v="5065.8480000000009"/>
    <n v="1548.6180000000008"/>
    <n v="0.30569768378364304"/>
    <n v="4"/>
    <n v="2024"/>
    <b v="0"/>
    <b v="0"/>
    <x v="1"/>
    <s v="Failed payment excluded; Returned order excluded"/>
    <s v="Warning"/>
  </r>
  <r>
    <s v="ORD-2025-10650"/>
    <s v="11 Aug 2025"/>
    <x v="4"/>
    <d v="2025-08-11T00:00:00"/>
    <s v="19-08-2025"/>
    <d v="2025-08-19T00:00:00"/>
    <s v="OK"/>
    <n v="8"/>
    <s v="CUST-7277"/>
    <s v="Kabir Singh"/>
    <s v="Kabir Singh"/>
    <s v="Small Business"/>
    <x v="1"/>
    <s v="South"/>
    <x v="2"/>
    <s v="Kerala"/>
    <s v="Kerala"/>
    <s v="Kochi"/>
    <s v="Kochi"/>
    <s v="Technology"/>
    <x v="2"/>
    <s v="Accessories"/>
    <x v="5"/>
    <s v="Classic Accessories 354"/>
    <s v="Standard Class"/>
    <x v="3"/>
    <n v="4"/>
    <n v="2258.96"/>
    <n v="0.25"/>
    <n v="6776.88"/>
    <n v="3836.24"/>
    <n v="2940.64"/>
    <s v="Paid"/>
    <x v="0"/>
    <s v="Completed"/>
    <x v="0"/>
    <s v="ORD-2025-10650|08-11-2025|19-08-2025|CUST-7277|Kabir Singh|Small Business|South|Kerala|Kochi|Technology|Accessories|Classic Accessories 354|Standard Class|4|2258.96|0.25|6776.88|3836.24|2940.64|Paid|Completed"/>
    <s v="Keep"/>
    <n v="1"/>
    <s v="Unique"/>
    <s v=""/>
    <n v="0.25"/>
    <n v="6776.88"/>
    <n v="2940.6400000000003"/>
    <n v="0.43392239496641527"/>
    <n v="8"/>
    <n v="2025"/>
    <b v="0"/>
    <b v="0"/>
    <x v="0"/>
    <s v=""/>
    <s v="Clean"/>
  </r>
  <r>
    <s v="ORD-2024-10651"/>
    <s v="04/13/2024"/>
    <x v="19"/>
    <d v="2024-04-13T00:00:00"/>
    <s v="21 Apr 2024"/>
    <d v="2024-04-21T00:00:00"/>
    <s v="OK"/>
    <n v="8"/>
    <s v="CUST-7744"/>
    <s v="Aarav Sharma"/>
    <s v="Aarav Sharma"/>
    <s v="Home Office"/>
    <x v="3"/>
    <s v="East"/>
    <x v="1"/>
    <s v="Bihar"/>
    <s v="Bihar"/>
    <s v="Patna"/>
    <s v="Patna"/>
    <s v="Technology"/>
    <x v="2"/>
    <s v="Accessories"/>
    <x v="5"/>
    <s v="Basic Accessories 210"/>
    <s v="Same Day"/>
    <x v="1"/>
    <n v="7"/>
    <n v="2648.76"/>
    <n v="0.15"/>
    <n v="15760.12"/>
    <n v="9931.5300000000007"/>
    <n v="5828.59"/>
    <s v="Failed"/>
    <x v="3"/>
    <s v="Returned"/>
    <x v="2"/>
    <s v="ORD-2024-10651|04-13-2024|04-21-2024|CUST-7744|Aarav Sharma|Home Office|East|Bihar|Patna|Technology|Accessories|Basic Accessories 210|Same Day|7|2648.76|0.15|15760.12|9931.53|5828.59|Failed|Returned"/>
    <s v="Keep"/>
    <n v="1"/>
    <s v="Unique"/>
    <s v=""/>
    <n v="0.15"/>
    <n v="15760.121999999999"/>
    <n v="5828.5919999999987"/>
    <n v="0.36983165485647884"/>
    <n v="4"/>
    <n v="2024"/>
    <b v="0"/>
    <b v="0"/>
    <x v="1"/>
    <s v="Failed payment excluded; Returned order excluded"/>
    <s v="Warning"/>
  </r>
  <r>
    <s v="ORD-2025-10652"/>
    <s v="06 Aug 2025"/>
    <x v="4"/>
    <d v="2025-08-06T00:00:00"/>
    <s v="09-08-2025"/>
    <d v="2025-08-09T00:00:00"/>
    <s v="OK"/>
    <n v="3"/>
    <s v="CUST-2660"/>
    <s v="Mira Das"/>
    <s v="Mira Das"/>
    <s v="Small Business"/>
    <x v="1"/>
    <s v="South"/>
    <x v="2"/>
    <s v="Andhra Pradesh"/>
    <s v="Andhra Pradesh"/>
    <s v="Vijayawada"/>
    <s v="Vijayawada"/>
    <s v="Office Supplies"/>
    <x v="0"/>
    <s v="Paper"/>
    <x v="0"/>
    <s v="Smart Paper 364"/>
    <s v="Second Class"/>
    <x v="0"/>
    <n v="3"/>
    <n v="598.54999999999995"/>
    <n v="0"/>
    <n v="1795.65"/>
    <n v="996.72"/>
    <n v="798.93"/>
    <s v="Paid"/>
    <x v="0"/>
    <s v="Completed"/>
    <x v="0"/>
    <s v="ORD-2025-10652|08-06-2025|09-08-2025|CUST-2660|Mira Das|Small Business|South|Andhra Pradesh|Vijayawada|Office Supplies|Paper|Smart Paper 364|Second Class|3|598.55|0|1795.65|996.72|798.93|Paid|Completed"/>
    <s v="Keep"/>
    <n v="1"/>
    <s v="Unique"/>
    <s v=""/>
    <n v="0"/>
    <n v="1795.6499999999999"/>
    <n v="798.92999999999984"/>
    <n v="0.44492523598696843"/>
    <n v="8"/>
    <n v="2025"/>
    <b v="0"/>
    <b v="0"/>
    <x v="0"/>
    <s v=""/>
    <s v="Clean"/>
  </r>
  <r>
    <s v="ORD-2025-10653"/>
    <s v="03/17/2025"/>
    <x v="20"/>
    <d v="2025-03-17T00:00:00"/>
    <s v="2025-03-21"/>
    <d v="2025-03-21T00:00:00"/>
    <s v="OK"/>
    <n v="4"/>
    <s v="CUST-8177"/>
    <s v="Sneha Kapoor"/>
    <s v="Sneha Kapoor"/>
    <s v="Consumer"/>
    <x v="0"/>
    <s v="North"/>
    <x v="0"/>
    <s v="Uttar Pradesh"/>
    <s v="Uttar Pradesh"/>
    <s v="Noida"/>
    <s v="Noida"/>
    <s v="Office Supplies"/>
    <x v="0"/>
    <s v="Binders"/>
    <x v="9"/>
    <s v="Smart Binders 999"/>
    <s v="Standard Class"/>
    <x v="3"/>
    <n v="5"/>
    <n v="4320.59"/>
    <n v="0.15"/>
    <n v="18362.509999999998"/>
    <n v="11133.97"/>
    <n v="7228.54"/>
    <s v="Paid"/>
    <x v="0"/>
    <s v="Completed"/>
    <x v="0"/>
    <s v="ORD-2025-10653|03-17-2025|03-21-2025|CUST-8177|Sneha Kapoor|Consumer|North|Uttar Pradesh|Noida|Office Supplies|Binders|Smart Binders 999|Standard Class|5|4320.59|0.15|18362.51|11133.97|7228.54|Paid|Completed"/>
    <s v="Keep"/>
    <n v="1"/>
    <s v="Unique"/>
    <s v=""/>
    <n v="0.15"/>
    <n v="18362.5075"/>
    <n v="7228.5375000000004"/>
    <n v="0.39365742941153326"/>
    <n v="3"/>
    <n v="2025"/>
    <b v="0"/>
    <b v="0"/>
    <x v="0"/>
    <s v=""/>
    <s v="Clean"/>
  </r>
  <r>
    <s v="ORD-2025-10654"/>
    <s v="04-04-2025"/>
    <x v="6"/>
    <d v="2025-04-04T00:00:00"/>
    <s v="04/07/2025"/>
    <d v="2025-04-07T00:00:00"/>
    <s v="OK"/>
    <n v="3"/>
    <s v="CUST-3970"/>
    <s v="Priya Menon"/>
    <s v="Priya Menon"/>
    <s v="Small Business"/>
    <x v="1"/>
    <s v="South"/>
    <x v="2"/>
    <s v="Tamil Nadu"/>
    <s v="Tamil Nadu"/>
    <s v="Chennai"/>
    <s v="Chennai"/>
    <s v="Technology"/>
    <x v="2"/>
    <s v="Copiers"/>
    <x v="6"/>
    <s v="Max Copiers 356"/>
    <s v="Second Class"/>
    <x v="0"/>
    <n v="7"/>
    <n v="4457.93"/>
    <n v="0.15"/>
    <n v="26524.68"/>
    <n v="20574.3"/>
    <n v="5950.38"/>
    <s v="Paid"/>
    <x v="0"/>
    <s v="Completed"/>
    <x v="0"/>
    <s v="ORD-2025-10654|04-04-2025|04-07-2025|CUST-3970|Priya Menon|Small Business|South|Tamil Nadu|Chennai|Technology|Copiers|Max Copiers 356|Second Class|7|4457.93|0.15|26524.68|20574.3|5950.38|Paid|Completed"/>
    <s v="Keep"/>
    <n v="1"/>
    <s v="Unique"/>
    <s v=""/>
    <n v="0.15"/>
    <n v="26524.683500000003"/>
    <n v="5950.3835000000036"/>
    <n v="0.22433381721595294"/>
    <n v="4"/>
    <n v="2025"/>
    <b v="0"/>
    <b v="0"/>
    <x v="0"/>
    <s v=""/>
    <s v="Clean"/>
  </r>
  <r>
    <s v="ORD-2025-10655"/>
    <s v="10/12/2025"/>
    <x v="11"/>
    <d v="2025-10-12T00:00:00"/>
    <s v="16-10-2025"/>
    <d v="2025-10-16T00:00:00"/>
    <s v="OK"/>
    <n v="4"/>
    <s v="CUST-8249"/>
    <s v="Diya Patel"/>
    <s v="Diya Patel"/>
    <s v="Corporate"/>
    <x v="2"/>
    <s v="East"/>
    <x v="1"/>
    <s v="Bihar"/>
    <s v="Bihar"/>
    <s v="Patna"/>
    <s v="Patna"/>
    <s v="Technology"/>
    <x v="2"/>
    <s v="Machines"/>
    <x v="12"/>
    <s v="Classic Machines 639"/>
    <s v="Same Day"/>
    <x v="1"/>
    <n v="1"/>
    <n v="2570.06"/>
    <n v="0.2"/>
    <n v="2056.0500000000002"/>
    <n v="1662.39"/>
    <n v="393.66"/>
    <s v="Paid"/>
    <x v="0"/>
    <s v="Completed"/>
    <x v="0"/>
    <s v="ORD-2025-10655|10-12-2025|16-10-2025|CUST-8249|Diya Patel|Corporate|East|Bihar|Patna|Technology|Machines|Classic Machines 639|Same Day|1|2570.06|0.2|2056.05|1662.39|393.66|Paid|Completed"/>
    <s v="Keep"/>
    <n v="1"/>
    <s v="Unique"/>
    <s v=""/>
    <n v="0.2"/>
    <n v="2056.0480000000002"/>
    <n v="393.65800000000013"/>
    <n v="0.19146342886936496"/>
    <n v="10"/>
    <n v="2025"/>
    <b v="0"/>
    <b v="0"/>
    <x v="0"/>
    <s v=""/>
    <s v="Clean"/>
  </r>
  <r>
    <s v="ORD-2025-10656"/>
    <s v="08/26/2025"/>
    <x v="4"/>
    <d v="2025-08-26T00:00:00"/>
    <s v="08/26/2025"/>
    <d v="2025-08-26T00:00:00"/>
    <s v="OK"/>
    <n v="0"/>
    <s v="CUST-8039"/>
    <s v="Neha Gupta"/>
    <s v="Neha Gupta"/>
    <s v="Home Office"/>
    <x v="3"/>
    <s v="East"/>
    <x v="1"/>
    <s v="West Bengal"/>
    <s v="West Bengal"/>
    <s v="Kolkata"/>
    <s v="Kolkata"/>
    <s v="Furniture"/>
    <x v="1"/>
    <s v="Furnishings"/>
    <x v="3"/>
    <s v="Smart Furnishings 748"/>
    <s v="Standard Class"/>
    <x v="3"/>
    <n v="4"/>
    <n v="2151.8200000000002"/>
    <n v="0"/>
    <n v="8607.2800000000007"/>
    <n v="5124.01"/>
    <n v="3483.27"/>
    <s v="Paid"/>
    <x v="0"/>
    <s v="Completed"/>
    <x v="0"/>
    <s v="ORD-2025-10656|08-26-2025|08-26-2025|CUST-8039|Neha Gupta|Home Office|East|West Bengal|Kolkata|Furniture|Furnishings|Smart Furnishings 748|Standard Class|4|2151.82|0|8607.28|5124.01|3483.27|Paid|Completed"/>
    <s v="Keep"/>
    <n v="1"/>
    <s v="Unique"/>
    <s v=""/>
    <n v="0"/>
    <n v="8607.2800000000007"/>
    <n v="3483.2700000000004"/>
    <n v="0.40468882155570635"/>
    <n v="8"/>
    <n v="2025"/>
    <b v="0"/>
    <b v="0"/>
    <x v="0"/>
    <s v=""/>
    <s v="Clean"/>
  </r>
  <r>
    <s v="ORD-2024-10657"/>
    <s v="07-05-2024"/>
    <x v="5"/>
    <d v="2024-05-07T00:00:00"/>
    <s v="05/14/2024"/>
    <d v="2024-05-14T00:00:00"/>
    <s v="OK"/>
    <n v="7"/>
    <s v="CUST-4446"/>
    <s v="Neha Gupta"/>
    <s v="Neha Gupta"/>
    <s v="Small Business"/>
    <x v="1"/>
    <s v="North"/>
    <x v="0"/>
    <s v="Haryana"/>
    <s v="Haryana"/>
    <s v="Gurugram"/>
    <s v="Gurugram"/>
    <s v="Technology"/>
    <x v="2"/>
    <s v="Machines"/>
    <x v="12"/>
    <s v="Pro Machines 589"/>
    <s v="Same Day"/>
    <x v="1"/>
    <n v="4"/>
    <n v="2751.1"/>
    <n v="-0.05"/>
    <n v="9903.9599999999991"/>
    <n v="7696.28"/>
    <n v="2207.6799999999998"/>
    <s v="Paid"/>
    <x v="0"/>
    <s v="Completed"/>
    <x v="0"/>
    <s v="ORD-2024-10657|07-05-2024|05-14-2024|CUST-4446|Neha Gupta|Small Business|North|Haryana|Gurugram|Technology|Machines|Pro Machines 589|Same Day|4|2751.1|-0.05|9903.96|7696.28|2207.68|Paid|Completed"/>
    <s v="Keep"/>
    <n v="1"/>
    <s v="Unique"/>
    <s v=""/>
    <n v="-0.05"/>
    <n v="11554.62"/>
    <n v="3858.3400000000011"/>
    <n v="0.33392184251840396"/>
    <n v="5"/>
    <n v="2024"/>
    <b v="1"/>
    <b v="1"/>
    <x v="1"/>
    <s v="Negative discount; Sales mismatch; Profit mismatch"/>
    <s v="Invalid"/>
  </r>
  <r>
    <s v="ORD-2025-10658"/>
    <s v="08/07/2025"/>
    <x v="4"/>
    <d v="2025-08-07T00:00:00"/>
    <s v="2025-08-10"/>
    <d v="2025-08-10T00:00:00"/>
    <s v="OK"/>
    <n v="3"/>
    <s v="CUST-7787"/>
    <s v="Aditi Sen"/>
    <s v="Aditi Sen"/>
    <s v="Home Office"/>
    <x v="3"/>
    <s v="East"/>
    <x v="1"/>
    <s v="Bihar"/>
    <s v="Bihar"/>
    <s v="Patna"/>
    <s v="Patna"/>
    <s v="Office Supplies"/>
    <x v="0"/>
    <s v="Storage"/>
    <x v="8"/>
    <s v="Eco Storage 316"/>
    <s v="Second Class"/>
    <x v="0"/>
    <n v="1"/>
    <n v="2541.25"/>
    <n v="0.2"/>
    <n v="2033"/>
    <n v="1291.4100000000001"/>
    <n v="741.59"/>
    <s v="Paid"/>
    <x v="0"/>
    <s v="Completed"/>
    <x v="0"/>
    <s v="ORD-2025-10658|08-07-2025|08-10-2025|CUST-7787|Aditi Sen|Home Office|East|Bihar|Patna|Office Supplies|Storage|Eco Storage 316|Second Class|1|2541.25|0.2|2033|1291.41|741.59|Paid|Completed"/>
    <s v="Keep"/>
    <n v="1"/>
    <s v="Unique"/>
    <s v=""/>
    <n v="0.2"/>
    <n v="2033"/>
    <n v="741.58999999999992"/>
    <n v="0.36477619281849477"/>
    <n v="8"/>
    <n v="2025"/>
    <b v="0"/>
    <b v="0"/>
    <x v="0"/>
    <s v=""/>
    <s v="Clean"/>
  </r>
  <r>
    <s v="ORD-2025-10659"/>
    <s v="2025-06-09"/>
    <x v="18"/>
    <d v="2025-06-09T00:00:00"/>
    <s v="06/12/2025"/>
    <d v="2025-06-12T00:00:00"/>
    <s v="OK"/>
    <n v="3"/>
    <s v="CUST-9074"/>
    <s v="Sneha Kapoor"/>
    <s v="Sneha Kapoor"/>
    <s v="Consumer"/>
    <x v="0"/>
    <m/>
    <x v="4"/>
    <s v="Bihar"/>
    <s v="Bihar"/>
    <s v="Patna"/>
    <s v="Patna"/>
    <s v="Office Supplies"/>
    <x v="0"/>
    <s v="Art"/>
    <x v="2"/>
    <s v="Eco Art 763"/>
    <s v="First Class"/>
    <x v="2"/>
    <n v="7"/>
    <n v="2852.42"/>
    <n v="0"/>
    <n v="19966.939999999999"/>
    <n v="12690.83"/>
    <n v="7276.11"/>
    <s v="Refunded"/>
    <x v="1"/>
    <s v="Cancelled"/>
    <x v="1"/>
    <s v="ORD-2025-10659|06-09-2025|06-12-2025|CUST-9074|Sneha Kapoor|Consumer||Bihar|Patna|Office Supplies|Art|Eco Art 763|First Class|7|2852.42|0|19966.94|12690.83|7276.11|Refunded|Cancelled"/>
    <s v="Keep"/>
    <n v="1"/>
    <s v="Unique"/>
    <s v=""/>
    <n v="0"/>
    <n v="19966.940000000002"/>
    <n v="7276.1100000000024"/>
    <n v="0.36440786620283339"/>
    <n v="6"/>
    <n v="2025"/>
    <b v="0"/>
    <b v="0"/>
    <x v="1"/>
    <s v="Missing region filled as Unknown; Refunded order summarized separately; Cancelled order excluded"/>
    <s v="Warning"/>
  </r>
  <r>
    <s v="ORD-2025-10660"/>
    <s v="21-01-2025"/>
    <x v="14"/>
    <d v="2025-01-21T00:00:00"/>
    <s v="2025-01-22"/>
    <d v="2025-01-22T00:00:00"/>
    <s v="OK"/>
    <n v="1"/>
    <s v="CUST-8330"/>
    <s v="Diya Patel"/>
    <s v="Diya Patel"/>
    <s v="Corporate"/>
    <x v="2"/>
    <s v="South"/>
    <x v="2"/>
    <s v="Karnataka"/>
    <s v="Karnataka"/>
    <s v="Bengaluru"/>
    <s v="Bengaluru"/>
    <s v="Technology"/>
    <x v="2"/>
    <s v="Phones"/>
    <x v="11"/>
    <s v="Pro Phones 356"/>
    <s v="Second Class"/>
    <x v="0"/>
    <n v="2"/>
    <n v="444.31"/>
    <n v="0.2"/>
    <n v="710.9"/>
    <n v="513.88"/>
    <n v="197.02"/>
    <s v="Refunded"/>
    <x v="1"/>
    <s v="Cancelled"/>
    <x v="1"/>
    <s v="ORD-2025-10660|21-01-2025|01-22-2025|CUST-8330|Diya Patel|Corporate|South|Karnataka|Bengaluru|Technology|Phones|Pro Phones 356|Second Class|2|444.31|0.2|710.9|513.88|197.02|Refunded|Cancelled"/>
    <s v="Keep"/>
    <n v="1"/>
    <s v="Unique"/>
    <s v=""/>
    <n v="0.2"/>
    <n v="710.89600000000007"/>
    <n v="197.01600000000008"/>
    <n v="0.27713758411919615"/>
    <n v="1"/>
    <n v="2025"/>
    <b v="0"/>
    <b v="0"/>
    <x v="1"/>
    <s v="Refunded order summarized separately; Cancelled order excluded"/>
    <s v="Warning"/>
  </r>
  <r>
    <s v="ORD-2025-10661"/>
    <s v="07/15/2025"/>
    <x v="13"/>
    <d v="2025-07-15T00:00:00"/>
    <s v="15-07-2025"/>
    <d v="2025-07-15T00:00:00"/>
    <s v="OK"/>
    <n v="0"/>
    <s v="CUST-5638"/>
    <s v="Arjun Bose"/>
    <s v="Arjun Bose"/>
    <s v="Small Business"/>
    <x v="1"/>
    <s v="East"/>
    <x v="1"/>
    <s v="Jharkhand"/>
    <s v="Jharkhand"/>
    <s v="Ranchi"/>
    <s v="Ranchi"/>
    <s v="Technology"/>
    <x v="2"/>
    <s v="Phones"/>
    <x v="11"/>
    <s v="Basic Phones 865"/>
    <s v="Same Day"/>
    <x v="1"/>
    <n v="4"/>
    <n v="4442.91"/>
    <n v="0.1"/>
    <n v="15994.48"/>
    <n v="9224.2800000000007"/>
    <n v="6770.2"/>
    <s v="Paid"/>
    <x v="0"/>
    <s v="Completed"/>
    <x v="0"/>
    <s v="ORD-2025-10661|07-15-2025|15-07-2025|CUST-5638|Arjun Bose|Small Business|East|Jharkhand|Ranchi|Technology|Phones|Basic Phones 865|Same Day|4|4442.91|0.1|15994.48|9224.28|6770.2|Paid|Completed"/>
    <s v="Keep"/>
    <n v="1"/>
    <s v="Unique"/>
    <s v=""/>
    <n v="0.1"/>
    <n v="15994.476000000001"/>
    <n v="6770.1959999999999"/>
    <n v="0.42328338858991066"/>
    <n v="7"/>
    <n v="2025"/>
    <b v="0"/>
    <b v="0"/>
    <x v="0"/>
    <s v=""/>
    <s v="Clean"/>
  </r>
  <r>
    <s v="ORD-2024-10662"/>
    <s v="17-05-2024"/>
    <x v="5"/>
    <d v="2024-05-17T00:00:00"/>
    <s v="2024-05-22"/>
    <d v="2024-05-22T00:00:00"/>
    <s v="OK"/>
    <n v="5"/>
    <s v="CUST-4537"/>
    <s v="Sneha Kapoor"/>
    <s v="Sneha Kapoor"/>
    <s v="Consumer"/>
    <x v="0"/>
    <s v="South"/>
    <x v="2"/>
    <s v="Andhra Pradesh"/>
    <s v="Andhra Pradesh"/>
    <s v="Vijayawada"/>
    <s v="Vijayawada"/>
    <s v="Technology"/>
    <x v="2"/>
    <s v="Machines"/>
    <x v="12"/>
    <s v="Max Machines 595"/>
    <s v="Second Class"/>
    <x v="0"/>
    <n v="7"/>
    <n v="232.5"/>
    <n v="0"/>
    <n v="1627.5"/>
    <n v="939.9"/>
    <n v="687.6"/>
    <s v="Paid"/>
    <x v="0"/>
    <s v="Completed"/>
    <x v="0"/>
    <s v="ORD-2024-10662|17-05-2024|05-22-2024|CUST-4537|Sneha Kapoor|Consumer|South|Andhra Pradesh|Vijayawada|Technology|Machines|Max Machines 595|Second Class|7|232.5|0|1627.5|939.9|687.6|Paid|Completed"/>
    <s v="Keep"/>
    <n v="1"/>
    <s v="Unique"/>
    <s v=""/>
    <n v="0"/>
    <n v="1627.5"/>
    <n v="687.6"/>
    <n v="0.4224884792626728"/>
    <n v="5"/>
    <n v="2024"/>
    <b v="0"/>
    <b v="0"/>
    <x v="0"/>
    <s v=""/>
    <s v="Clean"/>
  </r>
  <r>
    <s v="ORD-2024-10663"/>
    <s v="2024-01-14"/>
    <x v="12"/>
    <d v="2024-01-14T00:00:00"/>
    <s v="18-01-2024"/>
    <d v="2024-01-18T00:00:00"/>
    <s v="OK"/>
    <n v="4"/>
    <s v="CUST-3181"/>
    <s v="Mira Das"/>
    <s v="Mira Das"/>
    <s v="Home Office"/>
    <x v="3"/>
    <s v="West"/>
    <x v="3"/>
    <s v="Rajasthan"/>
    <s v="Rajasthan"/>
    <s v="Udaipur"/>
    <s v="Udaipur"/>
    <s v="Technology"/>
    <x v="2"/>
    <s v="Machines"/>
    <x v="12"/>
    <s v="Elite Machines 367"/>
    <s v="Same Day"/>
    <x v="1"/>
    <n v="6"/>
    <n v="1784.8"/>
    <n v="0.1"/>
    <n v="9637.92"/>
    <n v="7329.29"/>
    <n v="2308.63"/>
    <s v="Paid"/>
    <x v="0"/>
    <s v="Completed"/>
    <x v="0"/>
    <s v="ORD-2024-10663|01-14-2024|18-01-2024|CUST-3181|Mira Das|Home Office|West|Rajasthan|Udaipur|Technology|Machines|Elite Machines 367|Same Day|6|1784.8|0.1|9637.92|7329.29|2308.63|Paid|Completed"/>
    <s v="Keep"/>
    <n v="1"/>
    <s v="Unique"/>
    <s v=""/>
    <n v="0.1"/>
    <n v="9637.92"/>
    <n v="2308.63"/>
    <n v="0.2395361239769577"/>
    <n v="1"/>
    <n v="2024"/>
    <b v="0"/>
    <b v="0"/>
    <x v="0"/>
    <s v=""/>
    <s v="Clean"/>
  </r>
  <r>
    <s v="ORD-2024-10664"/>
    <s v="05/02/2024"/>
    <x v="5"/>
    <d v="2024-05-02T00:00:00"/>
    <s v="2024-05-08"/>
    <d v="2024-05-08T00:00:00"/>
    <s v="OK"/>
    <n v="6"/>
    <s v="CUST-1015"/>
    <s v="Rahul Verma"/>
    <s v="Rahul Verma"/>
    <s v="Home Office"/>
    <x v="3"/>
    <s v="East"/>
    <x v="1"/>
    <s v="Jharkhand"/>
    <s v="Jharkhand"/>
    <s v="Ranchi"/>
    <s v="Ranchi"/>
    <s v="Technology"/>
    <x v="2"/>
    <s v="Copiers"/>
    <x v="6"/>
    <s v="Basic Copiers 787"/>
    <s v="Second Class"/>
    <x v="0"/>
    <n v="2"/>
    <n v="3185.01"/>
    <n v="-0.24"/>
    <n v="4777.5200000000004"/>
    <n v="3152.98"/>
    <n v="1624.54"/>
    <s v="Paid"/>
    <x v="0"/>
    <s v="Completed"/>
    <x v="0"/>
    <s v="ORD-2024-10664|05-02-2024|05-08-2024|CUST-1015|Rahul Verma|Home Office|East|Jharkhand|Ranchi|Technology|Copiers|Basic Copiers 787|Second Class|2|3185.01|-0.24|4777.52|3152.98|1624.54|Paid|Completed"/>
    <s v="Keep"/>
    <n v="1"/>
    <s v="Unique"/>
    <s v=""/>
    <n v="-0.24"/>
    <n v="7898.8248000000003"/>
    <n v="4745.8448000000008"/>
    <n v="0.60082922715287979"/>
    <n v="5"/>
    <n v="2024"/>
    <b v="1"/>
    <b v="1"/>
    <x v="1"/>
    <s v="Negative discount; Sales mismatch; Profit mismatch"/>
    <s v="Invalid"/>
  </r>
  <r>
    <s v="ORD-2024-10665"/>
    <s v="07 Dec 2024"/>
    <x v="10"/>
    <d v="2024-12-07T00:00:00"/>
    <s v="10 Dec 2024"/>
    <d v="2024-12-10T00:00:00"/>
    <s v="OK"/>
    <n v="3"/>
    <s v="CUST-2709"/>
    <s v="Mira Das"/>
    <s v="Mira Das"/>
    <s v="Home Office"/>
    <x v="3"/>
    <s v="South"/>
    <x v="2"/>
    <s v="Telangana"/>
    <s v="Telangana"/>
    <s v="Hyderabad"/>
    <s v="Hyderabad"/>
    <s v="Technology"/>
    <x v="2"/>
    <s v="Accessories"/>
    <x v="5"/>
    <s v="Max Accessories 903"/>
    <s v="Standard Class"/>
    <x v="3"/>
    <n v="1"/>
    <n v="1908.83"/>
    <n v="0.2"/>
    <n v="1527.06"/>
    <n v="1055.8900000000001"/>
    <n v="471.17"/>
    <s v="Paid"/>
    <x v="0"/>
    <s v="Completed"/>
    <x v="0"/>
    <s v="ORD-2024-10665|12-07-2024|12-10-2024|CUST-2709|Mira Das|Home Office|South|Telangana|Hyderabad|Technology|Accessories|Max Accessories 903|Standard Class|1|1908.83|0.2|1527.06|1055.89|471.17|Paid|Completed"/>
    <s v="Keep"/>
    <n v="1"/>
    <s v="Unique"/>
    <s v=""/>
    <n v="0.2"/>
    <n v="1527.0640000000001"/>
    <n v="471.17399999999998"/>
    <n v="0.30854895407134209"/>
    <n v="12"/>
    <n v="2024"/>
    <b v="0"/>
    <b v="0"/>
    <x v="0"/>
    <s v=""/>
    <s v="Clean"/>
  </r>
  <r>
    <s v="ORD-2025-10666"/>
    <s v="2025-01-13"/>
    <x v="14"/>
    <d v="2025-01-13T00:00:00"/>
    <s v="01/13/2025"/>
    <d v="2025-01-13T00:00:00"/>
    <s v="OK"/>
    <n v="0"/>
    <s v="CUST-1197"/>
    <s v="  Rahul Verma "/>
    <s v="Rahul Verma"/>
    <s v="Home Office"/>
    <x v="3"/>
    <s v="West"/>
    <x v="3"/>
    <s v="Gujarat"/>
    <s v="Gujarat"/>
    <s v="Ahmedabad"/>
    <s v="Ahmedabad"/>
    <s v="Office Supplies"/>
    <x v="0"/>
    <s v="Art"/>
    <x v="2"/>
    <s v="Max Art 660"/>
    <s v="Standard Class"/>
    <x v="3"/>
    <n v="3"/>
    <n v="2110.52"/>
    <n v="0.1"/>
    <n v="5698.4"/>
    <n v="3640.89"/>
    <n v="2057.5100000000002"/>
    <s v="Failed"/>
    <x v="3"/>
    <s v="Cancelled"/>
    <x v="1"/>
    <s v="ORD-2025-10666|01-13-2025|01-13-2025|CUST-1197|  Rahul Verma |Home Office|West|Gujarat|Ahmedabad|Office Supplies|Art|Max Art 660|Standard Class|3|2110.52|0.1|5698.4|3640.89|2057.51|Failed|Cancelled"/>
    <s v="Keep"/>
    <n v="1"/>
    <s v="Unique"/>
    <s v=""/>
    <n v="0.1"/>
    <n v="5698.4039999999995"/>
    <n v="2057.5139999999997"/>
    <n v="0.36106846759197836"/>
    <n v="1"/>
    <n v="2025"/>
    <b v="0"/>
    <b v="0"/>
    <x v="1"/>
    <s v="Failed payment excluded; Cancelled order excluded"/>
    <s v="Warning"/>
  </r>
  <r>
    <s v="ORD-2024-10667"/>
    <s v="21 Jun 2024"/>
    <x v="2"/>
    <d v="2024-06-21T00:00:00"/>
    <s v="06/26/2024"/>
    <d v="2024-06-26T00:00:00"/>
    <s v="OK"/>
    <n v="5"/>
    <s v="CUST-7758"/>
    <s v="Rohan Mehta"/>
    <s v="Rohan Mehta"/>
    <s v="Small Business"/>
    <x v="1"/>
    <s v="North"/>
    <x v="0"/>
    <s v="Punjab"/>
    <s v="Punjab"/>
    <s v="Ludhiana"/>
    <s v="Ludhiana"/>
    <s v="Technology"/>
    <x v="2"/>
    <s v="Copiers"/>
    <x v="6"/>
    <s v="Classic Copiers 908"/>
    <s v="Same Day"/>
    <x v="1"/>
    <n v="1"/>
    <n v="279.83"/>
    <n v="0.05"/>
    <n v="265.83999999999997"/>
    <n v="223.49"/>
    <n v="42.35"/>
    <s v="Paid"/>
    <x v="0"/>
    <s v="Completed"/>
    <x v="0"/>
    <s v="ORD-2024-10667|06-21-2024|06-26-2024|CUST-7758|Rohan Mehta|Small Business|North|Punjab|Ludhiana|Technology|Copiers|Classic Copiers 908|Same Day|1|279.83|0.05|265.84|223.49|42.35|Paid|Completed"/>
    <s v="Keep"/>
    <n v="1"/>
    <s v="Unique"/>
    <s v=""/>
    <n v="0.05"/>
    <n v="265.83849999999995"/>
    <n v="42.348499999999945"/>
    <n v="0.15930160605028976"/>
    <n v="6"/>
    <n v="2024"/>
    <b v="0"/>
    <b v="0"/>
    <x v="0"/>
    <s v=""/>
    <s v="Clean"/>
  </r>
  <r>
    <s v="ORD-2025-10668"/>
    <s v="20-05-2025"/>
    <x v="9"/>
    <d v="2025-05-20T00:00:00"/>
    <s v="27-05-2025"/>
    <d v="2025-05-27T00:00:00"/>
    <s v="OK"/>
    <n v="7"/>
    <s v="CUST-3912"/>
    <s v="Diya Patel"/>
    <s v="Diya Patel"/>
    <s v="Small Business"/>
    <x v="1"/>
    <s v="East"/>
    <x v="1"/>
    <s v="Bihar"/>
    <s v="Bihar"/>
    <s v="Patna"/>
    <s v="Patna"/>
    <s v="Technology"/>
    <x v="2"/>
    <s v="Machines"/>
    <x v="12"/>
    <s v="Pro Machines 706"/>
    <s v="Standard Class"/>
    <x v="3"/>
    <n v="1"/>
    <n v="3959.14"/>
    <n v="0"/>
    <n v="3959.14"/>
    <n v="3239.53"/>
    <n v="719.61"/>
    <s v="Pending"/>
    <x v="2"/>
    <s v="Returned"/>
    <x v="2"/>
    <s v="ORD-2025-10668|20-05-2025|27-05-2025|CUST-3912|Diya Patel|Small Business|East|Bihar|Patna|Technology|Machines|Pro Machines 706|Standard Class|1|3959.14|0|3959.14|3239.53|719.61|Pending|Returned"/>
    <s v="Keep"/>
    <n v="1"/>
    <s v="Unique"/>
    <s v=""/>
    <n v="0"/>
    <n v="3959.14"/>
    <n v="719.60999999999967"/>
    <n v="0.18175916992074029"/>
    <n v="5"/>
    <n v="2025"/>
    <b v="0"/>
    <b v="0"/>
    <x v="1"/>
    <s v="Returned order excluded"/>
    <s v="Warning"/>
  </r>
  <r>
    <s v="ORD-2024-10669"/>
    <s v="11/21/2024"/>
    <x v="3"/>
    <d v="2024-11-21T00:00:00"/>
    <s v="23 Nov 2024"/>
    <d v="2024-11-23T00:00:00"/>
    <s v="OK"/>
    <n v="2"/>
    <s v="CUST-4190"/>
    <s v="Mira Das"/>
    <s v="Mira Das"/>
    <s v="Corporate"/>
    <x v="2"/>
    <s v="West"/>
    <x v="3"/>
    <s v="Gujarat"/>
    <s v="Gujarat"/>
    <s v="Ahmedabad"/>
    <s v="Ahmedabad"/>
    <s v="Office Supplies"/>
    <x v="0"/>
    <s v="Paper"/>
    <x v="0"/>
    <s v="Pro Paper 187"/>
    <s v="Second Class"/>
    <x v="0"/>
    <n v="5"/>
    <n v="600.46"/>
    <n v="0.2"/>
    <n v="2401.84"/>
    <n v="1873.11"/>
    <n v="528.73"/>
    <s v="Paid"/>
    <x v="0"/>
    <s v="Completed"/>
    <x v="0"/>
    <s v="ORD-2024-10669|11-21-2024|11-23-2024|CUST-4190|Mira Das|Corporate|West|Gujarat|Ahmedabad|Office Supplies|Paper|Pro Paper 187|Second Class|5|600.46|0.2|2401.84|1873.11|528.73|Paid|Completed"/>
    <s v="Keep"/>
    <n v="1"/>
    <s v="Unique"/>
    <s v=""/>
    <n v="0.2"/>
    <n v="2401.84"/>
    <n v="528.73000000000025"/>
    <n v="0.22013539619624964"/>
    <n v="11"/>
    <n v="2024"/>
    <b v="0"/>
    <b v="0"/>
    <x v="0"/>
    <s v=""/>
    <s v="Clean"/>
  </r>
  <r>
    <s v="ORD-2024-10670"/>
    <s v="2024-03-24"/>
    <x v="15"/>
    <d v="2024-03-24T00:00:00"/>
    <s v="01 Apr 2024"/>
    <d v="2024-04-01T00:00:00"/>
    <s v="OK"/>
    <n v="8"/>
    <s v="CUST-7568"/>
    <s v="Ananya Rao"/>
    <s v="Ananya Rao"/>
    <s v="Home Office"/>
    <x v="3"/>
    <s v="West"/>
    <x v="3"/>
    <s v="Maharashtra"/>
    <s v="Maharashtra"/>
    <s v="Mumbai"/>
    <s v="Mumbai"/>
    <s v="Furniture"/>
    <x v="1"/>
    <s v="Tables"/>
    <x v="1"/>
    <s v="Classic Tables 606"/>
    <s v="Second Class"/>
    <x v="0"/>
    <n v="4"/>
    <n v="1700.72"/>
    <n v="0.25"/>
    <n v="5102.16"/>
    <n v="3226.45"/>
    <n v="1875.71"/>
    <s v="Paid"/>
    <x v="0"/>
    <s v="Completed"/>
    <x v="0"/>
    <s v="ORD-2024-10670|03-24-2024|04-01-2024|CUST-7568|Ananya Rao|Home Office|West|Maharashtra|Mumbai|Furniture|Tables|Classic Tables 606|Second Class|4|1700.72|0.25|5102.16|3226.45|1875.71|Paid|Completed"/>
    <s v="Keep"/>
    <n v="1"/>
    <s v="Unique"/>
    <s v=""/>
    <n v="0.25"/>
    <n v="5102.16"/>
    <n v="1875.71"/>
    <n v="0.36763057214983458"/>
    <n v="3"/>
    <n v="2024"/>
    <b v="0"/>
    <b v="0"/>
    <x v="0"/>
    <s v=""/>
    <s v="Clean"/>
  </r>
  <r>
    <s v="ORD-2025-10671"/>
    <s v="02/02/2025"/>
    <x v="7"/>
    <d v="2025-02-02T00:00:00"/>
    <s v="06 Feb 2025"/>
    <d v="2025-02-06T00:00:00"/>
    <s v="OK"/>
    <n v="4"/>
    <s v="CUST-5604"/>
    <s v="Sneha Kapoor"/>
    <s v="Sneha Kapoor"/>
    <s v="Corporate "/>
    <x v="2"/>
    <s v="North"/>
    <x v="0"/>
    <s v="Uttar Pradesh"/>
    <s v="Uttar Pradesh"/>
    <s v="Noida"/>
    <s v="Noida"/>
    <s v="Furniture"/>
    <x v="1"/>
    <s v="Tables"/>
    <x v="1"/>
    <s v="Smart Tables 835"/>
    <s v="Standard Class"/>
    <x v="3"/>
    <n v="8"/>
    <n v="857.86"/>
    <n v="0.1"/>
    <n v="6176.59"/>
    <n v="3560.96"/>
    <n v="2615.63"/>
    <s v="Paid"/>
    <x v="0"/>
    <s v="Completed"/>
    <x v="0"/>
    <s v="ORD-2025-10671|02-02-2025|02-06-2025|CUST-5604|Sneha Kapoor|Corporate |North|Uttar Pradesh|Noida|Furniture|Tables|Smart Tables 835|Standard Class|8|857.86|0.1|6176.59|3560.96|2615.63|Paid|Completed"/>
    <s v="Keep"/>
    <n v="1"/>
    <s v="Unique"/>
    <s v=""/>
    <n v="0.1"/>
    <n v="6176.5920000000006"/>
    <n v="2615.6320000000005"/>
    <n v="0.42347495188285067"/>
    <n v="2"/>
    <n v="2025"/>
    <b v="0"/>
    <b v="0"/>
    <x v="0"/>
    <s v=""/>
    <s v="Clean"/>
  </r>
  <r>
    <s v="ORD-2024-10672"/>
    <s v="2024-03-22"/>
    <x v="15"/>
    <d v="2024-03-22T00:00:00"/>
    <s v="27-03-2024"/>
    <d v="2024-03-27T00:00:00"/>
    <s v="OK"/>
    <n v="5"/>
    <s v="CUST-3293"/>
    <s v="Aditi Sen"/>
    <s v="Aditi Sen"/>
    <s v="Home Office"/>
    <x v="3"/>
    <s v="West"/>
    <x v="3"/>
    <s v="Goa"/>
    <s v="Goa"/>
    <s v="Panaji"/>
    <s v="Panaji"/>
    <s v="Technology"/>
    <x v="2"/>
    <s v="Copiers"/>
    <x v="6"/>
    <s v="Classic Copiers 583"/>
    <s v="Second Class"/>
    <x v="0"/>
    <n v="9"/>
    <n v="3649.51"/>
    <n v="0.05"/>
    <n v="31203.31"/>
    <n v="17738.13"/>
    <n v="13465.18"/>
    <s v="Paid"/>
    <x v="0"/>
    <s v="Completed"/>
    <x v="0"/>
    <s v="ORD-2024-10672|03-22-2024|27-03-2024|CUST-3293|Aditi Sen|Home Office|West|Goa|Panaji|Technology|COPIERS|Classic Copiers 583|Second Class|9|3649.51|0.05|31203.31|17738.13|13465.18|Paid|Completed"/>
    <s v="Keep"/>
    <n v="1"/>
    <s v="Unique"/>
    <s v=""/>
    <n v="0.05"/>
    <n v="31203.310500000003"/>
    <n v="13465.180500000002"/>
    <n v="0.43153051020019179"/>
    <n v="3"/>
    <n v="2024"/>
    <b v="0"/>
    <b v="0"/>
    <x v="0"/>
    <s v=""/>
    <s v="Clean"/>
  </r>
  <r>
    <s v="ORD-2024-10673"/>
    <s v="2024-09-04"/>
    <x v="21"/>
    <d v="2024-09-04T00:00:00"/>
    <s v="2024-09-05"/>
    <d v="2024-09-05T00:00:00"/>
    <s v="OK"/>
    <n v="1"/>
    <s v="CUST-8180"/>
    <s v="Aditi Sen"/>
    <s v="Aditi Sen"/>
    <s v="Corporate"/>
    <x v="2"/>
    <s v="West"/>
    <x v="3"/>
    <s v="Madhya Pradesh"/>
    <s v="Madhya Pradesh"/>
    <s v="Indore"/>
    <s v="Indore"/>
    <s v="Furniture"/>
    <x v="1"/>
    <s v="Chairs"/>
    <x v="4"/>
    <s v="Classic Chairs 460"/>
    <s v="Standard Class"/>
    <x v="3"/>
    <n v="5"/>
    <n v="2528.5300000000002"/>
    <n v="0.05"/>
    <n v="12010.52"/>
    <n v="7864.61"/>
    <n v="4145.91"/>
    <s v="Paid"/>
    <x v="0"/>
    <s v="Returned"/>
    <x v="2"/>
    <s v="ORD-2024-10673|09-04-2024|09-05-2024|CUST-8180|Aditi Sen|Corporate|West|Madhya Pradesh|Indore|Furniture|Chairs|Classic Chairs 460|Standard Class|5|2528.53|0.05|12010.52|7864.61|4145.91|Paid|Returned"/>
    <s v="Keep"/>
    <n v="1"/>
    <s v="Unique"/>
    <s v=""/>
    <n v="0.05"/>
    <n v="12010.5175"/>
    <n v="4145.9075000000003"/>
    <n v="0.34518974723612039"/>
    <n v="9"/>
    <n v="2024"/>
    <b v="0"/>
    <b v="0"/>
    <x v="1"/>
    <s v="Returned order excluded"/>
    <s v="Warning"/>
  </r>
  <r>
    <s v="ORD-2025-10674"/>
    <s v="2025-02-13"/>
    <x v="7"/>
    <d v="2025-02-13T00:00:00"/>
    <s v="16 Feb 2025"/>
    <d v="2025-02-16T00:00:00"/>
    <s v="OK"/>
    <n v="3"/>
    <s v="CUST-2807"/>
    <s v="Arjun Bose"/>
    <s v="Arjun Bose"/>
    <s v="Small Business"/>
    <x v="1"/>
    <s v="West"/>
    <x v="3"/>
    <s v="Rajasthan"/>
    <s v="Rajasthan"/>
    <s v="Udaipur"/>
    <s v="Udaipur"/>
    <s v="Furniture"/>
    <x v="1"/>
    <s v="Bookcases"/>
    <x v="10"/>
    <s v="Classic Bookcases 488"/>
    <s v="Second Class"/>
    <x v="0"/>
    <n v="4"/>
    <n v="4072.9"/>
    <n v="0.15"/>
    <n v="13847.86"/>
    <n v="8471.7800000000007"/>
    <n v="5376.08"/>
    <s v="Paid"/>
    <x v="0"/>
    <s v="Completed"/>
    <x v="0"/>
    <s v="ORD-2025-10674|02-13-2025|02-16-2025|CUST-2807|Arjun Bose|Small Business|West|Rajasthan|Udaipur|Furniture|Bookcases|Classic Bookcases 488|Second Class|4|4072.9|0.15|13847.86|8471.78|5376.08|Paid|Completed"/>
    <s v="Keep"/>
    <n v="1"/>
    <s v="Unique"/>
    <s v=""/>
    <n v="0.15"/>
    <n v="13847.86"/>
    <n v="5376.08"/>
    <n v="0.38822460654570451"/>
    <n v="2"/>
    <n v="2025"/>
    <b v="0"/>
    <b v="0"/>
    <x v="0"/>
    <s v=""/>
    <s v="Clean"/>
  </r>
  <r>
    <s v="ORD-2024-10675"/>
    <s v="2024-05-18"/>
    <x v="5"/>
    <d v="2024-05-18T00:00:00"/>
    <s v="2024-05-21"/>
    <d v="2024-05-21T00:00:00"/>
    <s v="OK"/>
    <n v="3"/>
    <s v="CUST-4081"/>
    <s v="Vikram Iyer"/>
    <s v="Vikram Iyer"/>
    <s v="Corporate"/>
    <x v="2"/>
    <s v="East"/>
    <x v="1"/>
    <s v="Jharkhand"/>
    <s v="Jharkhand"/>
    <s v="Ranchi"/>
    <s v="Ranchi"/>
    <s v="Technology"/>
    <x v="2"/>
    <s v="Accessories"/>
    <x v="5"/>
    <s v="Basic Accessories 944"/>
    <s v="Second Class"/>
    <x v="0"/>
    <n v="1"/>
    <n v="1033.71"/>
    <n v="0"/>
    <n v="1033.71"/>
    <n v="630.82000000000005"/>
    <n v="402.89"/>
    <s v="Pending"/>
    <x v="2"/>
    <s v="Returned"/>
    <x v="2"/>
    <s v="ORD-2024-10675|05-18-2024|05-21-2024|CUST-4081|Vikram Iyer|Corporate|East|Jharkhand|Ranchi|Technology|Accessories|Basic Accessories 944|Second Class|1|1033.71|0|1033.71|630.82|402.89|Pending|Returned"/>
    <s v="Keep"/>
    <n v="1"/>
    <s v="Unique"/>
    <s v=""/>
    <n v="0"/>
    <n v="1033.71"/>
    <n v="402.89"/>
    <n v="0.38975147768716562"/>
    <n v="5"/>
    <n v="2024"/>
    <b v="0"/>
    <b v="0"/>
    <x v="1"/>
    <s v="Returned order excluded"/>
    <s v="Warning"/>
  </r>
  <r>
    <s v="ORD-2025-10676"/>
    <s v="07-06-2025"/>
    <x v="18"/>
    <d v="2025-06-07T00:00:00"/>
    <s v="06/10/2025"/>
    <d v="2025-06-10T00:00:00"/>
    <s v="OK"/>
    <n v="3"/>
    <s v="CUST-5061"/>
    <s v="Aarav Sharma"/>
    <s v="Aarav Sharma"/>
    <s v="Consumer"/>
    <x v="0"/>
    <s v="North"/>
    <x v="0"/>
    <s v="Rajasthan"/>
    <s v="Rajasthan"/>
    <s v="Jaipur"/>
    <s v="Jaipur"/>
    <s v="Furniture"/>
    <x v="1"/>
    <s v="Furnishings"/>
    <x v="3"/>
    <s v="Eco Furnishings 217"/>
    <s v="Same Day"/>
    <x v="1"/>
    <n v="3"/>
    <n v="963.26"/>
    <n v="0"/>
    <n v="2889.78"/>
    <n v="1811.23"/>
    <n v="1078.55"/>
    <s v="Paid"/>
    <x v="0"/>
    <s v="Completed"/>
    <x v="0"/>
    <s v="ORD-2025-10676|07-06-2025|06-10-2025|CUST-5061|Aarav Sharma|Consumer|North|Rajasthan|Jaipur|Furniture|Furnishings|Eco Furnishings 217|Same Day|3|963.26|0|2889.78|1811.23|1078.55|Paid|Completed"/>
    <s v="Keep"/>
    <n v="1"/>
    <s v="Unique"/>
    <s v=""/>
    <n v="0"/>
    <n v="2889.7799999999997"/>
    <n v="1078.5499999999997"/>
    <n v="0.37322910394562903"/>
    <n v="6"/>
    <n v="2025"/>
    <b v="0"/>
    <b v="0"/>
    <x v="0"/>
    <s v=""/>
    <s v="Clean"/>
  </r>
  <r>
    <s v="ORD-2025-10677"/>
    <s v="09/11/2025"/>
    <x v="8"/>
    <d v="2025-09-11T00:00:00"/>
    <s v="09/18/2025"/>
    <d v="2025-09-18T00:00:00"/>
    <s v="OK"/>
    <n v="7"/>
    <s v="CUST-9212"/>
    <s v="Rahul Verma"/>
    <s v="Rahul Verma"/>
    <s v="Small Business"/>
    <x v="1"/>
    <s v="North"/>
    <x v="0"/>
    <s v="Delhi"/>
    <s v="Delhi"/>
    <s v="New Delhi"/>
    <s v="New Delhi"/>
    <s v="Technology"/>
    <x v="2"/>
    <s v="Phones"/>
    <x v="11"/>
    <s v="Smart Phones 967"/>
    <s v="Same Day"/>
    <x v="1"/>
    <n v="7"/>
    <n v="3411.21"/>
    <n v="0.15"/>
    <n v="20296.7"/>
    <n v="14920.87"/>
    <n v="5375.83"/>
    <s v="Paid"/>
    <x v="0"/>
    <s v="Completed"/>
    <x v="0"/>
    <s v="ORD-2025-10677|09-11-2025|09-18-2025|CUST-9212|Rahul Verma|Small Business|North|Delhi|New Delhi|Technology|Phones|Smart Phones 967|Same Day|7|3411.21|0.15|20296.7|14920.87|5375.83|Paid|Completed"/>
    <s v="Keep"/>
    <n v="1"/>
    <s v="Unique"/>
    <s v=""/>
    <n v="0.15"/>
    <n v="20296.699499999999"/>
    <n v="5375.829499999998"/>
    <n v="0.26486225014071862"/>
    <n v="9"/>
    <n v="2025"/>
    <b v="0"/>
    <b v="0"/>
    <x v="0"/>
    <s v=""/>
    <s v="Clean"/>
  </r>
  <r>
    <s v="ORD-2024-10678"/>
    <s v="2024-06-22"/>
    <x v="2"/>
    <d v="2024-06-22T00:00:00"/>
    <s v="27-06-2024"/>
    <d v="2024-06-27T00:00:00"/>
    <s v="OK"/>
    <n v="5"/>
    <s v="CUST-4655"/>
    <s v="Isha Nair"/>
    <s v="Isha Nair"/>
    <s v="Home Office"/>
    <x v="3"/>
    <s v="South"/>
    <x v="2"/>
    <s v="Karnataka"/>
    <s v="Karnataka"/>
    <s v="Bengaluru"/>
    <s v="Bengaluru"/>
    <s v="Furniture"/>
    <x v="1"/>
    <s v="Chairs"/>
    <x v="4"/>
    <s v="Smart Chairs 610"/>
    <s v="Same Day"/>
    <x v="1"/>
    <n v="7"/>
    <n v="2623.48"/>
    <n v="0"/>
    <n v="18364.36"/>
    <n v="15445.81"/>
    <n v="2918.55"/>
    <s v="Paid"/>
    <x v="0"/>
    <s v="Completed"/>
    <x v="0"/>
    <s v="ORD-2024-10678|06-22-2024|27-06-2024|CUST-4655|Isha Nair|Home Office|South|Karnataka|Bengaluru|Furniture|Chairs|Smart Chairs 610|Same Day|7|2623.48|0|18364.36|15445.81|2918.55|Paid|Completed"/>
    <s v="Keep"/>
    <n v="1"/>
    <s v="Unique"/>
    <s v=""/>
    <n v="0"/>
    <n v="18364.36"/>
    <n v="2918.5500000000011"/>
    <n v="0.15892467801763857"/>
    <n v="6"/>
    <n v="2024"/>
    <b v="0"/>
    <b v="0"/>
    <x v="0"/>
    <s v=""/>
    <s v="Clean"/>
  </r>
  <r>
    <s v="ORD-2024-10679"/>
    <s v="24-11-2024"/>
    <x v="3"/>
    <d v="2024-11-24T00:00:00"/>
    <s v="12/01/2024"/>
    <d v="2024-12-01T00:00:00"/>
    <s v="OK"/>
    <n v="7"/>
    <s v="CUST-1674"/>
    <s v="Kabir Singh"/>
    <s v="Kabir Singh"/>
    <s v="Corporate"/>
    <x v="2"/>
    <s v="South"/>
    <x v="2"/>
    <s v="Karnataka"/>
    <s v="Karnataka"/>
    <s v="Bengaluru"/>
    <s v="Bengaluru"/>
    <s v="Furniture"/>
    <x v="1"/>
    <s v="Tables"/>
    <x v="1"/>
    <s v="Prime Tables 123"/>
    <s v="Second Class"/>
    <x v="0"/>
    <n v="9"/>
    <n v="2763.61"/>
    <n v="0.15"/>
    <n v="21141.62"/>
    <n v="11676.33"/>
    <n v="9465.2900000000009"/>
    <s v="Paid"/>
    <x v="0"/>
    <s v="Completed"/>
    <x v="0"/>
    <s v="ORD-2024-10679|24-11-2024|12-01-2024|CUST-1674|Kabir Singh|Corporate|South|Karnataka|Bengaluru|Furniture|Tables|Prime Tables 123|Second Class|9|2763.61|0.15|21141.62|11676.33|9465.29|Paid|Completed"/>
    <s v="Keep"/>
    <n v="1"/>
    <s v="Unique"/>
    <s v=""/>
    <n v="0.15"/>
    <n v="21141.6165"/>
    <n v="9465.2865000000002"/>
    <n v="0.44770874071999178"/>
    <n v="11"/>
    <n v="2024"/>
    <b v="0"/>
    <b v="0"/>
    <x v="0"/>
    <s v=""/>
    <s v="Clean"/>
  </r>
  <r>
    <s v="ORD-2025-10680"/>
    <s v="16-08-2025"/>
    <x v="4"/>
    <d v="2025-08-16T00:00:00"/>
    <s v="23-08-2025"/>
    <d v="2025-08-23T00:00:00"/>
    <s v="OK"/>
    <n v="7"/>
    <s v="CUST-2897"/>
    <s v="Rohan Mehta"/>
    <s v="Rohan Mehta"/>
    <s v="Corporate"/>
    <x v="2"/>
    <s v="North"/>
    <x v="0"/>
    <s v="Punjab"/>
    <s v="Punjab"/>
    <s v="Ludhiana"/>
    <s v="Ludhiana"/>
    <s v="Technology"/>
    <x v="2"/>
    <s v="Copiers"/>
    <x v="6"/>
    <s v="Smart Copiers 579"/>
    <s v="Same Day"/>
    <x v="1"/>
    <n v="4"/>
    <n v="1410.57"/>
    <s v="70%"/>
    <n v="5360.17"/>
    <n v="3881.51"/>
    <n v="1478.66"/>
    <s v="Refunded"/>
    <x v="1"/>
    <s v="Cancelled"/>
    <x v="1"/>
    <s v="ORD-2025-10680|16-08-2025|23-08-2025|CUST-2897|Rohan Mehta|Corporate|North|Punjab|Ludhiana|Technology|Copiers|Smart Copiers 579|Same Day|4|1410.57|70%|5360.17|3881.51|1478.66|Refunded|Cancelled"/>
    <s v="Keep"/>
    <n v="1"/>
    <s v="Unique"/>
    <s v=""/>
    <n v="0.7"/>
    <n v="1692.6840000000002"/>
    <n v="-2188.826"/>
    <n v="-1.2931096412561351"/>
    <n v="8"/>
    <n v="2025"/>
    <b v="1"/>
    <b v="1"/>
    <x v="1"/>
    <s v="Discount above 50%; Refunded order summarized separately; Cancelled order excluded; Sales mismatch; Profit mismatch"/>
    <s v="Invalid"/>
  </r>
  <r>
    <s v="ORD-2024-10681"/>
    <s v="29 May 2024"/>
    <x v="5"/>
    <d v="2024-05-29T00:00:00"/>
    <s v="05 Jun 2024"/>
    <d v="2024-06-05T00:00:00"/>
    <s v="OK"/>
    <n v="7"/>
    <s v="CUST-1136"/>
    <s v="Kabir Singh"/>
    <s v="Kabir Singh"/>
    <s v="Corporate"/>
    <x v="2"/>
    <s v="South"/>
    <x v="2"/>
    <s v="Tamil Nadu"/>
    <s v="Tamil Nadu"/>
    <s v="Chennai"/>
    <s v="Chennai"/>
    <s v="Technology"/>
    <x v="2"/>
    <s v="Accessories"/>
    <x v="5"/>
    <s v="Eco Accessories 658"/>
    <s v="First Class"/>
    <x v="2"/>
    <n v="4"/>
    <n v="3700.24"/>
    <n v="0"/>
    <n v="14800.96"/>
    <n v="12048.39"/>
    <n v="2752.57"/>
    <s v="Paid"/>
    <x v="0"/>
    <s v="Completed"/>
    <x v="0"/>
    <s v="ORD-2024-10681|05-29-2024|06-05-2024|CUST-1136|Kabir Singh|Corporate|South|Tamil Nadu|Chennai|Technology|Accessories|Eco Accessories 658|First Class|4|3700.24|0|14800.96|12048.39|2752.57|Paid|Completed"/>
    <s v="Keep"/>
    <n v="1"/>
    <s v="Unique"/>
    <s v=""/>
    <n v="0"/>
    <n v="14800.96"/>
    <n v="2752.5699999999997"/>
    <n v="0.18597239638509933"/>
    <n v="5"/>
    <n v="2024"/>
    <b v="0"/>
    <b v="0"/>
    <x v="0"/>
    <s v=""/>
    <s v="Clean"/>
  </r>
  <r>
    <s v="ORD-2024-10682"/>
    <s v="07/04/2024"/>
    <x v="0"/>
    <d v="2024-07-04T00:00:00"/>
    <s v="2024-07-10"/>
    <d v="2024-07-10T00:00:00"/>
    <s v="OK"/>
    <n v="6"/>
    <s v="CUST-1376"/>
    <s v="Vikram Iyer"/>
    <s v="Vikram Iyer"/>
    <s v="Corporate"/>
    <x v="2"/>
    <s v="North"/>
    <x v="0"/>
    <s v="Delhi"/>
    <s v="Delhi"/>
    <s v="New Delhi"/>
    <s v="New Delhi"/>
    <s v="Furniture"/>
    <x v="1"/>
    <s v="Tables"/>
    <x v="1"/>
    <s v="Smart Tables 777"/>
    <s v="Second Class"/>
    <x v="0"/>
    <n v="5"/>
    <n v="1200.27"/>
    <n v="0"/>
    <n v="6001.35"/>
    <n v="4182.99"/>
    <n v="1818.36"/>
    <s v="Paid"/>
    <x v="0"/>
    <s v="Cancelled"/>
    <x v="1"/>
    <s v="ORD-2024-10682|07-04-2024|07-10-2024|CUST-1376|Vikram Iyer|Corporate|North|Delhi|New Delhi|Furniture|Tables|Smart Tables 777|Second Class|5|1200.27|0|6001.35|4182.99|1818.36|Paid|Cancelled"/>
    <s v="Keep"/>
    <n v="1"/>
    <s v="Unique"/>
    <s v=""/>
    <n v="0"/>
    <n v="6001.35"/>
    <n v="1818.3600000000006"/>
    <n v="0.30299182683896131"/>
    <n v="7"/>
    <n v="2024"/>
    <b v="0"/>
    <b v="0"/>
    <x v="1"/>
    <s v="Cancelled order excluded"/>
    <s v="Warning"/>
  </r>
  <r>
    <s v="ORD-2025-10683"/>
    <s v="05 Feb 2025"/>
    <x v="7"/>
    <d v="2025-02-05T00:00:00"/>
    <s v="05-02-2025"/>
    <d v="2025-02-05T00:00:00"/>
    <s v="OK"/>
    <n v="0"/>
    <s v="CUST-1553"/>
    <s v="Ananya Rao"/>
    <s v="Ananya Rao"/>
    <s v="Corporate"/>
    <x v="2"/>
    <s v="North"/>
    <x v="0"/>
    <s v="Haryana"/>
    <s v="Haryana"/>
    <s v="Gurugram"/>
    <s v="Gurugram"/>
    <s v="Office Supplies"/>
    <x v="0"/>
    <s v="Storage"/>
    <x v="8"/>
    <s v="Eco Storage 861"/>
    <s v="Same Day"/>
    <x v="1"/>
    <n v="3"/>
    <n v="2590.7800000000002"/>
    <m/>
    <n v="7383.72"/>
    <n v="4113.66"/>
    <n v="3270.06"/>
    <s v="Paid"/>
    <x v="0"/>
    <s v="Completed"/>
    <x v="0"/>
    <s v="ORD-2025-10683|02-05-2025|05-02-2025|CUST-1553|ananya rao|Corporate|North|Haryana|Gurugram|Office Supplies|Storage|Eco Storage 861|Same Day|3|2590.78||7383.72|4113.66|3270.06|Paid|Completed"/>
    <s v="Keep"/>
    <n v="1"/>
    <s v="Unique"/>
    <s v=""/>
    <n v="0"/>
    <n v="7772.34"/>
    <n v="3658.6800000000003"/>
    <n v="0.47073082237781677"/>
    <n v="2"/>
    <n v="2025"/>
    <b v="1"/>
    <b v="1"/>
    <x v="1"/>
    <s v="Missing discount treated as 0; Sales mismatch; Profit mismatch"/>
    <s v="Invalid"/>
  </r>
  <r>
    <s v="ORD-2025-10684"/>
    <s v="2025-07-20"/>
    <x v="13"/>
    <d v="2025-07-20T00:00:00"/>
    <s v="24-07-2025"/>
    <d v="2025-07-24T00:00:00"/>
    <s v="OK"/>
    <n v="4"/>
    <s v="CUST-5704"/>
    <s v="Arjun Bose"/>
    <s v="Arjun Bose"/>
    <s v="Small Business"/>
    <x v="1"/>
    <s v="South"/>
    <x v="2"/>
    <s v="Telangana"/>
    <s v="Telangana"/>
    <s v="Hyderabad"/>
    <s v="Hyderabad"/>
    <s v="Furniture"/>
    <x v="1"/>
    <s v="Furnishings"/>
    <x v="3"/>
    <s v="Eco Furnishings 875"/>
    <s v="Second Class"/>
    <x v="0"/>
    <n v="6"/>
    <n v="1646.45"/>
    <n v="0.2"/>
    <n v="7902.96"/>
    <n v="5512.03"/>
    <n v="2390.9299999999998"/>
    <s v="Refunded"/>
    <x v="1"/>
    <s v="Cancelled"/>
    <x v="1"/>
    <s v="ORD-2025-10684|07-20-2025|24-07-2025|CUST-5704|Arjun Bose|Small Business|South|Telangana|Hyderabad|Furniture|Furnishings|Eco Furnishings 875|Second Class|6|1646.45|0.2|7902.96|5512.03|2390.93|Refunded|Cancelled"/>
    <s v="Keep"/>
    <n v="1"/>
    <s v="Unique"/>
    <s v=""/>
    <n v="0.2"/>
    <n v="7902.9600000000009"/>
    <n v="2390.9300000000012"/>
    <n v="0.30253601182341816"/>
    <n v="7"/>
    <n v="2025"/>
    <b v="0"/>
    <b v="0"/>
    <x v="1"/>
    <s v="Refunded order summarized separately; Cancelled order excluded"/>
    <s v="Warning"/>
  </r>
  <r>
    <s v="ORD-2025-10685"/>
    <s v="2025-07-21"/>
    <x v="13"/>
    <d v="2025-07-21T00:00:00"/>
    <s v="21-07-2025"/>
    <d v="2025-07-21T00:00:00"/>
    <s v="OK"/>
    <n v="0"/>
    <s v="CUST-6738"/>
    <s v="Isha Nair"/>
    <s v="Isha Nair"/>
    <s v="Home Office"/>
    <x v="3"/>
    <s v="South"/>
    <x v="2"/>
    <s v="Tamil Nadu"/>
    <s v="Tamil Nadu"/>
    <s v="Chennai"/>
    <s v="Chennai"/>
    <s v="Furniture"/>
    <x v="1"/>
    <s v="Bookcases"/>
    <x v="10"/>
    <s v="Prime Bookcases 784"/>
    <s v="First Class"/>
    <x v="2"/>
    <n v="7"/>
    <n v="4396.6499999999996"/>
    <n v="0.2"/>
    <n v="24621.24"/>
    <n v="17155.48"/>
    <n v="7465.76"/>
    <s v="Refunded"/>
    <x v="1"/>
    <s v="Cancelled"/>
    <x v="1"/>
    <s v="ORD-2025-10685|07-21-2025|21-07-2025|CUST-6738|Isha Nair|Home Office|South|Tamil Nadu|Chennai|Furniture|Bookcases|Prime Bookcases 784|First Class|7|4396.65|0.2|24621.24|17155.48|7465.76|Refunded|Cancelled"/>
    <s v="Keep"/>
    <n v="1"/>
    <s v="Unique"/>
    <s v=""/>
    <n v="0.2"/>
    <n v="24621.239999999998"/>
    <n v="7465.7599999999984"/>
    <n v="0.3032243705028666"/>
    <n v="7"/>
    <n v="2025"/>
    <b v="0"/>
    <b v="0"/>
    <x v="1"/>
    <s v="Refunded order summarized separately; Cancelled order excluded"/>
    <s v="Warning"/>
  </r>
  <r>
    <s v="ORD-2025-10686"/>
    <s v="01 Oct 2025"/>
    <x v="11"/>
    <d v="2025-10-01T00:00:00"/>
    <s v="2025-10-03"/>
    <d v="2025-10-03T00:00:00"/>
    <s v="OK"/>
    <n v="2"/>
    <s v="CUST-2586"/>
    <s v="Neha Gupta"/>
    <s v="Neha Gupta"/>
    <s v="Corporate"/>
    <x v="2"/>
    <s v="West"/>
    <x v="3"/>
    <s v="Goa"/>
    <s v="Goa"/>
    <s v="Panaji"/>
    <s v="Panaji"/>
    <s v="Office Supplies"/>
    <x v="0"/>
    <s v="Art"/>
    <x v="2"/>
    <s v="Classic Art 380"/>
    <s v="Standard Class"/>
    <x v="3"/>
    <n v="9"/>
    <n v="818.15"/>
    <n v="0.55000000000000004"/>
    <n v="6627.01"/>
    <n v="5606.79"/>
    <n v="1020.22"/>
    <s v="Failed"/>
    <x v="3"/>
    <s v="Cancelled"/>
    <x v="1"/>
    <s v="ORD-2025-10686|10-01-2025|10-03-2025|CUST-2586|Neha Gupta|Corporate|West|Goa|Panaji|Office Supplies|Art|Classic Art 380|Standard Class|9|818.15|0.55|6627.01|5606.79|1020.22|Failed|Cancelled"/>
    <s v="Keep"/>
    <n v="1"/>
    <s v="Unique"/>
    <s v=""/>
    <n v="0.55000000000000004"/>
    <n v="3313.5074999999993"/>
    <n v="-2293.2825000000007"/>
    <n v="-0.69210119488185895"/>
    <n v="10"/>
    <n v="2025"/>
    <b v="1"/>
    <b v="1"/>
    <x v="1"/>
    <s v="Discount above 50%; Failed payment excluded; Cancelled order excluded; Sales mismatch; Profit mismatch"/>
    <s v="Invalid"/>
  </r>
  <r>
    <s v="ORD-2024-10687"/>
    <s v="25-03-2024"/>
    <x v="15"/>
    <d v="2024-03-25T00:00:00"/>
    <s v="04/02/2024"/>
    <d v="2024-04-02T00:00:00"/>
    <s v="OK"/>
    <n v="8"/>
    <s v="CUST-3127"/>
    <s v="Sneha Kapoor"/>
    <s v="Sneha Kapoor"/>
    <s v="Home Office"/>
    <x v="3"/>
    <s v="South"/>
    <x v="2"/>
    <s v="Tamil Nadu"/>
    <s v="Tamil Nadu"/>
    <s v="Chennai"/>
    <s v="Chennai"/>
    <s v="Technology"/>
    <x v="2"/>
    <s v="Copiers"/>
    <x v="6"/>
    <s v="Pro Copiers 502"/>
    <s v="Standard Class"/>
    <x v="3"/>
    <n v="2"/>
    <n v="2349.13"/>
    <n v="0"/>
    <n v="4698.26"/>
    <n v="2654.92"/>
    <n v="2043.34"/>
    <s v="Paid"/>
    <x v="0"/>
    <s v="Completed"/>
    <x v="0"/>
    <s v="ORD-2024-10687|25-03-2024|04-02-2024|CUST-3127|Sneha Kapoor|Home Office|South|Tamil Nadu|Chennai|Technology|Copiers|Pro Copiers 502|Standard Class|2|2349.13|0|4698.26|2654.92|2043.34|Paid|Completed"/>
    <s v="Keep"/>
    <n v="1"/>
    <s v="Unique"/>
    <s v=""/>
    <n v="0"/>
    <n v="4698.26"/>
    <n v="2043.3400000000001"/>
    <n v="0.43491420227914163"/>
    <n v="3"/>
    <n v="2024"/>
    <b v="0"/>
    <b v="0"/>
    <x v="0"/>
    <s v=""/>
    <s v="Clean"/>
  </r>
  <r>
    <s v="ORD-2025-10688"/>
    <s v="08 Oct 2025"/>
    <x v="11"/>
    <d v="2025-10-08T00:00:00"/>
    <s v="13-10-2025"/>
    <d v="2025-10-13T00:00:00"/>
    <s v="OK"/>
    <n v="5"/>
    <s v="CUST-9347"/>
    <s v="Mira Das"/>
    <s v="Mira Das"/>
    <s v="Home Office"/>
    <x v="3"/>
    <s v="North"/>
    <x v="0"/>
    <s v="Punjab"/>
    <s v="Punjab"/>
    <s v="Ludhiana"/>
    <s v="Ludhiana"/>
    <s v="Furniture"/>
    <x v="1"/>
    <s v="Tables"/>
    <x v="1"/>
    <s v="Prime Tables 604"/>
    <s v="First Class"/>
    <x v="2"/>
    <n v="4"/>
    <n v="172.05"/>
    <n v="0"/>
    <n v="688.2"/>
    <n v="497.68"/>
    <n v="190.52"/>
    <s v="Failed"/>
    <x v="3"/>
    <s v="Cancelled"/>
    <x v="1"/>
    <s v="ORD-2025-10688|10-08-2025|13-10-2025|CUST-9347|Mira Das|Home Office|North|Punjab|Ludhiana|Furniture|Tables|Prime Tables 604|First Class|4|172.05|0|688.2|497.68|190.52|Failed|Cancelled"/>
    <s v="Keep"/>
    <n v="1"/>
    <s v="Unique"/>
    <s v=""/>
    <n v="0"/>
    <n v="688.2"/>
    <n v="190.52000000000004"/>
    <n v="0.27683812845103173"/>
    <n v="10"/>
    <n v="2025"/>
    <b v="0"/>
    <b v="0"/>
    <x v="1"/>
    <s v="Failed payment excluded; Cancelled order excluded"/>
    <s v="Warning"/>
  </r>
  <r>
    <s v="ORD-2025-10689"/>
    <s v="26 Feb 2025"/>
    <x v="7"/>
    <d v="2025-02-26T00:00:00"/>
    <s v="27 Feb 2025"/>
    <d v="2025-02-27T00:00:00"/>
    <s v="OK"/>
    <n v="1"/>
    <s v="CUST-8575"/>
    <s v="Neha Gupta"/>
    <s v="Neha Gupta"/>
    <s v="Home Office"/>
    <x v="3"/>
    <s v="North"/>
    <x v="0"/>
    <s v="Haryana"/>
    <s v="Haryana"/>
    <s v="Gurugram"/>
    <s v="Gurugram"/>
    <s v="Office Supplies"/>
    <x v="0"/>
    <s v="Art"/>
    <x v="2"/>
    <s v="Basic Art 798"/>
    <s v="Second Class"/>
    <x v="0"/>
    <n v="6"/>
    <n v="3037.66"/>
    <n v="0.15"/>
    <n v="15492.07"/>
    <n v="12581.23"/>
    <n v="2910.84"/>
    <s v="Paid"/>
    <x v="0"/>
    <s v="Completed"/>
    <x v="0"/>
    <s v="ORD-2025-10689|02-26-2025|02-27-2025|CUST-8575|Neha Gupta|Home Office|North|Haryana|Gurugram|Office Supplies|Art|Basic Art 798|Second Class|6|3037.66|0.15|15492.07|12581.23|2910.84|Paid|Completed"/>
    <s v="Keep"/>
    <n v="1"/>
    <s v="Unique"/>
    <s v=""/>
    <n v="0.15"/>
    <n v="15492.065999999999"/>
    <n v="2910.8359999999993"/>
    <n v="0.18789204745190213"/>
    <n v="2"/>
    <n v="2025"/>
    <b v="0"/>
    <b v="0"/>
    <x v="0"/>
    <s v=""/>
    <s v="Clean"/>
  </r>
  <r>
    <s v="ORD-2024-10690"/>
    <s v="05-10-2024"/>
    <x v="16"/>
    <d v="2024-10-05T00:00:00"/>
    <s v="06 Oct 2024"/>
    <d v="2024-10-06T00:00:00"/>
    <s v="OK"/>
    <n v="1"/>
    <s v="CUST-4382"/>
    <s v="Rohan Mehta"/>
    <s v="Rohan Mehta"/>
    <s v="Small Business"/>
    <x v="1"/>
    <s v="North"/>
    <x v="0"/>
    <s v="Punjab"/>
    <s v="Punjab"/>
    <s v="Ludhiana"/>
    <s v="Ludhiana"/>
    <s v="Furniture"/>
    <x v="1"/>
    <s v="Tables"/>
    <x v="1"/>
    <s v="Elite Tables 717"/>
    <s v="Standard Class"/>
    <x v="3"/>
    <n v="9"/>
    <n v="489.58"/>
    <n v="0.15"/>
    <n v="3745.29"/>
    <n v="2302.65"/>
    <n v="1442.64"/>
    <s v="Failed"/>
    <x v="3"/>
    <s v="Cancelled"/>
    <x v="1"/>
    <s v="ORD-2024-10690|05-10-2024|10-06-2024|CUST-4382|Rohan Mehta|Small Business|North|Punjab|Ludhiana|Furniture|Tables|Elite Tables 717|Standard Class|9|489.58|0.15|3745.29|2302.65|1442.64|Failed|Cancelled"/>
    <s v="Keep"/>
    <n v="1"/>
    <s v="Unique"/>
    <s v=""/>
    <n v="0.15"/>
    <n v="3745.2870000000003"/>
    <n v="1442.6370000000002"/>
    <n v="0.38518730340291679"/>
    <n v="10"/>
    <n v="2024"/>
    <b v="0"/>
    <b v="0"/>
    <x v="1"/>
    <s v="Failed payment excluded; Cancelled order excluded"/>
    <s v="Warning"/>
  </r>
  <r>
    <s v="ORD-2024-10691"/>
    <s v="09/11/2024"/>
    <x v="21"/>
    <d v="2024-09-11T00:00:00"/>
    <s v="2024-09-15"/>
    <d v="2024-09-15T00:00:00"/>
    <s v="OK"/>
    <n v="4"/>
    <s v="CUST-6815"/>
    <s v="Sneha Kapoor"/>
    <s v="Sneha Kapoor"/>
    <s v="Corporate"/>
    <x v="2"/>
    <s v="South"/>
    <x v="2"/>
    <s v="Tamil Nadu"/>
    <s v="Tamil Nadu"/>
    <s v="Chennai"/>
    <s v="Chennai"/>
    <s v="Office Supplies"/>
    <x v="0"/>
    <s v="Art"/>
    <x v="2"/>
    <s v="Max Art 725"/>
    <s v="Standard Class"/>
    <x v="3"/>
    <n v="4"/>
    <n v="865.63"/>
    <n v="0"/>
    <n v="3462.52"/>
    <n v="2797.29"/>
    <n v="665.23"/>
    <s v="Failed"/>
    <x v="3"/>
    <s v="Returned"/>
    <x v="2"/>
    <s v="ORD-2024-10691|09-11-2024|09-15-2024|CUST-6815|Sneha Kapoor|Corporate|South|Tamil Nadu|Chennai|Office Supplies|Art|Max Art 725|Standard Class|4|865.63|0|3462.52|2797.29|665.23|Failed|Returned"/>
    <s v="Keep"/>
    <n v="1"/>
    <s v="Unique"/>
    <s v=""/>
    <n v="0"/>
    <n v="3462.52"/>
    <n v="665.23"/>
    <n v="0.19212307798944123"/>
    <n v="9"/>
    <n v="2024"/>
    <b v="0"/>
    <b v="0"/>
    <x v="1"/>
    <s v="Failed payment excluded; Returned order excluded"/>
    <s v="Warning"/>
  </r>
  <r>
    <s v="ORD-2024-10692"/>
    <s v="15-12-2024"/>
    <x v="10"/>
    <d v="2024-12-15T00:00:00"/>
    <s v="16-12-2024"/>
    <d v="2024-12-16T00:00:00"/>
    <s v="OK"/>
    <n v="1"/>
    <s v="CUST-7309"/>
    <s v="Rohan Mehta"/>
    <s v="Rohan Mehta"/>
    <s v="Consumer"/>
    <x v="0"/>
    <s v="East"/>
    <x v="1"/>
    <s v="Odisha"/>
    <s v="Odisha"/>
    <s v="Bhubaneswar"/>
    <s v="Bhubaneswar"/>
    <s v="Technology"/>
    <x v="2"/>
    <s v="Copiers"/>
    <x v="6"/>
    <s v="Smart Copiers 456"/>
    <s v="Second Class"/>
    <x v="0"/>
    <n v="6"/>
    <n v="1538.1"/>
    <n v="0.05"/>
    <n v="8767.17"/>
    <n v="5098.2"/>
    <n v="3668.97"/>
    <s v="Paid"/>
    <x v="0"/>
    <s v="Completed"/>
    <x v="0"/>
    <s v="ORD-2024-10692|15-12-2024|16-12-2024|CUST-7309|Rohan Mehta|Consumer|East|Odisha|Bhubaneswar|Technology|Copiers|Smart Copiers 456|Second Class|6|1538.1|0.05|8767.17|5098.2|3668.97|Paid|Completed"/>
    <s v="Keep"/>
    <n v="1"/>
    <s v="Unique"/>
    <s v=""/>
    <n v="0.05"/>
    <n v="8767.1699999999983"/>
    <n v="3668.9699999999984"/>
    <n v="0.41848966085977563"/>
    <n v="12"/>
    <n v="2024"/>
    <b v="0"/>
    <b v="0"/>
    <x v="0"/>
    <s v=""/>
    <s v="Clean"/>
  </r>
  <r>
    <s v="ORD-2025-10693"/>
    <s v="05-10-2025"/>
    <x v="11"/>
    <d v="2025-10-05T00:00:00"/>
    <s v="10-10-2025"/>
    <d v="2025-10-10T00:00:00"/>
    <s v="OK"/>
    <n v="5"/>
    <s v="CUST-9531"/>
    <s v="Isha Nair"/>
    <s v="Isha Nair"/>
    <s v="Corporate"/>
    <x v="2"/>
    <s v="South"/>
    <x v="2"/>
    <s v="Karnataka"/>
    <s v="Karnataka"/>
    <s v="Bengaluru"/>
    <s v="Bengaluru"/>
    <s v="Furniture"/>
    <x v="1"/>
    <s v="Furnishings"/>
    <x v="3"/>
    <s v="Prime Furnishings 883"/>
    <s v="Second Class"/>
    <x v="0"/>
    <n v="4"/>
    <n v="2365.6799999999998"/>
    <n v="0.1"/>
    <n v="8516.4500000000007"/>
    <n v="5903.81"/>
    <n v="2612.64"/>
    <s v="Paid"/>
    <x v="0"/>
    <s v="Completed"/>
    <x v="0"/>
    <s v="ORD-2025-10693|05-10-2025|10-10-2025|CUST-9531|Isha Nair|corporate|South|Karnataka|Bengaluru|Furniture|Furnishings|Prime Furnishings 883|Second Class|4|2365.68|0.1|8516.45|5903.81|2612.64|Paid|Completed"/>
    <s v="Keep"/>
    <n v="1"/>
    <s v="Unique"/>
    <s v=""/>
    <n v="0.1"/>
    <n v="8516.4480000000003"/>
    <n v="2612.6379999999999"/>
    <n v="0.30677554774009069"/>
    <n v="10"/>
    <n v="2025"/>
    <b v="0"/>
    <b v="0"/>
    <x v="0"/>
    <s v=""/>
    <s v="Clean"/>
  </r>
  <r>
    <s v="ORD-2025-10694"/>
    <s v="03-04-2025"/>
    <x v="6"/>
    <d v="2025-04-03T00:00:00"/>
    <s v="2025-04-11"/>
    <d v="2025-04-11T00:00:00"/>
    <s v="OK"/>
    <n v="8"/>
    <s v="CUST-6032"/>
    <s v="Arjun Bose"/>
    <s v="Arjun Bose"/>
    <s v="Consumer"/>
    <x v="0"/>
    <s v="South"/>
    <x v="2"/>
    <s v="Tamil Nadu"/>
    <s v="Tamil Nadu"/>
    <s v="Chennai"/>
    <s v="Chennai"/>
    <s v="Furniture"/>
    <x v="1"/>
    <s v="Bookcases"/>
    <x v="10"/>
    <s v="Smart Bookcases 828"/>
    <s v="Second Class"/>
    <x v="0"/>
    <n v="3"/>
    <n v="4149.7700000000004"/>
    <n v="0.05"/>
    <n v="11826.84"/>
    <n v="8035.96"/>
    <n v="3790.88"/>
    <s v="Paid"/>
    <x v="0"/>
    <s v="Completed"/>
    <x v="0"/>
    <s v="ORD-2025-10694|03-04-2025|04-11-2025|CUST-6032|Arjun Bose|Consumer|South|Tamil Nadu|Chennai|Furniture|Bookcases|Smart Bookcases 828|Second Class|3|4149.77|0.05|11826.84|8035.96|3790.88|Paid|Completed"/>
    <s v="Keep"/>
    <n v="1"/>
    <s v="Unique"/>
    <s v=""/>
    <n v="0.05"/>
    <n v="11826.844500000001"/>
    <n v="3790.884500000001"/>
    <n v="0.32053220112938835"/>
    <n v="4"/>
    <n v="2025"/>
    <b v="0"/>
    <b v="0"/>
    <x v="0"/>
    <s v=""/>
    <s v="Clean"/>
  </r>
  <r>
    <s v="ORD-2025-10695"/>
    <s v="01-08-2025"/>
    <x v="4"/>
    <d v="2025-08-01T00:00:00"/>
    <s v="09-08-2025"/>
    <d v="2025-08-09T00:00:00"/>
    <s v="OK"/>
    <n v="8"/>
    <s v="CUST-8025"/>
    <s v="Isha Nair"/>
    <s v="Isha Nair"/>
    <s v="Consumer"/>
    <x v="0"/>
    <s v="South"/>
    <x v="2"/>
    <s v="Andhra Pradesh"/>
    <s v="Andhra Pradesh"/>
    <s v="Vijayawada"/>
    <s v="Vijayawada"/>
    <s v="Office Supplies"/>
    <x v="0"/>
    <s v="Storage"/>
    <x v="8"/>
    <s v="Classic Storage 291"/>
    <s v="First Class"/>
    <x v="2"/>
    <n v="5"/>
    <n v="2736.24"/>
    <n v="0.15"/>
    <n v="11629.02"/>
    <n v="9627.2099999999991"/>
    <n v="2001.81"/>
    <s v="Paid"/>
    <x v="0"/>
    <s v="Completed"/>
    <x v="0"/>
    <s v="ORD-2025-10695|01-08-2025|09-08-2025|CUST-8025|Isha Nair|Consumer|South|Andhra Pradesh|Vijayawada|Office Supplies|Storage|Classic Storage 291|First Class|5|2736.24|0.15|11629.02|9627.21|2001.81|Paid|Completed"/>
    <s v="Keep"/>
    <n v="1"/>
    <s v="Unique"/>
    <s v=""/>
    <n v="0.15"/>
    <n v="11629.019999999999"/>
    <n v="2001.8099999999995"/>
    <n v="0.17213918283741877"/>
    <n v="8"/>
    <n v="2025"/>
    <b v="0"/>
    <b v="0"/>
    <x v="0"/>
    <s v=""/>
    <s v="Clean"/>
  </r>
  <r>
    <s v="ORD-2024-10696"/>
    <s v="2024-07-01"/>
    <x v="0"/>
    <d v="2024-07-01T00:00:00"/>
    <s v="01-07-2024"/>
    <d v="2024-07-01T00:00:00"/>
    <s v="OK"/>
    <n v="0"/>
    <s v="CUST-6257"/>
    <s v="Aarav Sharma"/>
    <s v="Aarav Sharma"/>
    <s v="Consumer"/>
    <x v="0"/>
    <s v="West"/>
    <x v="3"/>
    <s v="Madhya Pradesh"/>
    <s v="Madhya Pradesh"/>
    <s v="Indore"/>
    <s v="Indore"/>
    <s v="Technology"/>
    <x v="2"/>
    <s v="Machines "/>
    <x v="12"/>
    <s v="Prime Machines 102"/>
    <s v="Standard Class"/>
    <x v="3"/>
    <n v="4"/>
    <n v="257.39"/>
    <n v="0"/>
    <n v="1029.56"/>
    <n v="626.33000000000004"/>
    <n v="403.23"/>
    <s v="Paid"/>
    <x v="0"/>
    <s v="Completed"/>
    <x v="0"/>
    <s v="ORD-2024-10696|07-01-2024|01-07-2024|CUST-6257|Aarav Sharma|Consumer|West|Madhya Pradesh|Indore|Technology|Machines |Prime Machines 102|Standard Class|4|257.39|0|1029.56|626.33|403.23|Paid|Completed"/>
    <s v="Keep"/>
    <n v="1"/>
    <s v="Unique"/>
    <s v=""/>
    <n v="0"/>
    <n v="1029.56"/>
    <n v="403.2299999999999"/>
    <n v="0.39165274486188267"/>
    <n v="7"/>
    <n v="2024"/>
    <b v="0"/>
    <b v="0"/>
    <x v="0"/>
    <s v=""/>
    <s v="Clean"/>
  </r>
  <r>
    <s v="ORD-2025-10697"/>
    <s v="22 Sep 2025"/>
    <x v="8"/>
    <d v="2025-09-22T00:00:00"/>
    <s v="25 Sep 2025"/>
    <d v="2025-09-25T00:00:00"/>
    <s v="OK"/>
    <n v="3"/>
    <s v="CUST-7812"/>
    <s v="Isha Nair"/>
    <s v="Isha Nair"/>
    <s v="Small Business"/>
    <x v="1"/>
    <s v="South"/>
    <x v="2"/>
    <s v="Kerala"/>
    <s v="Kerala"/>
    <s v="Kochi"/>
    <s v="Kochi"/>
    <s v="Technology"/>
    <x v="2"/>
    <s v="Phones"/>
    <x v="11"/>
    <s v="Classic Phones 842"/>
    <m/>
    <x v="4"/>
    <n v="4"/>
    <n v="1178.8399999999999"/>
    <n v="0.25"/>
    <n v="3536.52"/>
    <n v="2102.41"/>
    <n v="1363.28"/>
    <s v="Paid"/>
    <x v="0"/>
    <s v="Completed"/>
    <x v="0"/>
    <s v="ORD-2025-10697|09-22-2025|09-25-2025|CUST-7812|Isha Nair|Small Business|South|Kerala|Kochi|Technology|Phones|Classic Phones 842||4|1178.84|0.25|3536.52|2102.41|1363.28|Paid|Completed"/>
    <s v="Keep"/>
    <n v="1"/>
    <s v="Unique"/>
    <s v=""/>
    <n v="0.25"/>
    <n v="3536.5199999999995"/>
    <n v="1434.1099999999997"/>
    <n v="0.40551446054313278"/>
    <n v="9"/>
    <n v="2025"/>
    <b v="0"/>
    <b v="1"/>
    <x v="1"/>
    <s v="Missing ship mode filled as Unknown; Profit mismatch"/>
    <s v="Invalid"/>
  </r>
  <r>
    <s v="ORD-2025-10698"/>
    <s v="03/01/2025"/>
    <x v="20"/>
    <d v="2025-03-01T00:00:00"/>
    <s v="07-03-2025"/>
    <d v="2025-03-07T00:00:00"/>
    <s v="OK"/>
    <n v="6"/>
    <s v="CUST-6205"/>
    <s v="Arjun Bose"/>
    <s v="Arjun Bose"/>
    <s v="Corporate"/>
    <x v="2"/>
    <s v="South"/>
    <x v="2"/>
    <s v="Andhra Pradesh"/>
    <s v="Andhra Pradesh"/>
    <s v="Vijayawada"/>
    <s v="Vijayawada"/>
    <s v="Office Supplies"/>
    <x v="0"/>
    <s v="Labels"/>
    <x v="7"/>
    <s v="Max Labels 970"/>
    <s v="First Class"/>
    <x v="2"/>
    <n v="7"/>
    <n v="567.15"/>
    <m/>
    <n v="2977.54"/>
    <n v="1849.3"/>
    <n v="1128.24"/>
    <s v="Refunded"/>
    <x v="1"/>
    <s v="Returned"/>
    <x v="2"/>
    <s v="ORD-2025-10698|03-01-2025|07-03-2025|CUST-6205|Arjun Bose|Corporate|South|Andhra Pradesh|Vijayawada|Office Supplies|Labels|Max Labels 970|First Class|7|567.15||2977.54|1849.3|1128.24|Refunded|Returned"/>
    <s v="Keep"/>
    <n v="1"/>
    <s v="Unique"/>
    <s v=""/>
    <n v="0"/>
    <n v="3970.0499999999997"/>
    <n v="2120.75"/>
    <n v="0.53418722686112274"/>
    <n v="3"/>
    <n v="2025"/>
    <b v="1"/>
    <b v="1"/>
    <x v="1"/>
    <s v="Missing discount treated as 0; Refunded order summarized separately; Returned order excluded; Sales mismatch; Profit mismatch"/>
    <s v="Invalid"/>
  </r>
  <r>
    <s v="ORD-2024-10699"/>
    <s v="14-09-2024"/>
    <x v="21"/>
    <d v="2024-09-14T00:00:00"/>
    <s v="2024-09-14"/>
    <d v="2024-09-14T00:00:00"/>
    <s v="OK"/>
    <n v="0"/>
    <s v="CUST-5357"/>
    <s v="Mira Das"/>
    <s v="Mira Das"/>
    <s v="Corporate"/>
    <x v="2"/>
    <s v="North"/>
    <x v="0"/>
    <s v="Rajasthan"/>
    <s v="Rajasthan"/>
    <s v="Jaipur"/>
    <s v="Jaipur"/>
    <s v="Technology"/>
    <x v="2"/>
    <s v="Machines"/>
    <x v="12"/>
    <s v="Classic Machines 648"/>
    <s v="Standard Class"/>
    <x v="3"/>
    <n v="8"/>
    <n v="4081.66"/>
    <n v="0.15"/>
    <n v="28208.1"/>
    <n v="23751.91"/>
    <n v="4003.38"/>
    <s v="Paid"/>
    <x v="0"/>
    <s v="Returned"/>
    <x v="2"/>
    <s v="ORD-2024-10699|14-09-2024|09-14-2024|CUST-5357|Mira Das|Corporate|North|Rajasthan|Jaipur|Technology|Machines|Classic Machines 648|Standard Class|8|4081.66|0.15|28208.1|23751.91|4003.38|Paid|Returned"/>
    <s v="Keep"/>
    <n v="1"/>
    <s v="Unique"/>
    <s v=""/>
    <n v="0.15"/>
    <n v="27755.287999999997"/>
    <n v="4003.377999999997"/>
    <n v="0.14423838801456493"/>
    <n v="9"/>
    <n v="2024"/>
    <b v="1"/>
    <b v="0"/>
    <x v="1"/>
    <s v="Returned order excluded; Sales mismatch"/>
    <s v="Invalid"/>
  </r>
  <r>
    <s v="ORD-2024-10700"/>
    <s v="2024-06-11"/>
    <x v="2"/>
    <d v="2024-06-11T00:00:00"/>
    <s v="11 Jun 2024"/>
    <d v="2024-06-11T00:00:00"/>
    <s v="OK"/>
    <n v="0"/>
    <s v="CUST-9802"/>
    <s v="Arjun Bose"/>
    <s v="Arjun Bose"/>
    <s v="Small Business"/>
    <x v="1"/>
    <s v="South"/>
    <x v="2"/>
    <s v="Karnataka"/>
    <s v="Karnataka"/>
    <s v="Bengaluru"/>
    <s v="Bengaluru"/>
    <s v="Furniture"/>
    <x v="1"/>
    <s v="Bookcases"/>
    <x v="10"/>
    <s v="Max Bookcases 565"/>
    <s v="Standard Class"/>
    <x v="3"/>
    <n v="9"/>
    <n v="1400.11"/>
    <n v="0.25"/>
    <n v="9450.74"/>
    <n v="7798.56"/>
    <n v="1652.18"/>
    <s v="Paid"/>
    <x v="0"/>
    <s v="Completed"/>
    <x v="0"/>
    <s v="ORD-2024-10700|06-11-2024|06-11-2024|CUST-9802|Arjun Bose|Small Business|South|Karnataka|Bengaluru|Furniture|Bookcases|Max Bookcases 565|Standard Class|9|1400.11|0.25|9450.74|7798.56|1652.18|Paid|Completed"/>
    <s v="Keep"/>
    <n v="1"/>
    <s v="Unique"/>
    <s v=""/>
    <n v="0.25"/>
    <n v="9450.7425000000003"/>
    <n v="1652.1824999999999"/>
    <n v="0.17482039109625511"/>
    <n v="6"/>
    <n v="2024"/>
    <b v="0"/>
    <b v="0"/>
    <x v="0"/>
    <s v=""/>
    <s v="Clean"/>
  </r>
  <r>
    <s v="ORD-2024-10701"/>
    <s v="18-09-2024"/>
    <x v="21"/>
    <d v="2024-09-18T00:00:00"/>
    <s v="09/21/2024"/>
    <d v="2024-09-21T00:00:00"/>
    <s v="OK"/>
    <n v="3"/>
    <s v="CUST-5646"/>
    <s v="Neha Gupta"/>
    <s v="Neha Gupta"/>
    <s v="Corporate"/>
    <x v="2"/>
    <s v="East"/>
    <x v="1"/>
    <s v="West Bengal"/>
    <s v="West Bengal"/>
    <s v="Kolkata"/>
    <s v="Kolkata"/>
    <s v="Technology"/>
    <x v="2"/>
    <s v="Machines"/>
    <x v="12"/>
    <s v="Basic Machines 220"/>
    <s v="Standard Class"/>
    <x v="3"/>
    <n v="3"/>
    <n v="3055.9"/>
    <n v="0.15"/>
    <n v="7792.55"/>
    <n v="4691.7299999999996"/>
    <n v="3100.82"/>
    <s v="Paid"/>
    <x v="0"/>
    <s v="Completed"/>
    <x v="0"/>
    <s v="ORD-2024-10701|18-09-2024|09-21-2024|CUST-5646|Neha Gupta|Corporate|East|West Bengal|Kolkata|Technology|Machines|Basic Machines 220|Standard Class|3|3055.9|0.15|7792.55|4691.73|3100.82|Paid|Completed"/>
    <s v="Keep"/>
    <n v="1"/>
    <s v="Unique"/>
    <s v=""/>
    <n v="0.15"/>
    <n v="7792.5450000000001"/>
    <n v="3100.8150000000005"/>
    <n v="0.39792070498149201"/>
    <n v="9"/>
    <n v="2024"/>
    <b v="0"/>
    <b v="0"/>
    <x v="0"/>
    <s v=""/>
    <s v="Clean"/>
  </r>
  <r>
    <s v="ORD-2024-10702"/>
    <s v="30-04-2024"/>
    <x v="19"/>
    <d v="2024-04-30T00:00:00"/>
    <s v="04 May 2024"/>
    <d v="2024-05-04T00:00:00"/>
    <s v="OK"/>
    <n v="4"/>
    <s v="CUST-7171"/>
    <s v="Rohan Mehta"/>
    <s v="Rohan Mehta"/>
    <s v="Small Business"/>
    <x v="1"/>
    <s v="West"/>
    <x v="3"/>
    <s v="Gujarat"/>
    <s v="Gujarat"/>
    <s v="Ahmedabad"/>
    <s v="Ahmedabad"/>
    <s v="Office Supplies"/>
    <x v="0"/>
    <s v="Art"/>
    <x v="2"/>
    <s v="Pro Art 151"/>
    <s v="Same Day"/>
    <x v="1"/>
    <n v="7"/>
    <n v="1224.94"/>
    <n v="0"/>
    <n v="8574.58"/>
    <n v="6685.81"/>
    <n v="1888.77"/>
    <s v="Paid"/>
    <x v="0"/>
    <s v="Returned"/>
    <x v="2"/>
    <s v="ORD-2024-10702|30-04-2024|05-04-2024|CUST-7171|Rohan Mehta|Small Business|West|Gujarat|Ahmedabad|Office Supplies|Art|Pro Art 151|Same Day|7|1224.94|0|8574.58|6685.81|1888.77|Paid|Returned"/>
    <s v="Keep"/>
    <n v="1"/>
    <s v="Unique"/>
    <s v=""/>
    <n v="0"/>
    <n v="8574.58"/>
    <n v="1888.7699999999995"/>
    <n v="0.22027551203674112"/>
    <n v="4"/>
    <n v="2024"/>
    <b v="0"/>
    <b v="0"/>
    <x v="1"/>
    <s v="Returned order excluded"/>
    <s v="Warning"/>
  </r>
  <r>
    <s v="ORD-2025-10703"/>
    <s v="2025-02-02"/>
    <x v="7"/>
    <d v="2025-02-02T00:00:00"/>
    <s v="02/06/2025"/>
    <d v="2025-02-06T00:00:00"/>
    <s v="OK"/>
    <n v="4"/>
    <s v="CUST-5231"/>
    <s v="Karan Malhotra"/>
    <s v="Karan Malhotra"/>
    <s v="Small Business"/>
    <x v="1"/>
    <s v="West"/>
    <x v="3"/>
    <s v="Rajasthan"/>
    <s v="Rajasthan"/>
    <s v="Udaipur"/>
    <s v="Udaipur"/>
    <s v="Furniture"/>
    <x v="1"/>
    <s v="Tables"/>
    <x v="1"/>
    <s v="Pro Tables 980"/>
    <s v="Second Class"/>
    <x v="0"/>
    <n v="3"/>
    <n v="997.34"/>
    <n v="0.1"/>
    <n v="2692.82"/>
    <n v="1820.08"/>
    <n v="872.74"/>
    <s v="Paid"/>
    <x v="0"/>
    <s v="Completed"/>
    <x v="0"/>
    <s v="ORD-2025-10703|02-02-2025|02-06-2025|CUST-5231|Karan Malhotra|Small Business|West|Rajasthan|Udaipur|Furniture|Tables|Pro Tables 980|Second Class|3|997.34|0.1|2692.82|1820.08|872.74|Paid|Completed"/>
    <s v="Keep"/>
    <n v="1"/>
    <s v="Unique"/>
    <s v=""/>
    <n v="0.1"/>
    <n v="2692.8180000000002"/>
    <n v="872.73800000000028"/>
    <n v="0.32409839803506968"/>
    <n v="2"/>
    <n v="2025"/>
    <b v="0"/>
    <b v="0"/>
    <x v="0"/>
    <s v=""/>
    <s v="Clean"/>
  </r>
  <r>
    <s v="ORD-2024-10704"/>
    <s v="19 Oct 2024"/>
    <x v="16"/>
    <d v="2024-10-19T00:00:00"/>
    <s v="2024-10-20"/>
    <d v="2024-10-20T00:00:00"/>
    <s v="OK"/>
    <n v="1"/>
    <s v="CUST-8734"/>
    <s v="Aditi Sen"/>
    <s v="Aditi Sen"/>
    <s v="Corporate"/>
    <x v="2"/>
    <s v="North"/>
    <x v="0"/>
    <s v="Rajasthan"/>
    <s v="Rajasthan"/>
    <s v="Jaipur"/>
    <s v="Jaipur"/>
    <s v="Furniture"/>
    <x v="1"/>
    <s v="Tables"/>
    <x v="1"/>
    <s v="Classic Tables 997"/>
    <s v="First Class"/>
    <x v="2"/>
    <n v="1"/>
    <n v="1150.03"/>
    <n v="0.1"/>
    <n v="1035.03"/>
    <n v="854.35"/>
    <n v="180.68"/>
    <s v="Paid"/>
    <x v="0"/>
    <s v="Completed"/>
    <x v="0"/>
    <s v="ORD-2024-10704|10-19-2024|10-20-2024|CUST-8734|Aditi Sen|Corporate|North|Rajasthan|Jaipur|Furniture|Tables|Classic Tables 997|First Class|1|1150.03|0.1|1035.03|854.35|180.68|Paid|Completed"/>
    <s v="Keep"/>
    <n v="1"/>
    <s v="Unique"/>
    <s v=""/>
    <n v="0.1"/>
    <n v="1035.027"/>
    <n v="180.67700000000002"/>
    <n v="0.1745625959516032"/>
    <n v="10"/>
    <n v="2024"/>
    <b v="0"/>
    <b v="0"/>
    <x v="0"/>
    <s v=""/>
    <s v="Clean"/>
  </r>
  <r>
    <s v="ORD-2024-10705"/>
    <s v="2024-03-13"/>
    <x v="15"/>
    <d v="2024-03-13T00:00:00"/>
    <s v="03/20/2024"/>
    <d v="2024-03-20T00:00:00"/>
    <s v="OK"/>
    <n v="7"/>
    <s v="CUST-4916"/>
    <s v="Priya Menon"/>
    <s v="Priya Menon"/>
    <s v="Home Office"/>
    <x v="3"/>
    <s v="South"/>
    <x v="2"/>
    <s v="Tamil Nadu"/>
    <s v="Tamil Nadu"/>
    <s v="Chennai"/>
    <s v="Chennai"/>
    <s v="Furniture"/>
    <x v="1"/>
    <s v="Bookcases"/>
    <x v="10"/>
    <s v="Max Bookcases 738"/>
    <m/>
    <x v="4"/>
    <n v="1"/>
    <n v="2825.63"/>
    <n v="0.15"/>
    <n v="2401.79"/>
    <n v="1820.34"/>
    <n v="581.45000000000005"/>
    <s v="Paid"/>
    <x v="0"/>
    <s v="Completed"/>
    <x v="0"/>
    <s v="ORD-2024-10705|03-13-2024|03-20-2024|CUST-4916|Priya Menon|Home Office|South|Tamil Nadu|Chennai|Furniture|Bookcases|Max Bookcases 738||1|2825.63|0.15|2401.79|1820.34|581.45|Paid|Completed"/>
    <s v="Keep"/>
    <n v="1"/>
    <s v="Unique"/>
    <s v=""/>
    <n v="0.15"/>
    <n v="2401.7855"/>
    <n v="581.44550000000004"/>
    <n v="0.24208885431276025"/>
    <n v="3"/>
    <n v="2024"/>
    <b v="0"/>
    <b v="0"/>
    <x v="0"/>
    <s v="Missing ship mode filled as Unknown"/>
    <s v="Warning"/>
  </r>
  <r>
    <s v="ORD-2024-10706"/>
    <s v="08 Sep 2024"/>
    <x v="21"/>
    <d v="2024-09-08T00:00:00"/>
    <s v="09/14/2024"/>
    <d v="2024-09-14T00:00:00"/>
    <s v="OK"/>
    <n v="6"/>
    <s v="CUST-3289"/>
    <s v="Rohan Mehta"/>
    <s v="Rohan Mehta"/>
    <s v="Consumer"/>
    <x v="0"/>
    <s v="North"/>
    <x v="0"/>
    <s v="Rajasthan"/>
    <s v="Rajasthan"/>
    <s v="Jaipur"/>
    <s v="Jaipur"/>
    <s v="Office Supplies"/>
    <x v="0"/>
    <s v="Binders"/>
    <x v="9"/>
    <s v="Max Binders 411"/>
    <s v="Standard Class"/>
    <x v="3"/>
    <n v="5"/>
    <n v="3371.75"/>
    <n v="0.05"/>
    <n v="16015.81"/>
    <n v="11352.38"/>
    <n v="4663.43"/>
    <s v="Paid"/>
    <x v="0"/>
    <s v="Completed"/>
    <x v="0"/>
    <s v="ORD-2024-10706|09-08-2024|09-14-2024|CUST-3289|Rohan Mehta|Consumer|North|Rajasthan|Jaipur|Office Supplies|Binders|Max Binders 411|Standard Class|5|3371.75|0.05|16015.81|11352.38|4663.43|Paid|Completed"/>
    <s v="Keep"/>
    <n v="1"/>
    <s v="Unique"/>
    <s v=""/>
    <n v="0.05"/>
    <n v="16015.8125"/>
    <n v="4663.4325000000008"/>
    <n v="0.29117676671102394"/>
    <n v="9"/>
    <n v="2024"/>
    <b v="0"/>
    <b v="0"/>
    <x v="0"/>
    <s v=""/>
    <s v="Clean"/>
  </r>
  <r>
    <s v="ORD-2024-10707"/>
    <s v="24-06-2024"/>
    <x v="2"/>
    <d v="2024-06-24T00:00:00"/>
    <s v="28-06-2024"/>
    <d v="2024-06-28T00:00:00"/>
    <s v="OK"/>
    <n v="4"/>
    <s v="CUST-4928"/>
    <s v="Isha Nair"/>
    <s v="Isha Nair"/>
    <s v="Small Business"/>
    <x v="1"/>
    <s v="East"/>
    <x v="1"/>
    <s v="Odisha"/>
    <s v="Odisha"/>
    <s v="Bhubaneswar"/>
    <s v="Bhubaneswar"/>
    <s v="Office Supplies"/>
    <x v="0"/>
    <s v="Paper"/>
    <x v="0"/>
    <s v="Max Paper 343"/>
    <s v="Same Day"/>
    <x v="1"/>
    <n v="1"/>
    <n v="2112.75"/>
    <n v="0.1"/>
    <n v="1901.48"/>
    <n v="1354.28"/>
    <n v="547.20000000000005"/>
    <s v="Paid"/>
    <x v="0"/>
    <s v="Completed"/>
    <x v="0"/>
    <s v="ORD-2024-10707|24-06-2024|28-06-2024|CUST-4928|Isha Nair|Small Business|East|Odisha|Bhubaneswar|Office Supplies|Paper|Max Paper 343|Same Day|1|2112.75|0.1|1901.48|1354.28|547.2|Paid|Completed"/>
    <s v="Keep"/>
    <n v="1"/>
    <s v="Unique"/>
    <s v=""/>
    <n v="0.1"/>
    <n v="1901.4750000000001"/>
    <n v="547.19500000000016"/>
    <n v="0.28777396494826391"/>
    <n v="6"/>
    <n v="2024"/>
    <b v="0"/>
    <b v="0"/>
    <x v="0"/>
    <s v=""/>
    <s v="Clean"/>
  </r>
  <r>
    <s v="ORD-2025-10708"/>
    <s v="24-06-2025"/>
    <x v="18"/>
    <d v="2025-06-24T00:00:00"/>
    <s v="06/26/2025"/>
    <d v="2025-06-26T00:00:00"/>
    <s v="OK"/>
    <n v="2"/>
    <s v="CUST-4902"/>
    <s v="Vikram Iyer"/>
    <s v="Vikram Iyer"/>
    <s v="Consumer"/>
    <x v="0"/>
    <s v="North"/>
    <x v="0"/>
    <s v="Rajasthan"/>
    <s v="Rajasthan"/>
    <s v="Jaipur"/>
    <s v="Jaipur"/>
    <s v="Technology"/>
    <x v="2"/>
    <s v="  Accessories "/>
    <x v="5"/>
    <s v="Pro Accessories 485"/>
    <s v="Same Day"/>
    <x v="1"/>
    <n v="5"/>
    <n v="3722.66"/>
    <n v="0.55000000000000004"/>
    <n v="16751.97"/>
    <n v="11678.32"/>
    <n v="5073.6499999999996"/>
    <s v="Paid"/>
    <x v="0"/>
    <s v="Completed"/>
    <x v="0"/>
    <s v="ORD-2025-10708|24-06-2025|06-26-2025|CUST-4902|Vikram Iyer|Consumer|North|Rajasthan|Jaipur|Technology|  Accessories |Pro Accessories 485|Same Day|5|3722.66|0.55|16751.97|11678.32|5073.65|Paid|Completed"/>
    <s v="Keep"/>
    <n v="1"/>
    <s v="Unique"/>
    <s v=""/>
    <n v="0.55000000000000004"/>
    <n v="8375.9849999999988"/>
    <n v="-3302.3350000000009"/>
    <n v="-0.39426228676388525"/>
    <n v="6"/>
    <n v="2025"/>
    <b v="1"/>
    <b v="1"/>
    <x v="1"/>
    <s v="Discount above 50%; Sales mismatch; Profit mismatch"/>
    <s v="Invalid"/>
  </r>
  <r>
    <s v="ORD-2025-10709"/>
    <s v="03/20/2025"/>
    <x v="20"/>
    <d v="2025-03-20T00:00:00"/>
    <s v="2025-03-26"/>
    <d v="2025-03-26T00:00:00"/>
    <s v="OK"/>
    <n v="6"/>
    <s v="CUST-6504"/>
    <s v="Sneha Kapoor"/>
    <s v="Sneha Kapoor"/>
    <s v="Consumer"/>
    <x v="0"/>
    <s v="East"/>
    <x v="1"/>
    <s v="Assam"/>
    <s v="Assam"/>
    <s v="Guwahati"/>
    <s v="Guwahati"/>
    <s v="Furniture"/>
    <x v="1"/>
    <s v="Bookcases"/>
    <x v="10"/>
    <s v="Elite Bookcases 113"/>
    <s v="First Class"/>
    <x v="2"/>
    <n v="4"/>
    <n v="4357.66"/>
    <n v="0.05"/>
    <n v="16559.11"/>
    <n v="13233.79"/>
    <n v="3325.32"/>
    <s v="Paid"/>
    <x v="0"/>
    <s v="Completed"/>
    <x v="0"/>
    <s v="ORD-2025-10709|03-20-2025|03-26-2025|CUST-6504|Sneha Kapoor|Consumer|East|Assam|Guwahati|Furniture|Bookcases|Elite Bookcases 113|First Class|4|4357.66|0.05|16559.11|13233.79|3325.32|Paid|Completed"/>
    <s v="Keep"/>
    <n v="1"/>
    <s v="Unique"/>
    <s v=""/>
    <n v="0.05"/>
    <n v="16559.108"/>
    <n v="3325.3179999999993"/>
    <n v="0.20081504390212318"/>
    <n v="3"/>
    <n v="2025"/>
    <b v="0"/>
    <b v="0"/>
    <x v="0"/>
    <s v=""/>
    <s v="Clean"/>
  </r>
  <r>
    <s v="ORD-2025-10710"/>
    <s v="19 Jan 2025"/>
    <x v="14"/>
    <d v="2025-01-19T00:00:00"/>
    <s v="23 Jan 2025"/>
    <d v="2025-01-23T00:00:00"/>
    <s v="OK"/>
    <n v="4"/>
    <s v="CUST-8036"/>
    <s v="Kabir Singh"/>
    <s v="Kabir Singh"/>
    <s v="Home Office"/>
    <x v="3"/>
    <s v="North"/>
    <x v="0"/>
    <s v="Punjab"/>
    <s v="Punjab"/>
    <s v="Ludhiana"/>
    <s v="Ludhiana"/>
    <s v="Technology"/>
    <x v="2"/>
    <s v="Phones"/>
    <x v="11"/>
    <s v="Eco Phones 787"/>
    <s v="Same Day"/>
    <x v="1"/>
    <n v="7"/>
    <n v="1363.04"/>
    <n v="0.15"/>
    <n v="8110.09"/>
    <n v="6417.32"/>
    <n v="1692.77"/>
    <s v="Paid"/>
    <x v="0"/>
    <s v="Cancelled"/>
    <x v="1"/>
    <s v="ORD-2025-10710|01-19-2025|01-23-2025|CUST-8036|Kabir Singh|Home Office|North|Punjab|Ludhiana|Technology|Phones|Eco Phones 787|Same Day|7|1363.04|0.15|8110.09|6417.32|1692.77|Paid|Cancelled"/>
    <s v="Keep"/>
    <n v="1"/>
    <s v="Unique"/>
    <s v=""/>
    <n v="0.15"/>
    <n v="8110.0879999999988"/>
    <n v="1692.7679999999991"/>
    <n v="0.2087237524426368"/>
    <n v="1"/>
    <n v="2025"/>
    <b v="0"/>
    <b v="0"/>
    <x v="1"/>
    <s v="Cancelled order excluded"/>
    <s v="Warning"/>
  </r>
  <r>
    <s v="ORD-2024-10711"/>
    <s v="07/12/2024"/>
    <x v="0"/>
    <d v="2024-07-12T00:00:00"/>
    <s v="07/19/2024"/>
    <d v="2024-07-19T00:00:00"/>
    <s v="OK"/>
    <n v="7"/>
    <s v="CUST-7199"/>
    <s v="Vikram Iyer"/>
    <s v="Vikram Iyer"/>
    <s v="Corporate"/>
    <x v="2"/>
    <s v="North"/>
    <x v="0"/>
    <s v="Punjab"/>
    <s v="Punjab"/>
    <s v="Ludhiana"/>
    <s v="Ludhiana"/>
    <s v="Office Supplies"/>
    <x v="0"/>
    <s v="Art"/>
    <x v="2"/>
    <s v="Smart Art 279"/>
    <s v="Second Class"/>
    <x v="0"/>
    <n v="5"/>
    <n v="1559.16"/>
    <n v="0.05"/>
    <n v="7406.01"/>
    <n v="5941.74"/>
    <n v="1464.27"/>
    <s v="Paid"/>
    <x v="0"/>
    <s v="Completed"/>
    <x v="0"/>
    <s v="ORD-2024-10711|07-12-2024|07-19-2024|CUST-7199|Vikram Iyer|Corporate|North|Punjab|Ludhiana|Office Supplies|Art|Smart Art 279|Second Class|5|1559.16|0.05|7406.01|5941.74|1464.27|Paid|Completed"/>
    <s v="Keep"/>
    <n v="1"/>
    <s v="Unique"/>
    <s v=""/>
    <n v="0.05"/>
    <n v="7406.01"/>
    <n v="1464.2700000000004"/>
    <n v="0.19771374869869207"/>
    <n v="7"/>
    <n v="2024"/>
    <b v="0"/>
    <b v="0"/>
    <x v="0"/>
    <s v=""/>
    <s v="Clean"/>
  </r>
  <r>
    <s v="ORD-2025-10712"/>
    <s v="02-02-2025"/>
    <x v="7"/>
    <d v="2025-02-02T00:00:00"/>
    <s v="2025-02-02"/>
    <d v="2025-02-02T00:00:00"/>
    <s v="OK"/>
    <n v="0"/>
    <s v="CUST-6176"/>
    <s v="Kabir Singh"/>
    <s v="Kabir Singh"/>
    <s v="Corporate"/>
    <x v="2"/>
    <s v="East"/>
    <x v="1"/>
    <s v="West Bengal"/>
    <s v="West Bengal"/>
    <s v="Kolkata"/>
    <s v="Kolkata"/>
    <s v="Technology"/>
    <x v="2"/>
    <s v="Machines"/>
    <x v="12"/>
    <s v="Basic Machines 172"/>
    <s v="First Class"/>
    <x v="2"/>
    <n v="1"/>
    <n v="4326.75"/>
    <n v="0.05"/>
    <n v="4110.41"/>
    <n v="2394.14"/>
    <n v="1716.27"/>
    <s v="Pending"/>
    <x v="2"/>
    <s v="Returned"/>
    <x v="2"/>
    <s v="ORD-2025-10712|02-02-2025|02-02-2025|CUST-6176|Kabir Singh|Corporate|East|West Bengal|Kolkata|Technology|Machines|Basic Machines 172|First Class|1|4326.75|0.05|4110.41|2394.14|1716.27|Pending|Returned"/>
    <s v="Keep"/>
    <n v="1"/>
    <s v="Unique"/>
    <s v=""/>
    <n v="0.05"/>
    <n v="4110.4124999999995"/>
    <n v="1716.2724999999996"/>
    <n v="0.41754264322619683"/>
    <n v="2"/>
    <n v="2025"/>
    <b v="0"/>
    <b v="0"/>
    <x v="1"/>
    <s v="Returned order excluded"/>
    <s v="Warning"/>
  </r>
  <r>
    <s v="ORD-2024-10713"/>
    <s v="10 Feb 2024"/>
    <x v="17"/>
    <d v="2024-02-10T00:00:00"/>
    <s v="18 Feb 2024"/>
    <d v="2024-02-18T00:00:00"/>
    <s v="OK"/>
    <n v="8"/>
    <s v="CUST-5127"/>
    <s v="Isha Nair"/>
    <s v="Isha Nair"/>
    <s v="Home Office"/>
    <x v="3"/>
    <s v="West"/>
    <x v="3"/>
    <s v="Madhya Pradesh"/>
    <s v="Madhya Pradesh"/>
    <s v="Indore"/>
    <s v="Indore"/>
    <s v="Furniture"/>
    <x v="1"/>
    <s v="Chairs"/>
    <x v="4"/>
    <s v="Smart Chairs 259"/>
    <s v="First Class"/>
    <x v="2"/>
    <n v="7"/>
    <n v="1382.86"/>
    <n v="0"/>
    <n v="9680.02"/>
    <n v="6876.66"/>
    <n v="2803.36"/>
    <s v="Paid"/>
    <x v="0"/>
    <s v="Completed"/>
    <x v="0"/>
    <s v="ORD-2024-10713|02-10-2024|02-18-2024|CUST-5127|Isha Nair|Home Office|West|Madhya Pradesh|Indore|Furniture|Chairs|Smart Chairs 259|First Class|7|1382.86|0|9680.02|6876.66|2803.36|Paid|Completed"/>
    <s v="Keep"/>
    <n v="1"/>
    <s v="Unique"/>
    <s v=""/>
    <n v="0"/>
    <n v="9680.0199999999986"/>
    <n v="2803.3599999999988"/>
    <n v="0.28960270743242256"/>
    <n v="2"/>
    <n v="2024"/>
    <b v="0"/>
    <b v="0"/>
    <x v="0"/>
    <s v=""/>
    <s v="Clean"/>
  </r>
  <r>
    <s v="ORD-2025-10714"/>
    <s v="06/06/2025"/>
    <x v="18"/>
    <d v="2025-06-06T00:00:00"/>
    <s v="06/10/2025"/>
    <d v="2025-06-10T00:00:00"/>
    <s v="OK"/>
    <n v="4"/>
    <s v="CUST-2548"/>
    <s v="Mira Das"/>
    <s v="Mira Das"/>
    <s v="Consumer"/>
    <x v="0"/>
    <s v="West"/>
    <x v="3"/>
    <s v="Rajasthan"/>
    <s v="Rajasthan"/>
    <s v="Udaipur"/>
    <s v="Udaipur"/>
    <s v="Technology"/>
    <x v="2"/>
    <s v="Machines"/>
    <x v="12"/>
    <s v="Pro Machines 987"/>
    <s v="Second Class"/>
    <x v="0"/>
    <n v="1"/>
    <n v="289.97000000000003"/>
    <n v="0.25"/>
    <n v="217.48"/>
    <n v="132.13"/>
    <n v="85.35"/>
    <s v="Paid"/>
    <x v="0"/>
    <s v="Completed"/>
    <x v="0"/>
    <s v="ORD-2025-10714|06-06-2025|06-10-2025|CUST-2548|Mira Das|Consumer|West|Rajasthan|Udaipur|Technology|Machines|Pro Machines 987|Second Class|1|289.97|0.25|217.48|132.13|85.35|Paid|Completed"/>
    <s v="Keep"/>
    <n v="1"/>
    <s v="Unique"/>
    <s v=""/>
    <n v="0.25"/>
    <n v="217.47750000000002"/>
    <n v="85.347500000000025"/>
    <n v="0.39244289639158081"/>
    <n v="6"/>
    <n v="2025"/>
    <b v="0"/>
    <b v="0"/>
    <x v="0"/>
    <s v=""/>
    <s v="Clean"/>
  </r>
  <r>
    <s v="ORD-2025-10715"/>
    <s v="22 Mar 2025"/>
    <x v="20"/>
    <d v="2025-03-22T00:00:00"/>
    <s v="2025-03-23"/>
    <d v="2025-03-23T00:00:00"/>
    <s v="OK"/>
    <n v="1"/>
    <s v="CUST-9902"/>
    <s v="Karan Malhotra"/>
    <s v="Karan Malhotra"/>
    <s v="Home Office"/>
    <x v="3"/>
    <s v="North"/>
    <x v="0"/>
    <s v="Delhi"/>
    <s v="Delhi"/>
    <s v="New Delhi"/>
    <s v="New Delhi"/>
    <s v="Technology"/>
    <x v="2"/>
    <s v="Copiers"/>
    <x v="6"/>
    <s v="Pro Copiers 206"/>
    <s v="Standard Class"/>
    <x v="3"/>
    <n v="9"/>
    <n v="2075.02"/>
    <n v="0"/>
    <n v="18675.18"/>
    <n v="13974.7"/>
    <n v="4700.4799999999996"/>
    <s v="Paid"/>
    <x v="0"/>
    <s v="Completed"/>
    <x v="0"/>
    <s v="ORD-2025-10715|03-22-2025|03-23-2025|CUST-9902|Karan Malhotra|Home Office|North|Delhi|New Delhi|Technology|Copiers|Pro Copiers 206|Standard Class|9|2075.02|0|18675.18|13974.7|4700.48|Paid|Completed"/>
    <s v="Keep"/>
    <n v="1"/>
    <s v="Unique"/>
    <s v=""/>
    <n v="0"/>
    <n v="18675.18"/>
    <n v="4700.4799999999996"/>
    <n v="0.25169663692665878"/>
    <n v="3"/>
    <n v="2025"/>
    <b v="0"/>
    <b v="0"/>
    <x v="0"/>
    <s v=""/>
    <s v="Clean"/>
  </r>
  <r>
    <s v="ORD-2025-10716"/>
    <s v="2025-08-22"/>
    <x v="4"/>
    <d v="2025-08-22T00:00:00"/>
    <s v="27 Aug 2025"/>
    <d v="2025-08-27T00:00:00"/>
    <s v="OK"/>
    <n v="5"/>
    <s v="CUST-7446"/>
    <s v="Priya Menon"/>
    <s v="Priya Menon"/>
    <s v="Consumer"/>
    <x v="0"/>
    <s v="North"/>
    <x v="0"/>
    <s v="Haryana"/>
    <s v="Haryana"/>
    <s v="Gurugram"/>
    <s v="Gurugram"/>
    <s v="Furniture"/>
    <x v="1"/>
    <s v="Chairs"/>
    <x v="4"/>
    <s v="Max Chairs 372"/>
    <s v="Second Class"/>
    <x v="0"/>
    <n v="7"/>
    <n v="2843.09"/>
    <n v="0"/>
    <n v="19901.63"/>
    <n v="15492.03"/>
    <n v="4409.6000000000004"/>
    <s v="Refunded"/>
    <x v="1"/>
    <s v="Cancelled"/>
    <x v="1"/>
    <s v="ORD-2025-10716|08-22-2025|08-27-2025|CUST-7446|Priya Menon|Consumer|North|Haryana|Gurugram|Furniture|Chairs|Max Chairs 372|Second Class|7|2843.09|0|19901.63|15492.03|4409.6|Refunded|Cancelled"/>
    <s v="Keep"/>
    <n v="1"/>
    <s v="Unique"/>
    <s v=""/>
    <n v="0"/>
    <n v="19901.63"/>
    <n v="4409.6000000000004"/>
    <n v="0.22156979101711771"/>
    <n v="8"/>
    <n v="2025"/>
    <b v="0"/>
    <b v="0"/>
    <x v="1"/>
    <s v="Refunded order summarized separately; Cancelled order excluded"/>
    <s v="Warning"/>
  </r>
  <r>
    <s v="ORD-2025-10717"/>
    <s v="26 Aug 2025"/>
    <x v="4"/>
    <d v="2025-08-26T00:00:00"/>
    <s v="31-08-2025"/>
    <d v="2025-08-31T00:00:00"/>
    <s v="OK"/>
    <n v="5"/>
    <s v="CUST-7540"/>
    <s v="Diya Patel"/>
    <s v="Diya Patel"/>
    <s v="Small Business"/>
    <x v="1"/>
    <s v="North"/>
    <x v="0"/>
    <s v="Haryana"/>
    <s v="Haryana"/>
    <s v="Gurugram"/>
    <s v="Gurugram"/>
    <s v="Technology"/>
    <x v="2"/>
    <s v="Phones"/>
    <x v="11"/>
    <s v="Basic Phones 496"/>
    <s v="First Class"/>
    <x v="2"/>
    <n v="1"/>
    <n v="3388.02"/>
    <n v="0.15"/>
    <n v="2879.82"/>
    <n v="1824.88"/>
    <n v="1054.94"/>
    <s v="Paid"/>
    <x v="0"/>
    <s v="Completed"/>
    <x v="0"/>
    <s v="ORD-2025-10717|08-26-2025|31-08-2025|CUST-7540|Diya Patel|Small Business|North|Haryana|Gurugram|Technology|Phones|Basic Phones 496|First Class|1|3388.02|0.15|2879.82|1824.88|1054.94|Paid|Completed"/>
    <s v="Keep"/>
    <n v="1"/>
    <s v="Unique"/>
    <s v=""/>
    <n v="0.15"/>
    <n v="2879.817"/>
    <n v="1054.9369999999999"/>
    <n v="0.3663208460815392"/>
    <n v="8"/>
    <n v="2025"/>
    <b v="0"/>
    <b v="0"/>
    <x v="0"/>
    <s v=""/>
    <s v="Clean"/>
  </r>
  <r>
    <s v="ORD-2025-10718"/>
    <s v="12-10-2025"/>
    <x v="11"/>
    <d v="2025-10-12T00:00:00"/>
    <s v="15 Oct 2025"/>
    <d v="2025-10-15T00:00:00"/>
    <s v="OK"/>
    <n v="3"/>
    <s v="CUST-8351"/>
    <s v="Kabir Singh"/>
    <s v="Kabir Singh"/>
    <s v="Small Business"/>
    <x v="1"/>
    <s v="North"/>
    <x v="0"/>
    <s v="Haryana"/>
    <s v="Haryana"/>
    <s v="Gurugram"/>
    <s v="Gurugram"/>
    <s v="Technology"/>
    <x v="2"/>
    <s v="Machines"/>
    <x v="12"/>
    <s v="Prime Machines 612"/>
    <s v="Standard Class"/>
    <x v="3"/>
    <n v="9"/>
    <n v="2598.92"/>
    <n v="0.2"/>
    <n v="18712.22"/>
    <n v="11852.22"/>
    <n v="6860"/>
    <s v="Pending"/>
    <x v="2"/>
    <s v="Cancelled"/>
    <x v="1"/>
    <s v="ORD-2025-10718|12-10-2025|10-15-2025|CUST-8351|Kabir Singh|Small Business|North|Haryana|Gurugram|Technology|Machines|Prime Machines 612|Standard Class|9|2598.92|0.2|18712.22|11852.22|6860|Pending|Cancelled"/>
    <s v="Keep"/>
    <n v="1"/>
    <s v="Unique"/>
    <s v=""/>
    <n v="0.2"/>
    <n v="18712.223999999998"/>
    <n v="6860.003999999999"/>
    <n v="0.3666054874075898"/>
    <n v="10"/>
    <n v="2025"/>
    <b v="0"/>
    <b v="0"/>
    <x v="1"/>
    <s v="Cancelled order excluded"/>
    <s v="Warning"/>
  </r>
  <r>
    <s v="ORD-2024-10719"/>
    <s v="06 Sep 2024"/>
    <x v="21"/>
    <d v="2024-09-06T00:00:00"/>
    <s v="2024-09-09"/>
    <d v="2024-09-09T00:00:00"/>
    <s v="OK"/>
    <n v="3"/>
    <s v="CUST-3918"/>
    <s v="Mira Das"/>
    <s v="Mira Das"/>
    <s v="Consumer"/>
    <x v="0"/>
    <s v="West"/>
    <x v="3"/>
    <s v="Maharashtra"/>
    <s v="Maharashtra"/>
    <s v="Mumbai"/>
    <s v="Mumbai"/>
    <s v="Office Supplies"/>
    <x v="0"/>
    <s v="Art"/>
    <x v="2"/>
    <s v="Smart Art 866"/>
    <s v="Same Day"/>
    <x v="1"/>
    <n v="3"/>
    <n v="1972.27"/>
    <n v="0.2"/>
    <n v="4733.45"/>
    <n v="3672.32"/>
    <n v="1061.1300000000001"/>
    <s v="Paid"/>
    <x v="0"/>
    <s v="Completed"/>
    <x v="0"/>
    <s v="ORD-2024-10719|09-06-2024|09-09-2024|CUST-3918|Mira Das|Consumer|West|Maharashtra|Mumbai|Office Supplies|Art|Smart Art 866|Same Day|3|1972.27|0.2|4733.45|3672.32|1061.13|Paid|Completed"/>
    <s v="Keep"/>
    <n v="1"/>
    <s v="Unique"/>
    <s v=""/>
    <n v="0.2"/>
    <n v="4733.4479999999994"/>
    <n v="1061.1279999999992"/>
    <n v="0.22417654107534282"/>
    <n v="9"/>
    <n v="2024"/>
    <b v="0"/>
    <b v="0"/>
    <x v="0"/>
    <s v=""/>
    <s v="Clean"/>
  </r>
  <r>
    <s v="ORD-2025-10720"/>
    <s v="08 Sep 2025"/>
    <x v="8"/>
    <d v="2025-09-08T00:00:00"/>
    <s v="2025-09-09"/>
    <d v="2025-09-09T00:00:00"/>
    <s v="OK"/>
    <n v="1"/>
    <s v="CUST-3190"/>
    <s v="Kabir Singh"/>
    <s v="Kabir Singh"/>
    <s v="Corporate"/>
    <x v="2"/>
    <s v="West"/>
    <x v="3"/>
    <s v="Gujarat"/>
    <s v="Gujarat"/>
    <s v="Ahmedabad"/>
    <s v="Ahmedabad"/>
    <s v="Office Supplies"/>
    <x v="0"/>
    <s v="Art"/>
    <x v="2"/>
    <s v="Pro Art 447"/>
    <s v="Same Day"/>
    <x v="1"/>
    <n v="2"/>
    <n v="2372.41"/>
    <n v="0.2"/>
    <n v="3795.86"/>
    <n v="2264.92"/>
    <n v="1530.94"/>
    <s v="Paid"/>
    <x v="0"/>
    <s v="Completed"/>
    <x v="0"/>
    <s v="ORD-2025-10720|09-08-2025|09-09-2025|CUST-3190|Kabir Singh|Corporate|West|Gujarat|Ahmedabad|Office Supplies|Art|Pro Art 447|Same Day|2|2372.41|0.2|3795.86|2264.92|1530.94|Paid|Completed"/>
    <s v="Keep"/>
    <n v="1"/>
    <s v="Unique"/>
    <s v=""/>
    <n v="0.2"/>
    <n v="3795.8559999999998"/>
    <n v="1530.9359999999997"/>
    <n v="0.40331772332775528"/>
    <n v="9"/>
    <n v="2025"/>
    <b v="0"/>
    <b v="0"/>
    <x v="0"/>
    <s v=""/>
    <s v="Clean"/>
  </r>
  <r>
    <s v="ORD-2024-10721"/>
    <s v="2024-07-16"/>
    <x v="0"/>
    <d v="2024-07-16T00:00:00"/>
    <s v="07/16/2024"/>
    <d v="2024-07-16T00:00:00"/>
    <s v="OK"/>
    <n v="0"/>
    <s v="CUST-1991"/>
    <s v="Aditi Sen"/>
    <s v="Aditi Sen"/>
    <s v="Home Office"/>
    <x v="3"/>
    <s v="West"/>
    <x v="3"/>
    <s v="Madhya Pradesh"/>
    <s v="Madhya Pradesh"/>
    <s v="Indore"/>
    <s v="Indore"/>
    <s v="Technology"/>
    <x v="2"/>
    <s v="Copiers"/>
    <x v="6"/>
    <s v="Smart Copiers 196"/>
    <s v="Same Day"/>
    <x v="1"/>
    <n v="4"/>
    <n v="4479.92"/>
    <n v="0.15"/>
    <n v="15231.73"/>
    <n v="12451.46"/>
    <n v="2780.27"/>
    <s v="Paid"/>
    <x v="0"/>
    <s v="Completed"/>
    <x v="0"/>
    <s v="ORD-2024-10721|07-16-2024|07-16-2024|CUST-1991|Aditi Sen|Home Office|West|Madhya Pradesh|Indore|Technology|Copiers|Smart Copiers 196|Same Day|4|4479.92|0.15|15231.73|12451.46|2780.27|Paid|Completed"/>
    <s v="Keep"/>
    <n v="1"/>
    <s v="Unique"/>
    <s v=""/>
    <n v="0.15"/>
    <n v="15231.727999999999"/>
    <n v="2780.268"/>
    <n v="0.1825313582280356"/>
    <n v="7"/>
    <n v="2024"/>
    <b v="0"/>
    <b v="0"/>
    <x v="0"/>
    <s v=""/>
    <s v="Clean"/>
  </r>
  <r>
    <s v="ORD-2025-10722"/>
    <s v="19-06-2025"/>
    <x v="18"/>
    <d v="2025-06-19T00:00:00"/>
    <s v="23-06-2025"/>
    <d v="2025-06-23T00:00:00"/>
    <s v="OK"/>
    <n v="4"/>
    <s v="CUST-7606"/>
    <s v="Sneha Kapoor"/>
    <s v="Sneha Kapoor"/>
    <s v="Consumer"/>
    <x v="0"/>
    <s v="South"/>
    <x v="2"/>
    <s v="Karnataka"/>
    <s v="Karnataka"/>
    <s v="Bengaluru"/>
    <s v="Bengaluru"/>
    <s v="Technology"/>
    <x v="2"/>
    <s v="Copiers"/>
    <x v="6"/>
    <s v="Pro Copiers 532"/>
    <s v="First Class"/>
    <x v="2"/>
    <n v="5"/>
    <n v="2729.95"/>
    <n v="0"/>
    <n v="13649.75"/>
    <n v="10288.030000000001"/>
    <n v="3361.72"/>
    <s v="Paid"/>
    <x v="0"/>
    <s v="Completed"/>
    <x v="0"/>
    <s v="ORD-2025-10722|19-06-2025|23-06-2025|CUST-7606|Sneha Kapoor|Consumer|South|Karnataka|Bengaluru|Technology|Copiers|Pro Copiers 532|First Class|5|2729.95|0|13649.75|10288.03|3361.72|Paid|Completed"/>
    <s v="Keep"/>
    <n v="1"/>
    <s v="Unique"/>
    <s v=""/>
    <n v="0"/>
    <n v="13649.75"/>
    <n v="3361.7199999999993"/>
    <n v="0.24628436418249414"/>
    <n v="6"/>
    <n v="2025"/>
    <b v="0"/>
    <b v="0"/>
    <x v="0"/>
    <s v=""/>
    <s v="Clean"/>
  </r>
  <r>
    <s v="ORD-2024-10723"/>
    <s v="2024-10-07"/>
    <x v="16"/>
    <d v="2024-10-07T00:00:00"/>
    <s v="10 Oct 2024"/>
    <d v="2024-10-10T00:00:00"/>
    <s v="OK"/>
    <n v="3"/>
    <s v="CUST-8844"/>
    <s v="Vikram Iyer"/>
    <s v="Vikram Iyer"/>
    <s v="Consumer"/>
    <x v="0"/>
    <s v="East"/>
    <x v="1"/>
    <s v="West Bengal"/>
    <s v="West Bengal"/>
    <s v="Kolkata"/>
    <s v="Kolkata"/>
    <s v="Furniture"/>
    <x v="1"/>
    <s v="Chairs"/>
    <x v="4"/>
    <s v="Eco Chairs 442"/>
    <s v="Second Class"/>
    <x v="0"/>
    <n v="9"/>
    <n v="481.51"/>
    <m/>
    <n v="4333.59"/>
    <n v="2533.59"/>
    <n v="1800"/>
    <s v="Refunded"/>
    <x v="1"/>
    <s v="Cancelled"/>
    <x v="1"/>
    <s v="ORD-2024-10723|10-07-2024|10-10-2024|CUST-8844|Vikram Iyer|Consumer|East|West Bengal|Kolkata|Furniture|Chairs|Eco Chairs 442|Second Class|9|481.51||4333.59|2533.59|1800|Refunded|Cancelled"/>
    <s v="Keep"/>
    <n v="1"/>
    <s v="Unique"/>
    <s v=""/>
    <n v="0"/>
    <n v="4333.59"/>
    <n v="1800"/>
    <n v="0.41536001329152039"/>
    <n v="10"/>
    <n v="2024"/>
    <b v="0"/>
    <b v="0"/>
    <x v="1"/>
    <s v="Missing discount treated as 0; Refunded order summarized separately; Cancelled order excluded"/>
    <s v="Warning"/>
  </r>
  <r>
    <s v="ORD-2025-10724"/>
    <s v="10/06/2025"/>
    <x v="11"/>
    <d v="2025-10-06T00:00:00"/>
    <s v="2025-10-13"/>
    <d v="2025-10-13T00:00:00"/>
    <s v="OK"/>
    <n v="7"/>
    <s v="CUST-4335"/>
    <s v="Kabir Singh"/>
    <s v="Kabir Singh"/>
    <s v="Home Office"/>
    <x v="3"/>
    <s v="East"/>
    <x v="1"/>
    <s v="Jharkhand"/>
    <s v="Jharkhand"/>
    <s v="Ranchi"/>
    <s v="Ranchi"/>
    <s v="Technology"/>
    <x v="2"/>
    <s v="Accessories"/>
    <x v="5"/>
    <s v="Eco Accessories 364"/>
    <s v="Standard Class"/>
    <x v="3"/>
    <n v="6"/>
    <n v="2391.9299999999998"/>
    <n v="0.05"/>
    <n v="13634"/>
    <n v="9589.81"/>
    <n v="4044.19"/>
    <s v="Failed"/>
    <x v="3"/>
    <s v="Returned"/>
    <x v="2"/>
    <s v="ORD-2025-10724|10-06-2025|10-13-2025|CUST-4335|Kabir Singh|Home Office|East|Jharkhand|Ranchi|Technology|Accessories|Eco Accessories 364|Standard Class|6|2391.93|0.05|13634|9589.81|4044.19|Failed|Returned"/>
    <s v="Keep"/>
    <n v="1"/>
    <s v="Unique"/>
    <s v=""/>
    <n v="0.05"/>
    <n v="13634.000999999998"/>
    <n v="4044.1909999999989"/>
    <n v="0.29662539998346776"/>
    <n v="10"/>
    <n v="2025"/>
    <b v="0"/>
    <b v="0"/>
    <x v="1"/>
    <s v="Failed payment excluded; Returned order excluded"/>
    <s v="Warning"/>
  </r>
  <r>
    <s v="ORD-2024-10725"/>
    <s v="02/10/2024"/>
    <x v="17"/>
    <d v="2024-02-10T00:00:00"/>
    <s v="16-02-2024"/>
    <d v="2024-02-16T00:00:00"/>
    <s v="OK"/>
    <n v="6"/>
    <s v="CUST-5891"/>
    <s v="Karan Malhotra"/>
    <s v="Karan Malhotra"/>
    <s v="Consumer"/>
    <x v="0"/>
    <s v="West"/>
    <x v="3"/>
    <s v="Goa"/>
    <s v="Goa"/>
    <s v="Panaji"/>
    <s v="Panaji"/>
    <s v="Furniture"/>
    <x v="1"/>
    <s v="Furnishings"/>
    <x v="3"/>
    <s v="Elite Furnishings 921"/>
    <s v="Second Class"/>
    <x v="0"/>
    <n v="3"/>
    <n v="253.43"/>
    <n v="0"/>
    <n v="760.29"/>
    <n v="497.77"/>
    <n v="262.52"/>
    <s v="Paid"/>
    <x v="0"/>
    <s v="Completed"/>
    <x v="0"/>
    <s v="ORD-2024-10725|02-10-2024|16-02-2024|CUST-5891|Karan Malhotra|Consumer|West|Goa|Panaji|Furniture|Furnishings|Elite Furnishings 921|Second Class|3|253.43|0|760.29|497.77|262.52|Paid|Completed"/>
    <s v="Keep"/>
    <n v="1"/>
    <s v="Unique"/>
    <s v=""/>
    <n v="0"/>
    <n v="760.29"/>
    <n v="262.52"/>
    <n v="0.34528929750489945"/>
    <n v="2"/>
    <n v="2024"/>
    <b v="0"/>
    <b v="0"/>
    <x v="0"/>
    <s v=""/>
    <s v="Clean"/>
  </r>
  <r>
    <s v="ORD-2025-10726"/>
    <s v="10/05/2025"/>
    <x v="11"/>
    <d v="2025-10-05T00:00:00"/>
    <s v="2025-10-12"/>
    <d v="2025-10-12T00:00:00"/>
    <s v="OK"/>
    <n v="7"/>
    <s v="CUST-6371"/>
    <s v="Priya Menon"/>
    <s v="Priya Menon"/>
    <s v="Corporate"/>
    <x v="2"/>
    <s v="South"/>
    <x v="2"/>
    <s v="Karnataka"/>
    <s v="Karnataka"/>
    <s v="Bengaluru"/>
    <s v="Bengaluru"/>
    <s v="Furniture"/>
    <x v="1"/>
    <s v="Tables"/>
    <x v="1"/>
    <s v="Max Tables 309"/>
    <s v="Second Class"/>
    <x v="0"/>
    <n v="7"/>
    <n v="2134.73"/>
    <n v="0"/>
    <n v="14943.11"/>
    <n v="8521.5"/>
    <n v="6421.61"/>
    <s v="Paid"/>
    <x v="0"/>
    <s v="Completed"/>
    <x v="0"/>
    <s v="ORD-2025-10726|10-05-2025|10-12-2025|CUST-6371|Priya Menon|Corporate|South|Karnataka|Bengaluru|Furniture|Tables|Max Tables 309|Second Class|7|2134.73|0|14943.11|8521.5|6421.61|Paid|Completed"/>
    <s v="Keep"/>
    <n v="1"/>
    <s v="Unique"/>
    <s v=""/>
    <n v="0"/>
    <n v="14943.11"/>
    <n v="6421.6100000000006"/>
    <n v="0.42973718322357263"/>
    <n v="10"/>
    <n v="2025"/>
    <b v="0"/>
    <b v="0"/>
    <x v="0"/>
    <s v=""/>
    <s v="Clean"/>
  </r>
  <r>
    <s v="ORD-2024-10727"/>
    <s v="2024-01-17"/>
    <x v="12"/>
    <d v="2024-01-17T00:00:00"/>
    <s v="01/23/2024"/>
    <d v="2024-01-23T00:00:00"/>
    <s v="OK"/>
    <n v="6"/>
    <s v="CUST-6655"/>
    <s v="Kabir Singh"/>
    <s v="Kabir Singh"/>
    <s v="Home Office"/>
    <x v="3"/>
    <s v="West"/>
    <x v="3"/>
    <s v="Gujarat"/>
    <s v="Gujarat"/>
    <s v="Ahmedabad"/>
    <s v="Ahmedabad"/>
    <s v="Technology"/>
    <x v="2"/>
    <s v="Phones"/>
    <x v="11"/>
    <s v="Pro Phones 857"/>
    <s v="Standard Class"/>
    <x v="3"/>
    <n v="5"/>
    <n v="2018"/>
    <n v="0.2"/>
    <n v="8072"/>
    <n v="5379.22"/>
    <n v="2692.78"/>
    <s v="Pending"/>
    <x v="2"/>
    <s v="Returned"/>
    <x v="2"/>
    <s v="ORD-2024-10727|01-17-2024|01-23-2024|CUST-6655|Kabir Singh|Home Office|West|Gujarat|Ahmedabad|Technology|Phones|Pro Phones 857|Standard Class|5|2018|0.2|8072|5379.22|2692.78|Pending|Returned"/>
    <s v="Keep"/>
    <n v="1"/>
    <s v="Unique"/>
    <s v=""/>
    <n v="0.2"/>
    <n v="8072"/>
    <n v="2692.7799999999997"/>
    <n v="0.33359514370664023"/>
    <n v="1"/>
    <n v="2024"/>
    <b v="0"/>
    <b v="0"/>
    <x v="1"/>
    <s v="Returned order excluded"/>
    <s v="Warning"/>
  </r>
  <r>
    <s v="ORD-2024-10728"/>
    <s v="13 Oct 2024"/>
    <x v="16"/>
    <d v="2024-10-13T00:00:00"/>
    <s v="13 Oct 2024"/>
    <d v="2024-10-13T00:00:00"/>
    <s v="OK"/>
    <n v="0"/>
    <s v="CUST-6492"/>
    <s v="Aarav Sharma"/>
    <s v="Aarav Sharma"/>
    <s v="Small Business"/>
    <x v="1"/>
    <s v="East"/>
    <x v="1"/>
    <s v="Assam"/>
    <s v="Assam"/>
    <s v="Guwahati"/>
    <s v="Guwahati"/>
    <s v="Technology"/>
    <x v="2"/>
    <s v="Accessories"/>
    <x v="5"/>
    <s v="Max Accessories 567"/>
    <s v="Second Class"/>
    <x v="0"/>
    <n v="8"/>
    <n v="3730.66"/>
    <n v="0.05"/>
    <n v="28353.02"/>
    <n v="19257.849999999999"/>
    <n v="9095.17"/>
    <s v="Paid"/>
    <x v="0"/>
    <s v="Completed"/>
    <x v="0"/>
    <s v="ORD-2024-10728|10-13-2024|10-13-2024|CUST-6492|Aarav Sharma|Small Business|East|Assam|Guwahati|Technology|Accessories|Max Accessories 567|Second Class|8|3730.66|0.05|28353.02|19257.85|9095.17|Paid|Completed"/>
    <s v="Keep"/>
    <n v="1"/>
    <s v="Unique"/>
    <s v=""/>
    <n v="0.05"/>
    <n v="28353.015999999996"/>
    <n v="9095.1659999999974"/>
    <n v="0.3207830165228277"/>
    <n v="10"/>
    <n v="2024"/>
    <b v="0"/>
    <b v="0"/>
    <x v="0"/>
    <s v=""/>
    <s v="Clean"/>
  </r>
  <r>
    <s v="ORD-2024-10729"/>
    <s v="2024-01-04"/>
    <x v="12"/>
    <d v="2024-01-04T00:00:00"/>
    <s v="07-01-2024"/>
    <d v="2024-01-07T00:00:00"/>
    <s v="OK"/>
    <n v="3"/>
    <s v="CUST-1154"/>
    <s v="Sneha Kapoor"/>
    <s v="Sneha Kapoor"/>
    <s v="Small Business"/>
    <x v="1"/>
    <s v="South"/>
    <x v="2"/>
    <s v="Karnataka"/>
    <s v="Karnataka"/>
    <s v="Bengaluru"/>
    <s v="Bengaluru"/>
    <s v="Technology"/>
    <x v="2"/>
    <s v="Machines"/>
    <x v="12"/>
    <s v="Max Machines 200"/>
    <s v="First Class"/>
    <x v="2"/>
    <n v="1"/>
    <n v="2363.02"/>
    <n v="0.15"/>
    <n v="2008.57"/>
    <n v="1194.83"/>
    <n v="813.74"/>
    <s v="Paid"/>
    <x v="0"/>
    <s v="Completed"/>
    <x v="0"/>
    <s v="ORD-2024-10729|01-04-2024|07-01-2024|CUST-1154|Sneha Kapoor|Small Business|South|Karnataka|Bengaluru|Technology|Machines|Max Machines 200|First Class|1|2363.02|0.15|2008.57|1194.83|813.74|Paid|Completed"/>
    <s v="Keep"/>
    <n v="1"/>
    <s v="Unique"/>
    <s v=""/>
    <n v="0.15"/>
    <n v="2008.567"/>
    <n v="813.73700000000008"/>
    <n v="0.40513311231340554"/>
    <n v="1"/>
    <n v="2024"/>
    <b v="0"/>
    <b v="0"/>
    <x v="0"/>
    <s v=""/>
    <s v="Clean"/>
  </r>
  <r>
    <s v="ORD-2025-10730"/>
    <s v="17-05-2025"/>
    <x v="9"/>
    <d v="2025-05-17T00:00:00"/>
    <s v="25 May 2025"/>
    <d v="2025-05-25T00:00:00"/>
    <s v="OK"/>
    <n v="8"/>
    <s v="CUST-8713"/>
    <s v="Ananya Rao"/>
    <s v="Ananya Rao"/>
    <s v="Corporate"/>
    <x v="2"/>
    <s v="South"/>
    <x v="2"/>
    <s v="Tamil Nadu"/>
    <s v="Tamil Nadu"/>
    <s v="Chennai"/>
    <s v="Chennai"/>
    <s v="Technology"/>
    <x v="2"/>
    <s v="Machines"/>
    <x v="12"/>
    <s v="Pro Machines 563"/>
    <s v="Same Day"/>
    <x v="1"/>
    <n v="6"/>
    <n v="1810.63"/>
    <n v="0.15"/>
    <n v="9234.2099999999991"/>
    <n v="5516.52"/>
    <n v="3717.69"/>
    <s v="Paid"/>
    <x v="0"/>
    <s v="Completed"/>
    <x v="0"/>
    <s v="ORD-2025-10730|17-05-2025|05-25-2025|CUST-8713|Ananya Rao|Corporate|South|Tamil Nadu|Chennai|Technology|Machines|Pro Machines 563|Same Day|6|1810.63|0.15|9234.21|5516.52|3717.69|Paid|Completed"/>
    <s v="Keep"/>
    <n v="1"/>
    <s v="Unique"/>
    <s v=""/>
    <n v="0.15"/>
    <n v="9234.2129999999997"/>
    <n v="3717.6929999999993"/>
    <n v="0.40259987505161504"/>
    <n v="5"/>
    <n v="2025"/>
    <b v="0"/>
    <b v="0"/>
    <x v="0"/>
    <s v=""/>
    <s v="Clean"/>
  </r>
  <r>
    <s v="ORD-2025-10731"/>
    <s v="06/19/2025"/>
    <x v="18"/>
    <d v="2025-06-19T00:00:00"/>
    <s v="24-06-2025"/>
    <d v="2025-06-24T00:00:00"/>
    <s v="OK"/>
    <n v="5"/>
    <s v="CUST-6765"/>
    <s v="Arjun Bose"/>
    <s v="Arjun Bose"/>
    <s v="Consumer"/>
    <x v="0"/>
    <s v="East"/>
    <x v="1"/>
    <s v="West Bengal"/>
    <s v="West Bengal"/>
    <s v="Kolkata"/>
    <s v="Kolkata"/>
    <s v="Office Supplies"/>
    <x v="0"/>
    <s v="Art"/>
    <x v="2"/>
    <s v="Elite Art 696"/>
    <s v="Second Class"/>
    <x v="0"/>
    <n v="4"/>
    <n v="782.01"/>
    <n v="0.15"/>
    <n v="2658.83"/>
    <n v="2226.9699999999998"/>
    <n v="431.86"/>
    <s v="Refunded"/>
    <x v="1"/>
    <s v="Returned"/>
    <x v="2"/>
    <s v="ORD-2025-10731|06-19-2025|24-06-2025|CUST-6765|Arjun Bose|Consumer|East|West Bengal|Kolkata|Office Supplies|Art|Elite Art 696|Second Class|4|782.01|0.15|2658.83|2226.97|431.86|Refunded|Returned"/>
    <s v="Keep"/>
    <n v="1"/>
    <s v="Unique"/>
    <s v=""/>
    <n v="0.15"/>
    <n v="2658.8339999999998"/>
    <n v="431.86400000000003"/>
    <n v="0.16242608602116568"/>
    <n v="6"/>
    <n v="2025"/>
    <b v="0"/>
    <b v="0"/>
    <x v="1"/>
    <s v="Refunded order summarized separately; Returned order excluded"/>
    <s v="Warning"/>
  </r>
  <r>
    <s v="ORD-2024-10732"/>
    <s v="2024-03-17"/>
    <x v="15"/>
    <d v="2024-03-17T00:00:00"/>
    <s v="19 Mar 2024"/>
    <d v="2024-03-19T00:00:00"/>
    <s v="OK"/>
    <n v="2"/>
    <s v="CUST-6849"/>
    <s v="Ananya Rao"/>
    <s v="Ananya Rao"/>
    <s v="Corporate"/>
    <x v="2"/>
    <s v="East"/>
    <x v="1"/>
    <s v="Odisha"/>
    <s v="Odisha"/>
    <s v="Bhubaneswar"/>
    <s v="Bhubaneswar"/>
    <s v="Office Supplies"/>
    <x v="0"/>
    <s v="Binders"/>
    <x v="9"/>
    <s v="Eco Binders 178"/>
    <s v="First Class"/>
    <x v="2"/>
    <n v="4"/>
    <n v="4376.68"/>
    <n v="0.1"/>
    <n v="15756.05"/>
    <n v="10245.44"/>
    <n v="5510.61"/>
    <s v="Paid"/>
    <x v="0"/>
    <s v="Completed"/>
    <x v="0"/>
    <s v="ORD-2024-10732|03-17-2024|03-19-2024|CUST-6849|Ananya Rao|Corporate|East|Odisha|Bhubaneswar|Office Supplies|Binders|Eco Binders 178|First Class|4|4376.68|0.1|15756.05|10245.44|5510.61|Paid|Completed"/>
    <s v="Keep"/>
    <n v="1"/>
    <s v="Unique"/>
    <s v=""/>
    <n v="0.1"/>
    <n v="15756.048000000001"/>
    <n v="5510.6080000000002"/>
    <n v="0.3497455707167178"/>
    <n v="3"/>
    <n v="2024"/>
    <b v="0"/>
    <b v="0"/>
    <x v="0"/>
    <s v=""/>
    <s v="Clean"/>
  </r>
  <r>
    <s v="ORD-2024-10733"/>
    <s v="2024-11-28"/>
    <x v="3"/>
    <d v="2024-11-28T00:00:00"/>
    <s v="06 Dec 2024"/>
    <d v="2024-12-06T00:00:00"/>
    <s v="OK"/>
    <n v="8"/>
    <s v="CUST-4973"/>
    <s v="Arjun Bose"/>
    <s v="Arjun Bose"/>
    <s v="Small Business"/>
    <x v="1"/>
    <s v="North"/>
    <x v="0"/>
    <s v="Punjab"/>
    <s v="Punjab"/>
    <s v="Ludhiana"/>
    <s v="Ludhiana"/>
    <s v="Technology"/>
    <x v="2"/>
    <s v="Phones"/>
    <x v="11"/>
    <s v="Max Phones 678"/>
    <s v="Standard Class"/>
    <x v="3"/>
    <n v="6"/>
    <n v="2464.63"/>
    <n v="0"/>
    <n v="14787.78"/>
    <n v="8596.65"/>
    <n v="6191.13"/>
    <s v="Paid"/>
    <x v="0"/>
    <s v="Completed"/>
    <x v="0"/>
    <s v="ORD-2024-10733|11-28-2024|12-06-2024|CUST-4973|Arjun Bose|Small Business|North|Punjab|Ludhiana|Technology|Phones|Max Phones 678|Standard Class|6|2464.63|0|14787.78|8596.65|6191.13|Paid|Completed"/>
    <s v="Keep"/>
    <n v="1"/>
    <s v="Unique"/>
    <s v=""/>
    <n v="0"/>
    <n v="14787.78"/>
    <n v="6191.130000000001"/>
    <n v="0.41866527632950995"/>
    <n v="11"/>
    <n v="2024"/>
    <b v="0"/>
    <b v="0"/>
    <x v="0"/>
    <s v=""/>
    <s v="Clean"/>
  </r>
  <r>
    <s v="ORD-2024-10734"/>
    <s v="21-06-2024"/>
    <x v="2"/>
    <d v="2024-06-21T00:00:00"/>
    <s v="28 Jun 2024"/>
    <d v="2024-06-28T00:00:00"/>
    <s v="OK"/>
    <n v="7"/>
    <s v="CUST-2394"/>
    <s v="Aarav Sharma"/>
    <s v="Aarav Sharma"/>
    <s v="Home Office"/>
    <x v="3"/>
    <s v="North"/>
    <x v="0"/>
    <s v="Rajasthan"/>
    <s v="Rajasthan"/>
    <s v="Jaipur"/>
    <s v="Jaipur"/>
    <s v="Furniture"/>
    <x v="1"/>
    <s v="Furnishings"/>
    <x v="3"/>
    <s v="Classic Furnishings 582"/>
    <s v="First Class"/>
    <x v="2"/>
    <n v="9"/>
    <n v="2797.96"/>
    <n v="0"/>
    <n v="25181.64"/>
    <n v="15337.9"/>
    <n v="9843.74"/>
    <s v="Paid"/>
    <x v="0"/>
    <s v="Completed"/>
    <x v="0"/>
    <s v="ORD-2024-10734|21-06-2024|06-28-2024|CUST-2394|Aarav Sharma|Home Office|North|Rajasthan|Jaipur|Furniture|Furnishings|Classic Furnishings 582|First Class|9|2797.96|0|25181.64|15337.9|9843.74|Paid|Completed"/>
    <s v="Keep"/>
    <n v="1"/>
    <s v="Unique"/>
    <s v=""/>
    <n v="0"/>
    <n v="25181.64"/>
    <n v="9843.74"/>
    <n v="0.39090940860086953"/>
    <n v="6"/>
    <n v="2024"/>
    <b v="0"/>
    <b v="0"/>
    <x v="0"/>
    <s v=""/>
    <s v="Clean"/>
  </r>
  <r>
    <s v="ORD-2024-10735"/>
    <s v="24-08-2024"/>
    <x v="1"/>
    <d v="2024-08-24T00:00:00"/>
    <s v="24-08-2024"/>
    <d v="2024-08-24T00:00:00"/>
    <s v="OK"/>
    <n v="0"/>
    <s v="CUST-5406"/>
    <s v="Ananya Rao"/>
    <s v="Ananya Rao"/>
    <s v="Small Business"/>
    <x v="1"/>
    <s v="North"/>
    <x v="0"/>
    <s v="Rajasthan"/>
    <s v="Rajasthan"/>
    <s v="Jaipur"/>
    <s v="Jaipur"/>
    <s v="Technology"/>
    <x v="2"/>
    <s v="Accessories"/>
    <x v="5"/>
    <s v="Classic Accessories 981"/>
    <s v="First Class"/>
    <x v="2"/>
    <n v="4"/>
    <n v="2761.86"/>
    <n v="0.2"/>
    <n v="8837.9500000000007"/>
    <n v="6157.27"/>
    <n v="2680.68"/>
    <s v="Paid"/>
    <x v="0"/>
    <s v="Completed"/>
    <x v="0"/>
    <s v="ORD-2024-10735|24-08-2024|24-08-2024|CUST-5406|Ananya Rao|Small Business|North|Rajasthan|Jaipur|Technology|Accessories|Classic Accessories 981|First Class|4|2761.86|0.2|8837.95|6157.27|2680.68|Paid|Completed"/>
    <s v="Keep"/>
    <n v="1"/>
    <s v="Unique"/>
    <s v=""/>
    <n v="0.2"/>
    <n v="8837.9520000000011"/>
    <n v="2680.6820000000007"/>
    <n v="0.30331484036120587"/>
    <n v="8"/>
    <n v="2024"/>
    <b v="0"/>
    <b v="0"/>
    <x v="0"/>
    <s v=""/>
    <s v="Clean"/>
  </r>
  <r>
    <s v="ORD-2024-10736"/>
    <s v="2024-08-11"/>
    <x v="1"/>
    <d v="2024-08-11T00:00:00"/>
    <s v="19-08-2024"/>
    <d v="2024-08-19T00:00:00"/>
    <s v="OK"/>
    <n v="8"/>
    <s v="CUST-1963"/>
    <s v="Mira Das"/>
    <s v="Mira Das"/>
    <s v="Consumer"/>
    <x v="0"/>
    <s v="West"/>
    <x v="3"/>
    <s v="Maharashtra"/>
    <s v="Maharashtra"/>
    <s v="Mumbai"/>
    <s v="Mumbai"/>
    <s v="Furniture"/>
    <x v="1"/>
    <s v="Tables"/>
    <x v="1"/>
    <s v="Classic Tables 534"/>
    <s v="Standard Class"/>
    <x v="3"/>
    <n v="6"/>
    <n v="1515.79"/>
    <n v="0.2"/>
    <n v="7275.79"/>
    <n v="6152.87"/>
    <n v="1122.92"/>
    <s v="Paid"/>
    <x v="0"/>
    <s v="Completed"/>
    <x v="0"/>
    <s v="ORD-2024-10736|08-11-2024|19-08-2024|CUST-1963|Mira Das|Consumer|West|Maharashtra|Mumbai|Furniture|Tables|Classic Tables 534|Standard Class|6|1515.79|0.2|7275.79|6152.87|1122.92|Paid|Completed"/>
    <s v="Keep"/>
    <n v="1"/>
    <s v="Unique"/>
    <s v=""/>
    <n v="0.2"/>
    <n v="7275.7920000000004"/>
    <n v="1122.9220000000005"/>
    <n v="0.15433673749881804"/>
    <n v="8"/>
    <n v="2024"/>
    <b v="0"/>
    <b v="0"/>
    <x v="0"/>
    <s v=""/>
    <s v="Clean"/>
  </r>
  <r>
    <s v="ORD-2024-10737"/>
    <s v="06 Dec 2024"/>
    <x v="10"/>
    <d v="2024-12-06T00:00:00"/>
    <s v="09-12-2024"/>
    <d v="2024-12-09T00:00:00"/>
    <s v="OK"/>
    <n v="3"/>
    <s v="CUST-9017"/>
    <s v="Aditi Sen"/>
    <s v="Aditi Sen"/>
    <s v="Consumer"/>
    <x v="0"/>
    <s v="West"/>
    <x v="3"/>
    <s v="Maharashtra"/>
    <s v="Maharashtra"/>
    <s v="Mumbai"/>
    <s v="Mumbai"/>
    <s v="Furniture"/>
    <x v="1"/>
    <s v="Chairs"/>
    <x v="4"/>
    <s v="Pro Chairs 383"/>
    <s v="Second Class"/>
    <x v="0"/>
    <n v="9"/>
    <n v="290.75"/>
    <n v="0.1"/>
    <n v="2355.08"/>
    <n v="1350.03"/>
    <n v="1005.05"/>
    <s v="Paid"/>
    <x v="0"/>
    <s v="Completed"/>
    <x v="0"/>
    <s v="ORD-2024-10737|12-06-2024|09-12-2024|CUST-9017|Aditi Sen|Consumer|West|Maharashtra|Mumbai|Furniture|Chairs|Pro Chairs 383|Second Class|9|290.75|0.1|2355.08|1350.03|1005.05|Paid|Completed"/>
    <s v="Keep"/>
    <n v="1"/>
    <s v="Unique"/>
    <s v=""/>
    <n v="0.1"/>
    <n v="2355.0750000000003"/>
    <n v="1005.0450000000003"/>
    <n v="0.42675710964618968"/>
    <n v="12"/>
    <n v="2024"/>
    <b v="0"/>
    <b v="0"/>
    <x v="0"/>
    <s v=""/>
    <s v="Clean"/>
  </r>
  <r>
    <s v="ORD-2024-10738"/>
    <s v="2024-02-10"/>
    <x v="17"/>
    <d v="2024-02-10T00:00:00"/>
    <s v="10 Feb 2024"/>
    <d v="2024-02-10T00:00:00"/>
    <s v="OK"/>
    <n v="0"/>
    <s v="CUST-7967"/>
    <s v="Isha Nair"/>
    <s v="Isha Nair"/>
    <s v="Home Office "/>
    <x v="3"/>
    <s v="West"/>
    <x v="3"/>
    <s v="Maharashtra"/>
    <s v="Maharashtra"/>
    <s v="Mumbai"/>
    <s v="Mumbai"/>
    <s v="Furniture"/>
    <x v="1"/>
    <s v="Chairs"/>
    <x v="4"/>
    <s v="Max Chairs 845"/>
    <s v="Same Day"/>
    <x v="1"/>
    <n v="6"/>
    <n v="601.52"/>
    <n v="0"/>
    <n v="3609.12"/>
    <n v="2645.5"/>
    <n v="963.62"/>
    <s v="Paid"/>
    <x v="0"/>
    <s v="Completed"/>
    <x v="0"/>
    <s v="ORD-2024-10738|02-10-2024|02-10-2024|CUST-7967|Isha Nair|Home Office |West|Maharashtra|Mumbai|Furniture|Chairs|Max Chairs 845|Same Day|6|601.52|0|3609.12|2645.5|963.62|Paid|Completed"/>
    <s v="Keep"/>
    <n v="1"/>
    <s v="Unique"/>
    <s v=""/>
    <n v="0"/>
    <n v="3609.12"/>
    <n v="963.61999999999989"/>
    <n v="0.2669958327791816"/>
    <n v="2"/>
    <n v="2024"/>
    <b v="0"/>
    <b v="0"/>
    <x v="0"/>
    <s v=""/>
    <s v="Clean"/>
  </r>
  <r>
    <s v="ORD-2025-10739"/>
    <s v="20 Feb 2025"/>
    <x v="7"/>
    <d v="2025-02-20T00:00:00"/>
    <s v="02/22/2025"/>
    <d v="2025-02-22T00:00:00"/>
    <s v="OK"/>
    <n v="2"/>
    <s v="CUST-5334"/>
    <s v="Priya Menon"/>
    <s v="Priya Menon"/>
    <s v="Corporate"/>
    <x v="2"/>
    <s v="South"/>
    <x v="2"/>
    <s v="Kerala"/>
    <s v="Kerala"/>
    <s v="Kochi"/>
    <s v="Kochi"/>
    <s v="Office Supplies"/>
    <x v="0"/>
    <s v="Paper"/>
    <x v="0"/>
    <s v="Prime Paper 307"/>
    <s v="First Class"/>
    <x v="2"/>
    <n v="1"/>
    <n v="2188.19"/>
    <n v="0"/>
    <n v="2188.19"/>
    <n v="1298.8399999999999"/>
    <n v="889.35"/>
    <s v="Paid"/>
    <x v="0"/>
    <s v="Completed"/>
    <x v="0"/>
    <s v="ORD-2025-10739|02-20-2025|02-22-2025|CUST-5334|Priya Menon|Corporate|South|Kerala|Kochi|Office Supplies|Paper|Prime Paper 307|First Class|1|2188.19|0|2188.19|1298.84|889.35|Paid|Completed"/>
    <s v="Keep"/>
    <n v="1"/>
    <s v="Unique"/>
    <s v=""/>
    <n v="0"/>
    <n v="2188.19"/>
    <n v="889.35000000000014"/>
    <n v="0.40643179979800664"/>
    <n v="2"/>
    <n v="2025"/>
    <b v="0"/>
    <b v="0"/>
    <x v="0"/>
    <s v=""/>
    <s v="Clean"/>
  </r>
  <r>
    <s v="ORD-2024-10740"/>
    <s v="03 Dec 2024"/>
    <x v="10"/>
    <d v="2024-12-03T00:00:00"/>
    <s v="12/10/2024"/>
    <d v="2024-12-10T00:00:00"/>
    <s v="OK"/>
    <n v="7"/>
    <s v="CUST-5846"/>
    <s v="Neha Gupta"/>
    <s v="Neha Gupta"/>
    <s v="Corporate"/>
    <x v="2"/>
    <s v="North"/>
    <x v="0"/>
    <s v="Rajasthan"/>
    <s v="Rajasthan"/>
    <s v="Jaipur"/>
    <s v="Jaipur"/>
    <s v="Technology"/>
    <x v="2"/>
    <s v="Phones"/>
    <x v="11"/>
    <s v="Basic Phones 859"/>
    <s v="Standard Class"/>
    <x v="3"/>
    <n v="5"/>
    <n v="2393.86"/>
    <n v="0.05"/>
    <n v="11370.84"/>
    <n v="7469.58"/>
    <n v="3901.26"/>
    <s v="Paid"/>
    <x v="0"/>
    <s v="Completed"/>
    <x v="0"/>
    <s v="ORD-2024-10740|12-03-2024|12-10-2024|CUST-5846|Neha Gupta|Corporate|North|Rajasthan|Jaipur|Technology|Phones|Basic Phones 859|Standard Class|5|2393.86|0.05|11370.84|7469.58|3901.26|Paid|Completed"/>
    <s v="Keep"/>
    <n v="1"/>
    <s v="Unique"/>
    <s v=""/>
    <n v="0.05"/>
    <n v="11370.835000000001"/>
    <n v="3901.255000000001"/>
    <n v="0.34309309738466881"/>
    <n v="12"/>
    <n v="2024"/>
    <b v="0"/>
    <b v="0"/>
    <x v="0"/>
    <s v=""/>
    <s v="Clean"/>
  </r>
  <r>
    <s v="ORD-2024-10741"/>
    <s v="02 Apr 2024"/>
    <x v="19"/>
    <d v="2024-04-02T00:00:00"/>
    <s v="04/02/2024"/>
    <d v="2024-04-02T00:00:00"/>
    <s v="OK"/>
    <n v="0"/>
    <s v="CUST-7932"/>
    <s v="Sneha Kapoor"/>
    <s v="Sneha Kapoor"/>
    <s v="Small Business"/>
    <x v="1"/>
    <s v="West"/>
    <x v="3"/>
    <s v="Maharashtra"/>
    <s v="Maharashtra"/>
    <s v="Mumbai"/>
    <s v="Mumbai"/>
    <s v="Furniture"/>
    <x v="1"/>
    <s v="Chairs"/>
    <x v="4"/>
    <s v="Eco Chairs 883"/>
    <s v="First Class"/>
    <x v="2"/>
    <n v="4"/>
    <n v="2583"/>
    <n v="0.1"/>
    <n v="9298.7999999999993"/>
    <n v="6548.5"/>
    <n v="2750.3"/>
    <s v="Paid"/>
    <x v="0"/>
    <s v="Completed"/>
    <x v="0"/>
    <s v="ORD-2024-10741|04-02-2024|04-02-2024|CUST-7932|Sneha Kapoor|Small Business|West|Maharashtra|Mumbai|Furniture|Chairs|Eco Chairs 883|First Class|4|2583|0.1|9298.8|6548.5|2750.3|Paid|Completed"/>
    <s v="Keep"/>
    <n v="1"/>
    <s v="Unique"/>
    <s v=""/>
    <n v="0.1"/>
    <n v="9298.8000000000011"/>
    <n v="2750.3000000000011"/>
    <n v="0.29576934658235482"/>
    <n v="4"/>
    <n v="2024"/>
    <b v="0"/>
    <b v="0"/>
    <x v="0"/>
    <s v=""/>
    <s v="Clean"/>
  </r>
  <r>
    <s v="ORD-2025-10742"/>
    <s v="04/23/2025"/>
    <x v="6"/>
    <d v="2025-04-23T00:00:00"/>
    <s v="2025-04-25"/>
    <d v="2025-04-25T00:00:00"/>
    <s v="OK"/>
    <n v="2"/>
    <s v="CUST-3285"/>
    <s v="Isha Nair"/>
    <s v="Isha Nair"/>
    <s v="Home Office"/>
    <x v="3"/>
    <s v="South"/>
    <x v="2"/>
    <s v="Tamil Nadu"/>
    <s v="Tamil Nadu"/>
    <s v="Chennai"/>
    <s v="Chennai"/>
    <s v="Furniture"/>
    <x v="1"/>
    <s v="Chairs"/>
    <x v="4"/>
    <s v="Max Chairs 706"/>
    <s v="Second Class"/>
    <x v="0"/>
    <n v="3"/>
    <n v="2951.12"/>
    <m/>
    <n v="7082.69"/>
    <n v="5596.34"/>
    <n v="1486.35"/>
    <s v="Paid"/>
    <x v="0"/>
    <s v="Cancelled"/>
    <x v="1"/>
    <s v="ORD-2025-10742|04-23-2025|04-25-2025|CUST-3285|Isha Nair|Home Office|South|Tamil Nadu|Chennai|Furniture|Chairs|Max Chairs 706|Second Class|3|2951.12||7082.69|5596.34|1486.35|Paid|Cancelled"/>
    <s v="Keep"/>
    <n v="1"/>
    <s v="Unique"/>
    <s v=""/>
    <n v="0"/>
    <n v="8853.36"/>
    <n v="3257.0200000000004"/>
    <n v="0.36788518709280998"/>
    <n v="4"/>
    <n v="2025"/>
    <b v="1"/>
    <b v="1"/>
    <x v="1"/>
    <s v="Missing discount treated as 0; Cancelled order excluded; Sales mismatch; Profit mismatch"/>
    <s v="Invalid"/>
  </r>
  <r>
    <s v="ORD-2024-10743"/>
    <s v="10/15/2024"/>
    <x v="16"/>
    <d v="2024-10-15T00:00:00"/>
    <s v="22 Oct 2024"/>
    <d v="2024-10-22T00:00:00"/>
    <s v="OK"/>
    <n v="7"/>
    <s v="CUST-6368"/>
    <s v="Karan Malhotra"/>
    <s v="Karan Malhotra"/>
    <s v="Corporate"/>
    <x v="2"/>
    <s v="East"/>
    <x v="1"/>
    <s v="Odisha"/>
    <s v="Odisha"/>
    <s v="Bhubaneswar"/>
    <s v="Bhubaneswar"/>
    <s v="Office Supplies"/>
    <x v="0"/>
    <s v="Paper"/>
    <x v="0"/>
    <s v="Prime Paper 768"/>
    <s v="Standard Class"/>
    <x v="3"/>
    <n v="4"/>
    <n v="2260.9499999999998"/>
    <n v="0"/>
    <n v="9043.7999999999993"/>
    <n v="5913.38"/>
    <n v="3130.42"/>
    <s v="Paid"/>
    <x v="0"/>
    <s v="Completed"/>
    <x v="0"/>
    <s v="ORD-2024-10743|10-15-2024|10-22-2024|CUST-6368|Karan Malhotra|Corporate|east|Odisha|Bhubaneswar|Office Supplies|Paper|Prime Paper 768|Standard Class|4|2260.95|0|9043.8|5913.38|3130.42|Paid|Completed"/>
    <s v="Keep"/>
    <n v="1"/>
    <s v="Unique"/>
    <s v=""/>
    <n v="0"/>
    <n v="9043.7999999999993"/>
    <n v="3130.4199999999992"/>
    <n v="0.34613989694597397"/>
    <n v="10"/>
    <n v="2024"/>
    <b v="0"/>
    <b v="0"/>
    <x v="0"/>
    <s v=""/>
    <s v="Clean"/>
  </r>
  <r>
    <s v="ORD-2025-10744"/>
    <s v="02/12/2025"/>
    <x v="7"/>
    <d v="2025-02-12T00:00:00"/>
    <s v="14 Feb 2025"/>
    <d v="2025-02-14T00:00:00"/>
    <s v="OK"/>
    <n v="2"/>
    <s v="CUST-6231"/>
    <s v="Sneha Kapoor"/>
    <s v="Sneha Kapoor"/>
    <s v="Consumer"/>
    <x v="0"/>
    <s v="North"/>
    <x v="0"/>
    <s v="Uttar Pradesh"/>
    <s v="Uttar Pradesh"/>
    <s v="Noida"/>
    <s v="Noida"/>
    <s v="Office Supplies"/>
    <x v="0"/>
    <s v="Art"/>
    <x v="2"/>
    <s v="Basic Art 764"/>
    <s v="Standard Class"/>
    <x v="3"/>
    <n v="6"/>
    <n v="491.4"/>
    <n v="0.25"/>
    <n v="2211.3000000000002"/>
    <n v="1735.64"/>
    <n v="475.66"/>
    <s v="Paid"/>
    <x v="0"/>
    <s v="Completed"/>
    <x v="0"/>
    <s v="ORD-2025-10744|02-12-2025|02-14-2025|CUST-6231|Sneha Kapoor|Consumer|North|Uttar Pradesh|Noida|Office Supplies|Art|Basic Art 764|Standard Class|6|491.4|0.25|2211.3|1735.64|475.66|Paid|Completed"/>
    <s v="Keep"/>
    <n v="1"/>
    <s v="Unique"/>
    <s v=""/>
    <n v="0.25"/>
    <n v="2211.2999999999997"/>
    <n v="475.65999999999963"/>
    <n v="0.21510423732645942"/>
    <n v="2"/>
    <n v="2025"/>
    <b v="0"/>
    <b v="0"/>
    <x v="0"/>
    <s v=""/>
    <s v="Clean"/>
  </r>
  <r>
    <s v="ORD-2025-10745"/>
    <s v="2025-08-17"/>
    <x v="4"/>
    <d v="2025-08-17T00:00:00"/>
    <s v="2025-08-20"/>
    <d v="2025-08-20T00:00:00"/>
    <s v="OK"/>
    <n v="3"/>
    <s v="CUST-2021"/>
    <s v="Mira Das"/>
    <s v="Mira Das"/>
    <s v="Home Office"/>
    <x v="3"/>
    <s v="North"/>
    <x v="0"/>
    <s v="Punjab"/>
    <s v="Punjab"/>
    <s v="Ludhiana"/>
    <s v="Ludhiana"/>
    <s v="Office Supplies"/>
    <x v="0"/>
    <s v="Binders"/>
    <x v="9"/>
    <s v="Prime Binders 181"/>
    <s v="First Class"/>
    <x v="2"/>
    <n v="5"/>
    <n v="2701.89"/>
    <n v="0.1"/>
    <n v="12158.5"/>
    <n v="10260.07"/>
    <n v="1898.43"/>
    <s v="Paid"/>
    <x v="0"/>
    <s v="Cancelled"/>
    <x v="1"/>
    <s v="ORD-2025-10745|08-17-2025|08-20-2025|CUST-2021|Mira Das|Home Office|North|Punjab|Ludhiana|Office Supplies|Binders|Prime Binders 181|First Class|5|2701.89|0.1|12158.5|10260.07|1898.43|Paid|Cancelled"/>
    <s v="Keep"/>
    <n v="1"/>
    <s v="Unique"/>
    <s v=""/>
    <n v="0.1"/>
    <n v="12158.504999999999"/>
    <n v="1898.4349999999995"/>
    <n v="0.15614049589155901"/>
    <n v="8"/>
    <n v="2025"/>
    <b v="0"/>
    <b v="0"/>
    <x v="1"/>
    <s v="Cancelled order excluded"/>
    <s v="Warning"/>
  </r>
  <r>
    <s v="ORD-2024-10746"/>
    <s v="24 Oct 2024"/>
    <x v="16"/>
    <d v="2024-10-24T00:00:00"/>
    <s v="28-10-2024"/>
    <d v="2024-10-28T00:00:00"/>
    <s v="OK"/>
    <n v="4"/>
    <s v="CUST-1493"/>
    <s v="Mira Das"/>
    <s v="Mira Das"/>
    <s v="Small Business"/>
    <x v="1"/>
    <s v="East"/>
    <x v="1"/>
    <s v="Assam"/>
    <s v="Assam"/>
    <s v="Guwahati"/>
    <s v="Guwahati"/>
    <s v="Technology"/>
    <x v="2"/>
    <s v="Copiers"/>
    <x v="6"/>
    <s v="Max Copiers 866"/>
    <s v="Standard Class"/>
    <x v="3"/>
    <n v="3"/>
    <n v="723.59"/>
    <n v="0.2"/>
    <n v="1736.62"/>
    <n v="1059.52"/>
    <n v="677.1"/>
    <s v="Paid"/>
    <x v="0"/>
    <s v="Completed"/>
    <x v="0"/>
    <s v="ORD-2024-10746|10-24-2024|28-10-2024|CUST-1493|Mira Das|Small Business|East|Assam|Guwahati|Technology|Copiers|Max Copiers 866|Standard Class|3|723.59|0.2|1736.62|1059.52|677.1|Paid|Completed"/>
    <s v="Keep"/>
    <n v="1"/>
    <s v="Unique"/>
    <s v=""/>
    <n v="0.2"/>
    <n v="1736.616"/>
    <n v="677.096"/>
    <n v="0.38989390861307277"/>
    <n v="10"/>
    <n v="2024"/>
    <b v="0"/>
    <b v="0"/>
    <x v="0"/>
    <s v=""/>
    <s v="Clean"/>
  </r>
  <r>
    <s v="ORD-2025-10747"/>
    <s v="2025-01-04"/>
    <x v="14"/>
    <d v="2025-01-04T00:00:00"/>
    <s v="10-01-2025"/>
    <d v="2025-01-10T00:00:00"/>
    <s v="OK"/>
    <n v="6"/>
    <s v="CUST-2314"/>
    <s v="Aarav Sharma"/>
    <s v="Aarav Sharma"/>
    <s v="Home Office"/>
    <x v="3"/>
    <s v="East"/>
    <x v="1"/>
    <s v="West Bengal"/>
    <s v="West Bengal"/>
    <s v="Kolkata"/>
    <s v="Kolkata"/>
    <s v="Office Supplies"/>
    <x v="0"/>
    <s v="Paper"/>
    <x v="0"/>
    <s v="Pro Paper 662"/>
    <s v="Standard Class"/>
    <x v="3"/>
    <n v="4"/>
    <n v="2583.19"/>
    <n v="0.2"/>
    <n v="8266.2099999999991"/>
    <n v="6236.32"/>
    <n v="2029.89"/>
    <s v="Paid"/>
    <x v="0"/>
    <s v="Completed"/>
    <x v="0"/>
    <s v="ORD-2025-10747|01-04-2025|10-01-2025|CUST-2314|Aarav Sharma|Home Office|East|West Bengal|Kolkata|Office Supplies|Paper|Pro Paper 662|Standard Class|4|2583.19|0.2|8266.21|6236.32|2029.89|Paid|Completed"/>
    <s v="Keep"/>
    <n v="1"/>
    <s v="Unique"/>
    <s v=""/>
    <n v="0.2"/>
    <n v="8266.2080000000005"/>
    <n v="2029.8880000000008"/>
    <n v="0.24556459261610653"/>
    <n v="1"/>
    <n v="2025"/>
    <b v="0"/>
    <b v="0"/>
    <x v="0"/>
    <s v=""/>
    <s v="Clean"/>
  </r>
  <r>
    <s v="ORD-2024-10748"/>
    <s v="2024-05-01"/>
    <x v="5"/>
    <d v="2024-05-01T00:00:00"/>
    <s v="07 May 2024"/>
    <d v="2024-05-07T00:00:00"/>
    <s v="OK"/>
    <n v="6"/>
    <s v="CUST-8416"/>
    <s v="Isha Nair"/>
    <s v="Isha Nair"/>
    <s v="Home Office"/>
    <x v="3"/>
    <s v="East"/>
    <x v="1"/>
    <s v="Odisha"/>
    <s v="Odisha"/>
    <s v="Bhubaneswar"/>
    <s v="Bhubaneswar"/>
    <s v="Office Supplies"/>
    <x v="0"/>
    <s v="Paper"/>
    <x v="0"/>
    <s v="Classic Paper 388"/>
    <s v="Same Day"/>
    <x v="1"/>
    <n v="8"/>
    <n v="1473.83"/>
    <n v="0.15"/>
    <n v="10022.040000000001"/>
    <n v="5576.98"/>
    <n v="4445.0600000000004"/>
    <s v="Paid"/>
    <x v="0"/>
    <s v="Completed"/>
    <x v="0"/>
    <s v="ORD-2024-10748|05-01-2024|05-07-2024|CUST-8416|Isha Nair|Home Office|East|Odisha|Bhubaneswar|Office Supplies|Paper|Classic Paper 388|Same Day|8|1473.83|0.15|10022.04|5576.98|4445.06|Paid|Completed"/>
    <s v="Keep"/>
    <n v="1"/>
    <s v="Unique"/>
    <s v=""/>
    <n v="0.15"/>
    <n v="10022.044"/>
    <n v="4445.0640000000003"/>
    <n v="0.44352868536597928"/>
    <n v="5"/>
    <n v="2024"/>
    <b v="0"/>
    <b v="0"/>
    <x v="0"/>
    <s v=""/>
    <s v="Clean"/>
  </r>
  <r>
    <s v="ORD-2024-10749"/>
    <s v="30-05-2024"/>
    <x v="5"/>
    <d v="2024-05-30T00:00:00"/>
    <s v="05/30/2024"/>
    <d v="2024-05-30T00:00:00"/>
    <s v="OK"/>
    <n v="0"/>
    <s v="CUST-3103"/>
    <s v="Diya Patel"/>
    <s v="Diya Patel"/>
    <s v="Home Office"/>
    <x v="3"/>
    <s v="North"/>
    <x v="0"/>
    <s v="Haryana"/>
    <s v="Haryana"/>
    <s v="Gurugram"/>
    <s v="Gurugram"/>
    <s v="Technology"/>
    <x v="2"/>
    <s v="Phones"/>
    <x v="11"/>
    <s v="Pro Phones 765"/>
    <s v="Second Class"/>
    <x v="0"/>
    <n v="1"/>
    <n v="3848.04"/>
    <n v="0.25"/>
    <n v="2886.03"/>
    <n v="2064.83"/>
    <n v="821.2"/>
    <s v="Paid"/>
    <x v="0"/>
    <s v="Completed"/>
    <x v="0"/>
    <s v="ORD-2024-10749|30-05-2024|05-30-2024|CUST-3103|Diya Patel|Home Office|North|Haryana|Gurugram|Technology|Phones|Pro Phones 765|Second Class|1|3848.04|0.25|2886.03|2064.83|821.2|Paid|Completed"/>
    <s v="Keep"/>
    <n v="1"/>
    <s v="Unique"/>
    <s v=""/>
    <n v="0.25"/>
    <n v="2886.0299999999997"/>
    <n v="821.19999999999982"/>
    <n v="0.28454312671732446"/>
    <n v="5"/>
    <n v="2024"/>
    <b v="0"/>
    <b v="0"/>
    <x v="0"/>
    <s v=""/>
    <s v="Clean"/>
  </r>
  <r>
    <s v="ORD-2024-10750"/>
    <s v="21 Mar 2024"/>
    <x v="15"/>
    <d v="2024-03-21T00:00:00"/>
    <s v="2024-03-25"/>
    <d v="2024-03-25T00:00:00"/>
    <s v="OK"/>
    <n v="4"/>
    <s v="CUST-4457"/>
    <s v="Aditi Sen"/>
    <s v="Aditi Sen"/>
    <s v="Home Office"/>
    <x v="3"/>
    <s v="East"/>
    <x v="1"/>
    <s v="Assam"/>
    <s v="Assam"/>
    <s v="Guwahati"/>
    <s v="Guwahati"/>
    <s v="Technology"/>
    <x v="2"/>
    <s v="Machines"/>
    <x v="12"/>
    <s v="Classic Machines 543"/>
    <s v="Standard Class"/>
    <x v="3"/>
    <n v="1"/>
    <n v="1716.7"/>
    <n v="0.15"/>
    <n v="1459.19"/>
    <n v="1055.79"/>
    <n v="403.4"/>
    <s v="Paid"/>
    <x v="0"/>
    <s v="Completed"/>
    <x v="0"/>
    <s v="ORD-2024-10750|03-21-2024|03-25-2024|CUST-4457|Aditi Sen|Home Office|East|Assam|Guwahati|Technology|Machines|Classic Machines 543|Standard Class|1|1716.7|0.15|1459.19|1055.79|403.4|Paid|Completed"/>
    <s v="Keep"/>
    <n v="1"/>
    <s v="Unique"/>
    <s v=""/>
    <n v="0.15"/>
    <n v="1459.1949999999999"/>
    <n v="403.40499999999997"/>
    <n v="0.27645722470266137"/>
    <n v="3"/>
    <n v="2024"/>
    <b v="0"/>
    <b v="0"/>
    <x v="0"/>
    <s v=""/>
    <s v="Clean"/>
  </r>
  <r>
    <s v="ORD-2025-10751"/>
    <s v="06/02/2025"/>
    <x v="18"/>
    <d v="2025-06-02T00:00:00"/>
    <s v="2025-06-02"/>
    <d v="2025-06-02T00:00:00"/>
    <s v="OK"/>
    <n v="0"/>
    <s v="CUST-7036"/>
    <s v="Aarav Sharma"/>
    <s v="Aarav Sharma"/>
    <s v="Home Office"/>
    <x v="3"/>
    <s v="South"/>
    <x v="2"/>
    <s v="Telangana"/>
    <s v="Telangana"/>
    <s v="Hyderabad"/>
    <s v="Hyderabad"/>
    <s v="Technology"/>
    <x v="2"/>
    <s v="Accessories"/>
    <x v="5"/>
    <s v="Max Accessories 291"/>
    <s v="First Class"/>
    <x v="2"/>
    <n v="8"/>
    <n v="3925.93"/>
    <n v="0.15"/>
    <n v="26696.32"/>
    <n v="22724.52"/>
    <n v="3971.8"/>
    <s v="Paid"/>
    <x v="0"/>
    <s v="Completed"/>
    <x v="0"/>
    <s v="ORD-2025-10751|06-02-2025|06-02-2025|CUST-7036|Aarav Sharma|Home Office|South|Telangana|Hyderabad|Technology|Accessories|Max Accessories 291|First Class|8|3925.93|0.15|26696.32|22724.52|3971.8|Paid|Completed"/>
    <s v="Keep"/>
    <n v="1"/>
    <s v="Unique"/>
    <s v=""/>
    <n v="0.15"/>
    <n v="26696.323999999997"/>
    <n v="3971.8039999999964"/>
    <n v="0.14877718745097629"/>
    <n v="6"/>
    <n v="2025"/>
    <b v="0"/>
    <b v="0"/>
    <x v="0"/>
    <s v=""/>
    <s v="Clean"/>
  </r>
  <r>
    <s v="ORD-2025-10752"/>
    <s v="18-07-2025"/>
    <x v="13"/>
    <d v="2025-07-18T00:00:00"/>
    <s v="19-07-2025"/>
    <d v="2025-07-19T00:00:00"/>
    <s v="OK"/>
    <n v="1"/>
    <s v="CUST-8512"/>
    <s v="Priya Menon"/>
    <s v="Priya Menon"/>
    <s v="Home Office"/>
    <x v="3"/>
    <m/>
    <x v="4"/>
    <s v="Uttar Pradesh"/>
    <s v="Uttar Pradesh"/>
    <s v="Noida"/>
    <s v="Noida"/>
    <s v="Technology"/>
    <x v="2"/>
    <s v="Machines"/>
    <x v="12"/>
    <s v="Eco Machines 414"/>
    <m/>
    <x v="4"/>
    <n v="3"/>
    <n v="2963.25"/>
    <n v="0.05"/>
    <n v="8445.26"/>
    <n v="6937.6"/>
    <n v="1507.66"/>
    <s v="Paid"/>
    <x v="0"/>
    <s v="Completed"/>
    <x v="0"/>
    <s v="ORD-2025-10752|18-07-2025|19-07-2025|CUST-8512|Priya Menon|Home Office||Uttar Pradesh|Noida|Technology|Machines|Eco Machines 414||3|2963.25|0.05|8445.26|6937.6|1507.66|Paid|Completed"/>
    <s v="Keep"/>
    <n v="1"/>
    <s v="Unique"/>
    <s v=""/>
    <n v="0.05"/>
    <n v="8445.2624999999989"/>
    <n v="1507.6624999999985"/>
    <n v="0.17852168597482893"/>
    <n v="7"/>
    <n v="2025"/>
    <b v="0"/>
    <b v="0"/>
    <x v="0"/>
    <s v="Missing region filled as Unknown; Missing ship mode filled as Unknown"/>
    <s v="Warning"/>
  </r>
  <r>
    <s v="ORD-2024-10753"/>
    <s v="24-03-2024"/>
    <x v="15"/>
    <d v="2024-03-24T00:00:00"/>
    <s v="27-03-2024"/>
    <d v="2024-03-27T00:00:00"/>
    <s v="OK"/>
    <n v="3"/>
    <s v="CUST-6345"/>
    <s v="Aditi Sen"/>
    <s v="Aditi Sen"/>
    <s v="Corporate"/>
    <x v="2"/>
    <s v="West "/>
    <x v="3"/>
    <s v="Gujarat"/>
    <s v="Gujarat"/>
    <s v="Ahmedabad"/>
    <s v="Ahmedabad"/>
    <s v="Office Supplies"/>
    <x v="0"/>
    <s v="Storage"/>
    <x v="8"/>
    <s v="Basic Storage 273"/>
    <s v="First Class"/>
    <x v="2"/>
    <n v="5"/>
    <n v="2465.2199999999998"/>
    <n v="0.05"/>
    <n v="11709.79"/>
    <n v="8372.2900000000009"/>
    <n v="3337.5"/>
    <s v="Paid"/>
    <x v="0"/>
    <s v="Completed"/>
    <x v="0"/>
    <s v="ORD-2024-10753|24-03-2024|27-03-2024|CUST-6345|Aditi Sen|Corporate|West |Gujarat|Ahmedabad|Office Supplies|Storage|Basic Storage 273|First Class|5|2465.22|0.05|11709.79|8372.29|3337.5|Paid|Completed"/>
    <s v="Keep"/>
    <n v="1"/>
    <s v="Unique"/>
    <s v=""/>
    <n v="0.05"/>
    <n v="11709.794999999998"/>
    <n v="3337.5049999999974"/>
    <n v="0.28501822619439521"/>
    <n v="3"/>
    <n v="2024"/>
    <b v="0"/>
    <b v="0"/>
    <x v="0"/>
    <s v=""/>
    <s v="Clean"/>
  </r>
  <r>
    <s v="ORD-2024-10754"/>
    <s v="11 Aug 2024"/>
    <x v="1"/>
    <d v="2024-08-11T00:00:00"/>
    <s v="10-08-2024"/>
    <d v="2024-08-10T00:00:00"/>
    <s v="Ship date before order date"/>
    <n v="-1"/>
    <s v="CUST-4505"/>
    <s v="Aditi Sen"/>
    <s v="Aditi Sen"/>
    <s v="Corporate"/>
    <x v="2"/>
    <s v="North"/>
    <x v="0"/>
    <s v="Delhi"/>
    <s v="Delhi"/>
    <s v="New Delhi"/>
    <s v="New Delhi"/>
    <s v="  Furniture "/>
    <x v="1"/>
    <s v="Furnishings"/>
    <x v="3"/>
    <s v="Elite Furnishings 588"/>
    <s v="Second Class"/>
    <x v="0"/>
    <n v="3"/>
    <n v="1017.22"/>
    <n v="0.15"/>
    <n v="2593.91"/>
    <n v="1848.48"/>
    <n v="745.43"/>
    <s v="Failed"/>
    <x v="3"/>
    <s v="Returned"/>
    <x v="2"/>
    <s v="ORD-2024-10754|08-11-2024|10-08-2024|CUST-4505|Aditi Sen|Corporate|North|Delhi|New Delhi|  Furniture |Furnishings|Elite Furnishings 588|Second Class|3|1017.22|0.15|2593.91|1848.48|745.43|Failed|Returned"/>
    <s v="Keep"/>
    <n v="1"/>
    <s v="Unique"/>
    <s v=""/>
    <n v="0.15"/>
    <n v="2593.9109999999996"/>
    <n v="745.43099999999959"/>
    <n v="0.28737724617382776"/>
    <n v="8"/>
    <n v="2024"/>
    <b v="0"/>
    <b v="0"/>
    <x v="1"/>
    <s v="Ship date before order date; Failed payment excluded; Returned order excluded"/>
    <s v="Invalid"/>
  </r>
  <r>
    <s v="ORD-2025-10755"/>
    <s v="06/04/2025"/>
    <x v="18"/>
    <d v="2025-06-04T00:00:00"/>
    <s v="06/04/2025"/>
    <d v="2025-06-04T00:00:00"/>
    <s v="OK"/>
    <n v="0"/>
    <s v="CUST-7960"/>
    <s v="Neha Gupta"/>
    <s v="Neha Gupta"/>
    <s v="Corporate"/>
    <x v="2"/>
    <s v="South"/>
    <x v="2"/>
    <s v="Kerala"/>
    <s v="Kerala"/>
    <s v="Kochi"/>
    <s v="Kochi"/>
    <s v="Office Supplies"/>
    <x v="0"/>
    <s v="Storage"/>
    <x v="8"/>
    <s v="Elite Storage 857"/>
    <s v="Standard Class"/>
    <x v="3"/>
    <n v="4"/>
    <n v="891.34"/>
    <n v="0.25"/>
    <n v="2674.02"/>
    <n v="2207.5700000000002"/>
    <n v="466.45"/>
    <s v="Paid"/>
    <x v="0"/>
    <s v="Completed"/>
    <x v="0"/>
    <s v="ORD-2025-10755|06-04-2025|06-04-2025|CUST-7960|Neha Gupta|Corporate|South|Kerala|Kochi|Office Supplies|Storage|Elite Storage 857|Standard Class|4|891.34|0.25|2674.02|2207.57|466.45|Paid|Completed"/>
    <s v="Keep"/>
    <n v="1"/>
    <s v="Unique"/>
    <s v=""/>
    <n v="0.25"/>
    <n v="2674.02"/>
    <n v="466.44999999999982"/>
    <n v="0.17443773793763689"/>
    <n v="6"/>
    <n v="2025"/>
    <b v="0"/>
    <b v="0"/>
    <x v="0"/>
    <s v=""/>
    <s v="Clean"/>
  </r>
  <r>
    <s v="ORD-2025-10756"/>
    <s v="20-07-2025"/>
    <x v="13"/>
    <d v="2025-07-20T00:00:00"/>
    <s v="24-07-2025"/>
    <d v="2025-07-24T00:00:00"/>
    <s v="OK"/>
    <n v="4"/>
    <s v="CUST-3365"/>
    <s v="Priya Menon"/>
    <s v="Priya Menon"/>
    <s v="Home Office"/>
    <x v="3"/>
    <s v="West"/>
    <x v="3"/>
    <s v="Madhya Pradesh"/>
    <s v="Madhya Pradesh"/>
    <s v="Indore"/>
    <s v="Indore"/>
    <s v="Office Supplies"/>
    <x v="0"/>
    <s v="Storage"/>
    <x v="8"/>
    <s v="Prime Storage 183"/>
    <s v="Second Class"/>
    <x v="0"/>
    <n v="5"/>
    <n v="2481.7399999999998"/>
    <n v="0.2"/>
    <n v="9926.9599999999991"/>
    <n v="7994.98"/>
    <n v="1931.98"/>
    <s v="Paid"/>
    <x v="0"/>
    <s v="Completed"/>
    <x v="0"/>
    <s v="ORD-2025-10756|20-07-2025|24-07-2025|CUST-3365|Priya Menon|Home Office|West|Madhya Pradesh|Indore|Office Supplies|Storage|Prime Storage 183|Second Class|5|2481.74|0.2|9926.96|7994.98|1931.98|Paid|Completed"/>
    <s v="Keep"/>
    <n v="1"/>
    <s v="Unique"/>
    <s v=""/>
    <n v="0.2"/>
    <n v="9926.9599999999991"/>
    <n v="1931.9799999999996"/>
    <n v="0.19461950083409219"/>
    <n v="7"/>
    <n v="2025"/>
    <b v="0"/>
    <b v="0"/>
    <x v="0"/>
    <s v=""/>
    <s v="Clean"/>
  </r>
  <r>
    <s v="ORD-2024-10757"/>
    <s v="10/27/2024"/>
    <x v="16"/>
    <d v="2024-10-27T00:00:00"/>
    <s v="11/01/2024"/>
    <d v="2024-11-01T00:00:00"/>
    <s v="OK"/>
    <n v="5"/>
    <s v="CUST-1557"/>
    <s v="Rohan Mehta"/>
    <s v="Rohan Mehta"/>
    <s v="Consumer"/>
    <x v="0"/>
    <s v="North"/>
    <x v="0"/>
    <s v="Rajasthan"/>
    <s v="Rajasthan"/>
    <s v="Jaipur"/>
    <s v="Jaipur"/>
    <s v="Technology"/>
    <x v="2"/>
    <s v="Accessories"/>
    <x v="5"/>
    <s v="Smart Accessories 362"/>
    <s v="Same Day"/>
    <x v="1"/>
    <n v="7"/>
    <n v="2177.1"/>
    <n v="0.2"/>
    <n v="12191.76"/>
    <n v="10457.49"/>
    <n v="1734.27"/>
    <s v="Paid"/>
    <x v="0"/>
    <s v="Returned"/>
    <x v="2"/>
    <s v="ORD-2024-10757|10-27-2024|11-01-2024|CUST-1557|Rohan Mehta|Consumer|North|Rajasthan|Jaipur|Technology|Accessories|Smart Accessories 362|Same Day|7|2177.1|0.2|12191.76|10457.49|1734.27|Paid|Returned"/>
    <s v="Keep"/>
    <n v="1"/>
    <s v="Unique"/>
    <s v=""/>
    <n v="0.2"/>
    <n v="12191.76"/>
    <n v="1734.2700000000004"/>
    <n v="0.14224935530226976"/>
    <n v="10"/>
    <n v="2024"/>
    <b v="0"/>
    <b v="0"/>
    <x v="1"/>
    <s v="Returned order excluded"/>
    <s v="Warning"/>
  </r>
  <r>
    <s v="ORD-2025-10758"/>
    <s v="01 Aug 2025"/>
    <x v="4"/>
    <d v="2025-08-01T00:00:00"/>
    <s v="2025-08-03"/>
    <d v="2025-08-03T00:00:00"/>
    <s v="OK"/>
    <n v="2"/>
    <s v="CUST-3058"/>
    <s v="Aditi Sen"/>
    <s v="Aditi Sen"/>
    <s v="Small Business"/>
    <x v="1"/>
    <s v="South"/>
    <x v="2"/>
    <s v="Kerala"/>
    <s v="Kerala"/>
    <s v="Kochi"/>
    <s v="Kochi"/>
    <s v="Furniture"/>
    <x v="1"/>
    <s v="Bookcases"/>
    <x v="10"/>
    <s v="Classic Bookcases 310"/>
    <s v="Standard Class"/>
    <x v="3"/>
    <n v="3"/>
    <n v="1904.78"/>
    <n v="0.25"/>
    <n v="4285.76"/>
    <n v="2386.33"/>
    <n v="1899.43"/>
    <s v="Failed"/>
    <x v="3"/>
    <s v="Cancelled"/>
    <x v="1"/>
    <s v="ORD-2025-10758|08-01-2025|08-03-2025|CUST-3058|Aditi Sen|Small Business|South|Kerala|Kochi|Furniture|Bookcases|Classic Bookcases 310|Standard Class|3|1904.78|0.25|4285.76|2386.33|1899.43|Failed|Cancelled"/>
    <s v="Keep"/>
    <n v="1"/>
    <s v="Unique"/>
    <s v=""/>
    <n v="0.25"/>
    <n v="4285.7550000000001"/>
    <n v="1899.4250000000002"/>
    <n v="0.44319495631458172"/>
    <n v="8"/>
    <n v="2025"/>
    <b v="0"/>
    <b v="0"/>
    <x v="1"/>
    <s v="Failed payment excluded; Cancelled order excluded"/>
    <s v="Warning"/>
  </r>
  <r>
    <s v="ORD-2024-10759"/>
    <s v="02 May 2024"/>
    <x v="5"/>
    <d v="2024-05-02T00:00:00"/>
    <s v="10 May 2024"/>
    <d v="2024-05-10T00:00:00"/>
    <s v="OK"/>
    <n v="8"/>
    <s v="CUST-6076"/>
    <s v="Aarav Sharma"/>
    <s v="Aarav Sharma"/>
    <s v="Small Business"/>
    <x v="1"/>
    <s v="South"/>
    <x v="2"/>
    <s v="Karnataka"/>
    <s v="Karnataka"/>
    <s v="Bengaluru"/>
    <s v="Bengaluru"/>
    <s v="Furniture"/>
    <x v="1"/>
    <s v="Chairs"/>
    <x v="4"/>
    <s v="Prime Chairs 721"/>
    <s v="Standard Class"/>
    <x v="3"/>
    <n v="1"/>
    <n v="4166.91"/>
    <n v="0"/>
    <n v="4166.91"/>
    <n v="3412.63"/>
    <n v="754.28"/>
    <s v="Paid"/>
    <x v="0"/>
    <s v="Completed"/>
    <x v="0"/>
    <s v="ORD-2024-10759|05-02-2024|05-10-2024|CUST-6076|Aarav Sharma|Small Business|South|Karnataka|Bengaluru|Furniture|Chairs|Prime Chairs 721|Standard Class|1|4166.91|0|4166.91|3412.63|754.28|Paid|Completed"/>
    <s v="Keep"/>
    <n v="1"/>
    <s v="Unique"/>
    <s v=""/>
    <n v="0"/>
    <n v="4166.91"/>
    <n v="754.27999999999975"/>
    <n v="0.18101662862888801"/>
    <n v="5"/>
    <n v="2024"/>
    <b v="0"/>
    <b v="0"/>
    <x v="0"/>
    <s v=""/>
    <s v="Clean"/>
  </r>
  <r>
    <s v="ORD-2024-10760"/>
    <s v="2024-07-19"/>
    <x v="0"/>
    <d v="2024-07-19T00:00:00"/>
    <s v="26-07-2024"/>
    <d v="2024-07-26T00:00:00"/>
    <s v="OK"/>
    <n v="7"/>
    <s v="CUST-2098"/>
    <s v="Arjun Bose"/>
    <s v="Arjun Bose"/>
    <s v="Home Office"/>
    <x v="3"/>
    <s v="  South "/>
    <x v="2"/>
    <s v="Karnataka"/>
    <s v="Karnataka"/>
    <s v="Bengaluru"/>
    <s v="Bengaluru"/>
    <s v="Furniture"/>
    <x v="1"/>
    <s v="Tables"/>
    <x v="1"/>
    <s v="Prime Tables 797"/>
    <s v="Second Class"/>
    <x v="0"/>
    <n v="5"/>
    <n v="3986.01"/>
    <n v="0.25"/>
    <n v="14947.54"/>
    <n v="9438.4599999999991"/>
    <n v="5509.08"/>
    <s v="Paid"/>
    <x v="0"/>
    <s v="Completed"/>
    <x v="0"/>
    <s v="ORD-2024-10760|07-19-2024|26-07-2024|CUST-2098|Arjun Bose|Home Office|  South |Karnataka|Bengaluru|Furniture|Tables|Prime Tables 797|Second Class|5|3986.01|0.25|14947.54|9438.46|5509.08|Paid|Completed"/>
    <s v="Keep"/>
    <n v="1"/>
    <s v="Unique"/>
    <s v=""/>
    <n v="0.25"/>
    <n v="14947.537500000002"/>
    <n v="5509.0775000000031"/>
    <n v="0.36856087499362367"/>
    <n v="7"/>
    <n v="2024"/>
    <b v="0"/>
    <b v="0"/>
    <x v="0"/>
    <s v=""/>
    <s v="Clean"/>
  </r>
  <r>
    <s v="ORD-2024-10761"/>
    <s v="28-08-2024"/>
    <x v="1"/>
    <d v="2024-08-28T00:00:00"/>
    <s v="02 Sep 2024"/>
    <d v="2024-09-02T00:00:00"/>
    <s v="OK"/>
    <n v="5"/>
    <s v="CUST-7193"/>
    <s v="Aditi Sen"/>
    <s v="Aditi Sen"/>
    <s v="Home Office"/>
    <x v="3"/>
    <s v="East"/>
    <x v="1"/>
    <s v="Assam"/>
    <s v="Assam"/>
    <s v="Guwahati"/>
    <s v="Guwahati"/>
    <s v="Office Supplies"/>
    <x v="0"/>
    <s v="Art"/>
    <x v="2"/>
    <s v="Max Art 926"/>
    <s v="Second Class"/>
    <x v="0"/>
    <n v="4"/>
    <n v="3365.53"/>
    <n v="0"/>
    <n v="13462.12"/>
    <n v="7600.63"/>
    <n v="5861.49"/>
    <s v="Pending"/>
    <x v="2"/>
    <s v="Returned"/>
    <x v="2"/>
    <s v="ORD-2024-10761|28-08-2024|09-02-2024|CUST-7193|Aditi Sen|Home Office|East|Assam|Guwahati|Office Supplies|Art|Max Art 926|Second Class|4|3365.53|0|13462.12|7600.63|5861.49|Pending|Returned"/>
    <s v="Keep"/>
    <n v="1"/>
    <s v="Unique"/>
    <s v=""/>
    <n v="0"/>
    <n v="13462.12"/>
    <n v="5861.4900000000007"/>
    <n v="0.43540616188237813"/>
    <n v="8"/>
    <n v="2024"/>
    <b v="0"/>
    <b v="0"/>
    <x v="1"/>
    <s v="Returned order excluded"/>
    <s v="Warning"/>
  </r>
  <r>
    <s v="ORD-2025-10762"/>
    <s v="27 Aug 2025"/>
    <x v="4"/>
    <d v="2025-08-27T00:00:00"/>
    <s v="08/31/2025"/>
    <d v="2025-08-31T00:00:00"/>
    <s v="OK"/>
    <n v="4"/>
    <s v="CUST-8948"/>
    <s v="Isha Nair"/>
    <s v="Isha Nair"/>
    <s v="Consumer"/>
    <x v="0"/>
    <s v="South"/>
    <x v="2"/>
    <s v="Karnataka"/>
    <s v="Karnataka"/>
    <s v="Bengaluru"/>
    <s v="Bengaluru"/>
    <s v="Technology"/>
    <x v="2"/>
    <s v="Machines"/>
    <x v="12"/>
    <s v="Max Machines 364"/>
    <s v="First Class"/>
    <x v="2"/>
    <n v="3"/>
    <n v="2489.12"/>
    <n v="0"/>
    <n v="7467.36"/>
    <n v="5010.6099999999997"/>
    <n v="2456.75"/>
    <s v="Paid"/>
    <x v="0"/>
    <s v="Completed"/>
    <x v="0"/>
    <s v="ORD-2025-10762|08-27-2025|08-31-2025|CUST-8948|Isha Nair|Consumer|South|Karnataka|Bengaluru|Technology|Machines|Max Machines 364|First Class|3|2489.12|0|7467.36|5010.61|2456.75|Paid|Completed"/>
    <s v="Keep"/>
    <n v="1"/>
    <s v="Unique"/>
    <s v=""/>
    <n v="0"/>
    <n v="7467.36"/>
    <n v="2456.75"/>
    <n v="0.32899846799940008"/>
    <n v="8"/>
    <n v="2025"/>
    <b v="0"/>
    <b v="0"/>
    <x v="0"/>
    <s v=""/>
    <s v="Clean"/>
  </r>
  <r>
    <s v="ORD-2024-10763"/>
    <s v="01/01/2024"/>
    <x v="12"/>
    <d v="2024-01-01T00:00:00"/>
    <s v="05 Jan 2024"/>
    <d v="2024-01-05T00:00:00"/>
    <s v="OK"/>
    <n v="4"/>
    <s v="CUST-6921"/>
    <s v="Diya Patel"/>
    <s v="Diya Patel"/>
    <s v="Corporate"/>
    <x v="2"/>
    <s v="West"/>
    <x v="3"/>
    <s v="Madhya Pradesh"/>
    <s v="Madhya Pradesh"/>
    <s v="Indore"/>
    <s v="Indore"/>
    <s v="Technology"/>
    <x v="2"/>
    <s v="Machines"/>
    <x v="12"/>
    <s v="Classic Machines 122"/>
    <s v="Second Class"/>
    <x v="0"/>
    <n v="2"/>
    <n v="3694.12"/>
    <n v="0.2"/>
    <n v="5910.59"/>
    <n v="4775.4399999999996"/>
    <n v="1135.1500000000001"/>
    <s v="Refunded"/>
    <x v="1"/>
    <s v="Returned"/>
    <x v="2"/>
    <s v="ORD-2024-10763|01-01-2024|01-05-2024|CUST-6921|Diya Patel|Corporate|West|Madhya Pradesh|Indore|Technology|Machines|Classic Machines 122|Second Class|2|3694.12|0.2|5910.59|4775.44|1135.15|Refunded|Returned"/>
    <s v="Keep"/>
    <n v="1"/>
    <s v="Unique"/>
    <s v=""/>
    <n v="0.2"/>
    <n v="5910.5920000000006"/>
    <n v="1135.152000000001"/>
    <n v="0.19205385856442145"/>
    <n v="1"/>
    <n v="2024"/>
    <b v="0"/>
    <b v="0"/>
    <x v="1"/>
    <s v="Refunded order summarized separately; Returned order excluded"/>
    <s v="Warning"/>
  </r>
  <r>
    <s v="ORD-2025-10764"/>
    <s v="23 Aug 2025"/>
    <x v="4"/>
    <d v="2025-08-23T00:00:00"/>
    <s v="2025-08-25"/>
    <d v="2025-08-25T00:00:00"/>
    <s v="OK"/>
    <n v="2"/>
    <s v="CUST-4086"/>
    <s v="Diya Patel"/>
    <s v="Diya Patel"/>
    <s v="Consumer"/>
    <x v="0"/>
    <s v="North"/>
    <x v="0"/>
    <s v="Rajasthan"/>
    <s v="Rajasthan"/>
    <s v="Jaipur"/>
    <s v="Jaipur"/>
    <s v="Furniture"/>
    <x v="1"/>
    <s v="Furnishings"/>
    <x v="3"/>
    <s v="Elite Furnishings 169"/>
    <s v="Same Day"/>
    <x v="1"/>
    <n v="6"/>
    <n v="2742.48"/>
    <n v="0"/>
    <n v="16454.88"/>
    <n v="12081.54"/>
    <n v="4373.34"/>
    <s v="Paid"/>
    <x v="0"/>
    <s v="Completed"/>
    <x v="0"/>
    <s v="ORD-2025-10764|08-23-2025|08-25-2025|CUST-4086|Diya Patel|Consumer|North|Rajasthan|Jaipur|Furniture|Furnishings|Elite Furnishings 169|Same Day|6|2742.48|0|16454.88|12081.54|4373.34|Paid|Completed"/>
    <s v="Keep"/>
    <n v="1"/>
    <s v="Unique"/>
    <s v=""/>
    <n v="0"/>
    <n v="16454.88"/>
    <n v="4373.34"/>
    <n v="0.26577769026574488"/>
    <n v="8"/>
    <n v="2025"/>
    <b v="0"/>
    <b v="0"/>
    <x v="0"/>
    <s v=""/>
    <s v="Clean"/>
  </r>
  <r>
    <s v="ORD-2025-10765"/>
    <s v="2025-04-13"/>
    <x v="6"/>
    <d v="2025-04-13T00:00:00"/>
    <s v="13-04-2025"/>
    <d v="2025-04-13T00:00:00"/>
    <s v="OK"/>
    <n v="0"/>
    <s v="CUST-5174"/>
    <s v="Priya Menon"/>
    <s v="Priya Menon"/>
    <s v="Corporate"/>
    <x v="2"/>
    <s v="South"/>
    <x v="2"/>
    <s v="Kerala"/>
    <s v="Kerala"/>
    <s v="Kochi"/>
    <s v="Kochi"/>
    <s v="Furniture"/>
    <x v="1"/>
    <s v="Bookcases"/>
    <x v="10"/>
    <s v="Pro Bookcases 615"/>
    <s v="First Class"/>
    <x v="2"/>
    <n v="6"/>
    <n v="4414"/>
    <n v="0.05"/>
    <n v="25159.8"/>
    <n v="21606.83"/>
    <n v="3552.97"/>
    <s v="Paid"/>
    <x v="0"/>
    <s v="Completed"/>
    <x v="0"/>
    <s v="ORD-2025-10765|04-13-2025|13-04-2025|CUST-5174|Priya Menon|Corporate|South|Kerala|Kochi|Furniture|Bookcases|Pro Bookcases 615|First Class|6|4414|0.05|25159.8|21606.83|3552.97|Paid|Completed"/>
    <s v="Keep"/>
    <n v="1"/>
    <s v="Unique"/>
    <s v=""/>
    <n v="0.05"/>
    <n v="25159.8"/>
    <n v="3552.9699999999975"/>
    <n v="0.14121614639226057"/>
    <n v="4"/>
    <n v="2025"/>
    <b v="0"/>
    <b v="0"/>
    <x v="0"/>
    <s v=""/>
    <s v="Clean"/>
  </r>
  <r>
    <s v="ORD-2025-10766"/>
    <s v="29-06-2025"/>
    <x v="18"/>
    <d v="2025-06-29T00:00:00"/>
    <s v="2025-07-03"/>
    <d v="2025-07-03T00:00:00"/>
    <s v="OK"/>
    <n v="4"/>
    <s v="CUST-8747"/>
    <s v="Vikram Iyer"/>
    <s v="Vikram Iyer"/>
    <s v="Corporate"/>
    <x v="2"/>
    <s v="East"/>
    <x v="1"/>
    <s v="Jharkhand"/>
    <s v="Jharkhand"/>
    <s v="Ranchi"/>
    <s v="Ranchi"/>
    <s v="Office Supplies"/>
    <x v="0"/>
    <s v="Labels"/>
    <x v="7"/>
    <s v="Max Labels 136"/>
    <s v="First Class"/>
    <x v="2"/>
    <n v="3"/>
    <n v="608.14"/>
    <n v="0"/>
    <n v="1824.42"/>
    <n v="1214.8699999999999"/>
    <n v="609.54999999999995"/>
    <s v="Paid"/>
    <x v="0"/>
    <s v="Completed"/>
    <x v="0"/>
    <s v="ORD-2025-10766|29-06-2025|07-03-2025|CUST-8747|Vikram Iyer|Corporate|East|Jharkhand|Ranchi|Office Supplies|Labels|Max Labels 136|First Class|3|608.14|0|1824.42|1214.87|609.55|Paid|Completed"/>
    <s v="Keep"/>
    <n v="1"/>
    <s v="Unique"/>
    <s v=""/>
    <n v="0"/>
    <n v="1824.42"/>
    <n v="609.55000000000018"/>
    <n v="0.33410618169061956"/>
    <n v="6"/>
    <n v="2025"/>
    <b v="0"/>
    <b v="0"/>
    <x v="0"/>
    <s v=""/>
    <s v="Clean"/>
  </r>
  <r>
    <s v="ORD-2024-10767"/>
    <s v="17 Sep 2024"/>
    <x v="21"/>
    <d v="2024-09-17T00:00:00"/>
    <s v="24 Sep 2024"/>
    <d v="2024-09-24T00:00:00"/>
    <s v="OK"/>
    <n v="7"/>
    <s v="CUST-3156"/>
    <s v="Mira Das"/>
    <s v="Mira Das"/>
    <s v="Corporate"/>
    <x v="2"/>
    <s v="West"/>
    <x v="3"/>
    <s v="Gujarat"/>
    <s v="Gujarat"/>
    <s v="Ahmedabad"/>
    <s v="Ahmedabad"/>
    <s v="Office Supplies"/>
    <x v="0"/>
    <s v="Art"/>
    <x v="2"/>
    <s v="Prime Art 380"/>
    <s v="Second Class"/>
    <x v="0"/>
    <n v="9"/>
    <n v="2307.96"/>
    <n v="0.2"/>
    <n v="16617.310000000001"/>
    <n v="9195.73"/>
    <n v="7421.58"/>
    <s v="Paid"/>
    <x v="0"/>
    <s v="Cancelled"/>
    <x v="1"/>
    <s v="ORD-2024-10767|09-17-2024|09-24-2024|CUST-3156|Mira Das|Corporate|West|Gujarat|Ahmedabad|Office Supplies|Art|Prime Art 380|Second Class|9|2307.96|0.2|16617.31|9195.73|7421.58|Paid|Cancelled"/>
    <s v="Keep"/>
    <n v="1"/>
    <s v="Unique"/>
    <s v=""/>
    <n v="0.2"/>
    <n v="16617.312000000002"/>
    <n v="7421.5820000000022"/>
    <n v="0.44661747940942564"/>
    <n v="9"/>
    <n v="2024"/>
    <b v="0"/>
    <b v="0"/>
    <x v="1"/>
    <s v="Cancelled order excluded"/>
    <s v="Warning"/>
  </r>
  <r>
    <s v="ORD-2024-10768"/>
    <s v="03 May 2024"/>
    <x v="5"/>
    <d v="2024-05-03T00:00:00"/>
    <s v="05/06/2024"/>
    <d v="2024-05-06T00:00:00"/>
    <s v="OK"/>
    <n v="3"/>
    <s v="CUST-2043"/>
    <s v="Ananya Rao"/>
    <s v="Ananya Rao"/>
    <s v="Home Office"/>
    <x v="3"/>
    <s v="North"/>
    <x v="0"/>
    <s v="Uttar Pradesh"/>
    <s v="Uttar Pradesh"/>
    <s v="Noida"/>
    <s v="Noida"/>
    <s v="Office Supplies"/>
    <x v="0"/>
    <s v="Binders"/>
    <x v="9"/>
    <s v="Classic Binders 234"/>
    <s v="Standard Class"/>
    <x v="3"/>
    <n v="1"/>
    <n v="1244.58"/>
    <n v="0.25"/>
    <n v="933.43"/>
    <n v="583.09"/>
    <n v="350.34"/>
    <s v="Paid"/>
    <x v="0"/>
    <s v="Completed"/>
    <x v="0"/>
    <s v="ORD-2024-10768|05-03-2024|05-06-2024|CUST-2043|Ananya Rao|Home Office|North|Uttar Pradesh|Noida|OFFICE SUPPLIES|Binders|Classic Binders 234|Standard Class|1|1244.58|0.25|933.43|583.09|350.34|Paid|Completed"/>
    <s v="Keep"/>
    <n v="1"/>
    <s v="Unique"/>
    <s v=""/>
    <n v="0.25"/>
    <n v="933.43499999999995"/>
    <n v="350.34499999999991"/>
    <n v="0.3753287588316272"/>
    <n v="5"/>
    <n v="2024"/>
    <b v="0"/>
    <b v="0"/>
    <x v="0"/>
    <s v=""/>
    <s v="Clean"/>
  </r>
  <r>
    <s v="ORD-2025-10769"/>
    <s v="2025-04-02"/>
    <x v="6"/>
    <d v="2025-04-02T00:00:00"/>
    <s v="2025-04-04"/>
    <d v="2025-04-04T00:00:00"/>
    <s v="OK"/>
    <n v="2"/>
    <s v="CUST-8808"/>
    <s v="Sneha Kapoor"/>
    <s v="Sneha Kapoor"/>
    <s v="Home Office"/>
    <x v="3"/>
    <s v="East"/>
    <x v="1"/>
    <s v="Jharkhand"/>
    <s v="Jharkhand"/>
    <s v="Ranchi"/>
    <s v="Ranchi"/>
    <s v="Office Supplies"/>
    <x v="0"/>
    <s v="Paper"/>
    <x v="0"/>
    <s v="Classic Paper 280"/>
    <s v="Same Day"/>
    <x v="1"/>
    <n v="5"/>
    <n v="3234.24"/>
    <n v="0.1"/>
    <n v="14554.08"/>
    <n v="11166.84"/>
    <n v="3387.24"/>
    <s v="Paid"/>
    <x v="0"/>
    <s v="Completed"/>
    <x v="0"/>
    <s v="ORD-2025-10769|04-02-2025|04-04-2025|CUST-8808|Sneha Kapoor|Home Office|East|Jharkhand|Ranchi|Office Supplies|Paper|Classic Paper 280|Same Day|5|3234.24|0.1|14554.08|11166.84|3387.24|Paid|Completed"/>
    <s v="Keep"/>
    <n v="1"/>
    <s v="Unique"/>
    <s v=""/>
    <n v="0.1"/>
    <n v="14554.08"/>
    <n v="3387.24"/>
    <n v="0.23273473830018798"/>
    <n v="4"/>
    <n v="2025"/>
    <b v="0"/>
    <b v="0"/>
    <x v="0"/>
    <s v=""/>
    <s v="Clean"/>
  </r>
  <r>
    <s v="ORD-2024-10770"/>
    <s v="05/11/2024"/>
    <x v="5"/>
    <d v="2024-05-11T00:00:00"/>
    <s v="13 May 2024"/>
    <d v="2024-05-13T00:00:00"/>
    <s v="OK"/>
    <n v="2"/>
    <s v="CUST-1293"/>
    <s v="Priya Menon"/>
    <s v="Priya Menon"/>
    <s v="Home Office"/>
    <x v="3"/>
    <s v="West"/>
    <x v="3"/>
    <s v="Goa"/>
    <s v="Goa"/>
    <s v="Panaji"/>
    <s v="Panaji"/>
    <s v="Furniture"/>
    <x v="1"/>
    <s v="Bookcases"/>
    <x v="10"/>
    <s v="Classic Bookcases 922"/>
    <s v="Same Day"/>
    <x v="1"/>
    <n v="3"/>
    <n v="3612.75"/>
    <n v="0.25"/>
    <n v="8128.69"/>
    <n v="5071.66"/>
    <n v="3057.03"/>
    <s v="Paid"/>
    <x v="0"/>
    <s v="Completed"/>
    <x v="0"/>
    <s v="ORD-2024-10770|05-11-2024|05-13-2024|CUST-1293|Priya Menon|Home Office|West|Goa|Panaji|Furniture|Bookcases|Classic Bookcases 922|Same Day|3|3612.75|0.25|8128.69|5071.66|3057.03|Paid|Completed"/>
    <s v="Keep"/>
    <n v="1"/>
    <s v="Unique"/>
    <s v=""/>
    <n v="0.25"/>
    <n v="8128.6875"/>
    <n v="3057.0275000000001"/>
    <n v="0.3760788565189645"/>
    <n v="5"/>
    <n v="2024"/>
    <b v="0"/>
    <b v="0"/>
    <x v="0"/>
    <s v=""/>
    <s v="Clean"/>
  </r>
  <r>
    <s v="ORD-2024-10771"/>
    <s v="02/15/2024"/>
    <x v="17"/>
    <d v="2024-02-15T00:00:00"/>
    <s v="17-02-2024"/>
    <d v="2024-02-17T00:00:00"/>
    <s v="OK"/>
    <n v="2"/>
    <s v="CUST-8384"/>
    <s v="Neha Gupta"/>
    <s v="Neha Gupta"/>
    <s v="Consumer"/>
    <x v="0"/>
    <s v="North"/>
    <x v="0"/>
    <s v="Uttar Pradesh"/>
    <s v="Uttar Pradesh"/>
    <s v="Noida"/>
    <s v="Noida"/>
    <s v="Technology"/>
    <x v="2"/>
    <s v="Copiers"/>
    <x v="6"/>
    <s v="Eco Copiers 396"/>
    <s v="First Class"/>
    <x v="2"/>
    <n v="4"/>
    <n v="863"/>
    <m/>
    <n v="3106.8"/>
    <n v="2376.62"/>
    <n v="730.18"/>
    <s v="Paid"/>
    <x v="0"/>
    <s v="Completed"/>
    <x v="0"/>
    <s v="ORD-2024-10771|02-15-2024|17-02-2024|CUST-8384|Neha Gupta|Consumer|North|Uttar Pradesh|Noida|Technology|Copiers|Eco Copiers 396|First Class|4|863||3106.8|2376.62|730.18|Paid|Completed"/>
    <s v="Keep"/>
    <n v="1"/>
    <s v="Unique"/>
    <s v=""/>
    <n v="0"/>
    <n v="3452"/>
    <n v="1075.3800000000001"/>
    <n v="0.3115237543453071"/>
    <n v="2"/>
    <n v="2024"/>
    <b v="1"/>
    <b v="1"/>
    <x v="1"/>
    <s v="Missing discount treated as 0; Sales mismatch; Profit mismatch"/>
    <s v="Invalid"/>
  </r>
  <r>
    <s v="ORD-2024-10772"/>
    <s v="2024-07-12"/>
    <x v="0"/>
    <d v="2024-07-12T00:00:00"/>
    <s v="2024-07-14"/>
    <d v="2024-07-14T00:00:00"/>
    <s v="OK"/>
    <n v="2"/>
    <s v="CUST-7861"/>
    <s v="Ananya Rao"/>
    <s v="Ananya Rao"/>
    <s v="Consumer"/>
    <x v="0"/>
    <s v="North"/>
    <x v="0"/>
    <s v="Haryana"/>
    <s v="Haryana"/>
    <s v="Gurugram"/>
    <s v="Gurugram"/>
    <s v="Technology"/>
    <x v="2"/>
    <s v="Machines"/>
    <x v="12"/>
    <s v="Basic Machines 401"/>
    <s v="Second Class"/>
    <x v="0"/>
    <n v="4"/>
    <n v="2131.41"/>
    <m/>
    <n v="6394.23"/>
    <n v="3520.69"/>
    <n v="2873.54"/>
    <s v="Paid"/>
    <x v="0"/>
    <s v="Completed"/>
    <x v="0"/>
    <s v="ORD-2024-10772|07-12-2024|07-14-2024|CUST-7861|Ananya Rao|Consumer|North|Haryana|Gurugram|Technology|Machines|Basic Machines 401|Second Class|4|2131.41||6394.23|3520.69|2873.54|Paid|Completed"/>
    <s v="Keep"/>
    <n v="1"/>
    <s v="Unique"/>
    <s v=""/>
    <n v="0"/>
    <n v="8525.64"/>
    <n v="5004.9499999999989"/>
    <n v="0.58704683753946907"/>
    <n v="7"/>
    <n v="2024"/>
    <b v="1"/>
    <b v="1"/>
    <x v="1"/>
    <s v="Missing discount treated as 0; Sales mismatch; Profit mismatch"/>
    <s v="Invalid"/>
  </r>
  <r>
    <s v="ORD-2025-10773"/>
    <s v="07/15/2025"/>
    <x v="13"/>
    <d v="2025-07-15T00:00:00"/>
    <s v="19 Jul 2025"/>
    <d v="2025-07-19T00:00:00"/>
    <s v="OK"/>
    <n v="4"/>
    <s v="CUST-8422"/>
    <s v="Diya Patel"/>
    <s v="Diya Patel"/>
    <s v="Consumer"/>
    <x v="0"/>
    <s v="South"/>
    <x v="2"/>
    <s v="Tamil Nadu"/>
    <s v="Tamil Nadu"/>
    <s v="Chennai"/>
    <s v="Chennai"/>
    <s v="Furniture"/>
    <x v="1"/>
    <s v="Chairs"/>
    <x v="4"/>
    <s v="Basic Chairs 279"/>
    <s v="Same Day"/>
    <x v="1"/>
    <n v="1"/>
    <n v="3903.22"/>
    <n v="0.05"/>
    <n v="3708.06"/>
    <n v="2760.29"/>
    <n v="947.77"/>
    <s v="Pending"/>
    <x v="2"/>
    <s v="Cancelled"/>
    <x v="1"/>
    <s v="ORD-2025-10773|07-15-2025|07-19-2025|CUST-8422|Diya Patel|Consumer|South|Tamil Nadu|Chennai|Furniture|Chairs|Basic Chairs 279|Same Day|1|3903.22|0.05|3708.06|2760.29|947.77|Pending|Cancelled"/>
    <s v="Keep"/>
    <n v="1"/>
    <s v="Unique"/>
    <s v=""/>
    <n v="0.05"/>
    <n v="3708.0589999999997"/>
    <n v="947.76899999999978"/>
    <n v="0.25559706574248142"/>
    <n v="7"/>
    <n v="2025"/>
    <b v="0"/>
    <b v="0"/>
    <x v="1"/>
    <s v="Cancelled order excluded"/>
    <s v="Warning"/>
  </r>
  <r>
    <s v="ORD-2025-10774"/>
    <s v="2025-02-21"/>
    <x v="7"/>
    <d v="2025-02-21T00:00:00"/>
    <s v="21 Feb 2025"/>
    <d v="2025-02-21T00:00:00"/>
    <s v="OK"/>
    <n v="0"/>
    <s v="CUST-4766"/>
    <s v="Karan Malhotra"/>
    <s v="Karan Malhotra"/>
    <s v="Home Office"/>
    <x v="3"/>
    <s v="West"/>
    <x v="3"/>
    <s v="Gujarat"/>
    <s v="Gujarat"/>
    <s v="Ahmedabad"/>
    <s v="Ahmedabad"/>
    <s v="Technology"/>
    <x v="2"/>
    <s v="Phones"/>
    <x v="11"/>
    <s v="Basic Phones 753"/>
    <m/>
    <x v="4"/>
    <n v="4"/>
    <n v="2945.07"/>
    <n v="0.2"/>
    <n v="9424.2199999999993"/>
    <n v="6178.92"/>
    <n v="3245.3"/>
    <s v="Paid"/>
    <x v="0"/>
    <s v="Completed"/>
    <x v="0"/>
    <s v="ORD-2025-10774|02-21-2025|02-21-2025|CUST-4766|Karan Malhotra|Home Office|West|Gujarat|Ahmedabad|Technology|Phones|Basic Phones 753||4|2945.07|0.2|9424.22|6178.92|3245.3|Paid|Completed"/>
    <s v="Keep"/>
    <n v="1"/>
    <s v="Unique"/>
    <s v=""/>
    <n v="0.2"/>
    <n v="9424.2240000000002"/>
    <n v="3245.3040000000001"/>
    <n v="0.3443576892909167"/>
    <n v="2"/>
    <n v="2025"/>
    <b v="0"/>
    <b v="0"/>
    <x v="0"/>
    <s v="Missing ship mode filled as Unknown"/>
    <s v="Warning"/>
  </r>
  <r>
    <s v="ORD-2025-10775"/>
    <s v="07-08-2025"/>
    <x v="4"/>
    <d v="2025-08-07T00:00:00"/>
    <s v="2025-08-07"/>
    <d v="2025-08-07T00:00:00"/>
    <s v="OK"/>
    <n v="0"/>
    <s v="CUST-1182"/>
    <s v="Kabir Singh"/>
    <s v="Kabir Singh"/>
    <s v="Consumer"/>
    <x v="0"/>
    <s v="West"/>
    <x v="3"/>
    <s v="Rajasthan"/>
    <s v="Rajasthan"/>
    <s v="Udaipur"/>
    <s v="Udaipur"/>
    <s v="Technology"/>
    <x v="2"/>
    <s v="Machines"/>
    <x v="12"/>
    <s v="Smart Machines 789"/>
    <m/>
    <x v="4"/>
    <n v="9"/>
    <n v="1076.75"/>
    <n v="0.2"/>
    <n v="7752.6"/>
    <n v="4689.3"/>
    <n v="3063.3"/>
    <s v="Paid"/>
    <x v="0"/>
    <s v="Completed"/>
    <x v="0"/>
    <s v="ORD-2025-10775|07-08-2025|08-07-2025|CUST-1182|Kabir Singh|Consumer|West|Rajasthan|Udaipur|Technology|Machines|Smart Machines 789||9|1076.75|0.2|7752.6|4689.3|3063.3|Paid|Completed"/>
    <s v="Keep"/>
    <n v="1"/>
    <s v="Unique"/>
    <s v=""/>
    <n v="0.2"/>
    <n v="7752.6"/>
    <n v="3063.3"/>
    <n v="0.39513195573098059"/>
    <n v="8"/>
    <n v="2025"/>
    <b v="0"/>
    <b v="0"/>
    <x v="0"/>
    <s v="Missing ship mode filled as Unknown"/>
    <s v="Warning"/>
  </r>
  <r>
    <s v="ORD-2024-10776"/>
    <s v="14 Apr 2024"/>
    <x v="19"/>
    <d v="2024-04-14T00:00:00"/>
    <s v="22-04-2024"/>
    <d v="2024-04-22T00:00:00"/>
    <s v="OK"/>
    <n v="8"/>
    <s v="CUST-4461"/>
    <s v="Arjun Bose"/>
    <s v="Arjun Bose"/>
    <s v="Consumer"/>
    <x v="0"/>
    <s v="North"/>
    <x v="0"/>
    <s v="Haryana"/>
    <s v="Haryana"/>
    <s v="Gurugram"/>
    <s v="Gurugram"/>
    <s v="Technology"/>
    <x v="2"/>
    <s v="Accessories"/>
    <x v="5"/>
    <s v="Elite Accessories 312"/>
    <s v="Standard Class"/>
    <x v="3"/>
    <n v="8"/>
    <n v="3956.12"/>
    <n v="0.25"/>
    <n v="23736.720000000001"/>
    <n v="13890.9"/>
    <n v="9845.82"/>
    <s v="Paid"/>
    <x v="0"/>
    <s v="Completed"/>
    <x v="0"/>
    <s v="ORD-2024-10776|04-14-2024|22-04-2024|CUST-4461|Arjun Bose|Consumer|North|Haryana|Gurugram|Technology|Accessories|Elite Accessories 312|Standard Class|8|3956.12|0.25|23736.72|13890.9|9845.82|Paid|Completed"/>
    <s v="Keep"/>
    <n v="1"/>
    <s v="Unique"/>
    <s v=""/>
    <n v="0.25"/>
    <n v="23736.720000000001"/>
    <n v="9845.8200000000015"/>
    <n v="0.41479277676106896"/>
    <n v="4"/>
    <n v="2024"/>
    <b v="0"/>
    <b v="0"/>
    <x v="0"/>
    <s v=""/>
    <s v="Clean"/>
  </r>
  <r>
    <s v="ORD-2025-10777"/>
    <s v="08-06-2025"/>
    <x v="18"/>
    <d v="2025-06-08T00:00:00"/>
    <s v="06/13/2025"/>
    <d v="2025-06-13T00:00:00"/>
    <s v="OK"/>
    <n v="5"/>
    <s v="CUST-9690"/>
    <s v="Aditi Sen"/>
    <s v="Aditi Sen"/>
    <s v="Small Business"/>
    <x v="1"/>
    <s v="North"/>
    <x v="0"/>
    <s v="Rajasthan"/>
    <s v="Rajasthan"/>
    <s v="Jaipur"/>
    <s v="Jaipur"/>
    <s v="Technology"/>
    <x v="2"/>
    <s v="Copiers"/>
    <x v="6"/>
    <s v="Eco Copiers 528"/>
    <s v="Second Class"/>
    <x v="0"/>
    <n v="7"/>
    <n v="3857.13"/>
    <n v="0"/>
    <n v="26999.91"/>
    <n v="17815.98"/>
    <n v="9183.93"/>
    <s v="Paid"/>
    <x v="0"/>
    <s v="Completed"/>
    <x v="0"/>
    <s v="ORD-2025-10777|08-06-2025|06-13-2025|CUST-9690|Aditi Sen|Small Business|North|Rajasthan|Jaipur|Technology|Copiers|Eco Copiers 528|Second Class|7|3857.13|0|26999.91|17815.98|9183.93|Paid|Completed"/>
    <s v="Keep"/>
    <n v="1"/>
    <s v="Unique"/>
    <s v=""/>
    <n v="0"/>
    <n v="26999.91"/>
    <n v="9183.93"/>
    <n v="0.34014668937785347"/>
    <n v="6"/>
    <n v="2025"/>
    <b v="0"/>
    <b v="0"/>
    <x v="0"/>
    <s v=""/>
    <s v="Clean"/>
  </r>
  <r>
    <s v="ORD-2024-10778"/>
    <s v="04-02-2024"/>
    <x v="17"/>
    <d v="2024-02-04T00:00:00"/>
    <s v="2024-02-06"/>
    <d v="2024-02-06T00:00:00"/>
    <s v="OK"/>
    <n v="2"/>
    <s v="CUST-6879"/>
    <s v="Kabir Singh"/>
    <s v="Kabir Singh"/>
    <s v="Small Business"/>
    <x v="1"/>
    <s v="West"/>
    <x v="3"/>
    <s v="Madhya Pradesh"/>
    <s v="Madhya Pradesh"/>
    <s v="Indore"/>
    <s v="Indore"/>
    <s v="Technology"/>
    <x v="2"/>
    <s v="Accessories"/>
    <x v="5"/>
    <s v="Elite Accessories 226"/>
    <s v="Second Class"/>
    <x v="0"/>
    <n v="4"/>
    <n v="1489.74"/>
    <n v="0.15"/>
    <n v="5065.12"/>
    <n v="3530.12"/>
    <n v="1535"/>
    <s v="Failed"/>
    <x v="3"/>
    <s v="Cancelled"/>
    <x v="1"/>
    <s v="ORD-2024-10778|04-02-2024|02-06-2024|CUST-6879|Kabir Singh|Small Business|West|Madhya Pradesh|Indore|Technology|Accessories|Elite Accessories 226|Second Class|4|1489.74|0.15|5065.12|3530.12|1535|Failed|Cancelled"/>
    <s v="Keep"/>
    <n v="1"/>
    <s v="Unique"/>
    <s v=""/>
    <n v="0.15"/>
    <n v="5065.116"/>
    <n v="1534.9960000000001"/>
    <n v="0.30305248685321323"/>
    <n v="2"/>
    <n v="2024"/>
    <b v="0"/>
    <b v="0"/>
    <x v="1"/>
    <s v="Failed payment excluded; Cancelled order excluded"/>
    <s v="Warning"/>
  </r>
  <r>
    <s v="ORD-2024-10779"/>
    <s v="07/24/2024"/>
    <x v="0"/>
    <d v="2024-07-24T00:00:00"/>
    <s v="24-07-2024"/>
    <d v="2024-07-24T00:00:00"/>
    <s v="OK"/>
    <n v="0"/>
    <s v="CUST-4714"/>
    <s v="Karan Malhotra"/>
    <s v="Karan Malhotra"/>
    <s v="Small Business"/>
    <x v="1"/>
    <s v="North"/>
    <x v="0"/>
    <s v="Haryana"/>
    <s v="Haryana"/>
    <s v="Gurugram"/>
    <s v="Gurugram"/>
    <s v="Technology"/>
    <x v="2"/>
    <s v="Copiers"/>
    <x v="6"/>
    <s v="Pro Copiers 298"/>
    <s v="Second Class"/>
    <x v="0"/>
    <n v="4"/>
    <n v="1676.88"/>
    <n v="0"/>
    <n v="6707.52"/>
    <n v="5672.57"/>
    <n v="1034.95"/>
    <s v="Paid"/>
    <x v="0"/>
    <s v="Completed"/>
    <x v="0"/>
    <s v="ORD-2024-10779|07-24-2024|24-07-2024|CUST-4714|Karan Malhotra|Small Business|North|Haryana|Gurugram|Technology|Copiers|Pro Copiers 298|Second Class|4|1676.88|0|6707.52|5672.57|1034.95|Paid|Completed"/>
    <s v="Keep"/>
    <n v="1"/>
    <s v="Unique"/>
    <s v=""/>
    <n v="0"/>
    <n v="6707.52"/>
    <n v="1034.9500000000007"/>
    <n v="0.15429696817899918"/>
    <n v="7"/>
    <n v="2024"/>
    <b v="0"/>
    <b v="0"/>
    <x v="0"/>
    <s v=""/>
    <s v="Clean"/>
  </r>
  <r>
    <s v="ORD-2024-10780"/>
    <s v="01/15/2024"/>
    <x v="12"/>
    <d v="2024-01-15T00:00:00"/>
    <s v="20-01-2024"/>
    <d v="2024-01-20T00:00:00"/>
    <s v="OK"/>
    <n v="5"/>
    <s v="CUST-7547"/>
    <s v="Priya Menon"/>
    <s v="Priya Menon"/>
    <s v="Small Business"/>
    <x v="1"/>
    <s v="South"/>
    <x v="2"/>
    <s v="Andhra Pradesh"/>
    <s v="Andhra Pradesh"/>
    <s v="Vijayawada"/>
    <s v="Vijayawada"/>
    <s v="Furniture"/>
    <x v="1"/>
    <s v="Chairs"/>
    <x v="4"/>
    <s v="Prime Chairs 331"/>
    <s v="Standard Class"/>
    <x v="3"/>
    <n v="4"/>
    <n v="3153.54"/>
    <n v="0.05"/>
    <n v="11983.45"/>
    <n v="8572.9"/>
    <n v="3410.55"/>
    <s v="Paid"/>
    <x v="0"/>
    <s v="Completed"/>
    <x v="0"/>
    <s v="ORD-2024-10780|01-15-2024|20-01-2024|CUST-7547|Priya Menon|Small Business|South|Andhra Pradesh|Vijayawada|Furniture|Chairs|Prime Chairs 331|Standard Class|4|3153.54|0.05|11983.45|8572.9|3410.55|Paid|Completed"/>
    <s v="Keep"/>
    <n v="1"/>
    <s v="Unique"/>
    <s v=""/>
    <n v="0.05"/>
    <n v="11983.451999999999"/>
    <n v="3410.5519999999997"/>
    <n v="0.2846051371507976"/>
    <n v="1"/>
    <n v="2024"/>
    <b v="0"/>
    <b v="0"/>
    <x v="0"/>
    <s v=""/>
    <s v="Clean"/>
  </r>
  <r>
    <s v="ORD-2024-10781"/>
    <s v="04 Aug 2024"/>
    <x v="1"/>
    <d v="2024-08-04T00:00:00"/>
    <s v="08/10/2024"/>
    <d v="2024-08-10T00:00:00"/>
    <s v="OK"/>
    <n v="6"/>
    <s v="CUST-3288"/>
    <s v="Diya Patel"/>
    <s v="Diya Patel"/>
    <s v="Small Business"/>
    <x v="1"/>
    <s v="West"/>
    <x v="3"/>
    <s v="Rajasthan"/>
    <s v="Rajasthan"/>
    <s v="Udaipur"/>
    <s v="Udaipur"/>
    <s v="Furniture"/>
    <x v="1"/>
    <s v="Chairs"/>
    <x v="4"/>
    <s v="Classic Chairs 798"/>
    <s v="Same Day"/>
    <x v="1"/>
    <n v="4"/>
    <n v="426.43"/>
    <n v="0.2"/>
    <n v="1364.58"/>
    <n v="978.16"/>
    <n v="386.42"/>
    <s v="Paid"/>
    <x v="0"/>
    <s v="Completed"/>
    <x v="0"/>
    <s v="ORD-2024-10781|08-04-2024|08-10-2024|CUST-3288|Diya Patel|Small Business|West|Rajasthan|Udaipur|Furniture|Chairs|Classic Chairs 798|Same Day|4|426.43|0.2|1364.58|978.16|386.42|Paid|Completed"/>
    <s v="Keep"/>
    <n v="1"/>
    <s v="Unique"/>
    <s v=""/>
    <n v="0.2"/>
    <n v="1364.576"/>
    <n v="386.41600000000005"/>
    <n v="0.28317660577351506"/>
    <n v="8"/>
    <n v="2024"/>
    <b v="0"/>
    <b v="0"/>
    <x v="0"/>
    <s v=""/>
    <s v="Clean"/>
  </r>
  <r>
    <s v="ORD-2024-10782"/>
    <s v="2024-02-02"/>
    <x v="17"/>
    <d v="2024-02-02T00:00:00"/>
    <s v="10 Feb 2024"/>
    <d v="2024-02-10T00:00:00"/>
    <s v="OK"/>
    <n v="8"/>
    <s v="CUST-8597"/>
    <s v="Karan Malhotra"/>
    <s v="Karan Malhotra"/>
    <s v="Home Office"/>
    <x v="3"/>
    <s v="West"/>
    <x v="3"/>
    <s v="Rajasthan"/>
    <s v="Rajasthan"/>
    <s v="Udaipur"/>
    <s v="Udaipur"/>
    <s v="Office Supplies"/>
    <x v="0"/>
    <s v="Labels"/>
    <x v="7"/>
    <s v="Classic Labels 204"/>
    <s v="First Class"/>
    <x v="2"/>
    <n v="3"/>
    <n v="383.4"/>
    <n v="0.25"/>
    <n v="862.65"/>
    <n v="603.73"/>
    <n v="258.92"/>
    <s v="Pending"/>
    <x v="2"/>
    <s v="Returned"/>
    <x v="2"/>
    <s v="ORD-2024-10782|02-02-2024|02-10-2024|CUST-8597|Karan Malhotra|Home Office|West|Rajasthan|Udaipur|Office Supplies|Labels|Classic Labels 204|First Class|3|383.4|0.25|862.65|603.73|258.92|Pending|Returned"/>
    <s v="Keep"/>
    <n v="1"/>
    <s v="Unique"/>
    <s v=""/>
    <n v="0.25"/>
    <n v="862.64999999999986"/>
    <n v="258.91999999999985"/>
    <n v="0.30014490233582553"/>
    <n v="2"/>
    <n v="2024"/>
    <b v="0"/>
    <b v="0"/>
    <x v="1"/>
    <s v="Returned order excluded"/>
    <s v="Warning"/>
  </r>
  <r>
    <s v="ORD-2025-10783"/>
    <s v="2025-03-14"/>
    <x v="20"/>
    <d v="2025-03-14T00:00:00"/>
    <s v="03/22/2025"/>
    <d v="2025-03-22T00:00:00"/>
    <s v="OK"/>
    <n v="8"/>
    <s v="CUST-9085"/>
    <s v="Mira Das"/>
    <s v="Mira Das"/>
    <s v="Corporate"/>
    <x v="2"/>
    <s v="East"/>
    <x v="1"/>
    <s v="West Bengal"/>
    <s v="West Bengal"/>
    <s v="Kolkata"/>
    <s v="Kolkata"/>
    <s v="Technology"/>
    <x v="2"/>
    <s v="Copiers"/>
    <x v="6"/>
    <s v="Basic Copiers 254"/>
    <s v="Standard Class"/>
    <x v="3"/>
    <n v="2"/>
    <n v="669.63"/>
    <n v="0.15"/>
    <n v="1138.3699999999999"/>
    <n v="797.34"/>
    <n v="341.03"/>
    <s v="Paid"/>
    <x v="0"/>
    <s v="Completed"/>
    <x v="0"/>
    <s v="ORD-2025-10783|03-14-2025|03-22-2025|CUST-9085|Mira Das|Corporate|East|West Bengal|Kolkata|Technology|Copiers|Basic Copiers 254|Standard Class|2|669.63|0.15|1138.37|797.34|341.03|Paid|Completed"/>
    <s v="Keep"/>
    <n v="1"/>
    <s v="Unique"/>
    <s v=""/>
    <n v="0.15"/>
    <n v="1138.3709999999999"/>
    <n v="341.03099999999984"/>
    <n v="0.29957808131092578"/>
    <n v="3"/>
    <n v="2025"/>
    <b v="0"/>
    <b v="0"/>
    <x v="0"/>
    <s v=""/>
    <s v="Clean"/>
  </r>
  <r>
    <s v="ORD-2024-10784"/>
    <s v="07 Jun 2024"/>
    <x v="2"/>
    <d v="2024-06-07T00:00:00"/>
    <s v="2024-06-07"/>
    <d v="2024-06-07T00:00:00"/>
    <s v="OK"/>
    <n v="0"/>
    <s v="CUST-7746"/>
    <s v="Aarav Sharma"/>
    <s v="Aarav Sharma"/>
    <s v="Small Business"/>
    <x v="1"/>
    <s v="East"/>
    <x v="1"/>
    <s v="Bihar"/>
    <s v="Bihar"/>
    <s v="Patna"/>
    <s v="Patna"/>
    <s v="Office Supplies"/>
    <x v="0"/>
    <s v="Art"/>
    <x v="2"/>
    <s v="Basic Art 709"/>
    <s v="Second Class"/>
    <x v="0"/>
    <n v="1"/>
    <n v="2581.9299999999998"/>
    <n v="0.05"/>
    <n v="2452.83"/>
    <n v="1906.7"/>
    <n v="546.13"/>
    <s v="Paid"/>
    <x v="0"/>
    <s v="Completed"/>
    <x v="0"/>
    <s v="ORD-2024-10784|06-07-2024|06-07-2024|CUST-7746|Aarav Sharma|Small Business|East|Bihar|Patna|Office Supplies|Art|Basic Art 709|Second Class|1|2581.93|0.05|2452.83|1906.7|546.13|Paid|Completed"/>
    <s v="Keep"/>
    <n v="1"/>
    <s v="Unique"/>
    <s v=""/>
    <n v="0.05"/>
    <n v="2452.8334999999997"/>
    <n v="546.13349999999969"/>
    <n v="0.22265412634000625"/>
    <n v="6"/>
    <n v="2024"/>
    <b v="0"/>
    <b v="0"/>
    <x v="0"/>
    <s v=""/>
    <s v="Clean"/>
  </r>
  <r>
    <s v="ORD-2025-10785"/>
    <s v="10/04/2025"/>
    <x v="11"/>
    <d v="2025-10-04T00:00:00"/>
    <s v="2025-10-05"/>
    <d v="2025-10-05T00:00:00"/>
    <s v="OK"/>
    <n v="1"/>
    <s v="CUST-3119"/>
    <s v="Priya Menon"/>
    <s v="Priya Menon"/>
    <s v="Corporate"/>
    <x v="2"/>
    <s v="North"/>
    <x v="0"/>
    <s v="Punjab"/>
    <s v="Punjab"/>
    <s v="Ludhiana"/>
    <s v="Ludhiana"/>
    <s v="Technology"/>
    <x v="2"/>
    <s v="Copiers"/>
    <x v="6"/>
    <s v="Max Copiers 551"/>
    <s v="First Class"/>
    <x v="2"/>
    <n v="4"/>
    <n v="418.18"/>
    <n v="0.05"/>
    <n v="1589.08"/>
    <n v="1084.6600000000001"/>
    <n v="504.42"/>
    <s v="Paid"/>
    <x v="0"/>
    <s v="Completed"/>
    <x v="0"/>
    <s v="ORD-2025-10785|10-04-2025|10-05-2025|CUST-3119|Priya Menon|Corporate|north|Punjab|Ludhiana|Technology|Copiers|Max Copiers 551|First Class|4|418.18|0.05|1589.08|1084.66|504.42|Paid|Completed"/>
    <s v="Keep"/>
    <n v="1"/>
    <s v="Unique"/>
    <s v=""/>
    <n v="0.05"/>
    <n v="1589.0840000000001"/>
    <n v="504.42399999999998"/>
    <n v="0.31743067075120002"/>
    <n v="10"/>
    <n v="2025"/>
    <b v="0"/>
    <b v="0"/>
    <x v="0"/>
    <s v=""/>
    <s v="Clean"/>
  </r>
  <r>
    <s v="ORD-2024-10786"/>
    <s v="23-05-2024"/>
    <x v="5"/>
    <d v="2024-05-23T00:00:00"/>
    <s v="29-05-2024"/>
    <d v="2024-05-29T00:00:00"/>
    <s v="OK"/>
    <n v="6"/>
    <s v="CUST-7518"/>
    <s v="Diya Patel"/>
    <s v="Diya Patel"/>
    <s v="Small Business"/>
    <x v="1"/>
    <s v="North"/>
    <x v="0"/>
    <s v="Haryana"/>
    <s v="Haryana"/>
    <s v="Gurugram"/>
    <s v="Gurugram"/>
    <s v="Office Supplies"/>
    <x v="0"/>
    <s v="Storage"/>
    <x v="8"/>
    <s v="Eco Storage 183"/>
    <s v="Same Day"/>
    <x v="1"/>
    <n v="2"/>
    <n v="3012.94"/>
    <n v="0.25"/>
    <n v="4519.41"/>
    <n v="3504.16"/>
    <n v="1275.55"/>
    <s v="Failed"/>
    <x v="3"/>
    <s v="Cancelled"/>
    <x v="1"/>
    <s v="ORD-2024-10786|23-05-2024|29-05-2024|CUST-7518|Diya Patel|Small Business|North|Haryana|Gurugram|Office Supplies|Storage|Eco Storage 183|Same Day|2|3012.94|0.25|4519.41|3504.16|1275.55|Failed|Cancelled"/>
    <s v="Keep"/>
    <n v="1"/>
    <s v="Unique"/>
    <s v=""/>
    <n v="0.25"/>
    <n v="4519.41"/>
    <n v="1015.25"/>
    <n v="0.22464215461752751"/>
    <n v="5"/>
    <n v="2024"/>
    <b v="0"/>
    <b v="1"/>
    <x v="1"/>
    <s v="Failed payment excluded; Cancelled order excluded; Profit mismatch"/>
    <s v="Invalid"/>
  </r>
  <r>
    <s v="ORD-2025-10787"/>
    <s v="07/06/2025"/>
    <x v="13"/>
    <d v="2025-07-06T00:00:00"/>
    <s v="08 Jul 2025"/>
    <d v="2025-07-08T00:00:00"/>
    <s v="OK"/>
    <n v="2"/>
    <s v="CUST-1343"/>
    <s v="Ananya Rao"/>
    <s v="Ananya Rao"/>
    <s v="Corporate"/>
    <x v="2"/>
    <s v="North"/>
    <x v="0"/>
    <s v="Rajasthan"/>
    <s v="Rajasthan"/>
    <s v="Jaipur"/>
    <s v="Jaipur"/>
    <s v="Furniture"/>
    <x v="1"/>
    <s v="Furnishings"/>
    <x v="3"/>
    <s v="Pro Furnishings 233"/>
    <m/>
    <x v="4"/>
    <n v="4"/>
    <n v="715.45"/>
    <n v="0.05"/>
    <n v="2718.71"/>
    <n v="2065.0500000000002"/>
    <n v="653.66"/>
    <s v="Refunded"/>
    <x v="1"/>
    <s v="Returned"/>
    <x v="2"/>
    <s v="ORD-2025-10787|07-06-2025|07-08-2025|CUST-1343|Ananya Rao|Corporate|North|Rajasthan|Jaipur|Furniture|Furnishings|Pro Furnishings 233||4|715.45|0.05|2718.71|2065.05|653.66|Refunded|Returned"/>
    <s v="Keep"/>
    <n v="1"/>
    <s v="Unique"/>
    <s v=""/>
    <n v="0.05"/>
    <n v="2718.71"/>
    <n v="653.65999999999985"/>
    <n v="0.24043020403058799"/>
    <n v="7"/>
    <n v="2025"/>
    <b v="0"/>
    <b v="0"/>
    <x v="1"/>
    <s v="Missing ship mode filled as Unknown; Refunded order summarized separately; Returned order excluded"/>
    <s v="Warning"/>
  </r>
  <r>
    <s v="ORD-2024-10788"/>
    <s v="2024-09-12"/>
    <x v="21"/>
    <d v="2024-09-12T00:00:00"/>
    <s v="2024-09-18"/>
    <d v="2024-09-18T00:00:00"/>
    <s v="OK"/>
    <n v="6"/>
    <s v="CUST-7548"/>
    <s v="Ananya Rao"/>
    <s v="Ananya Rao"/>
    <s v="Home Office"/>
    <x v="3"/>
    <s v="East"/>
    <x v="1"/>
    <s v="Bihar"/>
    <s v="Bihar"/>
    <s v="Patna"/>
    <s v="Patna"/>
    <s v="Office Supplies"/>
    <x v="0"/>
    <s v="Paper"/>
    <x v="0"/>
    <s v="Prime Paper 878"/>
    <s v="Second Class"/>
    <x v="0"/>
    <n v="2"/>
    <n v="3718.77"/>
    <n v="0.05"/>
    <n v="7065.66"/>
    <n v="4915.2700000000004"/>
    <n v="2150.39"/>
    <s v="Paid "/>
    <x v="0"/>
    <s v="Completed"/>
    <x v="0"/>
    <s v="ORD-2024-10788|09-12-2024|09-18-2024|CUST-7548|Ananya Rao|Home Office|East|Bihar|Patna|Office Supplies|Paper|Prime Paper 878|Second Class|2|3718.77|0.05|7065.66|4915.27|2150.39|Paid |Completed"/>
    <s v="Keep"/>
    <n v="1"/>
    <s v="Unique"/>
    <s v=""/>
    <n v="0.05"/>
    <n v="7065.6629999999996"/>
    <n v="2150.3929999999991"/>
    <n v="0.30434412170521002"/>
    <n v="9"/>
    <n v="2024"/>
    <b v="0"/>
    <b v="0"/>
    <x v="0"/>
    <s v=""/>
    <s v="Clean"/>
  </r>
  <r>
    <s v="ORD-2024-10789"/>
    <s v="01 Aug 2024"/>
    <x v="1"/>
    <d v="2024-08-01T00:00:00"/>
    <s v="02-08-2024"/>
    <d v="2024-08-02T00:00:00"/>
    <s v="OK"/>
    <n v="1"/>
    <s v="CUST-3631"/>
    <s v="Isha Nair"/>
    <s v="Isha Nair"/>
    <s v="Corporate"/>
    <x v="2"/>
    <s v="North"/>
    <x v="0"/>
    <s v="Uttar Pradesh"/>
    <s v="Uttar Pradesh"/>
    <s v="Noida"/>
    <s v="Noida"/>
    <s v="Furniture"/>
    <x v="1"/>
    <s v="Chairs"/>
    <x v="4"/>
    <s v="Smart Chairs 353"/>
    <s v="Standard Class"/>
    <x v="3"/>
    <n v="8"/>
    <n v="2487.64"/>
    <n v="0.1"/>
    <n v="17911.009999999998"/>
    <n v="11546.05"/>
    <n v="6364.96"/>
    <s v="Failed"/>
    <x v="3"/>
    <s v="Returned"/>
    <x v="2"/>
    <s v="ORD-2024-10789|08-01-2024|02-08-2024|CUST-3631|Isha Nair|Corporate|North|Uttar Pradesh|Noida|Furniture|Chairs|Smart Chairs 353|Standard Class|8|2487.64|0.1|17911.01|11546.05|6364.96|Failed|Returned"/>
    <s v="Keep"/>
    <n v="1"/>
    <s v="Unique"/>
    <s v=""/>
    <n v="0.1"/>
    <n v="17911.007999999998"/>
    <n v="6364.9579999999987"/>
    <n v="0.35536570582738836"/>
    <n v="8"/>
    <n v="2024"/>
    <b v="0"/>
    <b v="0"/>
    <x v="1"/>
    <s v="Failed payment excluded; Returned order excluded"/>
    <s v="Warning"/>
  </r>
  <r>
    <s v="ORD-2025-10790"/>
    <s v="07 Mar 2025"/>
    <x v="20"/>
    <d v="2025-03-07T00:00:00"/>
    <s v="08 Mar 2025"/>
    <d v="2025-03-08T00:00:00"/>
    <s v="OK"/>
    <n v="1"/>
    <s v="CUST-1453"/>
    <s v="Priya Menon"/>
    <s v="Priya Menon"/>
    <s v="Home Office"/>
    <x v="3"/>
    <m/>
    <x v="4"/>
    <s v="Rajasthan"/>
    <s v="Rajasthan"/>
    <s v="Udaipur"/>
    <s v="Udaipur"/>
    <s v="Technology"/>
    <x v="2"/>
    <s v="Copiers"/>
    <x v="6"/>
    <s v="Smart Copiers 408"/>
    <s v="Same Day"/>
    <x v="1"/>
    <n v="4"/>
    <n v="3537.48"/>
    <n v="0"/>
    <n v="14149.92"/>
    <n v="9466.51"/>
    <n v="4683.41"/>
    <s v="Paid"/>
    <x v="0"/>
    <s v="Completed"/>
    <x v="0"/>
    <s v="ORD-2025-10790|03-07-2025|03-08-2025|CUST-1453|Priya Menon|Home Office||Rajasthan|Udaipur|Technology|Copiers|Smart Copiers 408|Same Day|4|3537.48|0|14149.92|9466.51|4683.41|Paid|Completed"/>
    <s v="Keep"/>
    <n v="1"/>
    <s v="Unique"/>
    <s v=""/>
    <n v="0"/>
    <n v="14149.92"/>
    <n v="4683.41"/>
    <n v="0.33098491016203624"/>
    <n v="3"/>
    <n v="2025"/>
    <b v="0"/>
    <b v="0"/>
    <x v="0"/>
    <s v="Missing region filled as Unknown"/>
    <s v="Warning"/>
  </r>
  <r>
    <s v="ORD-2024-10791"/>
    <s v="31 May 2024"/>
    <x v="5"/>
    <d v="2024-05-31T00:00:00"/>
    <s v="2024-06-02"/>
    <d v="2024-06-02T00:00:00"/>
    <s v="OK"/>
    <n v="2"/>
    <s v="CUST-1951"/>
    <s v="Rahul Verma"/>
    <s v="Rahul Verma"/>
    <s v="Corporate"/>
    <x v="2"/>
    <s v="South"/>
    <x v="2"/>
    <s v="Andhra Pradesh"/>
    <s v="Andhra Pradesh"/>
    <s v="Vijayawada"/>
    <s v="Vijayawada"/>
    <s v="Office Supplies"/>
    <x v="0"/>
    <s v="Art"/>
    <x v="2"/>
    <s v="Classic Art 781"/>
    <s v="Standard Class"/>
    <x v="3"/>
    <n v="8"/>
    <n v="667.59"/>
    <n v="0.2"/>
    <n v="4272.58"/>
    <n v="3328.92"/>
    <n v="943.66"/>
    <s v="Paid"/>
    <x v="0"/>
    <s v="Completed"/>
    <x v="0"/>
    <s v="ORD-2024-10791|05-31-2024|06-02-2024|CUST-1951|Rahul Verma|Corporate|South|Andhra Pradesh|Vijayawada|Office Supplies|Art|Classic Art 781|Standard Class|8|667.59|0.2|4272.58|3328.92|943.66|Paid|Completed"/>
    <s v="Keep"/>
    <n v="1"/>
    <s v="Unique"/>
    <s v=""/>
    <n v="0.2"/>
    <n v="4272.576"/>
    <n v="943.65599999999995"/>
    <n v="0.22086347908147214"/>
    <n v="5"/>
    <n v="2024"/>
    <b v="0"/>
    <b v="0"/>
    <x v="0"/>
    <s v=""/>
    <s v="Clean"/>
  </r>
  <r>
    <s v="ORD-2024-10792"/>
    <s v="02 Oct 2024"/>
    <x v="16"/>
    <d v="2024-10-02T00:00:00"/>
    <s v="2024-10-06"/>
    <d v="2024-10-06T00:00:00"/>
    <s v="OK"/>
    <n v="4"/>
    <s v="CUST-6300"/>
    <s v="Rahul Verma"/>
    <s v="Rahul Verma"/>
    <s v="Home Office"/>
    <x v="3"/>
    <s v="South"/>
    <x v="2"/>
    <s v="Karnataka"/>
    <s v="Karnataka"/>
    <s v="Bengaluru"/>
    <s v="Bengaluru"/>
    <s v="Furniture"/>
    <x v="1"/>
    <s v="Bookcases"/>
    <x v="10"/>
    <s v="Eco Bookcases 144"/>
    <s v="Same Day"/>
    <x v="1"/>
    <n v="8"/>
    <n v="1558.77"/>
    <n v="0.25"/>
    <n v="9352.6200000000008"/>
    <n v="5269.41"/>
    <n v="4083.21"/>
    <s v="Paid"/>
    <x v="0"/>
    <s v="Completed"/>
    <x v="0"/>
    <s v="ORD-2024-10792|10-02-2024|10-06-2024|CUST-6300|Rahul Verma|Home Office|South|Karnataka|Bengaluru|Furniture|Bookcases|Eco Bookcases 144|Same Day|8|1558.77|0.25|9352.62|5269.41|4083.21|Paid|Completed"/>
    <s v="Keep"/>
    <n v="1"/>
    <s v="Unique"/>
    <s v=""/>
    <n v="0.25"/>
    <n v="9352.619999999999"/>
    <n v="4083.2099999999991"/>
    <n v="0.43658461479243243"/>
    <n v="10"/>
    <n v="2024"/>
    <b v="0"/>
    <b v="0"/>
    <x v="0"/>
    <s v=""/>
    <s v="Clean"/>
  </r>
  <r>
    <s v="ORD-2025-10793"/>
    <s v="2025-06-04"/>
    <x v="18"/>
    <d v="2025-06-04T00:00:00"/>
    <s v="08 Jun 2025"/>
    <d v="2025-06-08T00:00:00"/>
    <s v="OK"/>
    <n v="4"/>
    <s v="CUST-1417"/>
    <s v="Arjun Bose"/>
    <s v="Arjun Bose"/>
    <s v="Small Business"/>
    <x v="1"/>
    <s v="East"/>
    <x v="1"/>
    <s v="Assam"/>
    <s v="Assam"/>
    <s v="Guwahati"/>
    <s v="Guwahati"/>
    <s v="Furniture"/>
    <x v="1"/>
    <s v="Furnishings"/>
    <x v="3"/>
    <s v="Elite Furnishings 852"/>
    <s v="Second Class"/>
    <x v="0"/>
    <n v="1"/>
    <n v="3501.12"/>
    <n v="0.2"/>
    <n v="2800.9"/>
    <n v="1735.98"/>
    <n v="1064.92"/>
    <s v="Paid"/>
    <x v="0"/>
    <s v="Returned"/>
    <x v="2"/>
    <s v="ORD-2025-10793|06-04-2025|06-08-2025|CUST-1417|Arjun Bose|Small Business|East|Assam|Guwahati|Furniture|Furnishings|Elite Furnishings 852|Second Class|1|3501.12|0.2|2800.9|1735.98|1064.92|Paid|Returned"/>
    <s v="Keep"/>
    <n v="1"/>
    <s v="Unique"/>
    <s v=""/>
    <n v="0.2"/>
    <n v="2800.8960000000002"/>
    <n v="1064.9160000000002"/>
    <n v="0.38020547710446945"/>
    <n v="6"/>
    <n v="2025"/>
    <b v="0"/>
    <b v="0"/>
    <x v="1"/>
    <s v="Returned order excluded"/>
    <s v="Warning"/>
  </r>
  <r>
    <s v="ORD-2024-10794"/>
    <s v="28-05-2024"/>
    <x v="5"/>
    <d v="2024-05-28T00:00:00"/>
    <s v="03 Jun 2024"/>
    <d v="2024-06-03T00:00:00"/>
    <s v="OK"/>
    <n v="6"/>
    <s v="CUST-5421"/>
    <s v="Vikram Iyer"/>
    <s v="Vikram Iyer"/>
    <s v="Corporate"/>
    <x v="2"/>
    <s v="North"/>
    <x v="0"/>
    <s v="Rajasthan"/>
    <s v="Rajasthan"/>
    <s v="Jaipur"/>
    <s v="Jaipur"/>
    <s v="Technology"/>
    <x v="2"/>
    <s v="Copiers"/>
    <x v="6"/>
    <s v="Basic Copiers 238"/>
    <s v="Second Class"/>
    <x v="0"/>
    <n v="5"/>
    <n v="4302.32"/>
    <n v="0"/>
    <n v="21511.599999999999"/>
    <n v="15408.47"/>
    <n v="6103.13"/>
    <s v="Paid"/>
    <x v="0"/>
    <s v="Completed"/>
    <x v="0"/>
    <s v="ORD-2024-10794|28-05-2024|06-03-2024|CUST-5421|Vikram Iyer|Corporate|North|Rajasthan|Jaipur|Technology|Copiers|Basic Copiers 238|Second Class|5|4302.32|0|21511.6|15408.47|6103.13|Paid|Completed"/>
    <s v="Keep"/>
    <n v="1"/>
    <s v="Unique"/>
    <s v=""/>
    <n v="0"/>
    <n v="21511.599999999999"/>
    <n v="6103.1299999999992"/>
    <n v="0.28371343833094703"/>
    <n v="5"/>
    <n v="2024"/>
    <b v="0"/>
    <b v="0"/>
    <x v="0"/>
    <s v=""/>
    <s v="Clean"/>
  </r>
  <r>
    <s v="ORD-2025-10795"/>
    <s v="2025-06-22"/>
    <x v="18"/>
    <d v="2025-06-22T00:00:00"/>
    <s v="2025-06-24"/>
    <d v="2025-06-24T00:00:00"/>
    <s v="OK"/>
    <n v="2"/>
    <s v="CUST-2829"/>
    <s v="Sneha Kapoor"/>
    <s v="Sneha Kapoor"/>
    <s v="Corporate"/>
    <x v="2"/>
    <s v="East"/>
    <x v="1"/>
    <s v="Assam"/>
    <s v="Assam"/>
    <s v="Guwahati"/>
    <s v="Guwahati"/>
    <s v="Office Supplies"/>
    <x v="0"/>
    <s v="Paper"/>
    <x v="0"/>
    <s v="Elite Paper 847"/>
    <s v="Standard Class"/>
    <x v="3"/>
    <n v="9"/>
    <n v="951.55"/>
    <n v="0.15"/>
    <n v="7279.36"/>
    <n v="4870.3900000000003"/>
    <n v="2408.9699999999998"/>
    <s v="Paid"/>
    <x v="0"/>
    <s v="Completed"/>
    <x v="0"/>
    <s v="ORD-2025-10795|06-22-2025|06-24-2025|CUST-2829|Sneha Kapoor|Corporate|East|Assam|Guwahati|Office Supplies|Paper|Elite Paper 847|Standard Class|9|951.55|0.15|7279.36|4870.39|2408.97|Paid|Completed"/>
    <s v="Keep"/>
    <n v="1"/>
    <s v="Unique"/>
    <s v=""/>
    <n v="0.15"/>
    <n v="7279.3574999999992"/>
    <n v="2408.9674999999988"/>
    <n v="0.33093133562955235"/>
    <n v="6"/>
    <n v="2025"/>
    <b v="0"/>
    <b v="0"/>
    <x v="0"/>
    <s v=""/>
    <s v="Clean"/>
  </r>
  <r>
    <s v="ORD-2024-10796"/>
    <s v="30-07-2024"/>
    <x v="0"/>
    <d v="2024-07-30T00:00:00"/>
    <s v="2024-07-30"/>
    <d v="2024-07-30T00:00:00"/>
    <s v="OK"/>
    <n v="0"/>
    <s v="CUST-6529"/>
    <s v="Diya Patel"/>
    <s v="Diya Patel"/>
    <s v="Home Office"/>
    <x v="3"/>
    <s v="East"/>
    <x v="1"/>
    <s v="Odisha"/>
    <s v="Odisha"/>
    <s v="Bhubaneswar"/>
    <s v="Bhubaneswar"/>
    <s v="Technology"/>
    <x v="2"/>
    <s v="Copiers"/>
    <x v="6"/>
    <s v="Pro Copiers 653"/>
    <s v="Same Day"/>
    <x v="1"/>
    <n v="9"/>
    <n v="2894.66"/>
    <n v="0"/>
    <n v="26051.94"/>
    <n v="16883.59"/>
    <n v="9168.35"/>
    <s v="Refunded"/>
    <x v="1"/>
    <s v="Cancelled"/>
    <x v="1"/>
    <s v="ORD-2024-10796|30-07-2024|07-30-2024|CUST-6529|Diya Patel|Home Office|East|Odisha|Bhubaneswar|Technology|Copiers|Pro Copiers 653|Same Day|9|2894.66|0|26051.94|16883.59|9168.35|Refunded|Cancelled"/>
    <s v="Keep"/>
    <n v="1"/>
    <s v="Unique"/>
    <s v=""/>
    <n v="0"/>
    <n v="26051.94"/>
    <n v="9168.3499999999985"/>
    <n v="0.3519258066769691"/>
    <n v="7"/>
    <n v="2024"/>
    <b v="0"/>
    <b v="0"/>
    <x v="1"/>
    <s v="Refunded order summarized separately; Cancelled order excluded"/>
    <s v="Warning"/>
  </r>
  <r>
    <s v="ORD-2024-10797"/>
    <s v="03/23/2024"/>
    <x v="15"/>
    <d v="2024-03-23T00:00:00"/>
    <s v="30-03-2024"/>
    <d v="2024-03-30T00:00:00"/>
    <s v="OK"/>
    <n v="7"/>
    <s v="CUST-3126"/>
    <s v="Rohan Mehta"/>
    <s v="Rohan Mehta"/>
    <s v="Small Business"/>
    <x v="1"/>
    <s v="South"/>
    <x v="2"/>
    <s v="Andhra Pradesh"/>
    <s v="Andhra Pradesh"/>
    <s v="Vijayawada"/>
    <s v="Vijayawada"/>
    <s v="Technology"/>
    <x v="2"/>
    <s v="Machines"/>
    <x v="12"/>
    <s v="Elite Machines 459"/>
    <s v="First Class"/>
    <x v="2"/>
    <n v="6"/>
    <n v="1894.44"/>
    <n v="0.15"/>
    <n v="9661.64"/>
    <n v="6303.77"/>
    <n v="3357.87"/>
    <s v="Paid"/>
    <x v="0"/>
    <s v="Completed"/>
    <x v="0"/>
    <s v="ORD-2024-10797|03-23-2024|30-03-2024|CUST-3126|Rohan Mehta|Small Business|South|Andhra Pradesh|Vijayawada|Technology|Machines|Elite Machines 459|First Class|6|1894.44|0.15|9661.64|6303.77|3357.87|Paid|Completed"/>
    <s v="Keep"/>
    <n v="1"/>
    <s v="Unique"/>
    <s v=""/>
    <n v="0.15"/>
    <n v="9661.6439999999984"/>
    <n v="3357.873999999998"/>
    <n v="0.34754685641491223"/>
    <n v="3"/>
    <n v="2024"/>
    <b v="0"/>
    <b v="0"/>
    <x v="0"/>
    <s v=""/>
    <s v="Clean"/>
  </r>
  <r>
    <s v="ORD-2024-10798"/>
    <s v="18 Apr 2024"/>
    <x v="19"/>
    <d v="2024-04-18T00:00:00"/>
    <s v="22-04-2024"/>
    <d v="2024-04-22T00:00:00"/>
    <s v="OK"/>
    <n v="4"/>
    <s v="CUST-3991"/>
    <s v="Aarav Sharma"/>
    <s v="Aarav Sharma"/>
    <s v="Consumer"/>
    <x v="0"/>
    <s v="East"/>
    <x v="1"/>
    <s v="Odisha"/>
    <s v="Odisha"/>
    <s v="Bhubaneswar"/>
    <s v="Bhubaneswar"/>
    <s v="Office Supplies"/>
    <x v="0"/>
    <s v="Binders"/>
    <x v="9"/>
    <s v="Elite Binders 764"/>
    <s v="First Class"/>
    <x v="2"/>
    <n v="8"/>
    <n v="1714.37"/>
    <n v="0"/>
    <n v="13714.96"/>
    <n v="10550.47"/>
    <n v="3164.49"/>
    <s v="Failed"/>
    <x v="3"/>
    <s v="Cancelled"/>
    <x v="1"/>
    <s v="ORD-2024-10798|04-18-2024|22-04-2024|CUST-3991|Aarav Sharma|Consumer|East|Odisha|Bhubaneswar|Office Supplies|Binders|Elite Binders 764|First Class|8|1714.37|0|13714.96|10550.47|3164.49|Failed|Cancelled"/>
    <s v="Keep"/>
    <n v="1"/>
    <s v="Unique"/>
    <s v=""/>
    <n v="0"/>
    <n v="13714.96"/>
    <n v="3164.49"/>
    <n v="0.23073271814135804"/>
    <n v="4"/>
    <n v="2024"/>
    <b v="0"/>
    <b v="0"/>
    <x v="1"/>
    <s v="Failed payment excluded; Cancelled order excluded"/>
    <s v="Warning"/>
  </r>
  <r>
    <s v="ORD-2025-10799"/>
    <s v="2025-07-11"/>
    <x v="13"/>
    <d v="2025-07-11T00:00:00"/>
    <s v="09-07-2025"/>
    <d v="2025-07-09T00:00:00"/>
    <s v="Ship date before order date"/>
    <n v="-2"/>
    <s v="CUST-7553"/>
    <s v="Aditi Sen"/>
    <s v="Aditi Sen"/>
    <s v="Corporate"/>
    <x v="2"/>
    <s v="North"/>
    <x v="0"/>
    <s v="Delhi"/>
    <s v="Delhi"/>
    <s v="New Delhi"/>
    <s v="New Delhi"/>
    <s v="Furniture"/>
    <x v="1"/>
    <s v="Furnishings"/>
    <x v="3"/>
    <s v="Classic Furnishings 348"/>
    <s v="Standard Class"/>
    <x v="3"/>
    <n v="9"/>
    <n v="1706.05"/>
    <n v="0"/>
    <n v="15354.45"/>
    <n v="9656.5"/>
    <n v="5697.95"/>
    <s v="Paid"/>
    <x v="0"/>
    <s v="Completed"/>
    <x v="0"/>
    <s v="ORD-2025-10799|07-11-2025|09-07-2025|CUST-7553|Aditi Sen|Corporate|North|Delhi|New Delhi|Furniture|Furnishings|Classic Furnishings 348|Standard Class|9|1706.05|0|15354.45|9656.5|5697.95|Paid|Completed"/>
    <s v="Keep"/>
    <n v="1"/>
    <s v="Unique"/>
    <s v=""/>
    <n v="0"/>
    <n v="15354.449999999999"/>
    <n v="5697.9499999999989"/>
    <n v="0.37109437329243311"/>
    <n v="7"/>
    <n v="2025"/>
    <b v="0"/>
    <b v="0"/>
    <x v="1"/>
    <s v="Ship date before order date"/>
    <s v="Invalid"/>
  </r>
  <r>
    <s v="ORD-2024-10800"/>
    <s v="10 Oct 2024"/>
    <x v="16"/>
    <d v="2024-10-10T00:00:00"/>
    <s v="2024-10-17"/>
    <d v="2024-10-17T00:00:00"/>
    <s v="OK"/>
    <n v="7"/>
    <s v="CUST-8527"/>
    <s v="Isha Nair"/>
    <s v="Isha Nair"/>
    <s v="Home Office"/>
    <x v="3"/>
    <s v="North"/>
    <x v="0"/>
    <s v="Haryana"/>
    <s v="Haryana"/>
    <s v="Gurugram"/>
    <s v="Gurugram"/>
    <s v="Technology"/>
    <x v="2"/>
    <s v="Accessories"/>
    <x v="5"/>
    <s v="Smart Accessories 487"/>
    <m/>
    <x v="4"/>
    <n v="5"/>
    <n v="967.41"/>
    <n v="0.05"/>
    <n v="4595.2"/>
    <n v="3887.41"/>
    <n v="707.79"/>
    <s v="Paid"/>
    <x v="0"/>
    <s v="Returned"/>
    <x v="2"/>
    <s v="ORD-2024-10800|10-10-2024|10-17-2024|CUST-8527|Isha Nair|Home Office|North|Haryana|Gurugram|Technology|Accessories|Smart Accessories 487||5|967.41|0.05|4595.2|3887.41|707.79|Paid|Returned"/>
    <s v="Keep"/>
    <n v="1"/>
    <s v="Unique"/>
    <s v=""/>
    <n v="0.05"/>
    <n v="4595.1975000000002"/>
    <n v="707.78750000000036"/>
    <n v="0.15402765604742785"/>
    <n v="10"/>
    <n v="2024"/>
    <b v="0"/>
    <b v="0"/>
    <x v="1"/>
    <s v="Missing ship mode filled as Unknown; Returned order excluded"/>
    <s v="Warning"/>
  </r>
  <r>
    <s v="ORD-2024-10801"/>
    <s v="01 Mar 2024"/>
    <x v="15"/>
    <d v="2024-03-01T00:00:00"/>
    <s v="2024-03-07"/>
    <d v="2024-03-07T00:00:00"/>
    <s v="OK"/>
    <n v="6"/>
    <s v="CUST-5015"/>
    <s v="Vikram Iyer"/>
    <s v="Vikram Iyer"/>
    <s v="Small Business"/>
    <x v="1"/>
    <s v="West"/>
    <x v="3"/>
    <s v="Maharashtra"/>
    <s v="Maharashtra"/>
    <s v="Mumbai"/>
    <s v="Mumbai"/>
    <s v="Office Supplies"/>
    <x v="0"/>
    <s v="Storage"/>
    <x v="8"/>
    <s v="Elite Storage 825"/>
    <s v="Second Class"/>
    <x v="0"/>
    <n v="6"/>
    <n v="4163.72"/>
    <n v="0.15"/>
    <n v="21234.97"/>
    <n v="16736.09"/>
    <n v="4498.88"/>
    <s v="Paid"/>
    <x v="0"/>
    <s v="Completed"/>
    <x v="0"/>
    <s v="ORD-2024-10801|03-01-2024|03-07-2024|CUST-5015|Vikram Iyer|Small Business|West|Maharashtra|Mumbai|Office Supplies|Storage|Elite Storage 825|Second Class|6|4163.72|0.15|21234.97|16736.09|4498.88|Paid|Completed"/>
    <s v="Keep"/>
    <n v="1"/>
    <s v="Unique"/>
    <s v=""/>
    <n v="0.15"/>
    <n v="21234.971999999998"/>
    <n v="4498.8819999999978"/>
    <n v="0.21186192286950029"/>
    <n v="3"/>
    <n v="2024"/>
    <b v="0"/>
    <b v="0"/>
    <x v="0"/>
    <s v=""/>
    <s v="Clean"/>
  </r>
  <r>
    <s v="ORD-2025-10802"/>
    <s v="2025-10-08"/>
    <x v="11"/>
    <d v="2025-10-08T00:00:00"/>
    <s v="15 Oct 2025"/>
    <d v="2025-10-15T00:00:00"/>
    <s v="OK"/>
    <n v="7"/>
    <s v="CUST-3344"/>
    <s v="Aarav Sharma"/>
    <s v="Aarav Sharma"/>
    <s v="Home Office"/>
    <x v="3"/>
    <s v="East"/>
    <x v="1"/>
    <s v="Odisha"/>
    <s v="Odisha"/>
    <s v="Bhubaneswar"/>
    <s v="Bhubaneswar"/>
    <s v="Technology"/>
    <x v="2"/>
    <s v="Accessories"/>
    <x v="5"/>
    <s v="Pro Accessories 500"/>
    <s v="Second Class"/>
    <x v="0"/>
    <n v="3"/>
    <n v="3372.21"/>
    <n v="0.2"/>
    <n v="8093.3"/>
    <n v="6052.43"/>
    <n v="2040.87"/>
    <s v="Pending"/>
    <x v="2"/>
    <s v="Cancelled"/>
    <x v="1"/>
    <s v="ORD-2025-10802|10-08-2025|10-15-2025|CUST-3344|Aarav Sharma|Home Office|East|Odisha|Bhubaneswar|Technology|Accessories|Pro Accessories 500|Second Class|3|3372.21|0.2|8093.3|6052.43|2040.87|Pending|Cancelled"/>
    <s v="Keep"/>
    <n v="1"/>
    <s v="Unique"/>
    <s v=""/>
    <n v="0.2"/>
    <n v="8093.304000000001"/>
    <n v="2040.8740000000007"/>
    <n v="0.25216821214179036"/>
    <n v="10"/>
    <n v="2025"/>
    <b v="0"/>
    <b v="0"/>
    <x v="1"/>
    <s v="Cancelled order excluded"/>
    <s v="Warning"/>
  </r>
  <r>
    <s v="ORD-2025-10803"/>
    <s v="16 Feb 2025"/>
    <x v="7"/>
    <d v="2025-02-16T00:00:00"/>
    <s v="2025-02-16"/>
    <d v="2025-02-16T00:00:00"/>
    <s v="OK"/>
    <n v="0"/>
    <s v="CUST-5866"/>
    <s v="Rohan Mehta"/>
    <s v="Rohan Mehta"/>
    <s v="Small Business"/>
    <x v="1"/>
    <s v="East"/>
    <x v="1"/>
    <s v="Assam"/>
    <s v="Assam"/>
    <s v="Guwahati"/>
    <s v="Guwahati"/>
    <s v="Furniture"/>
    <x v="1"/>
    <s v="Furnishings"/>
    <x v="3"/>
    <s v="Pro Furnishings 909"/>
    <s v="Second Class"/>
    <x v="0"/>
    <n v="6"/>
    <n v="1441.91"/>
    <n v="0"/>
    <n v="8651.4599999999991"/>
    <n v="5254.62"/>
    <n v="3396.84"/>
    <s v="Failed"/>
    <x v="3"/>
    <s v="Returned"/>
    <x v="2"/>
    <s v="ORD-2025-10803|02-16-2025|02-16-2025|CUST-5866|Rohan Mehta|Small Business|East|Assam|Guwahati|Furniture|Furnishings|Pro Furnishings 909|Second Class|6|1441.91|0|8651.46|5254.62|3396.84|failed|Returned"/>
    <s v="Keep"/>
    <n v="1"/>
    <s v="Unique"/>
    <s v=""/>
    <n v="0"/>
    <n v="8651.4600000000009"/>
    <n v="3396.8400000000011"/>
    <n v="0.39263199506210522"/>
    <n v="2"/>
    <n v="2025"/>
    <b v="0"/>
    <b v="0"/>
    <x v="1"/>
    <s v="Failed payment excluded; Returned order excluded"/>
    <s v="Warning"/>
  </r>
  <r>
    <s v="ORD-2024-10804"/>
    <s v="09 Dec 2024"/>
    <x v="10"/>
    <d v="2024-12-09T00:00:00"/>
    <s v="13 Dec 2024"/>
    <d v="2024-12-13T00:00:00"/>
    <s v="OK"/>
    <n v="4"/>
    <s v="CUST-7180"/>
    <s v="Rohan Mehta"/>
    <s v="Rohan Mehta"/>
    <s v="Consumer"/>
    <x v="0"/>
    <m/>
    <x v="4"/>
    <s v="Jharkhand"/>
    <s v="Jharkhand"/>
    <s v="Ranchi"/>
    <s v="Ranchi"/>
    <s v="Office Supplies"/>
    <x v="0"/>
    <s v="Labels"/>
    <x v="7"/>
    <s v="Basic Labels 359"/>
    <s v="First Class"/>
    <x v="2"/>
    <n v="1"/>
    <n v="4306.6499999999996"/>
    <n v="0"/>
    <n v="4306.6499999999996"/>
    <n v="2568.8200000000002"/>
    <n v="1737.83"/>
    <s v="Paid"/>
    <x v="0"/>
    <s v="Completed"/>
    <x v="0"/>
    <s v="ORD-2024-10804|12-09-2024|12-13-2024|CUST-7180|Rohan Mehta|Consumer||Jharkhand|Ranchi|Office Supplies|Labels|Basic Labels 359|First Class|1|4306.65|0|4306.65|2568.82|1737.83|Paid|Completed"/>
    <s v="Keep"/>
    <n v="1"/>
    <s v="Unique"/>
    <s v=""/>
    <n v="0"/>
    <n v="4306.6499999999996"/>
    <n v="1737.8299999999995"/>
    <n v="0.40352245945224235"/>
    <n v="12"/>
    <n v="2024"/>
    <b v="0"/>
    <b v="0"/>
    <x v="0"/>
    <s v="Missing region filled as Unknown"/>
    <s v="Warning"/>
  </r>
  <r>
    <s v="ORD-2025-10805"/>
    <s v="10-09-2025"/>
    <x v="8"/>
    <d v="2025-09-10T00:00:00"/>
    <s v="18-09-2025"/>
    <d v="2025-09-18T00:00:00"/>
    <s v="OK"/>
    <n v="8"/>
    <s v="CUST-8745"/>
    <s v="Rahul Verma"/>
    <s v="Rahul Verma"/>
    <s v="Home Office"/>
    <x v="3"/>
    <s v="South"/>
    <x v="2"/>
    <s v="Telangana"/>
    <s v="Telangana"/>
    <s v="Hyderabad"/>
    <s v="Hyderabad"/>
    <s v="Furniture"/>
    <x v="1"/>
    <s v="Furnishings"/>
    <x v="3"/>
    <s v="Eco Furnishings 541"/>
    <s v="Standard Class"/>
    <x v="3"/>
    <n v="1"/>
    <n v="2050.62"/>
    <n v="0.05"/>
    <n v="1948.09"/>
    <n v="1507.08"/>
    <n v="441.01"/>
    <s v="Paid"/>
    <x v="0"/>
    <s v="Completed"/>
    <x v="0"/>
    <s v="ORD-2025-10805|10-09-2025|18-09-2025|CUST-8745|Rahul Verma|Home Office|South|Telangana|Hyderabad|Furniture|Furnishings|Eco Furnishings 541|Standard Class|1|2050.62|0.05|1948.09|1507.08|441.01|Paid|Completed"/>
    <s v="Keep"/>
    <n v="1"/>
    <s v="Unique"/>
    <s v=""/>
    <n v="0.05"/>
    <n v="1948.0889999999997"/>
    <n v="441.00899999999979"/>
    <n v="0.22638031424642296"/>
    <n v="9"/>
    <n v="2025"/>
    <b v="0"/>
    <b v="0"/>
    <x v="0"/>
    <s v=""/>
    <s v="Clean"/>
  </r>
  <r>
    <s v="ORD-2025-10806"/>
    <s v="2025-04-06"/>
    <x v="6"/>
    <d v="2025-04-06T00:00:00"/>
    <s v="07-04-2025"/>
    <d v="2025-04-07T00:00:00"/>
    <s v="OK"/>
    <n v="1"/>
    <s v="CUST-2098"/>
    <s v="Priya Menon"/>
    <s v="Priya Menon"/>
    <s v="Home Office"/>
    <x v="3"/>
    <s v="East"/>
    <x v="1"/>
    <s v="Assam"/>
    <s v="Assam"/>
    <s v="Guwahati"/>
    <s v="Guwahati"/>
    <s v="Office Supplies"/>
    <x v="0"/>
    <s v="Binders"/>
    <x v="9"/>
    <s v="Classic Binders 103"/>
    <s v="Second Class"/>
    <x v="0"/>
    <n v="2"/>
    <n v="2030.06"/>
    <n v="0.25"/>
    <n v="3045.09"/>
    <n v="2601.09"/>
    <n v="444"/>
    <s v="Paid"/>
    <x v="0"/>
    <s v="Completed"/>
    <x v="0"/>
    <s v="ORD-2025-10806|04-06-2025|07-04-2025|CUST-2098|Priya Menon|Home Office|East|Assam|Guwahati|Office Supplies|Binders|Classic Binders 103|Second Class|2|2030.06|0.25|3045.09|2601.09|444|Paid|Completed"/>
    <s v="Keep"/>
    <n v="1"/>
    <s v="Unique"/>
    <s v=""/>
    <n v="0.25"/>
    <n v="3045.09"/>
    <n v="444"/>
    <n v="0.14580849827098705"/>
    <n v="4"/>
    <n v="2025"/>
    <b v="0"/>
    <b v="0"/>
    <x v="0"/>
    <s v=""/>
    <s v="Clean"/>
  </r>
  <r>
    <s v="ORD-2024-10807"/>
    <s v="09-11-2024"/>
    <x v="3"/>
    <d v="2024-11-09T00:00:00"/>
    <s v="15 Nov 2024"/>
    <d v="2024-11-15T00:00:00"/>
    <s v="OK"/>
    <n v="6"/>
    <s v="CUST-3704"/>
    <s v="Isha Nair"/>
    <s v="Isha Nair"/>
    <s v="Home Office"/>
    <x v="3"/>
    <s v="North"/>
    <x v="0"/>
    <s v="Rajasthan"/>
    <s v="Rajasthan"/>
    <s v="Jaipur"/>
    <s v="Jaipur"/>
    <s v="Technology"/>
    <x v="2"/>
    <s v="Copiers"/>
    <x v="6"/>
    <s v="Max Copiers 560"/>
    <s v="Standard Class"/>
    <x v="3"/>
    <n v="1"/>
    <n v="3665.97"/>
    <n v="0.2"/>
    <n v="2932.78"/>
    <n v="1900.35"/>
    <n v="1032.43"/>
    <s v="Failed"/>
    <x v="3"/>
    <s v="Cancelled"/>
    <x v="1"/>
    <s v="ORD-2024-10807|09-11-2024|11-15-2024|CUST-3704|Isha Nair|Home Office|North|Rajasthan|Jaipur|Technology|Copiers|Max Copiers 560|Standard Class|1|3665.97|0.2|2932.78|1900.35|1032.43|Failed|Cancelled"/>
    <s v="Keep"/>
    <n v="1"/>
    <s v="Unique"/>
    <s v=""/>
    <n v="0.2"/>
    <n v="2932.7759999999998"/>
    <n v="1032.4259999999999"/>
    <n v="0.35203029484692999"/>
    <n v="11"/>
    <n v="2024"/>
    <b v="0"/>
    <b v="0"/>
    <x v="1"/>
    <s v="Failed payment excluded; Cancelled order excluded"/>
    <s v="Warning"/>
  </r>
  <r>
    <s v="ORD-2025-10808"/>
    <s v="07 Feb 2025"/>
    <x v="7"/>
    <d v="2025-02-07T00:00:00"/>
    <s v="2025-02-08"/>
    <d v="2025-02-08T00:00:00"/>
    <s v="OK"/>
    <n v="1"/>
    <s v="CUST-5884"/>
    <s v="Karan Malhotra"/>
    <s v="Karan Malhotra"/>
    <s v="Small Business"/>
    <x v="1"/>
    <s v="South"/>
    <x v="2"/>
    <s v="Telangana"/>
    <s v="Telangana"/>
    <s v="Hyderabad"/>
    <s v="Hyderabad"/>
    <s v="Office Supplies"/>
    <x v="0"/>
    <s v="Labels"/>
    <x v="7"/>
    <s v="Smart Labels 436"/>
    <s v="Standard Class"/>
    <x v="3"/>
    <n v="2"/>
    <n v="2432.98"/>
    <n v="0.1"/>
    <n v="4379.3599999999997"/>
    <n v="3723.93"/>
    <n v="655.43"/>
    <s v="Paid"/>
    <x v="0"/>
    <s v="Completed"/>
    <x v="0"/>
    <s v="ORD-2025-10808|02-07-2025|02-08-2025|CUST-5884|Karan Malhotra|Small Business|South|Telangana|Hyderabad|Office Supplies|Labels|Smart Labels 436|standard class|2|2432.98|0.1|4379.36|3723.93|655.43|Paid|Completed"/>
    <s v="Keep"/>
    <n v="1"/>
    <s v="Unique"/>
    <s v=""/>
    <n v="0.1"/>
    <n v="4379.3640000000005"/>
    <n v="655.43400000000065"/>
    <n v="0.14966419781502532"/>
    <n v="2"/>
    <n v="2025"/>
    <b v="0"/>
    <b v="0"/>
    <x v="0"/>
    <s v=""/>
    <s v="Clean"/>
  </r>
  <r>
    <s v="ORD-2025-10809"/>
    <s v="2025-08-31"/>
    <x v="4"/>
    <d v="2025-08-31T00:00:00"/>
    <s v="2025-08-28"/>
    <d v="2025-08-28T00:00:00"/>
    <s v="Ship date before order date"/>
    <n v="-3"/>
    <s v="CUST-7503"/>
    <s v="Aarav Sharma"/>
    <s v="Aarav Sharma"/>
    <s v="Small Business"/>
    <x v="1"/>
    <s v="South"/>
    <x v="2"/>
    <s v="Tamil Nadu"/>
    <s v="Tamil Nadu"/>
    <s v="Chennai"/>
    <s v="Chennai"/>
    <s v="Furniture"/>
    <x v="1"/>
    <s v="Furnishings"/>
    <x v="3"/>
    <s v="Pro Furnishings 386"/>
    <s v="First Class"/>
    <x v="2"/>
    <n v="7"/>
    <n v="977.28"/>
    <n v="0.2"/>
    <n v="5472.77"/>
    <n v="4477.33"/>
    <n v="995.44"/>
    <s v="Paid"/>
    <x v="0"/>
    <s v="Completed"/>
    <x v="0"/>
    <s v="ORD-2025-10809|08-31-2025|08-28-2025|CUST-7503|Aarav Sharma|Small Business|South|Tamil Nadu|Chennai|Furniture|Furnishings|Pro Furnishings 386|First Class|7|977.28|0.2|5472.77|4477.33|995.44|Paid|Completed"/>
    <s v="Keep"/>
    <n v="1"/>
    <s v="Unique"/>
    <s v=""/>
    <n v="0.2"/>
    <n v="5472.768"/>
    <n v="995.4380000000001"/>
    <n v="0.18188931085695575"/>
    <n v="8"/>
    <n v="2025"/>
    <b v="0"/>
    <b v="0"/>
    <x v="1"/>
    <s v="Ship date before order date"/>
    <s v="Invalid"/>
  </r>
  <r>
    <s v="ORD-2025-10810"/>
    <s v="25 Jun 2025"/>
    <x v="18"/>
    <d v="2025-06-25T00:00:00"/>
    <s v="25 Jun 2025"/>
    <d v="2025-06-25T00:00:00"/>
    <s v="OK"/>
    <n v="0"/>
    <s v="CUST-6973"/>
    <s v="Arjun Bose"/>
    <s v="Arjun Bose"/>
    <s v="Small Business"/>
    <x v="1"/>
    <m/>
    <x v="4"/>
    <s v="Punjab"/>
    <s v="Punjab"/>
    <s v="Ludhiana"/>
    <s v="Ludhiana"/>
    <s v="Office Supplies"/>
    <x v="0"/>
    <s v="Binders"/>
    <x v="9"/>
    <s v="Eco Binders 601"/>
    <s v="Second Class"/>
    <x v="0"/>
    <n v="6"/>
    <n v="1366.13"/>
    <n v="0.1"/>
    <n v="7377.1"/>
    <n v="5085.21"/>
    <n v="2291.89"/>
    <s v="Paid"/>
    <x v="0"/>
    <s v="Completed"/>
    <x v="0"/>
    <s v="ORD-2025-10810|06-25-2025|06-25-2025|CUST-6973|Arjun Bose|Small Business||Punjab|Ludhiana|Office Supplies|Binders|Eco Binders 601|Second Class|6|1366.13|0.1|7377.1|5085.21|2291.89|Paid|Completed"/>
    <s v="Keep"/>
    <n v="1"/>
    <s v="Unique"/>
    <s v=""/>
    <n v="0.1"/>
    <n v="7377.1020000000008"/>
    <n v="2291.8920000000007"/>
    <n v="0.31067646888981615"/>
    <n v="6"/>
    <n v="2025"/>
    <b v="0"/>
    <b v="0"/>
    <x v="0"/>
    <s v="Missing region filled as Unknown"/>
    <s v="Warning"/>
  </r>
  <r>
    <s v="ORD-2024-10811"/>
    <s v="04/03/2024"/>
    <x v="19"/>
    <d v="2024-04-03T00:00:00"/>
    <s v="08-04-2024"/>
    <d v="2024-04-08T00:00:00"/>
    <s v="OK"/>
    <n v="5"/>
    <s v="CUST-4653"/>
    <s v="Kabir Singh"/>
    <s v="Kabir Singh"/>
    <s v="Home Office "/>
    <x v="3"/>
    <s v="West"/>
    <x v="3"/>
    <s v="Gujarat"/>
    <s v="Gujarat"/>
    <s v="Ahmedabad"/>
    <s v="Ahmedabad"/>
    <s v="Technology"/>
    <x v="2"/>
    <s v="Copiers"/>
    <x v="6"/>
    <s v="Pro Copiers 867"/>
    <s v="First Class"/>
    <x v="2"/>
    <n v="1"/>
    <n v="3151.85"/>
    <n v="0.25"/>
    <n v="2363.89"/>
    <n v="1471.51"/>
    <n v="892.38"/>
    <s v="Paid"/>
    <x v="0"/>
    <s v="Completed"/>
    <x v="0"/>
    <s v="ORD-2024-10811|04-03-2024|08-04-2024|CUST-4653|Kabir Singh|Home Office |West|Gujarat|Ahmedabad|Technology|Copiers|Pro Copiers 867|First Class|1|3151.85|0.25|2363.89|1471.51|892.38|Paid|Completed"/>
    <s v="Keep"/>
    <n v="1"/>
    <s v="Unique"/>
    <s v=""/>
    <n v="0.25"/>
    <n v="2363.8874999999998"/>
    <n v="892.37749999999983"/>
    <n v="0.37750421710000998"/>
    <n v="4"/>
    <n v="2024"/>
    <b v="0"/>
    <b v="0"/>
    <x v="0"/>
    <s v=""/>
    <s v="Clean"/>
  </r>
  <r>
    <s v="ORD-2024-10812"/>
    <s v="12 Dec 2024"/>
    <x v="10"/>
    <d v="2024-12-12T00:00:00"/>
    <s v="19 Dec 2024"/>
    <d v="2024-12-19T00:00:00"/>
    <s v="OK"/>
    <n v="7"/>
    <s v="CUST-3303"/>
    <s v="Rohan Mehta"/>
    <s v="Rohan Mehta"/>
    <s v="Home Office"/>
    <x v="3"/>
    <s v="North"/>
    <x v="0"/>
    <s v="Haryana"/>
    <s v="Haryana"/>
    <s v="Gurugram"/>
    <s v="Gurugram"/>
    <s v="Technology"/>
    <x v="2"/>
    <s v="Accessories"/>
    <x v="5"/>
    <s v="Eco Accessories 122"/>
    <s v="First Class"/>
    <x v="2"/>
    <n v="2"/>
    <n v="1610.75"/>
    <n v="0.2"/>
    <n v="2577.1999999999998"/>
    <n v="1475.87"/>
    <n v="1101.33"/>
    <s v="Paid"/>
    <x v="0"/>
    <s v="Completed"/>
    <x v="0"/>
    <s v="ORD-2024-10812|12-12-2024|12-19-2024|CUST-3303|Rohan Mehta|Home Office|North|Haryana|Gurugram|Technology|Accessories|Eco Accessories 122|First Class|2|1610.75|0.2|2577.2|1475.87|1101.33|Paid|Completed"/>
    <s v="Keep"/>
    <n v="1"/>
    <s v="Unique"/>
    <s v=""/>
    <n v="0.2"/>
    <n v="2577.2000000000003"/>
    <n v="1101.3300000000004"/>
    <n v="0.42733586838429316"/>
    <n v="12"/>
    <n v="2024"/>
    <b v="0"/>
    <b v="0"/>
    <x v="0"/>
    <s v=""/>
    <s v="Clean"/>
  </r>
  <r>
    <s v="ORD-2024-10813"/>
    <s v="2024-06-15"/>
    <x v="2"/>
    <d v="2024-06-15T00:00:00"/>
    <s v="20-06-2024"/>
    <d v="2024-06-20T00:00:00"/>
    <s v="OK"/>
    <n v="5"/>
    <s v="CUST-5754"/>
    <s v="Sneha Kapoor"/>
    <s v="Sneha Kapoor"/>
    <s v="Small Business"/>
    <x v="1"/>
    <s v="East"/>
    <x v="1"/>
    <s v="Jharkhand"/>
    <s v="Jharkhand"/>
    <s v="Ranchi"/>
    <s v="Ranchi"/>
    <s v="Furniture"/>
    <x v="1"/>
    <s v="Tables"/>
    <x v="1"/>
    <s v="Basic Tables 127"/>
    <s v="First Class"/>
    <x v="2"/>
    <n v="8"/>
    <n v="2228.4699999999998"/>
    <n v="0"/>
    <n v="17827.759999999998"/>
    <n v="14122.13"/>
    <n v="3705.63"/>
    <s v="Paid"/>
    <x v="0"/>
    <s v="Completed"/>
    <x v="0"/>
    <s v="ORD-2024-10813|06-15-2024|20-06-2024|CUST-5754|Sneha Kapoor|Small Business|East|Jharkhand|Ranchi|Furniture|Tables|Basic Tables 127|First Class|8|2228.47|0|17827.76|14122.13|3705.63|Paid|Completed"/>
    <s v="Keep"/>
    <n v="1"/>
    <s v="Unique"/>
    <s v=""/>
    <n v="0"/>
    <n v="17827.759999999998"/>
    <n v="3705.6299999999992"/>
    <n v="0.20785729671029896"/>
    <n v="6"/>
    <n v="2024"/>
    <b v="0"/>
    <b v="0"/>
    <x v="0"/>
    <s v=""/>
    <s v="Clean"/>
  </r>
  <r>
    <s v="ORD-2025-10814"/>
    <s v="04/06/2025"/>
    <x v="6"/>
    <d v="2025-04-06T00:00:00"/>
    <s v="10 Apr 2025"/>
    <d v="2025-04-10T00:00:00"/>
    <s v="OK"/>
    <n v="4"/>
    <s v="CUST-7848"/>
    <s v="Rohan Mehta"/>
    <s v="Rohan Mehta"/>
    <s v="Consumer"/>
    <x v="0"/>
    <s v="East"/>
    <x v="1"/>
    <s v="Odisha"/>
    <s v="Odisha"/>
    <s v="Bhubaneswar"/>
    <s v="Bhubaneswar"/>
    <s v="Furniture"/>
    <x v="1"/>
    <s v="Bookcases"/>
    <x v="10"/>
    <s v="Elite Bookcases 988"/>
    <s v="Standard Class"/>
    <x v="3"/>
    <n v="2"/>
    <n v="1337.67"/>
    <n v="0"/>
    <n v="2675.34"/>
    <n v="1595.87"/>
    <n v="1079.47"/>
    <s v="Paid"/>
    <x v="0"/>
    <s v="Completed"/>
    <x v="0"/>
    <s v="ORD-2025-10814|04-06-2025|04-10-2025|CUST-7848|Rohan Mehta|Consumer|East|Odisha|Bhubaneswar|Furniture|Bookcases|Elite Bookcases 988|Standard Class|2|1337.67|0|2675.34|1595.87|1079.47|Paid|Completed"/>
    <s v="Keep"/>
    <n v="1"/>
    <s v="Unique"/>
    <s v=""/>
    <n v="0"/>
    <n v="2675.34"/>
    <n v="1079.4700000000003"/>
    <n v="0.40348890234512258"/>
    <n v="4"/>
    <n v="2025"/>
    <b v="0"/>
    <b v="0"/>
    <x v="0"/>
    <s v=""/>
    <s v="Clean"/>
  </r>
  <r>
    <s v="ORD-2025-10815"/>
    <s v="06 Aug 2025"/>
    <x v="4"/>
    <d v="2025-08-06T00:00:00"/>
    <s v="2025-08-11"/>
    <d v="2025-08-11T00:00:00"/>
    <s v="OK"/>
    <n v="5"/>
    <s v="CUST-9048"/>
    <s v="Arjun Bose"/>
    <s v="Arjun Bose"/>
    <s v="Consumer"/>
    <x v="0"/>
    <s v="West"/>
    <x v="3"/>
    <s v="Madhya Pradesh"/>
    <s v="Madhya Pradesh"/>
    <s v="Indore"/>
    <s v="Indore"/>
    <s v="Office Supplies"/>
    <x v="0"/>
    <s v="Labels"/>
    <x v="7"/>
    <s v="Smart Labels 126"/>
    <s v="First Class"/>
    <x v="2"/>
    <n v="2"/>
    <n v="2375.94"/>
    <n v="0.25"/>
    <n v="3563.91"/>
    <n v="2639.7"/>
    <n v="924.21"/>
    <s v="Paid"/>
    <x v="0"/>
    <s v="Completed"/>
    <x v="0"/>
    <s v="ORD-2025-10815|08-06-2025|08-11-2025|CUST-9048|Arjun Bose|Consumer|West|Madhya Pradesh|Indore|Office Supplies|Labels|Smart Labels 126|First Class|2|2375.94|0.25|3563.91|2639.7|924.21|Paid|Completed"/>
    <s v="Keep"/>
    <n v="1"/>
    <s v="Unique"/>
    <s v=""/>
    <n v="0.25"/>
    <n v="3563.91"/>
    <n v="924.21"/>
    <n v="0.25932473042248544"/>
    <n v="8"/>
    <n v="2025"/>
    <b v="0"/>
    <b v="0"/>
    <x v="0"/>
    <s v=""/>
    <s v="Clean"/>
  </r>
  <r>
    <s v="ORD-2024-10816"/>
    <s v="04/01/2024"/>
    <x v="19"/>
    <d v="2024-04-01T00:00:00"/>
    <s v="2024-04-08"/>
    <d v="2024-04-08T00:00:00"/>
    <s v="OK"/>
    <n v="7"/>
    <s v="CUST-2951"/>
    <s v="Diya Patel"/>
    <s v="Diya Patel"/>
    <s v="Consumer"/>
    <x v="0"/>
    <s v="East"/>
    <x v="1"/>
    <s v="Odisha"/>
    <s v="Odisha"/>
    <s v="Bhubaneswar"/>
    <s v="Bhubaneswar"/>
    <s v="Technology"/>
    <x v="2"/>
    <s v="Machines"/>
    <x v="12"/>
    <s v="Max Machines 569"/>
    <s v="Standard Class"/>
    <x v="3"/>
    <n v="7"/>
    <n v="715.81"/>
    <n v="0.15"/>
    <n v="4259.07"/>
    <n v="3130.32"/>
    <n v="1128.75"/>
    <s v="Pending"/>
    <x v="2"/>
    <s v="Cancelled"/>
    <x v="1"/>
    <s v="ORD-2024-10816|04-01-2024|04-08-2024|CUST-2951|Diya Patel|Consumer|East|Odisha|Bhubaneswar|Technology|Machines|Max Machines 569|Standard Class|7|715.81|0.15|4259.07|3130.32|1128.75|Pending|Cancelled"/>
    <s v="Keep"/>
    <n v="1"/>
    <s v="Unique"/>
    <s v=""/>
    <n v="0.15"/>
    <n v="4259.0694999999996"/>
    <n v="1128.7494999999994"/>
    <n v="0.26502255950507486"/>
    <n v="4"/>
    <n v="2024"/>
    <b v="0"/>
    <b v="0"/>
    <x v="1"/>
    <s v="Cancelled order excluded"/>
    <s v="Warning"/>
  </r>
  <r>
    <s v="ORD-2024-10817"/>
    <s v="11/27/2024"/>
    <x v="3"/>
    <d v="2024-11-27T00:00:00"/>
    <s v="2024-11-30"/>
    <d v="2024-11-30T00:00:00"/>
    <s v="OK"/>
    <n v="3"/>
    <s v="CUST-3072"/>
    <s v="Rahul Verma"/>
    <s v="Rahul Verma"/>
    <s v="Small Business"/>
    <x v="1"/>
    <s v="East"/>
    <x v="1"/>
    <s v="Jharkhand"/>
    <s v="Jharkhand"/>
    <s v="Ranchi"/>
    <s v="Ranchi"/>
    <s v="Furniture"/>
    <x v="1"/>
    <s v="Furnishings"/>
    <x v="3"/>
    <s v="Basic Furnishings 306"/>
    <s v="First Class"/>
    <x v="2"/>
    <n v="1"/>
    <n v="874.3"/>
    <n v="0.1"/>
    <n v="786.87"/>
    <n v="498.5"/>
    <n v="288.37"/>
    <s v="Paid"/>
    <x v="0"/>
    <s v="Completed"/>
    <x v="0"/>
    <s v="ORD-2024-10817|11-27-2024|11-30-2024|CUST-3072|Rahul Verma|Small Business|East|Jharkhand|Ranchi|Furniture|Furnishings|Basic Furnishings 306|First Class|1|874.3|0.1|786.87|498.5|288.37|Paid|Completed"/>
    <s v="Keep"/>
    <n v="1"/>
    <s v="Unique"/>
    <s v=""/>
    <n v="0.1"/>
    <n v="786.87"/>
    <n v="288.37"/>
    <n v="0.36647730883119195"/>
    <n v="11"/>
    <n v="2024"/>
    <b v="0"/>
    <b v="0"/>
    <x v="0"/>
    <s v=""/>
    <s v="Clean"/>
  </r>
  <r>
    <s v="ORD-2025-10818"/>
    <s v="05 Apr 2025"/>
    <x v="6"/>
    <d v="2025-04-05T00:00:00"/>
    <s v="04/05/2025"/>
    <d v="2025-04-05T00:00:00"/>
    <s v="OK"/>
    <n v="0"/>
    <s v="CUST-2221"/>
    <s v="Sneha Kapoor"/>
    <s v="Sneha Kapoor"/>
    <s v="Consumer"/>
    <x v="0"/>
    <s v="East"/>
    <x v="1"/>
    <s v="Bihar"/>
    <s v="Bihar"/>
    <s v="Patna"/>
    <s v="Patna"/>
    <s v="Office Supplies"/>
    <x v="0"/>
    <s v="Binders"/>
    <x v="9"/>
    <s v="Classic Binders 873"/>
    <s v="Standard Class"/>
    <x v="3"/>
    <n v="6"/>
    <n v="1829.69"/>
    <n v="0.25"/>
    <n v="8233.6"/>
    <n v="4713.79"/>
    <n v="3519.81"/>
    <s v="Paid"/>
    <x v="0"/>
    <s v="Completed"/>
    <x v="0"/>
    <s v="ORD-2025-10818|04-05-2025|04-05-2025|CUST-2221|Sneha Kapoor|Consumer|East|Bihar|Patna|Office Supplies|Binders|Classic Binders 873|Standard Class|6|1829.69|0.25|8233.6|4713.79|3519.81|Paid|Completed"/>
    <s v="Keep"/>
    <n v="1"/>
    <s v="Unique"/>
    <s v=""/>
    <n v="0.25"/>
    <n v="8233.6049999999996"/>
    <n v="3519.8149999999996"/>
    <n v="0.42749378917254349"/>
    <n v="4"/>
    <n v="2025"/>
    <b v="0"/>
    <b v="0"/>
    <x v="0"/>
    <s v=""/>
    <s v="Clean"/>
  </r>
  <r>
    <s v="ORD-2024-10819"/>
    <s v="29 Sep 2024"/>
    <x v="21"/>
    <d v="2024-09-29T00:00:00"/>
    <s v="05-10-2024"/>
    <d v="2024-10-05T00:00:00"/>
    <s v="OK"/>
    <n v="6"/>
    <s v="CUST-3943"/>
    <s v="Priya Menon"/>
    <s v="Priya Menon"/>
    <s v="Small Business"/>
    <x v="1"/>
    <s v="West"/>
    <x v="3"/>
    <s v="Maharashtra"/>
    <s v="Maharashtra"/>
    <s v="Mumbai"/>
    <s v="Mumbai"/>
    <s v="Office Supplies"/>
    <x v="0"/>
    <s v="Labels"/>
    <x v="7"/>
    <s v="Pro Labels 611"/>
    <s v="First Class"/>
    <x v="2"/>
    <n v="8"/>
    <n v="1981.04"/>
    <n v="-0.14000000000000001"/>
    <n v="12678.66"/>
    <n v="10088.65"/>
    <n v="2590.0100000000002"/>
    <s v="Paid"/>
    <x v="0"/>
    <s v="Completed"/>
    <x v="0"/>
    <s v="ORD-2024-10819|09-29-2024|05-10-2024|CUST-3943|Priya Menon|Small Business|West|Maharashtra|Mumbai|Office Supplies|Labels|Pro Labels 611|First Class|8|1981.04|-0.14|12678.66|10088.65|2590.01|Paid|Completed"/>
    <s v="Keep"/>
    <n v="1"/>
    <s v="Unique"/>
    <s v=""/>
    <n v="-0.14000000000000001"/>
    <n v="18067.084800000001"/>
    <n v="7978.4348000000009"/>
    <n v="0.44160056192352631"/>
    <n v="9"/>
    <n v="2024"/>
    <b v="1"/>
    <b v="1"/>
    <x v="1"/>
    <s v="Negative discount; Sales mismatch; Profit mismatch"/>
    <s v="Invalid"/>
  </r>
  <r>
    <s v="ORD-2024-10820"/>
    <s v="07/31/2024"/>
    <x v="0"/>
    <d v="2024-07-31T00:00:00"/>
    <s v="31-07-2024"/>
    <d v="2024-07-31T00:00:00"/>
    <s v="OK"/>
    <n v="0"/>
    <s v="CUST-7510"/>
    <s v="Karan Malhotra"/>
    <s v="Karan Malhotra"/>
    <s v="Home Office"/>
    <x v="3"/>
    <s v="South"/>
    <x v="2"/>
    <s v="Kerala"/>
    <s v="Kerala"/>
    <s v="Kochi"/>
    <s v="Kochi"/>
    <s v="Technology"/>
    <x v="2"/>
    <s v="Machines"/>
    <x v="12"/>
    <s v="Prime Machines 524"/>
    <s v="Standard Class"/>
    <x v="3"/>
    <n v="8"/>
    <n v="4246.01"/>
    <n v="0"/>
    <n v="33968.080000000002"/>
    <n v="26902.44"/>
    <n v="7065.64"/>
    <s v="Failed"/>
    <x v="3"/>
    <s v="Cancelled"/>
    <x v="1"/>
    <s v="ORD-2024-10820|07-31-2024|31-07-2024|CUST-7510|Karan Malhotra|Home Office|South|Kerala|Kochi|Technology|MACHINES|Prime Machines 524|Standard Class|8|4246.01|0|33968.08|26902.44|7065.64|Failed|Cancelled"/>
    <s v="Keep"/>
    <n v="1"/>
    <s v="Unique"/>
    <s v=""/>
    <n v="0"/>
    <n v="33968.080000000002"/>
    <n v="7065.6400000000031"/>
    <n v="0.20800822419165294"/>
    <n v="7"/>
    <n v="2024"/>
    <b v="0"/>
    <b v="0"/>
    <x v="1"/>
    <s v="Failed payment excluded; Cancelled order excluded"/>
    <s v="Warning"/>
  </r>
  <r>
    <s v="ORD-2025-10821"/>
    <s v="06-02-2025"/>
    <x v="7"/>
    <d v="2025-02-06T00:00:00"/>
    <s v="10-02-2025"/>
    <d v="2025-02-10T00:00:00"/>
    <s v="OK"/>
    <n v="4"/>
    <s v="CUST-2041"/>
    <s v="Ananya Rao"/>
    <s v="Ananya Rao"/>
    <s v="Home Office"/>
    <x v="3"/>
    <s v="North"/>
    <x v="0"/>
    <s v="Uttar Pradesh"/>
    <s v="Uttar Pradesh"/>
    <s v="Noida"/>
    <s v="Noida"/>
    <s v="Furniture"/>
    <x v="1"/>
    <s v="Bookcases"/>
    <x v="10"/>
    <s v="Classic Bookcases 882"/>
    <s v="Standard Class"/>
    <x v="3"/>
    <n v="2"/>
    <n v="319.57"/>
    <n v="0.2"/>
    <n v="511.31"/>
    <n v="436.43"/>
    <n v="74.88"/>
    <s v="Paid"/>
    <x v="0"/>
    <s v="Completed"/>
    <x v="0"/>
    <s v="ORD-2025-10821|06-02-2025|10-02-2025|CUST-2041|Ananya Rao|Home Office|North|Uttar Pradesh|Noida|Furniture|Bookcases|Classic Bookcases 882|Standard Class|2|319.57|0.2|511.31|436.43|74.88|Paid|Completed"/>
    <s v="Keep"/>
    <n v="1"/>
    <s v="Unique"/>
    <s v=""/>
    <n v="0.2"/>
    <n v="511.31200000000001"/>
    <n v="74.882000000000005"/>
    <n v="0.14645069937728825"/>
    <n v="2"/>
    <n v="2025"/>
    <b v="0"/>
    <b v="0"/>
    <x v="0"/>
    <s v=""/>
    <s v="Clean"/>
  </r>
  <r>
    <s v="ORD-2024-10822"/>
    <s v="2024-07-03"/>
    <x v="0"/>
    <d v="2024-07-03T00:00:00"/>
    <s v="06-07-2024"/>
    <d v="2024-07-06T00:00:00"/>
    <s v="OK"/>
    <n v="3"/>
    <s v="CUST-4466"/>
    <s v="Aarav Sharma"/>
    <s v="Aarav Sharma"/>
    <s v="Corporate"/>
    <x v="2"/>
    <s v="South"/>
    <x v="2"/>
    <s v="Karnataka"/>
    <s v="Karnataka"/>
    <s v="Bengaluru"/>
    <s v="Bengaluru"/>
    <s v="Technology"/>
    <x v="2"/>
    <s v="Accessories"/>
    <x v="5"/>
    <s v="Classic Accessories 471"/>
    <s v="First Class"/>
    <x v="2"/>
    <n v="7"/>
    <n v="1942.49"/>
    <n v="0.2"/>
    <n v="10877.94"/>
    <n v="9110.14"/>
    <n v="1767.8"/>
    <s v="Paid"/>
    <x v="0"/>
    <s v="Completed"/>
    <x v="0"/>
    <s v="ORD-2024-10822|07-03-2024|06-07-2024|CUST-4466|Aarav Sharma|Corporate|South|Karnataka|Bengaluru|Technology|Accessories|Classic Accessories 471|First Class|7|1942.49|0.2|10877.94|9110.14|1767.8|Paid|Completed"/>
    <s v="Keep"/>
    <n v="1"/>
    <s v="Unique"/>
    <s v=""/>
    <n v="0.2"/>
    <n v="10877.944000000001"/>
    <n v="1767.8040000000019"/>
    <n v="0.16251269541376584"/>
    <n v="7"/>
    <n v="2024"/>
    <b v="0"/>
    <b v="0"/>
    <x v="0"/>
    <s v=""/>
    <s v="Clean"/>
  </r>
  <r>
    <s v="ORD-2024-10823"/>
    <s v="10/12/2024"/>
    <x v="16"/>
    <d v="2024-10-12T00:00:00"/>
    <s v="08 Oct 2024"/>
    <d v="2024-10-08T00:00:00"/>
    <s v="Ship date before order date"/>
    <n v="-4"/>
    <s v="CUST-3188"/>
    <s v="Mira Das"/>
    <s v="Mira Das"/>
    <s v="Corporate"/>
    <x v="2"/>
    <s v="East"/>
    <x v="1"/>
    <s v="Assam"/>
    <s v="Assam"/>
    <s v="Guwahati"/>
    <s v="Guwahati"/>
    <s v="Furniture"/>
    <x v="1"/>
    <s v="Furnishings"/>
    <x v="3"/>
    <s v="Smart Furnishings 175"/>
    <s v="Second Class"/>
    <x v="0"/>
    <n v="4"/>
    <n v="3202.04"/>
    <n v="0.2"/>
    <n v="10246.530000000001"/>
    <n v="8634.42"/>
    <n v="1612.11"/>
    <s v="Pending"/>
    <x v="2"/>
    <s v="Returned"/>
    <x v="2"/>
    <s v="ORD-2024-10823|10-12-2024|10-08-2024|CUST-3188|Mira Das|Corporate|East|Assam|Guwahati|Furniture|Furnishings|Smart Furnishings 175|Second Class|4|3202.04|0.2|10246.53|8634.42|1612.11|Pending|Returned"/>
    <s v="Keep"/>
    <n v="1"/>
    <s v="Unique"/>
    <s v=""/>
    <n v="0.2"/>
    <n v="10246.528"/>
    <n v="1612.1080000000002"/>
    <n v="0.15733212264681268"/>
    <n v="10"/>
    <n v="2024"/>
    <b v="0"/>
    <b v="0"/>
    <x v="1"/>
    <s v="Ship date before order date; Returned order excluded"/>
    <s v="Invalid"/>
  </r>
  <r>
    <s v="ORD-2025-10824"/>
    <s v="2025-01-06"/>
    <x v="14"/>
    <d v="2025-01-06T00:00:00"/>
    <s v="12 Jan 2025"/>
    <d v="2025-01-12T00:00:00"/>
    <s v="OK"/>
    <n v="6"/>
    <s v="CUST-6638"/>
    <s v="Mira Das"/>
    <s v="Mira Das"/>
    <s v="Home Office"/>
    <x v="3"/>
    <s v="West"/>
    <x v="3"/>
    <s v="Goa"/>
    <s v="Goa"/>
    <s v="Panaji"/>
    <s v="Panaji"/>
    <s v="Office Supplies"/>
    <x v="0"/>
    <s v="Paper"/>
    <x v="0"/>
    <s v="Basic Paper 899"/>
    <s v="Same Day"/>
    <x v="1"/>
    <n v="3"/>
    <n v="668.33"/>
    <n v="0.15"/>
    <n v="1704.24"/>
    <n v="957.55"/>
    <n v="746.69"/>
    <s v="Paid"/>
    <x v="0"/>
    <s v="Completed"/>
    <x v="0"/>
    <s v="ORD-2025-10824|01-06-2025|01-12-2025|CUST-6638|Mira Das|Home Office|West|Goa|Panaji|Office Supplies|Paper|Basic Paper 899|Same Day|3|668.33|0.15|1704.24|957.55|746.69|Paid|Completed"/>
    <s v="Keep"/>
    <n v="1"/>
    <s v="Unique"/>
    <s v=""/>
    <n v="0.15"/>
    <n v="1704.2415000000001"/>
    <n v="746.69150000000013"/>
    <n v="0.43813714194848563"/>
    <n v="1"/>
    <n v="2025"/>
    <b v="0"/>
    <b v="0"/>
    <x v="0"/>
    <s v=""/>
    <s v="Clean"/>
  </r>
  <r>
    <s v="ORD-2025-10825"/>
    <s v="21-03-2025"/>
    <x v="20"/>
    <d v="2025-03-21T00:00:00"/>
    <s v="22 Mar 2025"/>
    <d v="2025-03-22T00:00:00"/>
    <s v="OK"/>
    <n v="1"/>
    <s v="CUST-3540"/>
    <s v="Priya Menon"/>
    <s v="Priya Menon"/>
    <s v="Consumer"/>
    <x v="0"/>
    <s v="West"/>
    <x v="3"/>
    <s v="Goa"/>
    <s v="Goa"/>
    <s v="Panaji"/>
    <s v="Panaji"/>
    <s v="Office Supplies"/>
    <x v="0"/>
    <s v="Paper"/>
    <x v="0"/>
    <s v="Pro Paper 267"/>
    <s v="First Class"/>
    <x v="2"/>
    <n v="8"/>
    <n v="4436.74"/>
    <n v="0.05"/>
    <n v="33719.22"/>
    <n v="28924.43"/>
    <n v="4794.79"/>
    <s v="Paid"/>
    <x v="0"/>
    <s v="Completed"/>
    <x v="0"/>
    <s v="ORD-2025-10825|21-03-2025|03-22-2025|CUST-3540|Priya Menon|Consumer|West|Goa|Panaji|Office Supplies|Paper|Pro Paper 267|First Class|8|4436.74|0.05|33719.22|28924.43|4794.79|Paid|Completed"/>
    <s v="Keep"/>
    <n v="1"/>
    <s v="Unique"/>
    <s v=""/>
    <n v="0.05"/>
    <n v="33719.223999999995"/>
    <n v="4794.7939999999944"/>
    <n v="0.14219763776295669"/>
    <n v="3"/>
    <n v="2025"/>
    <b v="0"/>
    <b v="0"/>
    <x v="0"/>
    <s v=""/>
    <s v="Clean"/>
  </r>
  <r>
    <s v="ORD-2025-10826"/>
    <s v="16 Apr 2025"/>
    <x v="6"/>
    <d v="2025-04-16T00:00:00"/>
    <s v="17-04-2025"/>
    <d v="2025-04-17T00:00:00"/>
    <s v="OK"/>
    <n v="1"/>
    <s v="CUST-3351"/>
    <s v="Vikram Iyer"/>
    <s v="Vikram Iyer"/>
    <s v="Small Business"/>
    <x v="1"/>
    <s v="North"/>
    <x v="0"/>
    <s v="Uttar Pradesh"/>
    <s v="Uttar Pradesh"/>
    <s v="Noida"/>
    <s v="Noida"/>
    <s v="Technology"/>
    <x v="2"/>
    <s v="Machines"/>
    <x v="12"/>
    <s v="Basic Machines 832"/>
    <s v="First Class"/>
    <x v="2"/>
    <n v="1"/>
    <n v="2720.17"/>
    <n v="0"/>
    <n v="2720.17"/>
    <n v="1834.23"/>
    <n v="885.94"/>
    <s v="Paid"/>
    <x v="0"/>
    <s v="Completed"/>
    <x v="0"/>
    <s v="ORD-2025-10826|04-16-2025|17-04-2025|CUST-3351|Vikram Iyer|Small Business|North|Uttar Pradesh|Noida|Technology|Machines|Basic Machines 832|First Class|1|2720.17|0|2720.17|1834.23|885.94|Paid|Completed"/>
    <s v="Keep"/>
    <n v="1"/>
    <s v="Unique"/>
    <s v=""/>
    <n v="0"/>
    <n v="2720.17"/>
    <n v="885.94"/>
    <n v="0.3256928794891496"/>
    <n v="4"/>
    <n v="2025"/>
    <b v="0"/>
    <b v="0"/>
    <x v="0"/>
    <s v=""/>
    <s v="Clean"/>
  </r>
  <r>
    <s v="ORD-2025-10827"/>
    <s v="2025-08-10"/>
    <x v="4"/>
    <d v="2025-08-10T00:00:00"/>
    <s v="14 Aug 2025"/>
    <d v="2025-08-14T00:00:00"/>
    <s v="OK"/>
    <n v="4"/>
    <s v="CUST-4375"/>
    <s v="Aditi Sen"/>
    <s v="Aditi Sen"/>
    <s v="Consumer"/>
    <x v="0"/>
    <s v="West"/>
    <x v="3"/>
    <s v="Rajasthan"/>
    <s v="Rajasthan"/>
    <s v="Udaipur"/>
    <s v="Udaipur"/>
    <s v="Technology"/>
    <x v="2"/>
    <s v="Accessories"/>
    <x v="5"/>
    <s v="Elite Accessories 790"/>
    <s v="Standard Class"/>
    <x v="3"/>
    <n v="5"/>
    <n v="2190.14"/>
    <n v="0.25"/>
    <n v="8213.02"/>
    <n v="5569.3"/>
    <n v="2643.72"/>
    <s v="Paid"/>
    <x v="0"/>
    <s v="Completed"/>
    <x v="0"/>
    <s v="ORD-2025-10827|08-10-2025|08-14-2025|CUST-4375|Aditi Sen|Consumer|West|Rajasthan|Udaipur|Technology|Accessories|Elite Accessories 790|Standard Class|5|2190.14|0.25|8213.02|5569.3|2643.72|Paid|Completed"/>
    <s v="Keep"/>
    <n v="1"/>
    <s v="Unique"/>
    <s v=""/>
    <n v="0.25"/>
    <n v="8213.0249999999996"/>
    <n v="2643.7249999999995"/>
    <n v="0.32189418636860345"/>
    <n v="8"/>
    <n v="2025"/>
    <b v="0"/>
    <b v="0"/>
    <x v="0"/>
    <s v=""/>
    <s v="Clean"/>
  </r>
  <r>
    <s v="ORD-2024-10828"/>
    <s v="24 Nov 2024"/>
    <x v="3"/>
    <d v="2024-11-24T00:00:00"/>
    <s v="01-12-2024"/>
    <d v="2024-12-01T00:00:00"/>
    <s v="OK"/>
    <n v="7"/>
    <s v="CUST-5125"/>
    <s v="Priya Menon"/>
    <s v="Priya Menon"/>
    <s v="Home Office"/>
    <x v="3"/>
    <s v="South"/>
    <x v="2"/>
    <s v="Tamil Nadu"/>
    <s v="Tamil Nadu"/>
    <s v="Chennai"/>
    <s v="Chennai"/>
    <s v="Office Supplies"/>
    <x v="0"/>
    <s v="Paper"/>
    <x v="0"/>
    <s v="Basic Paper 707"/>
    <s v="Same Day"/>
    <x v="1"/>
    <n v="1"/>
    <n v="844.89"/>
    <n v="0.25"/>
    <n v="633.66999999999996"/>
    <n v="520.47"/>
    <n v="113.2"/>
    <s v="Paid"/>
    <x v="0"/>
    <s v="Cancelled"/>
    <x v="1"/>
    <s v="ORD-2024-10828|11-24-2024|01-12-2024|CUST-5125|Priya Menon|Home Office|South|Tamil Nadu|Chennai|Office Supplies|Paper|Basic Paper 707|Same Day|1|844.89|0.25|633.67|520.47|113.2|Paid|Cancelled"/>
    <s v="Keep"/>
    <n v="1"/>
    <s v="Unique"/>
    <s v=""/>
    <n v="0.25"/>
    <n v="633.66750000000002"/>
    <n v="113.19749999999999"/>
    <n v="0.17863863934950111"/>
    <n v="11"/>
    <n v="2024"/>
    <b v="0"/>
    <b v="0"/>
    <x v="1"/>
    <s v="Cancelled order excluded"/>
    <s v="Warning"/>
  </r>
  <r>
    <s v="ORD-2025-10829"/>
    <s v="10/10/2025"/>
    <x v="11"/>
    <d v="2025-10-10T00:00:00"/>
    <s v="11-10-2025"/>
    <d v="2025-10-11T00:00:00"/>
    <s v="OK"/>
    <n v="1"/>
    <s v="CUST-6010"/>
    <s v="Karan Malhotra "/>
    <s v="Karan Malhotra"/>
    <s v="Corporate"/>
    <x v="2"/>
    <s v="East"/>
    <x v="1"/>
    <s v="Odisha"/>
    <s v="Odisha"/>
    <s v="Bhubaneswar"/>
    <s v="Bhubaneswar"/>
    <s v="Furniture"/>
    <x v="1"/>
    <s v="Chairs"/>
    <x v="4"/>
    <s v="Elite Chairs 979"/>
    <s v="Second Class"/>
    <x v="0"/>
    <n v="7"/>
    <n v="3791.96"/>
    <n v="0.05"/>
    <n v="25216.53"/>
    <n v="14216.94"/>
    <n v="10999.59"/>
    <s v="Failed"/>
    <x v="3"/>
    <s v="Cancelled"/>
    <x v="1"/>
    <s v="ORD-2025-10829|10-10-2025|11-10-2025|CUST-6010|Karan Malhotra |Corporate|East|Odisha|Bhubaneswar|Furniture|Chairs|Elite Chairs 979|Second Class|7|3791.96|0.05|25216.53|14216.94|10999.59|Failed|Cancelled"/>
    <s v="Keep"/>
    <n v="1"/>
    <s v="Unique"/>
    <s v=""/>
    <n v="0.05"/>
    <n v="25216.534"/>
    <n v="10999.593999999999"/>
    <n v="0.4362056260388521"/>
    <n v="10"/>
    <n v="2025"/>
    <b v="0"/>
    <b v="0"/>
    <x v="1"/>
    <s v="Failed payment excluded; Cancelled order excluded"/>
    <s v="Warning"/>
  </r>
  <r>
    <s v="ORD-2024-10830"/>
    <s v="02/26/2024"/>
    <x v="17"/>
    <d v="2024-02-26T00:00:00"/>
    <s v="28-02-2024"/>
    <d v="2024-02-28T00:00:00"/>
    <s v="OK"/>
    <n v="2"/>
    <s v="CUST-9036"/>
    <s v="Aditi Sen"/>
    <s v="Aditi Sen"/>
    <s v="Small Business"/>
    <x v="1"/>
    <s v="West"/>
    <x v="3"/>
    <s v="Goa"/>
    <s v="Goa"/>
    <s v="Panaji"/>
    <s v="Panaji"/>
    <s v="Furniture"/>
    <x v="1"/>
    <s v="Furnishings"/>
    <x v="3"/>
    <s v="Pro Furnishings 192"/>
    <s v="Second Class"/>
    <x v="0"/>
    <n v="7"/>
    <n v="1035.1400000000001"/>
    <n v="0.1"/>
    <n v="6521.38"/>
    <n v="4511.1000000000004"/>
    <n v="2010.28"/>
    <s v="Paid"/>
    <x v="0"/>
    <s v="Completed"/>
    <x v="0"/>
    <s v="ORD-2024-10830|02-26-2024|28-02-2024|CUST-9036|Aditi Sen|Small Business|West|Goa|Panaji|Furniture|Furnishings|Pro Furnishings 192|Second Class|7|1035.14|0.1|6521.38|4511.1|2010.28|Paid|Completed"/>
    <s v="Keep"/>
    <n v="1"/>
    <s v="Unique"/>
    <s v=""/>
    <n v="0.1"/>
    <n v="6521.3820000000005"/>
    <n v="2010.2820000000002"/>
    <n v="0.30826012032418892"/>
    <n v="2"/>
    <n v="2024"/>
    <b v="0"/>
    <b v="0"/>
    <x v="0"/>
    <s v=""/>
    <s v="Clean"/>
  </r>
  <r>
    <s v="ORD-2025-10831"/>
    <s v="15 Jul 2025"/>
    <x v="13"/>
    <d v="2025-07-15T00:00:00"/>
    <s v="18-07-2025"/>
    <d v="2025-07-18T00:00:00"/>
    <s v="OK"/>
    <n v="3"/>
    <s v="CUST-7929"/>
    <s v="Aditi Sen"/>
    <s v="Aditi Sen"/>
    <s v="Small Business"/>
    <x v="1"/>
    <m/>
    <x v="4"/>
    <s v="Tamil Nadu"/>
    <s v="Tamil Nadu"/>
    <s v="Chennai"/>
    <s v="Chennai"/>
    <s v="Technology"/>
    <x v="2"/>
    <s v="Machines"/>
    <x v="12"/>
    <s v="Smart Machines 951"/>
    <s v="First Class"/>
    <x v="2"/>
    <n v="6"/>
    <n v="2382.88"/>
    <n v="0.1"/>
    <n v="12867.55"/>
    <n v="10068.94"/>
    <n v="2798.61"/>
    <s v="Paid"/>
    <x v="0"/>
    <s v="Completed"/>
    <x v="0"/>
    <s v="ORD-2025-10831|07-15-2025|18-07-2025|CUST-7929|Aditi Sen|Small Business||Tamil Nadu|Chennai|Technology|Machines|Smart Machines 951|First Class|6|2382.88|0.1|12867.55|10068.94|2798.61|Paid|Completed"/>
    <s v="Keep"/>
    <n v="1"/>
    <s v="Unique"/>
    <s v=""/>
    <n v="0.1"/>
    <n v="12867.552000000001"/>
    <n v="2798.612000000001"/>
    <n v="0.21749373929089236"/>
    <n v="7"/>
    <n v="2025"/>
    <b v="0"/>
    <b v="0"/>
    <x v="0"/>
    <s v="Missing region filled as Unknown"/>
    <s v="Warning"/>
  </r>
  <r>
    <s v="ORD-2025-10832"/>
    <s v="04/03/2025"/>
    <x v="6"/>
    <d v="2025-04-03T00:00:00"/>
    <s v="03-04-2025"/>
    <d v="2025-04-03T00:00:00"/>
    <s v="OK"/>
    <n v="0"/>
    <s v="CUST-1106"/>
    <s v="Diya Patel"/>
    <s v="Diya Patel"/>
    <s v="Home Office"/>
    <x v="3"/>
    <m/>
    <x v="4"/>
    <s v="Haryana"/>
    <s v="Haryana"/>
    <s v="Gurugram"/>
    <s v="Gurugram"/>
    <s v="Furniture"/>
    <x v="1"/>
    <s v="Chairs"/>
    <x v="4"/>
    <s v="Smart Chairs 794"/>
    <s v="First Class"/>
    <x v="2"/>
    <n v="9"/>
    <n v="3462.7"/>
    <n v="0.15"/>
    <n v="26489.65"/>
    <n v="15818.46"/>
    <n v="10671.19"/>
    <s v="Failed"/>
    <x v="3"/>
    <s v="Returned"/>
    <x v="2"/>
    <s v="ORD-2025-10832|04-03-2025|03-04-2025|CUST-1106|Diya Patel|Home Office||Haryana|Gurugram|Furniture|Chairs|Smart Chairs 794|First Class|9|3462.7|0.15|26489.65|15818.46|10671.19|Failed|Returned"/>
    <s v="Keep"/>
    <n v="1"/>
    <s v="Unique"/>
    <s v=""/>
    <n v="0.15"/>
    <n v="26489.654999999999"/>
    <n v="10671.195"/>
    <n v="0.40284386489744772"/>
    <n v="4"/>
    <n v="2025"/>
    <b v="0"/>
    <b v="0"/>
    <x v="1"/>
    <s v="Missing region filled as Unknown; Failed payment excluded; Returned order excluded"/>
    <s v="Warning"/>
  </r>
  <r>
    <s v="ORD-2025-10833"/>
    <s v="26 May 2025"/>
    <x v="9"/>
    <d v="2025-05-26T00:00:00"/>
    <s v="28-05-2025"/>
    <d v="2025-05-28T00:00:00"/>
    <s v="OK"/>
    <n v="2"/>
    <s v="CUST-9557"/>
    <s v="Kabir Singh"/>
    <s v="Kabir Singh"/>
    <s v="Small Business"/>
    <x v="1"/>
    <s v="South"/>
    <x v="2"/>
    <s v="Andhra Pradesh"/>
    <s v="Andhra Pradesh"/>
    <s v="Vijayawada"/>
    <s v="Vijayawada"/>
    <s v="Technology"/>
    <x v="2"/>
    <s v="Phones"/>
    <x v="11"/>
    <s v="Max Phones 919"/>
    <s v="Second Class"/>
    <x v="0"/>
    <n v="9"/>
    <n v="4302.0200000000004"/>
    <n v="0.05"/>
    <n v="36782.269999999997"/>
    <n v="25902.81"/>
    <n v="10879.46"/>
    <s v="Paid"/>
    <x v="0"/>
    <s v="Completed"/>
    <x v="0"/>
    <s v="ORD-2025-10833|05-26-2025|28-05-2025|CUST-9557|Kabir Singh|Small Business|South|Andhra Pradesh|Vijayawada|Technology|Phones|Max Phones 919|Second Class|9|4302.02|0.05|36782.27|25902.81|10879.46|Paid|Completed"/>
    <s v="Keep"/>
    <n v="1"/>
    <s v="Unique"/>
    <s v=""/>
    <n v="0.05"/>
    <n v="36782.271000000008"/>
    <n v="10879.461000000007"/>
    <n v="0.29578002402298664"/>
    <n v="5"/>
    <n v="2025"/>
    <b v="0"/>
    <b v="0"/>
    <x v="0"/>
    <s v=""/>
    <s v="Clean"/>
  </r>
  <r>
    <s v="ORD-2024-10834"/>
    <s v="2024-06-04"/>
    <x v="2"/>
    <d v="2024-06-04T00:00:00"/>
    <s v="06/04/2024"/>
    <d v="2024-06-04T00:00:00"/>
    <s v="OK"/>
    <n v="0"/>
    <s v="CUST-2689"/>
    <s v="Rahul Verma"/>
    <s v="Rahul Verma"/>
    <s v="Home Office"/>
    <x v="3"/>
    <s v="East"/>
    <x v="1"/>
    <s v="West Bengal"/>
    <s v="West Bengal"/>
    <s v="Kolkata"/>
    <s v="Kolkata"/>
    <s v="Furniture"/>
    <x v="1"/>
    <s v="Bookcases"/>
    <x v="10"/>
    <s v="Basic Bookcases 499"/>
    <s v="First Class"/>
    <x v="2"/>
    <n v="6"/>
    <n v="3949.4"/>
    <n v="0"/>
    <n v="23696.400000000001"/>
    <n v="18109.77"/>
    <n v="5586.63"/>
    <s v="Paid"/>
    <x v="0"/>
    <s v="Completed"/>
    <x v="0"/>
    <s v="ORD-2024-10834|06-04-2024|06-04-2024|CUST-2689|Rahul Verma|Home Office|East|West Bengal|Kolkata|Furniture|Bookcases|Basic Bookcases 499|First Class|6|3949.4|0|23696.4|18109.77|5586.63|Paid|Completed"/>
    <s v="Keep"/>
    <n v="1"/>
    <s v="Unique"/>
    <s v=""/>
    <n v="0"/>
    <n v="23696.400000000001"/>
    <n v="5586.630000000001"/>
    <n v="0.23575859624246723"/>
    <n v="6"/>
    <n v="2024"/>
    <b v="0"/>
    <b v="0"/>
    <x v="0"/>
    <s v=""/>
    <s v="Clean"/>
  </r>
  <r>
    <s v="ORD-2024-10835"/>
    <s v="18-10-2024"/>
    <x v="16"/>
    <d v="2024-10-18T00:00:00"/>
    <s v="2024-10-22"/>
    <d v="2024-10-22T00:00:00"/>
    <s v="OK"/>
    <n v="4"/>
    <s v="CUST-2879"/>
    <s v="Aarav Sharma"/>
    <s v="Aarav Sharma"/>
    <s v="Home Office"/>
    <x v="3"/>
    <s v="South"/>
    <x v="2"/>
    <s v="Telangana"/>
    <s v="Telangana"/>
    <s v="Hyderabad"/>
    <s v="Hyderabad"/>
    <s v="Office Supplies"/>
    <x v="0"/>
    <s v="Art"/>
    <x v="2"/>
    <s v="Basic Art 143"/>
    <s v="First Class"/>
    <x v="2"/>
    <n v="6"/>
    <n v="674.61"/>
    <n v="0"/>
    <n v="4047.66"/>
    <n v="3078.93"/>
    <n v="1279.79"/>
    <s v="Paid"/>
    <x v="0"/>
    <s v="Completed"/>
    <x v="0"/>
    <s v="ORD-2024-10835|18-10-2024|10-22-2024|CUST-2879|Aarav Sharma|Home Office|South|Telangana|Hyderabad|Office Supplies|Art|Basic Art 143|First Class|6|674.61|0|4047.66|3078.93|1279.79|Paid|Completed"/>
    <s v="Keep"/>
    <n v="1"/>
    <s v="Unique"/>
    <s v=""/>
    <n v="0"/>
    <n v="4047.66"/>
    <n v="968.73"/>
    <n v="0.23933087265234729"/>
    <n v="10"/>
    <n v="2024"/>
    <b v="0"/>
    <b v="1"/>
    <x v="1"/>
    <s v="Profit mismatch"/>
    <s v="Invalid"/>
  </r>
  <r>
    <s v="ORD-2025-10836"/>
    <s v="09/26/2025"/>
    <x v="8"/>
    <d v="2025-09-26T00:00:00"/>
    <s v="04-10-2025"/>
    <d v="2025-10-04T00:00:00"/>
    <s v="OK"/>
    <n v="8"/>
    <s v="CUST-5150"/>
    <s v="Priya Menon"/>
    <s v="Priya Menon"/>
    <s v="Small Business"/>
    <x v="1"/>
    <s v="East"/>
    <x v="1"/>
    <s v="Assam"/>
    <s v="Assam"/>
    <s v="Guwahati"/>
    <s v="Guwahati"/>
    <s v="Technology"/>
    <x v="2"/>
    <s v="Phones"/>
    <x v="11"/>
    <s v="Prime Phones 338"/>
    <s v="Second Class"/>
    <x v="0"/>
    <n v="7"/>
    <n v="1509.59"/>
    <n v="0.05"/>
    <n v="10038.77"/>
    <n v="5673.1"/>
    <n v="4365.67"/>
    <s v="Paid"/>
    <x v="0"/>
    <s v="Completed"/>
    <x v="0"/>
    <s v="ORD-2025-10836|09-26-2025|04-10-2025|CUST-5150|Priya Menon|Small Business|East|Assam|Guwahati|Technology|Phones|Prime Phones 338|Second Class|7|1509.59|0.05|10038.77|5673.1|4365.67|Paid|Completed"/>
    <s v="Keep"/>
    <n v="1"/>
    <s v="Unique"/>
    <s v=""/>
    <n v="0.05"/>
    <n v="10038.773499999999"/>
    <n v="4365.673499999999"/>
    <n v="0.43488116352062323"/>
    <n v="9"/>
    <n v="2025"/>
    <b v="0"/>
    <b v="0"/>
    <x v="0"/>
    <s v=""/>
    <s v="Clean"/>
  </r>
  <r>
    <s v="ORD-2024-10837"/>
    <s v="2024-12-15"/>
    <x v="10"/>
    <d v="2024-12-15T00:00:00"/>
    <s v="2024-12-18"/>
    <d v="2024-12-18T00:00:00"/>
    <s v="OK"/>
    <n v="3"/>
    <s v="CUST-9776"/>
    <s v="Isha Nair"/>
    <s v="Isha Nair"/>
    <s v="Small Business"/>
    <x v="1"/>
    <s v="North"/>
    <x v="0"/>
    <s v="Rajasthan"/>
    <s v="Rajasthan"/>
    <s v="Jaipur"/>
    <s v="Jaipur"/>
    <s v="Office Supplies"/>
    <x v="0"/>
    <s v="Labels"/>
    <x v="7"/>
    <s v="Smart Labels 814"/>
    <s v="Second Class"/>
    <x v="0"/>
    <n v="2"/>
    <n v="537.11"/>
    <n v="0"/>
    <n v="1074.22"/>
    <n v="850.86"/>
    <n v="223.36"/>
    <s v="Paid"/>
    <x v="0"/>
    <s v="Completed"/>
    <x v="0"/>
    <s v="ORD-2024-10837|12-15-2024|12-18-2024|CUST-9776|Isha Nair|Small Business|North|Rajasthan|Jaipur|Office Supplies|Labels|Smart Labels 814|Second Class|2|537.11|0|1074.22|850.86|223.36|Paid|Completed"/>
    <s v="Keep"/>
    <n v="1"/>
    <s v="Unique"/>
    <s v=""/>
    <n v="0"/>
    <n v="1074.22"/>
    <n v="223.36"/>
    <n v="0.20792761259332354"/>
    <n v="12"/>
    <n v="2024"/>
    <b v="0"/>
    <b v="0"/>
    <x v="0"/>
    <s v=""/>
    <s v="Clean"/>
  </r>
  <r>
    <s v="ORD-2025-10838"/>
    <s v="2025-09-27"/>
    <x v="8"/>
    <d v="2025-09-27T00:00:00"/>
    <s v="09/28/2025"/>
    <d v="2025-09-28T00:00:00"/>
    <s v="OK"/>
    <n v="1"/>
    <s v="CUST-2551"/>
    <s v="Karan Malhotra"/>
    <s v="Karan Malhotra"/>
    <s v="Home Office"/>
    <x v="3"/>
    <s v="West"/>
    <x v="3"/>
    <s v="Maharashtra"/>
    <s v="Maharashtra"/>
    <s v="Mumbai"/>
    <s v="Mumbai"/>
    <s v="Office Supplies"/>
    <x v="0"/>
    <s v="Paper"/>
    <x v="0"/>
    <s v="Prime Paper 812"/>
    <s v="First Class"/>
    <x v="2"/>
    <n v="3"/>
    <n v="4177.63"/>
    <n v="0.25"/>
    <n v="9399.67"/>
    <n v="6540.37"/>
    <n v="2859.3"/>
    <s v="Paid"/>
    <x v="0"/>
    <s v="Completed"/>
    <x v="0"/>
    <s v="ORD-2025-10838|09-27-2025|09-28-2025|CUST-2551|Karan Malhotra|Home Office|West|Maharashtra|Mumbai|Office Supplies|Paper|Prime Paper 812|First Class|3|4177.63|0.25|9399.67|6540.37|2859.3|Paid|Completed"/>
    <s v="Keep"/>
    <n v="1"/>
    <s v="Unique"/>
    <s v=""/>
    <n v="0.25"/>
    <n v="9399.6674999999996"/>
    <n v="2859.2974999999997"/>
    <n v="0.30419134506619516"/>
    <n v="9"/>
    <n v="2025"/>
    <b v="0"/>
    <b v="0"/>
    <x v="0"/>
    <s v=""/>
    <s v="Clean"/>
  </r>
  <r>
    <s v="ORD-2025-10839"/>
    <s v="04/03/2025"/>
    <x v="6"/>
    <d v="2025-04-03T00:00:00"/>
    <s v="07 Apr 2025"/>
    <d v="2025-04-07T00:00:00"/>
    <s v="OK"/>
    <n v="4"/>
    <s v="CUST-4708"/>
    <s v="Ananya Rao"/>
    <s v="Ananya Rao"/>
    <s v="Small Business"/>
    <x v="1"/>
    <s v="West"/>
    <x v="3"/>
    <s v="Goa"/>
    <s v="Goa"/>
    <s v="Panaji"/>
    <s v="Panaji"/>
    <s v="Office Supplies"/>
    <x v="0"/>
    <s v="Paper"/>
    <x v="0"/>
    <s v="Pro Paper 355"/>
    <s v="Same Day"/>
    <x v="1"/>
    <n v="1"/>
    <n v="1470.57"/>
    <n v="0"/>
    <n v="1470.57"/>
    <n v="834.02"/>
    <n v="636.54999999999995"/>
    <s v="Paid"/>
    <x v="0"/>
    <s v="Returned"/>
    <x v="2"/>
    <s v="ORD-2025-10839|04-03-2025|04-07-2025|CUST-4708|Ananya Rao|Small Business|West|Goa|Panaji|Office Supplies|Paper|Pro Paper 355|Same Day|1|1470.57|0|1470.57|834.02|636.55|Paid|Returned"/>
    <s v="Keep"/>
    <n v="1"/>
    <s v="Unique"/>
    <s v=""/>
    <n v="0"/>
    <n v="1470.57"/>
    <n v="636.54999999999995"/>
    <n v="0.43285936745615644"/>
    <n v="4"/>
    <n v="2025"/>
    <b v="0"/>
    <b v="0"/>
    <x v="1"/>
    <s v="Returned order excluded"/>
    <s v="Warning"/>
  </r>
  <r>
    <s v="ORD-2024-10840"/>
    <s v="09/20/2024"/>
    <x v="21"/>
    <d v="2024-09-20T00:00:00"/>
    <s v="22-09-2024"/>
    <d v="2024-09-22T00:00:00"/>
    <s v="OK"/>
    <n v="2"/>
    <s v="CUST-8206"/>
    <s v="Rohan Mehta"/>
    <s v="Rohan Mehta"/>
    <s v="Home Office"/>
    <x v="3"/>
    <s v="East"/>
    <x v="1"/>
    <s v="Odisha"/>
    <s v="Odisha"/>
    <s v="Bhubaneswar"/>
    <s v="Bhubaneswar"/>
    <s v="Technology"/>
    <x v="2"/>
    <s v="Phones"/>
    <x v="11"/>
    <s v="Basic Phones 398"/>
    <s v="Standard Class"/>
    <x v="3"/>
    <n v="8"/>
    <n v="531.42999999999995"/>
    <n v="0.1"/>
    <n v="3826.3"/>
    <n v="2194.12"/>
    <n v="1632.18"/>
    <s v="Paid"/>
    <x v="0"/>
    <s v="Completed"/>
    <x v="0"/>
    <s v="ORD-2024-10840|09-20-2024|22-09-2024|CUST-8206|Rohan Mehta|Home Office|East|Odisha|Bhubaneswar|Technology|Phones|Basic Phones 398|Standard Class|8|531.43|0.1|3826.3|2194.12|1632.18|Paid|Completed"/>
    <s v="Keep"/>
    <n v="1"/>
    <s v="Unique"/>
    <s v=""/>
    <n v="0.1"/>
    <n v="3826.2959999999998"/>
    <n v="1632.1759999999999"/>
    <n v="0.42656814841298218"/>
    <n v="9"/>
    <n v="2024"/>
    <b v="0"/>
    <b v="0"/>
    <x v="0"/>
    <s v=""/>
    <s v="Clean"/>
  </r>
  <r>
    <s v="ORD-2025-10841"/>
    <s v="2025-09-19"/>
    <x v="8"/>
    <d v="2025-09-19T00:00:00"/>
    <s v="19-09-2025"/>
    <d v="2025-09-19T00:00:00"/>
    <s v="OK"/>
    <n v="0"/>
    <s v="CUST-1297"/>
    <s v="Neha Gupta"/>
    <s v="Neha Gupta"/>
    <s v="Home Office"/>
    <x v="3"/>
    <s v="North"/>
    <x v="0"/>
    <s v="Delhi"/>
    <s v="Delhi"/>
    <s v="New Delhi"/>
    <s v="New Delhi"/>
    <s v="Furniture"/>
    <x v="1"/>
    <s v="Chairs"/>
    <x v="4"/>
    <s v="Classic Chairs 204"/>
    <s v="Same Day"/>
    <x v="1"/>
    <n v="4"/>
    <n v="1584.11"/>
    <n v="0"/>
    <n v="6336.44"/>
    <n v="4680.68"/>
    <n v="1655.76"/>
    <s v="Paid"/>
    <x v="0"/>
    <s v="Completed"/>
    <x v="0"/>
    <s v="ORD-2025-10841|09-19-2025|19-09-2025|CUST-1297|Neha Gupta|Home Office|North|Delhi|New Delhi|Furniture|Chairs|Classic Chairs 204|Same Day|4|1584.11|0|6336.44|4680.68|1655.76|Paid|Completed"/>
    <s v="Keep"/>
    <n v="1"/>
    <s v="Unique"/>
    <s v=""/>
    <n v="0"/>
    <n v="6336.44"/>
    <n v="1655.7599999999993"/>
    <n v="0.26130761121386764"/>
    <n v="9"/>
    <n v="2025"/>
    <b v="0"/>
    <b v="0"/>
    <x v="0"/>
    <s v=""/>
    <s v="Clean"/>
  </r>
  <r>
    <s v="ORD-2025-10842"/>
    <s v="2025-02-06"/>
    <x v="7"/>
    <d v="2025-02-06T00:00:00"/>
    <s v="12 Feb 2025"/>
    <d v="2025-02-12T00:00:00"/>
    <s v="OK"/>
    <n v="6"/>
    <s v="CUST-7558"/>
    <s v="Ananya Rao"/>
    <s v="Ananya Rao"/>
    <s v="Small Business"/>
    <x v="1"/>
    <s v="East"/>
    <x v="1"/>
    <s v="Bihar"/>
    <s v="Bihar"/>
    <s v="Patna"/>
    <s v="Patna"/>
    <s v="Office Supplies"/>
    <x v="0"/>
    <s v="Art"/>
    <x v="2"/>
    <s v="Max Art 339"/>
    <s v="Standard Class"/>
    <x v="3"/>
    <n v="9"/>
    <n v="3237.16"/>
    <n v="0.25"/>
    <n v="21850.83"/>
    <n v="16600.13"/>
    <n v="5250.7"/>
    <s v="Paid"/>
    <x v="0"/>
    <s v="Completed"/>
    <x v="0"/>
    <s v="ORD-2025-10842|02-06-2025|02-12-2025|CUST-7558|Ananya Rao|Small Business|East|Bihar|Patna|Office Supplies|Art|Max Art 339|Standard Class|9|3237.16|0.25|21850.83|16600.13|5250.7|Paid|Completed"/>
    <s v="Keep"/>
    <n v="1"/>
    <s v="Unique"/>
    <s v=""/>
    <n v="0.25"/>
    <n v="21850.829999999998"/>
    <n v="5250.6999999999971"/>
    <n v="0.2402975081495759"/>
    <n v="2"/>
    <n v="2025"/>
    <b v="0"/>
    <b v="0"/>
    <x v="0"/>
    <s v=""/>
    <s v="Clean"/>
  </r>
  <r>
    <s v="ORD-2024-10843"/>
    <s v="31-03-2024"/>
    <x v="15"/>
    <d v="2024-03-31T00:00:00"/>
    <s v="03/30/2024"/>
    <d v="2024-03-30T00:00:00"/>
    <s v="Ship date before order date"/>
    <n v="-1"/>
    <s v="CUST-1798"/>
    <s v="Kabir Singh"/>
    <s v="Kabir Singh"/>
    <s v="Consumer"/>
    <x v="0"/>
    <s v="North"/>
    <x v="0"/>
    <s v="Haryana"/>
    <s v="Haryana"/>
    <s v="Gurugram"/>
    <s v="Gurugram"/>
    <s v="Technology"/>
    <x v="2"/>
    <s v="Machines"/>
    <x v="12"/>
    <s v="Smart Machines 581"/>
    <s v="First Class"/>
    <x v="2"/>
    <n v="4"/>
    <n v="2192.08"/>
    <n v="0.15"/>
    <n v="7453.07"/>
    <n v="5133.78"/>
    <n v="2319.29"/>
    <s v="Paid"/>
    <x v="0"/>
    <s v="Returned"/>
    <x v="2"/>
    <s v="ORD-2024-10843|31-03-2024|03-30-2024|CUST-1798|kabir singh|Consumer|North|Haryana|Gurugram|Technology|Machines|Smart Machines 581|First Class|4|2192.08|0.15|7453.07|5133.78|2319.29|Paid|Returned"/>
    <s v="Keep"/>
    <n v="1"/>
    <s v="Unique"/>
    <s v=""/>
    <n v="0.15"/>
    <n v="7453.0719999999992"/>
    <n v="2319.2919999999995"/>
    <n v="0.31118604516365866"/>
    <n v="3"/>
    <n v="2024"/>
    <b v="0"/>
    <b v="0"/>
    <x v="1"/>
    <s v="Ship date before order date; Returned order excluded"/>
    <s v="Invalid"/>
  </r>
  <r>
    <s v="ORD-2025-10844"/>
    <s v="18 Jul 2025"/>
    <x v="13"/>
    <d v="2025-07-18T00:00:00"/>
    <s v="25 Jul 2025"/>
    <d v="2025-07-25T00:00:00"/>
    <s v="OK"/>
    <n v="7"/>
    <s v="CUST-7333"/>
    <s v="Priya Menon"/>
    <s v="Priya Menon"/>
    <s v="Small Business"/>
    <x v="1"/>
    <s v="North"/>
    <x v="0"/>
    <s v="Uttar Pradesh"/>
    <s v="Uttar Pradesh"/>
    <s v="Noida"/>
    <s v="Noida"/>
    <s v="Technology"/>
    <x v="2"/>
    <s v="Phones"/>
    <x v="11"/>
    <s v="Prime Phones 482"/>
    <s v="First Class"/>
    <x v="2"/>
    <n v="9"/>
    <n v="3989.52"/>
    <n v="-0.02"/>
    <n v="35905.68"/>
    <n v="23916.1"/>
    <n v="11989.58"/>
    <s v="Paid"/>
    <x v="0"/>
    <s v="Completed"/>
    <x v="0"/>
    <s v="ORD-2025-10844|07-18-2025|07-25-2025|CUST-7333|Priya Menon|Small Business|North|Uttar Pradesh|Noida|Technology|Phones|Prime Phones 482|First Class|9|3989.52|-0.02|35905.68|23916.1|11989.58|Paid|Completed"/>
    <s v="Keep"/>
    <n v="1"/>
    <s v="Unique"/>
    <s v=""/>
    <n v="-0.02"/>
    <n v="36623.793600000005"/>
    <n v="12707.693600000006"/>
    <n v="0.34697917257812433"/>
    <n v="7"/>
    <n v="2025"/>
    <b v="1"/>
    <b v="1"/>
    <x v="1"/>
    <s v="Negative discount; Sales mismatch; Profit mismatch"/>
    <s v="Invalid"/>
  </r>
  <r>
    <s v="ORD-2025-10845"/>
    <s v="20-01-2025"/>
    <x v="14"/>
    <d v="2025-01-20T00:00:00"/>
    <s v="25-01-2025"/>
    <d v="2025-01-25T00:00:00"/>
    <s v="OK"/>
    <n v="5"/>
    <s v="CUST-2086"/>
    <s v="Aditi Sen"/>
    <s v="Aditi Sen"/>
    <s v="Home Office"/>
    <x v="3"/>
    <s v="West"/>
    <x v="3"/>
    <s v="Goa"/>
    <s v="Goa"/>
    <s v="Panaji"/>
    <s v="Panaji"/>
    <s v="Office Supplies"/>
    <x v="0"/>
    <s v="Art"/>
    <x v="2"/>
    <s v="Pro Art 588"/>
    <s v="First Class"/>
    <x v="2"/>
    <n v="1"/>
    <n v="3515.15"/>
    <n v="0"/>
    <n v="3515.15"/>
    <n v="2216.34"/>
    <n v="1298.81"/>
    <s v="Paid"/>
    <x v="0"/>
    <s v="Completed"/>
    <x v="0"/>
    <s v="ORD-2025-10845|20-01-2025|25-01-2025|CUST-2086|Aditi Sen|Home Office|West|Goa|Panaji|Office Supplies|Art|Pro Art 588|First Class|1|3515.15|0|3515.15|2216.34|1298.81|Paid|Completed"/>
    <s v="Keep"/>
    <n v="1"/>
    <s v="Unique"/>
    <s v=""/>
    <n v="0"/>
    <n v="3515.15"/>
    <n v="1298.81"/>
    <n v="0.36948921098672882"/>
    <n v="1"/>
    <n v="2025"/>
    <b v="0"/>
    <b v="0"/>
    <x v="0"/>
    <s v=""/>
    <s v="Clean"/>
  </r>
  <r>
    <s v="ORD-2024-10846"/>
    <s v="23-02-2024"/>
    <x v="17"/>
    <d v="2024-02-23T00:00:00"/>
    <s v="27 Feb 2024"/>
    <d v="2024-02-27T00:00:00"/>
    <s v="OK"/>
    <n v="4"/>
    <s v="CUST-2367"/>
    <s v="Karan Malhotra"/>
    <s v="Karan Malhotra"/>
    <s v="Consumer"/>
    <x v="0"/>
    <s v="East"/>
    <x v="1"/>
    <s v="Odisha"/>
    <s v="Odisha"/>
    <s v="Bhubaneswar"/>
    <s v="Bhubaneswar"/>
    <s v="Furniture"/>
    <x v="1"/>
    <s v="Tables"/>
    <x v="1"/>
    <s v="Eco Tables 792"/>
    <s v="First Class"/>
    <x v="2"/>
    <n v="9"/>
    <n v="3616.23"/>
    <n v="0.25"/>
    <n v="24409.55"/>
    <n v="17157.580000000002"/>
    <n v="7251.97"/>
    <s v="Pending"/>
    <x v="2"/>
    <s v="Returned"/>
    <x v="2"/>
    <s v="ORD-2024-10846|23-02-2024|02-27-2024|CUST-2367|Karan Malhotra|Consumer|East|Odisha|Bhubaneswar|Furniture|Tables|Eco Tables 792|First Class|9|3616.23|0.25|24409.55|17157.58|7251.97|Pending|Returned"/>
    <s v="Keep"/>
    <n v="1"/>
    <s v="Unique"/>
    <s v=""/>
    <n v="0.25"/>
    <n v="24409.552499999998"/>
    <n v="7251.9724999999962"/>
    <n v="0.29709567596538267"/>
    <n v="2"/>
    <n v="2024"/>
    <b v="0"/>
    <b v="0"/>
    <x v="1"/>
    <s v="Returned order excluded"/>
    <s v="Warning"/>
  </r>
  <r>
    <s v="ORD-2024-10847"/>
    <s v="2024-04-14"/>
    <x v="19"/>
    <d v="2024-04-14T00:00:00"/>
    <s v="2024-04-22"/>
    <d v="2024-04-22T00:00:00"/>
    <s v="OK"/>
    <n v="8"/>
    <s v="CUST-6522"/>
    <s v="Priya Menon"/>
    <s v="Priya Menon"/>
    <s v="Small Business"/>
    <x v="1"/>
    <s v="West"/>
    <x v="3"/>
    <s v="Gujarat"/>
    <s v="Gujarat"/>
    <s v="Ahmedabad"/>
    <s v="Ahmedabad"/>
    <s v="Furniture"/>
    <x v="1"/>
    <s v="Bookcases"/>
    <x v="10"/>
    <s v="Prime Bookcases 177"/>
    <s v="Standard Class"/>
    <x v="3"/>
    <n v="2"/>
    <n v="3977.52"/>
    <n v="0"/>
    <n v="7955.04"/>
    <n v="5580.68"/>
    <n v="2374.36"/>
    <s v="Pending"/>
    <x v="2"/>
    <s v="Returned"/>
    <x v="2"/>
    <s v="ORD-2024-10847|04-14-2024|04-22-2024|CUST-6522|Priya Menon|Small Business|West|Gujarat|Ahmedabad|Furniture|Bookcases|Prime Bookcases 177|Standard Class|2|3977.52|0|7955.04|5580.68|2374.36|Pending|Returned"/>
    <s v="Keep"/>
    <n v="1"/>
    <s v="Unique"/>
    <s v=""/>
    <n v="0"/>
    <n v="7955.04"/>
    <n v="2374.3599999999997"/>
    <n v="0.29847241497214339"/>
    <n v="4"/>
    <n v="2024"/>
    <b v="0"/>
    <b v="0"/>
    <x v="1"/>
    <s v="Returned order excluded"/>
    <s v="Warning"/>
  </r>
  <r>
    <s v="ORD-2025-10848"/>
    <s v="2025-05-20"/>
    <x v="9"/>
    <d v="2025-05-20T00:00:00"/>
    <s v="05/22/2025"/>
    <d v="2025-05-22T00:00:00"/>
    <s v="OK"/>
    <n v="2"/>
    <s v="CUST-8329"/>
    <s v="Diya Patel"/>
    <s v="Diya Patel"/>
    <s v="Home Office"/>
    <x v="3"/>
    <s v="East"/>
    <x v="1"/>
    <s v="Odisha"/>
    <s v="Odisha"/>
    <s v="Bhubaneswar"/>
    <s v="Bhubaneswar"/>
    <s v="Furniture"/>
    <x v="1"/>
    <s v="Tables"/>
    <x v="1"/>
    <s v="Pro Tables 828"/>
    <s v="Second Class"/>
    <x v="0"/>
    <n v="2"/>
    <n v="210.08"/>
    <n v="0.2"/>
    <n v="336.13"/>
    <n v="242.19"/>
    <n v="93.94"/>
    <s v="Paid"/>
    <x v="0"/>
    <s v="Completed"/>
    <x v="0"/>
    <s v="ORD-2025-10848|05-20-2025|05-22-2025|CUST-8329|Diya Patel|Home Office|East|Odisha|Bhubaneswar|Furniture|Tables|Pro Tables 828|Second Class|2|210.08|0.2|336.13|242.19|93.94|Paid|Completed"/>
    <s v="Keep"/>
    <n v="1"/>
    <s v="Unique"/>
    <s v=""/>
    <n v="0.2"/>
    <n v="336.12800000000004"/>
    <n v="93.938000000000045"/>
    <n v="0.27947091584158423"/>
    <n v="5"/>
    <n v="2025"/>
    <b v="0"/>
    <b v="0"/>
    <x v="0"/>
    <s v=""/>
    <s v="Clean"/>
  </r>
  <r>
    <s v="ORD-2025-10849"/>
    <s v="27-05-2025"/>
    <x v="9"/>
    <d v="2025-05-27T00:00:00"/>
    <s v="29 May 2025"/>
    <d v="2025-05-29T00:00:00"/>
    <s v="OK"/>
    <n v="2"/>
    <s v="CUST-4426"/>
    <s v="Rahul Verma"/>
    <s v="Rahul Verma"/>
    <s v="Home Office"/>
    <x v="3"/>
    <s v="South"/>
    <x v="2"/>
    <s v="Tamil Nadu"/>
    <s v="Tamil Nadu"/>
    <s v="Chennai"/>
    <s v="Chennai"/>
    <s v="Furniture"/>
    <x v="1"/>
    <s v="Furnishings"/>
    <x v="3"/>
    <s v="Elite Furnishings 480"/>
    <s v="Second Class"/>
    <x v="0"/>
    <n v="1"/>
    <n v="1744.35"/>
    <n v="0.25"/>
    <n v="1308.26"/>
    <n v="1083.56"/>
    <n v="224.7"/>
    <s v="Paid"/>
    <x v="0"/>
    <s v="Completed"/>
    <x v="0"/>
    <s v="ORD-2025-10849|27-05-2025|05-29-2025|CUST-4426|Rahul Verma|Home Office|South|Tamil Nadu|Chennai|Furniture|Furnishings|Elite Furnishings 480|Second Class|1|1744.35|0.25|1308.26|1083.56|224.7|Paid|Completed"/>
    <s v="Keep"/>
    <n v="1"/>
    <s v="Unique"/>
    <s v=""/>
    <n v="0.25"/>
    <n v="1308.2624999999998"/>
    <n v="224.70249999999987"/>
    <n v="0.17175643267310645"/>
    <n v="5"/>
    <n v="2025"/>
    <b v="0"/>
    <b v="0"/>
    <x v="0"/>
    <s v=""/>
    <s v="Clean"/>
  </r>
  <r>
    <s v="ORD-2024-10850"/>
    <s v="2024-03-06"/>
    <x v="15"/>
    <d v="2024-03-06T00:00:00"/>
    <s v="12-03-2024"/>
    <d v="2024-03-12T00:00:00"/>
    <s v="OK"/>
    <n v="6"/>
    <s v="CUST-3360"/>
    <s v="Isha Nair"/>
    <s v="Isha Nair"/>
    <s v="Home Office"/>
    <x v="3"/>
    <s v="West"/>
    <x v="3"/>
    <s v="Gujarat"/>
    <s v="Gujarat"/>
    <s v="Ahmedabad"/>
    <s v="Ahmedabad"/>
    <s v="Furniture"/>
    <x v="1"/>
    <s v="Bookcases"/>
    <x v="10"/>
    <s v="Prime Bookcases 755"/>
    <s v="Standard Class"/>
    <x v="3"/>
    <n v="3"/>
    <n v="679.63"/>
    <n v="0.2"/>
    <n v="1631.11"/>
    <n v="898.73"/>
    <n v="396.58"/>
    <s v="Paid"/>
    <x v="0"/>
    <s v="Completed "/>
    <x v="0"/>
    <s v="ORD-2024-10850|03-06-2024|12-03-2024|CUST-3360|Isha Nair|Home Office|West|Gujarat|Ahmedabad|Furniture|Bookcases|Prime Bookcases 755|Standard Class|3|679.63|0.2|1631.11|898.73|396.58|Paid|Completed "/>
    <s v="Keep"/>
    <n v="1"/>
    <s v="Unique"/>
    <s v=""/>
    <n v="0.2"/>
    <n v="1631.1120000000001"/>
    <n v="732.38200000000006"/>
    <n v="0.44900779345624336"/>
    <n v="3"/>
    <n v="2024"/>
    <b v="0"/>
    <b v="1"/>
    <x v="1"/>
    <s v="Profit mismatch"/>
    <s v="Invalid"/>
  </r>
  <r>
    <s v="ORD-2024-10851"/>
    <s v="30-06-2024"/>
    <x v="2"/>
    <d v="2024-06-30T00:00:00"/>
    <s v="2024-07-03"/>
    <d v="2024-07-03T00:00:00"/>
    <s v="OK"/>
    <n v="3"/>
    <s v="CUST-2623"/>
    <s v="Priya Menon"/>
    <s v="Priya Menon"/>
    <s v="Home Office"/>
    <x v="3"/>
    <s v="East"/>
    <x v="1"/>
    <s v="West Bengal"/>
    <s v="West Bengal"/>
    <s v="Kolkata"/>
    <s v="Kolkata"/>
    <s v="Office Supplies"/>
    <x v="0"/>
    <s v="Paper"/>
    <x v="0"/>
    <s v="Prime Paper 317"/>
    <s v="First Class"/>
    <x v="2"/>
    <n v="6"/>
    <n v="1211.01"/>
    <n v="0"/>
    <n v="7266.06"/>
    <n v="6216.89"/>
    <n v="1049.17"/>
    <s v="Paid"/>
    <x v="0"/>
    <s v="Completed"/>
    <x v="0"/>
    <s v="ORD-2024-10851|30-06-2024|07-03-2024|CUST-2623|Priya Menon|Home Office|East|West Bengal|Kolkata|Office Supplies|Paper|Prime Paper 317|First Class|6|1211.01|0|7266.06|6216.89|1049.17|Paid|Completed"/>
    <s v="Keep"/>
    <n v="1"/>
    <s v="Unique"/>
    <s v=""/>
    <n v="0"/>
    <n v="7266.0599999999995"/>
    <n v="1049.1699999999992"/>
    <n v="0.14439324750965438"/>
    <n v="6"/>
    <n v="2024"/>
    <b v="0"/>
    <b v="0"/>
    <x v="0"/>
    <s v=""/>
    <s v="Clean"/>
  </r>
  <r>
    <s v="ORD-2024-10852"/>
    <s v="2024-03-26"/>
    <x v="15"/>
    <d v="2024-03-26T00:00:00"/>
    <s v="01 Apr 2024"/>
    <d v="2024-04-01T00:00:00"/>
    <s v="OK"/>
    <n v="6"/>
    <s v="CUST-3175"/>
    <s v="Karan Malhotra"/>
    <s v="Karan Malhotra"/>
    <s v="Small Business"/>
    <x v="1"/>
    <s v="West"/>
    <x v="3"/>
    <s v="Gujarat"/>
    <s v="Gujarat"/>
    <s v="Ahmedabad"/>
    <s v="Ahmedabad"/>
    <s v="Technology"/>
    <x v="2"/>
    <s v="Accessories"/>
    <x v="5"/>
    <s v="Classic Accessories 933"/>
    <s v="First Class"/>
    <x v="2"/>
    <n v="2"/>
    <n v="1161.3"/>
    <n v="0.2"/>
    <n v="1858.08"/>
    <n v="1590.75"/>
    <n v="267.33"/>
    <s v="Paid"/>
    <x v="0"/>
    <s v="Completed"/>
    <x v="0"/>
    <s v="ORD-2024-10852|03-26-2024|04-01-2024|CUST-3175|Karan Malhotra|Small Business|West|Gujarat|Ahmedabad|Technology|Accessories|Classic Accessories 933|First Class|2|1161.3|0.2|1858.08|1590.75|267.33|Paid|Completed"/>
    <s v="Keep"/>
    <n v="1"/>
    <s v="Unique"/>
    <s v=""/>
    <n v="0.2"/>
    <n v="1858.08"/>
    <n v="267.32999999999993"/>
    <n v="0.14387432188065097"/>
    <n v="3"/>
    <n v="2024"/>
    <b v="0"/>
    <b v="0"/>
    <x v="0"/>
    <s v=""/>
    <s v="Clean"/>
  </r>
  <r>
    <s v="ORD-2024-10853"/>
    <s v="01-04-2024"/>
    <x v="19"/>
    <d v="2024-04-01T00:00:00"/>
    <s v="08-04-2024"/>
    <d v="2024-04-08T00:00:00"/>
    <s v="OK"/>
    <n v="7"/>
    <s v="CUST-9630"/>
    <s v="Ananya Rao"/>
    <s v="Ananya Rao"/>
    <s v="Consumer"/>
    <x v="0"/>
    <s v="East"/>
    <x v="1"/>
    <s v="Assam"/>
    <s v="Assam"/>
    <s v="Guwahati"/>
    <s v="Guwahati"/>
    <s v="Furniture"/>
    <x v="1"/>
    <s v="Tables"/>
    <x v="1"/>
    <s v="Smart Tables 513"/>
    <s v="Second Class"/>
    <x v="0"/>
    <n v="7"/>
    <n v="4205.3500000000004"/>
    <n v="0.15"/>
    <n v="25021.83"/>
    <n v="15544.44"/>
    <n v="9477.39"/>
    <s v="Pending"/>
    <x v="2"/>
    <s v="Cancelled"/>
    <x v="1"/>
    <s v="ORD-2024-10853|01-04-2024|08-04-2024|CUST-9630|Ananya Rao|Consumer|East|Assam|Guwahati|Furniture|Tables|Smart Tables 513|Second Class|7|4205.35|0.15|25021.83|15544.44|9477.39|Pending|Cancelled"/>
    <s v="Keep"/>
    <n v="1"/>
    <s v="Unique"/>
    <s v=""/>
    <n v="0.15"/>
    <n v="25021.832500000004"/>
    <n v="9477.3925000000036"/>
    <n v="0.37876492459135447"/>
    <n v="4"/>
    <n v="2024"/>
    <b v="0"/>
    <b v="0"/>
    <x v="1"/>
    <s v="Cancelled order excluded"/>
    <s v="Warning"/>
  </r>
  <r>
    <s v="ORD-2025-10854"/>
    <s v="2025-05-16"/>
    <x v="9"/>
    <d v="2025-05-16T00:00:00"/>
    <s v="05/22/2025"/>
    <d v="2025-05-22T00:00:00"/>
    <s v="OK"/>
    <n v="6"/>
    <s v="CUST-8274"/>
    <s v="Arjun Bose"/>
    <s v="Arjun Bose"/>
    <s v="Corporate"/>
    <x v="2"/>
    <s v="South"/>
    <x v="2"/>
    <s v="Tamil Nadu"/>
    <s v="Tamil Nadu"/>
    <s v="Chennai"/>
    <s v="Chennai"/>
    <s v="Technology"/>
    <x v="2"/>
    <s v="Accessories"/>
    <x v="5"/>
    <s v="Elite Accessories 708"/>
    <s v="Same Day"/>
    <x v="1"/>
    <n v="8"/>
    <n v="579.79999999999995"/>
    <n v="0.2"/>
    <n v="3710.72"/>
    <n v="3115.29"/>
    <n v="595.42999999999995"/>
    <s v="Paid"/>
    <x v="0"/>
    <s v="Completed"/>
    <x v="0"/>
    <s v="ORD-2025-10854|05-16-2025|05-22-2025|CUST-8274|Arjun Bose|Corporate|South|Tamil Nadu|Chennai|Technology|Accessories|Elite Accessories 708|Same Day|8|579.8|0.2|3710.72|3115.29|595.43|Paid|Completed"/>
    <s v="Keep"/>
    <n v="1"/>
    <s v="Unique"/>
    <s v=""/>
    <n v="0.2"/>
    <n v="3710.72"/>
    <n v="595.42999999999984"/>
    <n v="0.16046212055881334"/>
    <n v="5"/>
    <n v="2025"/>
    <b v="0"/>
    <b v="0"/>
    <x v="0"/>
    <s v=""/>
    <s v="Clean"/>
  </r>
  <r>
    <s v="ORD-2025-10855"/>
    <s v="03/25/2025"/>
    <x v="20"/>
    <d v="2025-03-25T00:00:00"/>
    <s v="04/02/2025"/>
    <d v="2025-04-02T00:00:00"/>
    <s v="OK"/>
    <n v="8"/>
    <s v="CUST-2514"/>
    <s v="Priya Menon"/>
    <s v="Priya Menon"/>
    <s v="Consumer"/>
    <x v="0"/>
    <s v="South"/>
    <x v="2"/>
    <s v="Karnataka"/>
    <s v="Karnataka"/>
    <s v="Bengaluru"/>
    <s v="Bengaluru"/>
    <s v="Furniture"/>
    <x v="1"/>
    <s v="Bookcases"/>
    <x v="10"/>
    <s v="Max Bookcases 381"/>
    <s v="Second Class"/>
    <x v="0"/>
    <n v="4"/>
    <n v="2233.64"/>
    <n v="0.05"/>
    <n v="8487.83"/>
    <n v="5245.72"/>
    <n v="3242.11"/>
    <s v="Paid"/>
    <x v="0"/>
    <s v="Completed"/>
    <x v="0"/>
    <s v="ORD-2025-10855|03-25-2025|04-02-2025|CUST-2514|Priya Menon|Consumer|South|Karnataka|Bengaluru|Furniture|Bookcases|Max Bookcases 381|Second Class|4|2233.64|0.05|8487.83|5245.72|3242.11|Paid|Completed"/>
    <s v="Keep"/>
    <n v="1"/>
    <s v="Unique"/>
    <s v=""/>
    <n v="0.05"/>
    <n v="8487.8319999999985"/>
    <n v="3242.1119999999983"/>
    <n v="0.38197174496384928"/>
    <n v="3"/>
    <n v="2025"/>
    <b v="0"/>
    <b v="0"/>
    <x v="0"/>
    <s v=""/>
    <s v="Clean"/>
  </r>
  <r>
    <s v="ORD-2024-10856"/>
    <s v="25-07-2024"/>
    <x v="0"/>
    <d v="2024-07-25T00:00:00"/>
    <s v="02 Aug 2024"/>
    <d v="2024-08-02T00:00:00"/>
    <s v="OK"/>
    <n v="8"/>
    <s v="CUST-2752"/>
    <s v="Rahul Verma"/>
    <s v="Rahul Verma"/>
    <s v="Consumer"/>
    <x v="0"/>
    <s v="North"/>
    <x v="0"/>
    <s v="Rajasthan"/>
    <s v="Rajasthan"/>
    <s v="Jaipur"/>
    <s v="Jaipur"/>
    <s v="Office Supplies"/>
    <x v="0"/>
    <s v="Labels"/>
    <x v="7"/>
    <s v="Classic Labels 215"/>
    <s v="Second Class"/>
    <x v="0"/>
    <n v="2"/>
    <n v="2073.5300000000002"/>
    <n v="0.25"/>
    <n v="3110.3"/>
    <n v="2101.0300000000002"/>
    <n v="1009.27"/>
    <s v="Paid"/>
    <x v="0"/>
    <s v="Completed"/>
    <x v="0"/>
    <s v="ORD-2024-10856|25-07-2024|08-02-2024|CUST-2752|Rahul Verma|Consumer|North|Rajasthan|Jaipur|Office Supplies|LABELS|Classic Labels 215|Second Class|2|2073.53|0.25|3110.3|2101.03|1009.27|Paid|Completed"/>
    <s v="Keep"/>
    <n v="1"/>
    <s v="Unique"/>
    <s v=""/>
    <n v="0.25"/>
    <n v="3110.2950000000001"/>
    <n v="1009.2649999999999"/>
    <n v="0.32449172827657824"/>
    <n v="7"/>
    <n v="2024"/>
    <b v="0"/>
    <b v="0"/>
    <x v="0"/>
    <s v=""/>
    <s v="Clean"/>
  </r>
  <r>
    <s v="ORD-2024-10857"/>
    <s v="2024-06-12"/>
    <x v="2"/>
    <d v="2024-06-12T00:00:00"/>
    <s v="19 Jun 2024"/>
    <d v="2024-06-19T00:00:00"/>
    <s v="OK"/>
    <n v="7"/>
    <s v="CUST-5647"/>
    <s v="Rohan Mehta"/>
    <s v="Rohan Mehta"/>
    <s v="Home Office"/>
    <x v="3"/>
    <s v="South"/>
    <x v="2"/>
    <s v="Tamil Nadu"/>
    <s v="Tamil Nadu"/>
    <s v="Chennai"/>
    <s v="Chennai"/>
    <s v="Office Supplies"/>
    <x v="0"/>
    <s v="Storage"/>
    <x v="8"/>
    <s v="Classic Storage 918"/>
    <s v="Standard Class"/>
    <x v="3"/>
    <n v="4"/>
    <n v="395.1"/>
    <n v="-0.16"/>
    <n v="1185.3"/>
    <n v="966.55"/>
    <n v="218.75"/>
    <s v="Failed"/>
    <x v="3"/>
    <s v="Cancelled"/>
    <x v="1"/>
    <s v="ORD-2024-10857|06-12-2024|06-19-2024|CUST-5647|Rohan Mehta|Home Office|South|Tamil Nadu|Chennai|Office Supplies|Storage|Classic Storage 918|Standard Class|4|395.1|-0.16|1185.3|966.55|218.75|Failed|Cancelled"/>
    <s v="Keep"/>
    <n v="1"/>
    <s v="Unique"/>
    <s v=""/>
    <n v="-0.16"/>
    <n v="1833.2639999999999"/>
    <n v="866.71399999999994"/>
    <n v="0.47277097024760206"/>
    <n v="6"/>
    <n v="2024"/>
    <b v="1"/>
    <b v="1"/>
    <x v="1"/>
    <s v="Negative discount; Failed payment excluded; Cancelled order excluded; Sales mismatch; Profit mismatch"/>
    <s v="Invalid"/>
  </r>
  <r>
    <s v="ORD-2024-10858"/>
    <s v="04 Jun 2024"/>
    <x v="2"/>
    <d v="2024-06-04T00:00:00"/>
    <s v="04-06-2024"/>
    <d v="2024-06-04T00:00:00"/>
    <s v="OK"/>
    <n v="0"/>
    <s v="CUST-8575"/>
    <s v="Sneha Kapoor"/>
    <s v="Sneha Kapoor"/>
    <s v="Home Office"/>
    <x v="3"/>
    <s v="South"/>
    <x v="2"/>
    <s v="Kerala"/>
    <s v="Kerala"/>
    <s v="Kochi"/>
    <s v="Kochi"/>
    <s v="Office Supplies"/>
    <x v="0"/>
    <s v="Storage"/>
    <x v="8"/>
    <s v="Max Storage 223"/>
    <s v="First Class"/>
    <x v="2"/>
    <n v="6"/>
    <n v="2708.97"/>
    <n v="0.25"/>
    <n v="12190.36"/>
    <n v="10176.99"/>
    <n v="2013.37"/>
    <s v="Paid"/>
    <x v="0"/>
    <s v="Completed"/>
    <x v="0"/>
    <s v="ORD-2024-10858|06-04-2024|04-06-2024|CUST-8575|Sneha Kapoor|Home Office|South|Kerala|Kochi|Office Supplies|Storage|Max Storage 223|First Class|6|2708.97|0.25|12190.36|10176.99|2013.37|Paid|Completed"/>
    <s v="Keep"/>
    <n v="1"/>
    <s v="Unique"/>
    <s v=""/>
    <n v="0.25"/>
    <n v="12190.365"/>
    <n v="2013.375"/>
    <n v="0.16516117441930575"/>
    <n v="6"/>
    <n v="2024"/>
    <b v="0"/>
    <b v="0"/>
    <x v="0"/>
    <s v=""/>
    <s v="Clean"/>
  </r>
  <r>
    <s v="ORD-2024-10859"/>
    <s v="05/02/2024"/>
    <x v="5"/>
    <d v="2024-05-02T00:00:00"/>
    <s v="09 May 2024"/>
    <d v="2024-05-09T00:00:00"/>
    <s v="OK"/>
    <n v="7"/>
    <s v="CUST-9576"/>
    <s v="Arjun Bose"/>
    <s v="Arjun Bose"/>
    <s v="Consumer"/>
    <x v="0"/>
    <s v="East"/>
    <x v="1"/>
    <s v="Odisha"/>
    <s v="Odisha"/>
    <s v="Bhubaneswar"/>
    <s v="Bhubaneswar"/>
    <s v="Technology"/>
    <x v="2"/>
    <s v="Accessories"/>
    <x v="5"/>
    <s v="Basic Accessories 602"/>
    <s v="Second Class"/>
    <x v="0"/>
    <n v="4"/>
    <n v="2904.86"/>
    <n v="0"/>
    <n v="11619.44"/>
    <n v="7184.32"/>
    <n v="4494.6400000000003"/>
    <s v="Paid"/>
    <x v="0"/>
    <s v="Completed"/>
    <x v="0"/>
    <s v="ORD-2024-10859|05-02-2024|05-09-2024|CUST-9576|Arjun Bose|Consumer|East|Odisha|Bhubaneswar|Technology|Accessories|Basic Accessories 602|Second Class|4|2904.86|0|11619.44|7184.32|4494.64|Paid|Completed"/>
    <s v="Keep"/>
    <n v="1"/>
    <s v="Unique"/>
    <s v=""/>
    <n v="0"/>
    <n v="11619.44"/>
    <n v="4435.1200000000008"/>
    <n v="0.3816982574031107"/>
    <n v="5"/>
    <n v="2024"/>
    <b v="0"/>
    <b v="1"/>
    <x v="1"/>
    <s v="Profit mismatch"/>
    <s v="Invalid"/>
  </r>
  <r>
    <s v="ORD-2024-10860"/>
    <s v="10/27/2024"/>
    <x v="16"/>
    <d v="2024-10-27T00:00:00"/>
    <s v="2024-11-01"/>
    <d v="2024-11-01T00:00:00"/>
    <s v="OK"/>
    <n v="5"/>
    <s v="CUST-2395"/>
    <s v="Aditi Sen"/>
    <s v="Aditi Sen"/>
    <s v="Corporate"/>
    <x v="2"/>
    <s v="South"/>
    <x v="2"/>
    <s v="Tamil Nadu"/>
    <s v="Tamil Nadu"/>
    <s v="Chennai"/>
    <s v="Chennai"/>
    <s v="Technology"/>
    <x v="2"/>
    <s v="Phones"/>
    <x v="11"/>
    <s v="Elite Phones 394"/>
    <s v="Standard Class"/>
    <x v="3"/>
    <n v="6"/>
    <n v="4399.2"/>
    <n v="0.05"/>
    <n v="25075.439999999999"/>
    <n v="16282.74"/>
    <n v="8792.7000000000007"/>
    <s v="Paid"/>
    <x v="0"/>
    <s v="Completed"/>
    <x v="0"/>
    <s v="ORD-2024-10860|10-27-2024|11-01-2024|CUST-2395|Aditi Sen|Corporate|South|Tamil Nadu|Chennai|Technology|Phones|Elite Phones 394|Standard Class|6|4399.2|0.05|25075.44|16282.74|8792.7|Paid|Completed"/>
    <s v="Keep"/>
    <n v="1"/>
    <s v="Unique"/>
    <s v=""/>
    <n v="0.05"/>
    <n v="25075.439999999995"/>
    <n v="8792.6999999999953"/>
    <n v="0.35064987892535471"/>
    <n v="10"/>
    <n v="2024"/>
    <b v="0"/>
    <b v="0"/>
    <x v="0"/>
    <s v=""/>
    <s v="Clean"/>
  </r>
  <r>
    <s v="ORD-2024-10861"/>
    <s v="02 Feb 2024"/>
    <x v="17"/>
    <d v="2024-02-02T00:00:00"/>
    <s v="04 Feb 2024"/>
    <d v="2024-02-04T00:00:00"/>
    <s v="OK"/>
    <n v="2"/>
    <s v="CUST-8941"/>
    <s v="Vikram Iyer"/>
    <s v="Vikram Iyer"/>
    <s v="Home Office"/>
    <x v="3"/>
    <s v="North"/>
    <x v="0"/>
    <s v="Uttar Pradesh"/>
    <s v="Uttar Pradesh"/>
    <s v="Noida"/>
    <s v="Noida"/>
    <s v="Office Supplies"/>
    <x v="0"/>
    <s v="Storage"/>
    <x v="8"/>
    <s v="Classic Storage 194"/>
    <s v="Second Class"/>
    <x v="0"/>
    <n v="1"/>
    <n v="4397.32"/>
    <n v="0.05"/>
    <n v="4177.45"/>
    <n v="2299.5"/>
    <n v="1877.95"/>
    <s v="Paid"/>
    <x v="0"/>
    <s v="Completed"/>
    <x v="0"/>
    <s v="ORD-2024-10861|02-02-2024|02-04-2024|CUST-8941|Vikram Iyer|Home Office|North|Uttar Pradesh|Noida|Office Supplies|Storage|Classic Storage 194|Second Class|1|4397.32|0.05|4177.45|2299.5|1877.95|Paid|Completed"/>
    <s v="Keep"/>
    <n v="1"/>
    <s v="Unique"/>
    <s v=""/>
    <n v="0.05"/>
    <n v="4177.4539999999997"/>
    <n v="1877.9539999999997"/>
    <n v="0.44954510570313877"/>
    <n v="2"/>
    <n v="2024"/>
    <b v="0"/>
    <b v="0"/>
    <x v="0"/>
    <s v=""/>
    <s v="Clean"/>
  </r>
  <r>
    <s v="ORD-2025-10862"/>
    <s v="2025-03-08"/>
    <x v="20"/>
    <d v="2025-03-08T00:00:00"/>
    <s v="2025-03-09"/>
    <d v="2025-03-09T00:00:00"/>
    <s v="OK"/>
    <n v="1"/>
    <s v="CUST-9448"/>
    <s v="Priya Menon"/>
    <s v="Priya Menon"/>
    <s v="Home Office"/>
    <x v="3"/>
    <s v="North"/>
    <x v="0"/>
    <s v="Delhi"/>
    <s v="Delhi"/>
    <s v="New Delhi"/>
    <s v="New Delhi"/>
    <s v="Furniture"/>
    <x v="1"/>
    <s v="Furnishings"/>
    <x v="3"/>
    <s v="Smart Furnishings 892"/>
    <s v="Same Day"/>
    <x v="1"/>
    <n v="4"/>
    <n v="3405.68"/>
    <n v="0.2"/>
    <n v="10898.18"/>
    <n v="6231.41"/>
    <n v="4666.7700000000004"/>
    <s v="Paid"/>
    <x v="0"/>
    <s v="Completed"/>
    <x v="0"/>
    <s v="ORD-2025-10862|03-08-2025|03-09-2025|CUST-9448|Priya Menon|Home Office|North|Delhi|New Delhi|Furniture|Furnishings|Smart Furnishings 892|Same Day|4|3405.68|0.2|10898.18|6231.41|4666.77|Paid|Completed"/>
    <s v="Keep"/>
    <n v="1"/>
    <s v="Unique"/>
    <s v=""/>
    <n v="0.2"/>
    <n v="10898.175999999999"/>
    <n v="4666.7659999999996"/>
    <n v="0.42821532704188298"/>
    <n v="3"/>
    <n v="2025"/>
    <b v="0"/>
    <b v="0"/>
    <x v="0"/>
    <s v=""/>
    <s v="Clean"/>
  </r>
  <r>
    <s v="ORD-2025-10863"/>
    <s v="2025-03-26"/>
    <x v="20"/>
    <d v="2025-03-26T00:00:00"/>
    <s v="31-03-2025"/>
    <d v="2025-03-31T00:00:00"/>
    <s v="OK"/>
    <n v="5"/>
    <s v="CUST-8354"/>
    <s v="Priya Menon"/>
    <s v="Priya Menon"/>
    <s v="Small Business"/>
    <x v="1"/>
    <s v="East"/>
    <x v="1"/>
    <s v="Jharkhand"/>
    <s v="Jharkhand"/>
    <s v="Ranchi"/>
    <s v="Ranchi"/>
    <s v="Office Supplies"/>
    <x v="0"/>
    <s v="Binders"/>
    <x v="9"/>
    <s v="Pro Binders 488"/>
    <s v="First Class"/>
    <x v="2"/>
    <n v="5"/>
    <n v="1395.14"/>
    <n v="0"/>
    <n v="6975.7"/>
    <n v="4797.88"/>
    <n v="2177.8200000000002"/>
    <s v="Paid"/>
    <x v="0"/>
    <s v="Cancelled"/>
    <x v="1"/>
    <s v="ORD-2025-10863|03-26-2025|31-03-2025|CUST-8354|Priya Menon|Small Business|East|Jharkhand|Ranchi|Office Supplies|Binders|Pro Binders 488|First Class|5|1395.14|0|6975.7|4797.88|2177.82|Paid|Cancelled"/>
    <s v="Keep"/>
    <n v="1"/>
    <s v="Unique"/>
    <s v=""/>
    <n v="0"/>
    <n v="6975.7000000000007"/>
    <n v="2177.8200000000006"/>
    <n v="0.3122009260719355"/>
    <n v="3"/>
    <n v="2025"/>
    <b v="0"/>
    <b v="0"/>
    <x v="1"/>
    <s v="Cancelled order excluded"/>
    <s v="Warning"/>
  </r>
  <r>
    <s v="ORD-2025-10864"/>
    <s v="09/06/2025"/>
    <x v="8"/>
    <d v="2025-09-06T00:00:00"/>
    <s v="09/08/2025"/>
    <d v="2025-09-08T00:00:00"/>
    <s v="OK"/>
    <n v="2"/>
    <s v="CUST-2200"/>
    <s v="Aarav Sharma"/>
    <s v="Aarav Sharma"/>
    <s v="Home Office"/>
    <x v="3"/>
    <s v="West"/>
    <x v="3"/>
    <s v="Madhya Pradesh"/>
    <s v="Madhya Pradesh"/>
    <s v="Indore"/>
    <s v="Indore"/>
    <s v="Furniture"/>
    <x v="1"/>
    <s v="Furnishings"/>
    <x v="3"/>
    <s v="Prime Furnishings 679"/>
    <s v="Same Day"/>
    <x v="1"/>
    <n v="3"/>
    <n v="2937.23"/>
    <n v="0"/>
    <n v="8811.69"/>
    <n v="6765.91"/>
    <n v="2045.78"/>
    <s v="Paid"/>
    <x v="0"/>
    <s v="Completed"/>
    <x v="0"/>
    <s v="ORD-2025-10864|09-06-2025|09-08-2025|CUST-2200|Aarav Sharma|Home Office|West|Madhya Pradesh|Indore|Furniture|Furnishings|Prime Furnishings 679|Same Day|3|2937.23|0|8811.69|6765.91|2045.78|Paid|Completed"/>
    <s v="Keep"/>
    <n v="1"/>
    <s v="Unique"/>
    <s v=""/>
    <n v="0"/>
    <n v="8811.69"/>
    <n v="2045.7800000000007"/>
    <n v="0.23216658779416893"/>
    <n v="9"/>
    <n v="2025"/>
    <b v="0"/>
    <b v="0"/>
    <x v="0"/>
    <s v=""/>
    <s v="Clean"/>
  </r>
  <r>
    <s v="ORD-2025-10865"/>
    <s v="02 Sep 2025"/>
    <x v="8"/>
    <d v="2025-09-02T00:00:00"/>
    <s v="05-09-2025"/>
    <d v="2025-09-05T00:00:00"/>
    <s v="OK"/>
    <n v="3"/>
    <s v="CUST-1178"/>
    <s v="Vikram Iyer"/>
    <s v="Vikram Iyer"/>
    <s v="Consumer"/>
    <x v="0"/>
    <s v="South"/>
    <x v="2"/>
    <s v="Tamil Nadu"/>
    <s v="Tamil Nadu"/>
    <s v="Chennai"/>
    <s v="Chennai"/>
    <s v="Technology"/>
    <x v="2"/>
    <s v="Phones"/>
    <x v="11"/>
    <s v="Smart Phones 158"/>
    <s v="First Class"/>
    <x v="2"/>
    <n v="5"/>
    <n v="3406.87"/>
    <n v="0"/>
    <n v="17034.349999999999"/>
    <n v="14631.36"/>
    <n v="2402.9899999999998"/>
    <s v="Paid"/>
    <x v="0"/>
    <s v="Completed"/>
    <x v="0"/>
    <s v="ORD-2025-10865|09-02-2025|05-09-2025|CUST-1178|Vikram Iyer|Consumer|South|Tamil Nadu|Chennai|Technology|Phones|Smart Phones 158|First Class|5|3406.87|0|17034.35|14631.36|2402.99|Paid|Completed"/>
    <s v="Keep"/>
    <n v="1"/>
    <s v="Unique"/>
    <s v=""/>
    <n v="0"/>
    <n v="17034.349999999999"/>
    <n v="2402.989999999998"/>
    <n v="0.14106731398615141"/>
    <n v="9"/>
    <n v="2025"/>
    <b v="0"/>
    <b v="0"/>
    <x v="0"/>
    <s v=""/>
    <s v="Clean"/>
  </r>
  <r>
    <s v="ORD-2025-10866"/>
    <s v="06-02-2025"/>
    <x v="7"/>
    <d v="2025-02-06T00:00:00"/>
    <s v="14-02-2025"/>
    <d v="2025-02-14T00:00:00"/>
    <s v="OK"/>
    <n v="8"/>
    <s v="CUST-8099"/>
    <s v="Kabir Singh"/>
    <s v="Kabir Singh"/>
    <s v="Consumer"/>
    <x v="0"/>
    <s v="West"/>
    <x v="3"/>
    <s v="Maharashtra"/>
    <s v="Maharashtra"/>
    <s v="Mumbai"/>
    <s v="Mumbai"/>
    <s v="Office Supplies"/>
    <x v="0"/>
    <s v="Labels"/>
    <x v="7"/>
    <s v="Classic Labels 218"/>
    <s v="Second Class"/>
    <x v="0"/>
    <n v="2"/>
    <n v="3992.04"/>
    <n v="0"/>
    <n v="7984.08"/>
    <n v="5658.05"/>
    <n v="2326.0300000000002"/>
    <s v="Paid"/>
    <x v="0"/>
    <s v="Completed"/>
    <x v="0"/>
    <s v="ORD-2025-10866|06-02-2025|14-02-2025|CUST-8099|Kabir Singh|Consumer|West|Maharashtra|Mumbai|Office Supplies|Labels|Classic Labels 218|Second Class|2|3992.04|0|7984.08|5658.05|2326.03|Paid|Completed"/>
    <s v="Keep"/>
    <n v="1"/>
    <s v="Unique"/>
    <s v=""/>
    <n v="0"/>
    <n v="7984.08"/>
    <n v="2326.0299999999997"/>
    <n v="0.29133350367230787"/>
    <n v="2"/>
    <n v="2025"/>
    <b v="0"/>
    <b v="0"/>
    <x v="0"/>
    <s v=""/>
    <s v="Clean"/>
  </r>
  <r>
    <s v="ORD-2025-10867"/>
    <s v="02/26/2025"/>
    <x v="7"/>
    <d v="2025-02-26T00:00:00"/>
    <s v="2025-03-06"/>
    <d v="2025-03-06T00:00:00"/>
    <s v="OK"/>
    <n v="8"/>
    <s v="CUST-7596"/>
    <s v="Priya Menon"/>
    <s v="Priya Menon"/>
    <s v="Consumer"/>
    <x v="0"/>
    <s v="East"/>
    <x v="1"/>
    <s v="Bihar"/>
    <s v="Bihar"/>
    <s v="Patna"/>
    <s v="Patna"/>
    <s v="Furniture"/>
    <x v="1"/>
    <s v="Bookcases"/>
    <x v="10"/>
    <s v="Smart Bookcases 552"/>
    <s v="First Class"/>
    <x v="2"/>
    <n v="9"/>
    <n v="3043.37"/>
    <n v="0.2"/>
    <n v="21912.26"/>
    <n v="16367.78"/>
    <n v="5544.48"/>
    <s v="Pending"/>
    <x v="2"/>
    <s v="Cancelled"/>
    <x v="1"/>
    <s v="ORD-2025-10867|02-26-2025|03-06-2025|CUST-7596|Priya Menon|Consumer|East|Bihar|Patna|Furniture|Bookcases|Smart Bookcases 552|First Class|9|3043.37|0.2|21912.26|16367.78|5544.48|Pending|Cancelled"/>
    <s v="Keep"/>
    <n v="1"/>
    <s v="Unique"/>
    <s v=""/>
    <n v="0.2"/>
    <n v="21912.263999999999"/>
    <n v="5544.4839999999986"/>
    <n v="0.25303108797885965"/>
    <n v="2"/>
    <n v="2025"/>
    <b v="0"/>
    <b v="0"/>
    <x v="1"/>
    <s v="Cancelled order excluded"/>
    <s v="Warning"/>
  </r>
  <r>
    <s v="ORD-2024-10868"/>
    <s v="21 Nov 2024"/>
    <x v="3"/>
    <d v="2024-11-21T00:00:00"/>
    <s v="22 Nov 2024"/>
    <d v="2024-11-22T00:00:00"/>
    <s v="OK"/>
    <n v="1"/>
    <s v="CUST-2328"/>
    <s v="Rahul Verma"/>
    <s v="Rahul Verma"/>
    <s v="Home Office"/>
    <x v="3"/>
    <s v="South"/>
    <x v="2"/>
    <s v="Andhra Pradesh"/>
    <s v="Andhra Pradesh"/>
    <s v="Vijayawada"/>
    <s v="Vijayawada"/>
    <s v="Technology"/>
    <x v="2"/>
    <s v="Accessories"/>
    <x v="5"/>
    <s v="Eco Accessories 389"/>
    <s v="Same Day"/>
    <x v="1"/>
    <n v="6"/>
    <n v="1043.49"/>
    <n v="0.25"/>
    <n v="4695.7"/>
    <n v="3871.69"/>
    <n v="824.01"/>
    <s v="Failed"/>
    <x v="3"/>
    <s v="Cancelled"/>
    <x v="1"/>
    <s v="ORD-2024-10868|11-21-2024|11-22-2024|CUST-2328|Rahul Verma|Home Office|South|Andhra Pradesh|Vijayawada|Technology|Accessories|Eco Accessories 389|Same Day|6|1043.49|0.25|4695.7|3871.69|824.01|Failed|Cancelled"/>
    <s v="Keep"/>
    <n v="1"/>
    <s v="Unique"/>
    <s v=""/>
    <n v="0.25"/>
    <n v="4695.7049999999999"/>
    <n v="824.01499999999987"/>
    <n v="0.17548270174553127"/>
    <n v="11"/>
    <n v="2024"/>
    <b v="0"/>
    <b v="0"/>
    <x v="1"/>
    <s v="Failed payment excluded; Cancelled order excluded"/>
    <s v="Warning"/>
  </r>
  <r>
    <s v="ORD-2025-10869"/>
    <s v="11-04-2025"/>
    <x v="6"/>
    <d v="2025-04-11T00:00:00"/>
    <s v="2025-04-15"/>
    <d v="2025-04-15T00:00:00"/>
    <s v="OK"/>
    <n v="4"/>
    <s v="CUST-8483"/>
    <s v="Vikram Iyer"/>
    <s v="Vikram Iyer"/>
    <s v="Home Office"/>
    <x v="3"/>
    <s v="South"/>
    <x v="2"/>
    <s v="Karnataka"/>
    <s v="Karnataka"/>
    <s v="Bengaluru"/>
    <s v="Bengaluru"/>
    <s v="Office Supplies"/>
    <x v="0"/>
    <s v="Storage"/>
    <x v="8"/>
    <s v="Elite Storage 187"/>
    <s v="Same Day"/>
    <x v="1"/>
    <n v="9"/>
    <n v="224.94"/>
    <n v="0.05"/>
    <n v="1923.24"/>
    <n v="1093.6600000000001"/>
    <n v="829.58"/>
    <s v="Paid"/>
    <x v="0"/>
    <s v="Completed"/>
    <x v="0"/>
    <s v="ORD-2025-10869|11-04-2025|04-15-2025|CUST-8483|Vikram Iyer|Home Office|South|Karnataka|Bengaluru|Office Supplies|Storage|Elite Storage 187|Same Day|9|224.94|0.05|1923.24|1093.66|829.58|Paid|Completed"/>
    <s v="Keep"/>
    <n v="1"/>
    <s v="Unique"/>
    <s v=""/>
    <n v="0.05"/>
    <n v="1923.2369999999999"/>
    <n v="829.57699999999977"/>
    <n v="0.43134413491420964"/>
    <n v="4"/>
    <n v="2025"/>
    <b v="0"/>
    <b v="0"/>
    <x v="0"/>
    <s v=""/>
    <s v="Clean"/>
  </r>
  <r>
    <s v="ORD-2025-10870"/>
    <s v="03/06/2025"/>
    <x v="20"/>
    <d v="2025-03-06T00:00:00"/>
    <s v="07-03-2025"/>
    <d v="2025-03-07T00:00:00"/>
    <s v="OK"/>
    <n v="1"/>
    <s v="CUST-2388"/>
    <s v="Rohan Mehta"/>
    <s v="Rohan Mehta"/>
    <s v="Home Office"/>
    <x v="3"/>
    <m/>
    <x v="4"/>
    <s v="Delhi"/>
    <s v="Delhi"/>
    <s v="New Delhi"/>
    <s v="New Delhi"/>
    <s v="Furniture"/>
    <x v="1"/>
    <s v="Chairs"/>
    <x v="4"/>
    <s v="Max Chairs 487"/>
    <s v="Same Day"/>
    <x v="1"/>
    <n v="6"/>
    <n v="796.65"/>
    <n v="0.1"/>
    <n v="4301.91"/>
    <n v="2374.4"/>
    <n v="1927.51"/>
    <s v="Paid"/>
    <x v="0"/>
    <s v="Completed"/>
    <x v="0"/>
    <s v="ORD-2025-10870|03-06-2025|07-03-2025|CUST-2388|Rohan Mehta|Home Office||Delhi|New Delhi|Furniture|Chairs|Max Chairs 487|Same Day|6|796.65|0.1|4301.91|2374.4|1927.51|Paid|Completed"/>
    <s v="Keep"/>
    <n v="1"/>
    <s v="Unique"/>
    <s v=""/>
    <n v="0.1"/>
    <n v="4301.91"/>
    <n v="1927.5099999999998"/>
    <n v="0.44805911792668834"/>
    <n v="3"/>
    <n v="2025"/>
    <b v="0"/>
    <b v="0"/>
    <x v="0"/>
    <s v="Missing region filled as Unknown"/>
    <s v="Warning"/>
  </r>
  <r>
    <s v="ORD-2025-10871"/>
    <s v="06 Jun 2025"/>
    <x v="18"/>
    <d v="2025-06-06T00:00:00"/>
    <s v="07 Jun 2025"/>
    <d v="2025-06-07T00:00:00"/>
    <s v="OK"/>
    <n v="1"/>
    <s v="CUST-7054"/>
    <s v="Vikram Iyer"/>
    <s v="Vikram Iyer"/>
    <s v="Corporate"/>
    <x v="2"/>
    <s v="West"/>
    <x v="3"/>
    <s v="Goa"/>
    <s v="Goa"/>
    <s v="Panaji"/>
    <s v="Panaji"/>
    <s v="Furniture"/>
    <x v="1"/>
    <s v="Tables"/>
    <x v="1"/>
    <s v="Max Tables 281"/>
    <s v="Standard Class"/>
    <x v="3"/>
    <n v="9"/>
    <n v="2932.92"/>
    <n v="0.15"/>
    <n v="22436.84"/>
    <n v="17454.669999999998"/>
    <n v="4982.17"/>
    <s v="Paid"/>
    <x v="0"/>
    <s v="Cancelled"/>
    <x v="1"/>
    <s v="ORD-2025-10871|06-06-2025|06-07-2025|CUST-7054|Vikram Iyer|Corporate|West|Goa|Panaji|Furniture|Tables|Max Tables 281|Standard Class|9|2932.92|0.15|22436.84|17454.67|4982.17|Paid|Cancelled"/>
    <s v="Keep"/>
    <n v="1"/>
    <s v="Unique"/>
    <s v=""/>
    <n v="0.15"/>
    <n v="22436.838"/>
    <n v="4982.1680000000015"/>
    <n v="0.22205303617203109"/>
    <n v="6"/>
    <n v="2025"/>
    <b v="0"/>
    <b v="0"/>
    <x v="1"/>
    <s v="Cancelled order excluded"/>
    <s v="Warning"/>
  </r>
  <r>
    <s v="ORD-2024-10872"/>
    <s v="02/20/2024"/>
    <x v="17"/>
    <d v="2024-02-20T00:00:00"/>
    <s v="2024-02-22"/>
    <d v="2024-02-22T00:00:00"/>
    <s v="OK"/>
    <n v="2"/>
    <s v="CUST-4375"/>
    <s v="Neha Gupta"/>
    <s v="Neha Gupta"/>
    <s v="Small Business"/>
    <x v="1"/>
    <s v="South"/>
    <x v="2"/>
    <s v="Telangana"/>
    <s v="Telangana"/>
    <s v="Hyderabad"/>
    <s v="Hyderabad"/>
    <s v="Technology"/>
    <x v="2"/>
    <s v="Accessories"/>
    <x v="5"/>
    <s v="Pro Accessories 325"/>
    <s v="First Class"/>
    <x v="2"/>
    <n v="9"/>
    <n v="2186.23"/>
    <n v="0"/>
    <n v="19676.07"/>
    <n v="12458.62"/>
    <n v="7217.45"/>
    <s v="Refunded"/>
    <x v="1"/>
    <s v="Cancelled"/>
    <x v="1"/>
    <s v="ORD-2024-10872|02-20-2024|02-22-2024|CUST-4375|Neha Gupta|Small Business|South|Telangana|Hyderabad|Technology|Accessories|Pro Accessories 325|First Class|9|2186.23|0|19676.07|12458.62|7217.45|Refunded|Cancelled"/>
    <s v="Keep"/>
    <n v="1"/>
    <s v="Unique"/>
    <s v=""/>
    <n v="0"/>
    <n v="19676.07"/>
    <n v="7217.4499999999989"/>
    <n v="0.36681359641432454"/>
    <n v="2"/>
    <n v="2024"/>
    <b v="0"/>
    <b v="0"/>
    <x v="1"/>
    <s v="Refunded order summarized separately; Cancelled order excluded"/>
    <s v="Warning"/>
  </r>
  <r>
    <s v="ORD-2024-10873"/>
    <s v="11/01/2024"/>
    <x v="3"/>
    <d v="2024-11-01T00:00:00"/>
    <s v="02 Nov 2024"/>
    <d v="2024-11-02T00:00:00"/>
    <s v="OK"/>
    <n v="1"/>
    <s v="CUST-6262"/>
    <s v="Karan Malhotra"/>
    <s v="Karan Malhotra"/>
    <s v="Corporate"/>
    <x v="2"/>
    <s v="East"/>
    <x v="1"/>
    <s v="West Bengal"/>
    <s v="West Bengal"/>
    <s v="Kolkata"/>
    <s v="Kolkata"/>
    <s v="Furniture"/>
    <x v="1"/>
    <s v="Furnishings"/>
    <x v="3"/>
    <s v="Prime Furnishings 178"/>
    <s v="Standard Class"/>
    <x v="3"/>
    <n v="5"/>
    <n v="2212.02"/>
    <n v="0.2"/>
    <n v="8848.08"/>
    <n v="5691.56"/>
    <n v="3156.52"/>
    <s v="Paid"/>
    <x v="0"/>
    <s v="Completed"/>
    <x v="0"/>
    <s v="ORD-2024-10873|11-01-2024|11-02-2024|CUST-6262|Karan Malhotra|Corporate|East|West Bengal|Kolkata|Furniture|Furnishings|Prime Furnishings 178|Standard Class|5|2212.02|0.2|8848.08|5691.56|3156.52|Paid|Completed"/>
    <s v="Keep"/>
    <n v="1"/>
    <s v="Unique"/>
    <s v=""/>
    <n v="0.2"/>
    <n v="8848.08"/>
    <n v="3156.5199999999995"/>
    <n v="0.35674632236598219"/>
    <n v="11"/>
    <n v="2024"/>
    <b v="0"/>
    <b v="0"/>
    <x v="0"/>
    <s v=""/>
    <s v="Clean"/>
  </r>
  <r>
    <s v="ORD-2025-10874"/>
    <s v="01 Feb 2025"/>
    <x v="7"/>
    <d v="2025-02-01T00:00:00"/>
    <s v="08-02-2025"/>
    <d v="2025-02-08T00:00:00"/>
    <s v="OK"/>
    <n v="7"/>
    <s v="CUST-8160"/>
    <s v="Aditi Sen"/>
    <s v="Aditi Sen"/>
    <s v="Home Office"/>
    <x v="3"/>
    <s v="West"/>
    <x v="3"/>
    <s v="Gujarat"/>
    <s v="Gujarat"/>
    <s v="Ahmedabad"/>
    <s v="Ahmedabad"/>
    <s v="Office Supplies"/>
    <x v="0"/>
    <s v="Storage"/>
    <x v="8"/>
    <s v="Elite Storage 144"/>
    <s v="Second Class"/>
    <x v="0"/>
    <n v="8"/>
    <n v="623.30999999999995"/>
    <n v="0.1"/>
    <n v="4487.83"/>
    <n v="2633.78"/>
    <n v="1854.05"/>
    <s v="Paid"/>
    <x v="0"/>
    <s v="Completed"/>
    <x v="0"/>
    <s v="ORD-2025-10874|02-01-2025|08-02-2025|CUST-8160|Aditi Sen|Home Office|West|Gujarat|Ahmedabad|Office Supplies|Storage|Elite Storage 144|Second Class|8|623.31|0.1|4487.83|2633.78|1854.05|Paid|Completed"/>
    <s v="Keep"/>
    <n v="1"/>
    <s v="Unique"/>
    <s v=""/>
    <n v="0.1"/>
    <n v="4487.8319999999994"/>
    <n v="1854.0519999999992"/>
    <n v="0.41312865543986482"/>
    <n v="2"/>
    <n v="2025"/>
    <b v="0"/>
    <b v="0"/>
    <x v="0"/>
    <s v=""/>
    <s v="Clean"/>
  </r>
  <r>
    <s v="ORD-2025-10875"/>
    <s v="15 Jul 2025"/>
    <x v="13"/>
    <d v="2025-07-15T00:00:00"/>
    <s v="16 Jul 2025"/>
    <d v="2025-07-16T00:00:00"/>
    <s v="OK"/>
    <n v="1"/>
    <s v="CUST-8770"/>
    <s v="Vikram Iyer"/>
    <s v="Vikram Iyer"/>
    <s v="Small Business"/>
    <x v="1"/>
    <s v="West"/>
    <x v="3"/>
    <s v="Maharashtra"/>
    <s v="Maharashtra"/>
    <s v="Mumbai"/>
    <s v="Mumbai"/>
    <s v="Office Supplies"/>
    <x v="0"/>
    <s v="Paper"/>
    <x v="0"/>
    <s v="Elite Paper 309"/>
    <s v="Standard Class"/>
    <x v="3"/>
    <n v="8"/>
    <n v="3924.88"/>
    <n v="0.05"/>
    <n v="29829.09"/>
    <n v="20710.18"/>
    <n v="9118.91"/>
    <s v="Paid"/>
    <x v="0"/>
    <s v="Completed"/>
    <x v="0"/>
    <s v="ORD-2025-10875|07-15-2025|07-16-2025|CUST-8770|Vikram Iyer|Small Business|West|Maharashtra|Mumbai|Office Supplies|Paper|Elite Paper 309|Standard Class|8|3924.88|0.05|29829.09|20710.18|9118.91|Paid|Completed"/>
    <s v="Keep"/>
    <n v="1"/>
    <s v="Unique"/>
    <s v=""/>
    <n v="0.05"/>
    <n v="29829.088"/>
    <n v="9118.9079999999994"/>
    <n v="0.30570522303598419"/>
    <n v="7"/>
    <n v="2025"/>
    <b v="0"/>
    <b v="0"/>
    <x v="0"/>
    <s v=""/>
    <s v="Clean"/>
  </r>
  <r>
    <s v="ORD-2024-10876"/>
    <s v="10 Aug 2024"/>
    <x v="1"/>
    <d v="2024-08-10T00:00:00"/>
    <s v="08/11/2024"/>
    <d v="2024-08-11T00:00:00"/>
    <s v="OK"/>
    <n v="1"/>
    <s v="CUST-6928"/>
    <s v="Mira Das"/>
    <s v="Mira Das"/>
    <s v="Corporate"/>
    <x v="2"/>
    <s v="West"/>
    <x v="3"/>
    <s v="Maharashtra"/>
    <s v="Maharashtra"/>
    <s v="Mumbai"/>
    <s v="Mumbai"/>
    <s v="Technology"/>
    <x v="2"/>
    <s v="Copiers"/>
    <x v="6"/>
    <s v="Elite Copiers 752"/>
    <s v="First Class"/>
    <x v="2"/>
    <n v="7"/>
    <n v="3852.62"/>
    <n v="0.2"/>
    <n v="21574.67"/>
    <n v="14672.83"/>
    <n v="6901.84"/>
    <s v="Paid"/>
    <x v="0"/>
    <s v="Completed"/>
    <x v="0"/>
    <s v="ORD-2024-10876|08-10-2024|08-11-2024|CUST-6928|Mira Das|Corporate|West|Maharashtra|Mumbai|Technology|Copiers|Elite Copiers 752|First Class|7|3852.62|0.2|21574.67|14672.83|6901.84|Paid|Completed"/>
    <s v="Keep"/>
    <n v="1"/>
    <s v="Unique"/>
    <s v=""/>
    <n v="0.2"/>
    <n v="21574.672000000002"/>
    <n v="6901.8420000000024"/>
    <n v="0.31990484026825539"/>
    <n v="8"/>
    <n v="2024"/>
    <b v="0"/>
    <b v="0"/>
    <x v="0"/>
    <s v=""/>
    <s v="Clean"/>
  </r>
  <r>
    <s v="ORD-2024-10877"/>
    <s v="11/18/2024"/>
    <x v="3"/>
    <d v="2024-11-18T00:00:00"/>
    <s v="20-11-2024"/>
    <d v="2024-11-20T00:00:00"/>
    <s v="OK"/>
    <n v="2"/>
    <s v="CUST-9044"/>
    <s v="Priya Menon"/>
    <s v="Priya Menon"/>
    <s v="Consumer"/>
    <x v="0"/>
    <s v="West"/>
    <x v="3"/>
    <s v="Rajasthan"/>
    <s v="Rajasthan"/>
    <s v="Udaipur"/>
    <s v="Udaipur"/>
    <s v="Furniture"/>
    <x v="1"/>
    <s v="Chairs"/>
    <x v="4"/>
    <s v="Pro Chairs 316"/>
    <s v="First Class"/>
    <x v="2"/>
    <n v="6"/>
    <n v="3790.22"/>
    <n v="0"/>
    <n v="22741.32"/>
    <n v="16388.57"/>
    <n v="6352.75"/>
    <s v="Paid"/>
    <x v="0"/>
    <s v="Completed"/>
    <x v="0"/>
    <s v="ORD-2024-10877|11-18-2024|20-11-2024|CUST-9044|Priya Menon|Consumer|West|Rajasthan|Udaipur|Furniture|Chairs|Pro Chairs 316|First Class|6|3790.22|0|22741.32|16388.57|6352.75|Paid|Completed"/>
    <s v="Keep"/>
    <n v="1"/>
    <s v="Unique"/>
    <s v=""/>
    <n v="0"/>
    <n v="22741.32"/>
    <n v="6352.75"/>
    <n v="0.27934834037777928"/>
    <n v="11"/>
    <n v="2024"/>
    <b v="0"/>
    <b v="0"/>
    <x v="0"/>
    <s v=""/>
    <s v="Clean"/>
  </r>
  <r>
    <s v="ORD-2025-10878"/>
    <s v="26-08-2025"/>
    <x v="4"/>
    <d v="2025-08-26T00:00:00"/>
    <s v="2025-09-03"/>
    <d v="2025-09-03T00:00:00"/>
    <s v="OK"/>
    <n v="8"/>
    <s v="CUST-7146"/>
    <s v="Aarav Sharma"/>
    <s v="Aarav Sharma"/>
    <s v="Consumer"/>
    <x v="0"/>
    <s v="West"/>
    <x v="3"/>
    <s v="Rajasthan"/>
    <s v="Rajasthan"/>
    <s v="Udaipur"/>
    <s v="Udaipur"/>
    <s v="Office Supplies"/>
    <x v="0"/>
    <s v="Storage"/>
    <x v="8"/>
    <s v="Max Storage 438"/>
    <s v="Second Class"/>
    <x v="0"/>
    <n v="6"/>
    <n v="674.36"/>
    <n v="0.1"/>
    <n v="3641.54"/>
    <n v="2690.37"/>
    <n v="951.17"/>
    <s v="Paid"/>
    <x v="0"/>
    <s v="Completed"/>
    <x v="0"/>
    <s v="ORD-2025-10878|26-08-2025|09-03-2025|CUST-7146|Aarav Sharma|Consumer|West|Rajasthan|Udaipur|Office Supplies|Storage|Max Storage 438|Second Class|6|674.36|0.1|3641.54|2690.37|951.17|Paid|Completed"/>
    <s v="Keep"/>
    <n v="1"/>
    <s v="Unique"/>
    <s v=""/>
    <n v="0.1"/>
    <n v="3641.5439999999999"/>
    <n v="951.17399999999998"/>
    <n v="0.26120074342092253"/>
    <n v="8"/>
    <n v="2025"/>
    <b v="0"/>
    <b v="0"/>
    <x v="0"/>
    <s v=""/>
    <s v="Clean"/>
  </r>
  <r>
    <s v="ORD-2024-10879"/>
    <s v="2024-01-22"/>
    <x v="12"/>
    <d v="2024-01-22T00:00:00"/>
    <s v="2024-01-22"/>
    <d v="2024-01-22T00:00:00"/>
    <s v="OK"/>
    <n v="0"/>
    <s v="CUST-8534"/>
    <s v="Karan Malhotra"/>
    <s v="Karan Malhotra"/>
    <s v="Corporate"/>
    <x v="2"/>
    <s v="East"/>
    <x v="1"/>
    <s v="West Bengal"/>
    <s v="West Bengal"/>
    <s v="Kolkata"/>
    <s v="Kolkata"/>
    <s v="Office Supplies"/>
    <x v="0"/>
    <s v="Paper"/>
    <x v="0"/>
    <s v="Basic Paper 904"/>
    <s v="First Class"/>
    <x v="2"/>
    <n v="8"/>
    <n v="1557.21"/>
    <n v="0.05"/>
    <n v="11834.8"/>
    <n v="9322.36"/>
    <n v="2512.44"/>
    <s v="Paid"/>
    <x v="0"/>
    <s v="Completed"/>
    <x v="0"/>
    <s v="ORD-2024-10879|01-22-2024|01-22-2024|CUST-8534|Karan Malhotra|Corporate|East|West Bengal|Kolkata|Office Supplies|Paper|Basic Paper 904|First Class|8|1557.21|0.05|11834.8|9322.36|2512.44|Paid|Completed"/>
    <s v="Keep"/>
    <n v="1"/>
    <s v="Unique"/>
    <s v=""/>
    <n v="0.05"/>
    <n v="11834.796"/>
    <n v="2512.4359999999997"/>
    <n v="0.21229229468763125"/>
    <n v="1"/>
    <n v="2024"/>
    <b v="0"/>
    <b v="0"/>
    <x v="0"/>
    <s v=""/>
    <s v="Clean"/>
  </r>
  <r>
    <s v="ORD-2025-10880"/>
    <s v="2025-08-27"/>
    <x v="4"/>
    <d v="2025-08-27T00:00:00"/>
    <s v="08/28/2025"/>
    <d v="2025-08-28T00:00:00"/>
    <s v="OK"/>
    <n v="1"/>
    <s v="CUST-4486"/>
    <s v="Ananya Rao"/>
    <s v="Ananya Rao"/>
    <s v="Home Office"/>
    <x v="3"/>
    <s v="North"/>
    <x v="0"/>
    <s v="Uttar Pradesh"/>
    <s v="Uttar Pradesh"/>
    <s v="Noida"/>
    <s v="Noida"/>
    <s v="Office Supplies"/>
    <x v="0"/>
    <s v="Art"/>
    <x v="2"/>
    <s v="Smart Art 990"/>
    <s v="Standard Class"/>
    <x v="3"/>
    <n v="6"/>
    <n v="1182.03"/>
    <n v="0.15"/>
    <n v="6028.35"/>
    <n v="4433.63"/>
    <n v="1594.72"/>
    <s v="Paid"/>
    <x v="0"/>
    <s v="Completed"/>
    <x v="0"/>
    <s v="ORD-2025-10880|08-27-2025|08-28-2025|CUST-4486|Ananya Rao|Home Office|North|Uttar Pradesh|Noida|Office Supplies|Art|Smart Art 990|Standard Class|6|1182.03|0.15|6028.35|4433.63|1594.72|Paid|Completed"/>
    <s v="Keep"/>
    <n v="1"/>
    <s v="Unique"/>
    <s v=""/>
    <n v="0.15"/>
    <n v="6028.3530000000001"/>
    <n v="1594.723"/>
    <n v="0.26453709661660491"/>
    <n v="8"/>
    <n v="2025"/>
    <b v="0"/>
    <b v="0"/>
    <x v="0"/>
    <s v=""/>
    <s v="Clean"/>
  </r>
  <r>
    <s v="ORD-2024-10881"/>
    <s v="08-03-2024"/>
    <x v="15"/>
    <d v="2024-03-08T00:00:00"/>
    <s v="03/15/2024"/>
    <d v="2024-03-15T00:00:00"/>
    <s v="OK"/>
    <n v="7"/>
    <s v="CUST-5287"/>
    <s v="Aarav Sharma"/>
    <s v="Aarav Sharma"/>
    <s v="Small Business"/>
    <x v="1"/>
    <m/>
    <x v="4"/>
    <s v="Punjab"/>
    <s v="Punjab"/>
    <s v="Ludhiana"/>
    <s v="Ludhiana"/>
    <s v="Furniture"/>
    <x v="1"/>
    <s v="Chairs"/>
    <x v="4"/>
    <s v="Basic Chairs 327"/>
    <s v="First Class"/>
    <x v="2"/>
    <n v="5"/>
    <n v="3234.77"/>
    <n v="0"/>
    <n v="16173.85"/>
    <n v="13636.34"/>
    <n v="2537.5100000000002"/>
    <s v="Paid"/>
    <x v="0"/>
    <s v="Completed"/>
    <x v="0"/>
    <s v="ORD-2024-10881|08-03-2024|03-15-2024|CUST-5287|Aarav Sharma|Small Business||Punjab|Ludhiana|Furniture|Chairs|Basic Chairs 327|First Class|5|3234.77|0|16173.85|13636.34|2537.51|Paid|Completed"/>
    <s v="Keep"/>
    <n v="1"/>
    <s v="Unique"/>
    <s v=""/>
    <n v="0"/>
    <n v="16173.85"/>
    <n v="2537.5100000000002"/>
    <n v="0.15688967067210344"/>
    <n v="3"/>
    <n v="2024"/>
    <b v="0"/>
    <b v="0"/>
    <x v="0"/>
    <s v="Missing region filled as Unknown"/>
    <s v="Warning"/>
  </r>
  <r>
    <s v="ORD-2024-10882"/>
    <s v="01 Dec 2024"/>
    <x v="10"/>
    <d v="2024-12-01T00:00:00"/>
    <s v="05-12-2024"/>
    <d v="2024-12-05T00:00:00"/>
    <s v="OK"/>
    <n v="4"/>
    <s v="CUST-3445"/>
    <s v="Ananya Rao"/>
    <s v="Ananya Rao"/>
    <s v="Small Business"/>
    <x v="1"/>
    <s v="South"/>
    <x v="2"/>
    <s v="Andhra Pradesh"/>
    <s v="Andhra Pradesh"/>
    <s v="Vijayawada"/>
    <s v="Vijayawada"/>
    <s v="Technology"/>
    <x v="2"/>
    <s v="Copiers"/>
    <x v="6"/>
    <s v="Eco Copiers 987"/>
    <s v="Second Class"/>
    <x v="0"/>
    <n v="9"/>
    <n v="3726.75"/>
    <n v="0.25"/>
    <n v="25155.56"/>
    <n v="17592.689999999999"/>
    <n v="7562.87"/>
    <s v="Paid"/>
    <x v="0"/>
    <s v="Completed"/>
    <x v="0"/>
    <s v="ORD-2024-10882|12-01-2024|05-12-2024|CUST-3445|Ananya Rao|Small Business|South|Andhra Pradesh|Vijayawada|Technology|Copiers|Eco Copiers 987|Second Class|9|3726.75|0.25|25155.56|17592.69|7562.87|Paid|Completed"/>
    <s v="Keep"/>
    <n v="1"/>
    <s v="Unique"/>
    <s v=""/>
    <n v="0.25"/>
    <n v="25155.5625"/>
    <n v="7562.8725000000013"/>
    <n v="0.30064414182747856"/>
    <n v="12"/>
    <n v="2024"/>
    <b v="0"/>
    <b v="0"/>
    <x v="0"/>
    <s v=""/>
    <s v="Clean"/>
  </r>
  <r>
    <s v="ORD-2025-10883"/>
    <s v="02 Feb 2025"/>
    <x v="7"/>
    <d v="2025-02-02T00:00:00"/>
    <s v="02/10/2025"/>
    <d v="2025-02-10T00:00:00"/>
    <s v="OK"/>
    <n v="8"/>
    <s v="CUST-4983"/>
    <s v="Sneha Kapoor"/>
    <s v="Sneha Kapoor"/>
    <s v="Corporate"/>
    <x v="2"/>
    <s v="East"/>
    <x v="1"/>
    <s v="Bihar"/>
    <s v="Bihar"/>
    <s v="Patna"/>
    <s v="Patna"/>
    <s v="Technology"/>
    <x v="2"/>
    <s v="Accessories"/>
    <x v="5"/>
    <s v="Basic Accessories 607"/>
    <s v="Standard Class"/>
    <x v="3"/>
    <n v="4"/>
    <n v="1912.45"/>
    <n v="0"/>
    <n v="7649.8"/>
    <n v="4894.53"/>
    <n v="2755.27"/>
    <s v="Pending"/>
    <x v="2"/>
    <s v="Returned"/>
    <x v="2"/>
    <s v="ORD-2025-10883|02-02-2025|02-10-2025|CUST-4983|Sneha Kapoor|Corporate|East|Bihar|Patna|Technology|Accessories|Basic Accessories 607|Standard Class|4|1912.45|0|7649.8|4894.53|2755.27|Pending|Returned"/>
    <s v="Keep"/>
    <n v="1"/>
    <s v="Unique"/>
    <s v=""/>
    <n v="0"/>
    <n v="7649.8"/>
    <n v="2755.2700000000004"/>
    <n v="0.36017542942299152"/>
    <n v="2"/>
    <n v="2025"/>
    <b v="0"/>
    <b v="0"/>
    <x v="1"/>
    <s v="Returned order excluded"/>
    <s v="Warning"/>
  </r>
  <r>
    <s v="ORD-2025-10884"/>
    <s v="28 Apr 2025"/>
    <x v="6"/>
    <d v="2025-04-28T00:00:00"/>
    <s v="05/01/2025"/>
    <d v="2025-05-01T00:00:00"/>
    <s v="OK"/>
    <n v="3"/>
    <s v="CUST-2597"/>
    <s v="Aarav Sharma"/>
    <s v="Aarav Sharma"/>
    <s v="Small Business"/>
    <x v="1"/>
    <s v="West"/>
    <x v="3"/>
    <s v="Goa"/>
    <s v="Goa"/>
    <s v="Panaji"/>
    <s v="Panaji"/>
    <s v="Office Supplies"/>
    <x v="0"/>
    <s v="Storage"/>
    <x v="8"/>
    <s v="Classic Storage 211"/>
    <s v="Same Day"/>
    <x v="1"/>
    <n v="1"/>
    <n v="1620.87"/>
    <n v="0"/>
    <n v="1620.87"/>
    <n v="1103.6099999999999"/>
    <n v="517.26"/>
    <s v="Paid"/>
    <x v="0"/>
    <s v="Completed"/>
    <x v="0"/>
    <s v="ORD-2025-10884|04-28-2025|05-01-2025|CUST-2597|Aarav Sharma|Small Business|West|Goa|Panaji|Office Supplies|Storage|Classic Storage 211|Same Day|1|1620.87|0|1620.87|1103.61|517.26|Paid|Completed"/>
    <s v="Keep"/>
    <n v="1"/>
    <s v="Unique"/>
    <s v=""/>
    <n v="0"/>
    <n v="1620.87"/>
    <n v="517.26"/>
    <n v="0.31912491439782342"/>
    <n v="4"/>
    <n v="2025"/>
    <b v="0"/>
    <b v="0"/>
    <x v="0"/>
    <s v=""/>
    <s v="Clean"/>
  </r>
  <r>
    <s v="ORD-2025-10885"/>
    <s v="18-01-2025"/>
    <x v="14"/>
    <d v="2025-01-18T00:00:00"/>
    <s v="2025-01-25"/>
    <d v="2025-01-25T00:00:00"/>
    <s v="OK"/>
    <n v="7"/>
    <s v="CUST-7505"/>
    <s v="Neha Gupta"/>
    <s v="Neha Gupta"/>
    <s v="Home Office"/>
    <x v="3"/>
    <s v="South"/>
    <x v="2"/>
    <s v="Karnataka"/>
    <s v="Karnataka"/>
    <s v="Bengaluru"/>
    <s v="Bengaluru"/>
    <s v="Office Supplies"/>
    <x v="0"/>
    <s v="Storage"/>
    <x v="8"/>
    <s v="Eco Storage 783"/>
    <s v="Same Day"/>
    <x v="1"/>
    <n v="2"/>
    <n v="2098.54"/>
    <n v="0.15"/>
    <n v="3567.52"/>
    <n v="2411.8000000000002"/>
    <n v="1155.72"/>
    <s v="Paid"/>
    <x v="0"/>
    <s v="Completed"/>
    <x v="0"/>
    <s v="ORD-2025-10885|18-01-2025|01-25-2025|CUST-7505|Neha Gupta|Home Office|South|Karnataka|Bengaluru|Office Supplies|Storage|Eco Storage 783|Same Day|2|2098.54|0.15|3567.52|2411.8|1155.72|Paid|Completed"/>
    <s v="Keep"/>
    <n v="1"/>
    <s v="Unique"/>
    <s v=""/>
    <n v="0.15"/>
    <n v="3567.518"/>
    <n v="1155.7179999999998"/>
    <n v="0.32395575859743381"/>
    <n v="1"/>
    <n v="2025"/>
    <b v="0"/>
    <b v="0"/>
    <x v="0"/>
    <s v=""/>
    <s v="Clean"/>
  </r>
  <r>
    <s v="ORD-2024-10886"/>
    <s v="2024-01-05"/>
    <x v="12"/>
    <d v="2024-01-05T00:00:00"/>
    <s v="2024-01-05"/>
    <d v="2024-01-05T00:00:00"/>
    <s v="OK"/>
    <n v="0"/>
    <s v="CUST-3446"/>
    <s v="Diya Patel"/>
    <s v="Diya Patel"/>
    <s v="Consumer"/>
    <x v="0"/>
    <s v="North"/>
    <x v="0"/>
    <s v="Rajasthan"/>
    <s v="Rajasthan"/>
    <s v="Jaipur"/>
    <s v="Jaipur"/>
    <s v="Furniture"/>
    <x v="1"/>
    <s v="Tables"/>
    <x v="1"/>
    <s v="Pro Tables 866"/>
    <s v="Standard Class"/>
    <x v="3"/>
    <n v="1"/>
    <n v="2167.08"/>
    <n v="0.25"/>
    <n v="1625.31"/>
    <n v="1157.8900000000001"/>
    <n v="467.42"/>
    <s v="Paid"/>
    <x v="0"/>
    <s v="Completed"/>
    <x v="0"/>
    <s v="ORD-2024-10886|01-05-2024|01-05-2024|CUST-3446|Diya Patel|Consumer|North|Rajasthan|Jaipur|Furniture|Tables|Pro Tables 866|Standard Class|1|2167.08|0.25|1625.31|1157.89|467.42|Paid|Completed"/>
    <s v="Keep"/>
    <n v="1"/>
    <s v="Unique"/>
    <s v=""/>
    <n v="0.25"/>
    <n v="1625.31"/>
    <n v="467.41999999999985"/>
    <n v="0.28758821394072509"/>
    <n v="1"/>
    <n v="2024"/>
    <b v="0"/>
    <b v="0"/>
    <x v="0"/>
    <s v=""/>
    <s v="Clean"/>
  </r>
  <r>
    <s v="ORD-2025-10887"/>
    <s v="26-04-2025"/>
    <x v="6"/>
    <d v="2025-04-26T00:00:00"/>
    <s v="03-05-2025"/>
    <d v="2025-05-03T00:00:00"/>
    <s v="OK"/>
    <n v="7"/>
    <s v="CUST-3549"/>
    <s v="Arjun Bose"/>
    <s v="Arjun Bose"/>
    <s v="Home Office"/>
    <x v="3"/>
    <s v="South"/>
    <x v="2"/>
    <s v="Tamil Nadu"/>
    <s v="Tamil Nadu"/>
    <s v="Chennai"/>
    <s v="Chennai"/>
    <s v="Technology"/>
    <x v="2"/>
    <s v="Accessories"/>
    <x v="5"/>
    <s v="Max Accessories 541"/>
    <s v="First Class"/>
    <x v="2"/>
    <n v="7"/>
    <n v="3989.9"/>
    <n v="0.15"/>
    <n v="23739.9"/>
    <n v="17716.52"/>
    <n v="6023.38"/>
    <s v="Paid"/>
    <x v="0"/>
    <s v="Cancelled"/>
    <x v="1"/>
    <s v="ORD-2025-10887|26-04-2025|03-05-2025|CUST-3549|Arjun Bose|Home Office|South|Tamil Nadu|Chennai|Technology|Accessories|Max Accessories 541|First Class|7|3989.9|0.15|23739.9|17716.52|6023.38|Paid|Cancelled"/>
    <s v="Keep"/>
    <n v="1"/>
    <s v="Unique"/>
    <s v=""/>
    <n v="0.15"/>
    <n v="23739.904999999999"/>
    <n v="6023.3849999999984"/>
    <n v="0.25372405660427028"/>
    <n v="4"/>
    <n v="2025"/>
    <b v="0"/>
    <b v="0"/>
    <x v="1"/>
    <s v="Cancelled order excluded"/>
    <s v="Warning"/>
  </r>
  <r>
    <s v="ORD-2024-10888"/>
    <s v="2024-06-12"/>
    <x v="2"/>
    <d v="2024-06-12T00:00:00"/>
    <s v="2024-06-18"/>
    <d v="2024-06-18T00:00:00"/>
    <s v="OK"/>
    <n v="6"/>
    <s v="CUST-2795"/>
    <s v="Aarav Sharma"/>
    <s v="Aarav Sharma"/>
    <s v="Small Business"/>
    <x v="1"/>
    <s v="South"/>
    <x v="2"/>
    <s v="Andhra Pradesh"/>
    <s v="Andhra Pradesh"/>
    <s v="Vijayawada"/>
    <s v="Vijayawada"/>
    <s v="Office Supplies"/>
    <x v="0"/>
    <s v="Art"/>
    <x v="2"/>
    <s v="Prime Art 596"/>
    <s v="Standard Class"/>
    <x v="3"/>
    <n v="4"/>
    <n v="4176.13"/>
    <n v="0"/>
    <n v="16704.52"/>
    <n v="10158.280000000001"/>
    <n v="6546.24"/>
    <s v="Paid"/>
    <x v="0"/>
    <s v="Completed"/>
    <x v="0"/>
    <s v="ORD-2024-10888|06-12-2024|06-18-2024|CUST-2795|Aarav Sharma|Small Business|South|Andhra Pradesh|Vijayawada|Office Supplies|Art|Prime Art 596|Standard Class|4|4176.13|0|16704.52|10158.28|6546.24|Paid|Completed"/>
    <s v="Keep"/>
    <n v="1"/>
    <s v="Unique"/>
    <s v=""/>
    <n v="0"/>
    <n v="16704.52"/>
    <n v="6546.24"/>
    <n v="0.39188435225914897"/>
    <n v="6"/>
    <n v="2024"/>
    <b v="0"/>
    <b v="0"/>
    <x v="0"/>
    <s v=""/>
    <s v="Clean"/>
  </r>
  <r>
    <s v="ORD-2025-10889"/>
    <s v="06-08-2025"/>
    <x v="4"/>
    <d v="2025-08-06T00:00:00"/>
    <s v="07-08-2025"/>
    <d v="2025-08-07T00:00:00"/>
    <s v="OK"/>
    <n v="1"/>
    <s v="CUST-1081"/>
    <s v="Rahul Verma"/>
    <s v="Rahul Verma"/>
    <s v="Small Business"/>
    <x v="1"/>
    <s v="West"/>
    <x v="3"/>
    <s v="Maharashtra"/>
    <s v="Maharashtra"/>
    <s v="Mumbai"/>
    <s v="Mumbai"/>
    <s v="Office Supplies"/>
    <x v="0"/>
    <s v="Art"/>
    <x v="2"/>
    <s v="Pro Art 620"/>
    <s v="Standard Class"/>
    <x v="3"/>
    <n v="4"/>
    <n v="3523.64"/>
    <n v="0.1"/>
    <n v="12685.1"/>
    <n v="10779.56"/>
    <n v="1905.54"/>
    <s v="Refunded"/>
    <x v="1"/>
    <s v="Cancelled"/>
    <x v="1"/>
    <s v="ORD-2025-10889|06-08-2025|07-08-2025|CUST-1081|Rahul Verma|Small Business|West|Maharashtra|Mumbai|Office Supplies|Art|Pro Art 620|Standard Class|4|3523.64|0.1|12685.1|10779.56|1905.54|Refunded|Cancelled"/>
    <s v="Keep"/>
    <n v="1"/>
    <s v="Unique"/>
    <s v=""/>
    <n v="0.1"/>
    <n v="12685.103999999999"/>
    <n v="1905.5439999999999"/>
    <n v="0.15021902855506741"/>
    <n v="8"/>
    <n v="2025"/>
    <b v="0"/>
    <b v="0"/>
    <x v="1"/>
    <s v="Refunded order summarized separately; Cancelled order excluded"/>
    <s v="Warning"/>
  </r>
  <r>
    <s v="ORD-2025-10890"/>
    <s v="10 Mar 2025"/>
    <x v="20"/>
    <d v="2025-03-10T00:00:00"/>
    <s v="03/11/2025"/>
    <d v="2025-03-11T00:00:00"/>
    <s v="OK"/>
    <n v="1"/>
    <s v="CUST-8467"/>
    <s v="Aditi Sen"/>
    <s v="Aditi Sen"/>
    <s v="Home Office"/>
    <x v="3"/>
    <s v="West"/>
    <x v="3"/>
    <s v="Madhya Pradesh"/>
    <s v="Madhya Pradesh"/>
    <s v="Indore"/>
    <s v="Indore"/>
    <s v="Office Supplies"/>
    <x v="0"/>
    <s v="Storage"/>
    <x v="8"/>
    <s v="Prime Storage 806"/>
    <s v="First Class"/>
    <x v="2"/>
    <n v="2"/>
    <n v="3922.08"/>
    <n v="0.25"/>
    <n v="5883.12"/>
    <n v="4647.91"/>
    <n v="1235.21"/>
    <s v="Paid"/>
    <x v="0"/>
    <s v="Returned"/>
    <x v="2"/>
    <s v="ORD-2025-10890|03-10-2025|03-11-2025|CUST-8467|Aditi Sen|Home Office|West|Madhya Pradesh|Indore|Office Supplies|Storage|Prime Storage 806|First Class|2|3922.08|0.25|5883.12|4647.91|1235.21|Paid|Returned"/>
    <s v="Keep"/>
    <n v="1"/>
    <s v="Unique"/>
    <s v=""/>
    <n v="0.25"/>
    <n v="5883.12"/>
    <n v="1235.21"/>
    <n v="0.20995832143488491"/>
    <n v="3"/>
    <n v="2025"/>
    <b v="0"/>
    <b v="0"/>
    <x v="1"/>
    <s v="Returned order excluded"/>
    <s v="Warning"/>
  </r>
  <r>
    <s v="ORD-2024-10891"/>
    <s v="15-05-2024"/>
    <x v="5"/>
    <d v="2024-05-15T00:00:00"/>
    <s v="21-05-2024"/>
    <d v="2024-05-21T00:00:00"/>
    <s v="OK"/>
    <n v="6"/>
    <s v="CUST-3992"/>
    <s v="Karan Malhotra"/>
    <s v="Karan Malhotra"/>
    <s v="Consumer"/>
    <x v="0"/>
    <s v="West"/>
    <x v="3"/>
    <s v="Goa"/>
    <s v="Goa"/>
    <s v="Panaji"/>
    <s v="Panaji"/>
    <s v="Office Supplies"/>
    <x v="0"/>
    <s v="Storage"/>
    <x v="8"/>
    <s v="Smart Storage 288"/>
    <s v="Standard Class"/>
    <x v="3"/>
    <n v="6"/>
    <n v="2909.56"/>
    <n v="0.2"/>
    <n v="13965.89"/>
    <n v="11646.12"/>
    <n v="2319.77"/>
    <s v="Paid"/>
    <x v="0"/>
    <s v="Completed"/>
    <x v="0"/>
    <s v="ORD-2024-10891|15-05-2024|21-05-2024|CUST-3992|Karan Malhotra|Consumer|West|Goa|Panaji|Office Supplies|Storage|Smart Storage 288|Standard Class|6|2909.56|0.2|13965.89|11646.12|2319.77|Paid|Completed"/>
    <s v="Keep"/>
    <n v="1"/>
    <s v="Unique"/>
    <s v=""/>
    <n v="0.2"/>
    <n v="13965.888000000001"/>
    <n v="2319.768"/>
    <n v="0.16610243473239938"/>
    <n v="5"/>
    <n v="2024"/>
    <b v="0"/>
    <b v="0"/>
    <x v="0"/>
    <s v=""/>
    <s v="Clean"/>
  </r>
  <r>
    <s v="ORD-2024-10892"/>
    <s v="08 Oct 2024"/>
    <x v="16"/>
    <d v="2024-10-08T00:00:00"/>
    <s v="09-10-2024"/>
    <d v="2024-10-09T00:00:00"/>
    <s v="OK"/>
    <n v="1"/>
    <s v="CUST-6647"/>
    <s v="Kabir Singh"/>
    <s v="Kabir Singh"/>
    <s v="Corporate"/>
    <x v="2"/>
    <s v="South"/>
    <x v="2"/>
    <s v="Tamil Nadu"/>
    <s v="Tamil Nadu"/>
    <s v="Chennai"/>
    <s v="Chennai"/>
    <s v="Technology"/>
    <x v="2"/>
    <s v="Machines"/>
    <x v="12"/>
    <s v="Elite Machines 281"/>
    <s v="Same Day"/>
    <x v="1"/>
    <n v="5"/>
    <n v="2407.9699999999998"/>
    <n v="0.1"/>
    <n v="10835.86"/>
    <n v="6419.92"/>
    <n v="4415.9399999999996"/>
    <s v="Failed"/>
    <x v="3"/>
    <s v="Cancelled"/>
    <x v="1"/>
    <s v="ORD-2024-10892|10-08-2024|09-10-2024|CUST-6647|Kabir Singh|Corporate|South|Tamil Nadu|Chennai|Technology|Machines|Elite Machines 281|Same Day|5|2407.97|0.1|10835.86|6419.92|4415.94|Failed|Cancelled"/>
    <s v="Keep"/>
    <n v="1"/>
    <s v="Unique"/>
    <s v=""/>
    <n v="0.1"/>
    <n v="10835.865"/>
    <n v="4415.9449999999997"/>
    <n v="0.40753045557507406"/>
    <n v="10"/>
    <n v="2024"/>
    <b v="0"/>
    <b v="0"/>
    <x v="1"/>
    <s v="Failed payment excluded; Cancelled order excluded"/>
    <s v="Warning"/>
  </r>
  <r>
    <s v="ORD-2025-10893"/>
    <s v="04/12/2025"/>
    <x v="6"/>
    <d v="2025-04-12T00:00:00"/>
    <s v="04/18/2025"/>
    <d v="2025-04-18T00:00:00"/>
    <s v="OK"/>
    <n v="6"/>
    <s v="CUST-5087"/>
    <s v="Isha Nair"/>
    <s v="Isha Nair"/>
    <s v="Small Business"/>
    <x v="1"/>
    <s v="East"/>
    <x v="1"/>
    <s v="Jharkhand"/>
    <s v="Jharkhand"/>
    <s v="Ranchi"/>
    <s v="Ranchi"/>
    <s v="Technology"/>
    <x v="2"/>
    <s v="Copiers"/>
    <x v="6"/>
    <s v="Elite Copiers 221"/>
    <s v="Same Day"/>
    <x v="1"/>
    <n v="1"/>
    <n v="726.89"/>
    <n v="0.2"/>
    <n v="581.51"/>
    <n v="423.86"/>
    <n v="157.65"/>
    <s v="Paid"/>
    <x v="0"/>
    <s v="Completed"/>
    <x v="0"/>
    <s v="ORD-2025-10893|04-12-2025|04-18-2025|CUST-5087|Isha Nair|Small Business|East|Jharkhand|Ranchi|Technology|Copiers|Elite Copiers 221|Same Day|1|726.89|0.2|581.51|423.86|157.65|Paid|Completed"/>
    <s v="Keep"/>
    <n v="1"/>
    <s v="Unique"/>
    <s v=""/>
    <n v="0.2"/>
    <n v="581.51200000000006"/>
    <n v="157.65200000000004"/>
    <n v="0.27110704508247468"/>
    <n v="4"/>
    <n v="2025"/>
    <b v="0"/>
    <b v="0"/>
    <x v="0"/>
    <s v=""/>
    <s v="Clean"/>
  </r>
  <r>
    <s v="ORD-2024-10894"/>
    <s v="06 Jun 2024"/>
    <x v="2"/>
    <d v="2024-06-06T00:00:00"/>
    <s v="08 Jun 2024"/>
    <d v="2024-06-08T00:00:00"/>
    <s v="OK"/>
    <n v="2"/>
    <s v="CUST-9297"/>
    <s v="Aarav Sharma"/>
    <s v="Aarav Sharma"/>
    <s v="Corporate"/>
    <x v="2"/>
    <s v="South"/>
    <x v="2"/>
    <s v="Karnataka"/>
    <s v="Karnataka"/>
    <s v="Bengaluru"/>
    <s v="Bengaluru"/>
    <s v="Furniture"/>
    <x v="1"/>
    <s v="Tables"/>
    <x v="1"/>
    <s v="Max Tables 291"/>
    <s v="Second Class"/>
    <x v="0"/>
    <n v="3"/>
    <n v="395.49"/>
    <n v="0.05"/>
    <n v="1127.1500000000001"/>
    <n v="845.62"/>
    <n v="281.52999999999997"/>
    <s v="Paid"/>
    <x v="0"/>
    <s v="Returned"/>
    <x v="2"/>
    <s v="ORD-2024-10894|06-06-2024|06-08-2024|CUST-9297|Aarav Sharma|Corporate|South|Karnataka|Bengaluru|Furniture|Tables|Max Tables 291|Second Class|3|395.49|0.05|1127.15|845.62|281.53|Paid|Returned"/>
    <s v="Keep"/>
    <n v="1"/>
    <s v="Unique"/>
    <s v=""/>
    <n v="0.05"/>
    <n v="1127.1465000000001"/>
    <n v="281.52650000000006"/>
    <n v="0.24976921810962466"/>
    <n v="6"/>
    <n v="2024"/>
    <b v="0"/>
    <b v="0"/>
    <x v="1"/>
    <s v="Returned order excluded"/>
    <s v="Warning"/>
  </r>
  <r>
    <s v="ORD-2024-10895"/>
    <s v="22 Feb 2024"/>
    <x v="17"/>
    <d v="2024-02-22T00:00:00"/>
    <s v="02/29/2024"/>
    <d v="2024-02-29T00:00:00"/>
    <s v="OK"/>
    <n v="7"/>
    <s v="CUST-7996"/>
    <s v="Isha Nair"/>
    <s v="Isha Nair"/>
    <s v="Home Office"/>
    <x v="3"/>
    <s v="South"/>
    <x v="2"/>
    <s v="Telangana"/>
    <s v="Telangana"/>
    <s v="Hyderabad"/>
    <s v="Hyderabad"/>
    <s v="Furniture"/>
    <x v="1"/>
    <s v="Tables"/>
    <x v="1"/>
    <s v="Classic Tables 638"/>
    <s v="First Class"/>
    <x v="2"/>
    <n v="6"/>
    <n v="4254.05"/>
    <n v="0"/>
    <n v="25524.3"/>
    <n v="16711.93"/>
    <n v="8812.3700000000008"/>
    <s v="Paid"/>
    <x v="0"/>
    <s v="Completed"/>
    <x v="0"/>
    <s v="ORD-2024-10895|02-22-2024|02-29-2024|CUST-7996|Isha Nair|Home Office|South|Telangana|Hyderabad|Furniture|Tables|Classic Tables 638|First Class|6|4254.05|0|25524.3|16711.93|8812.37|Paid|Completed"/>
    <s v="Keep"/>
    <n v="1"/>
    <s v="Unique"/>
    <s v=""/>
    <n v="0"/>
    <n v="25524.300000000003"/>
    <n v="8812.3700000000026"/>
    <n v="0.34525413037771857"/>
    <n v="2"/>
    <n v="2024"/>
    <b v="0"/>
    <b v="0"/>
    <x v="0"/>
    <s v=""/>
    <s v="Clean"/>
  </r>
  <r>
    <s v="ORD-2024-10896"/>
    <s v="05 Nov 2024"/>
    <x v="3"/>
    <d v="2024-11-05T00:00:00"/>
    <s v="11/10/2024"/>
    <d v="2024-11-10T00:00:00"/>
    <s v="OK"/>
    <n v="5"/>
    <s v="CUST-4117"/>
    <s v="Arjun Bose"/>
    <s v="Arjun Bose"/>
    <s v="Consumer"/>
    <x v="0"/>
    <s v="South"/>
    <x v="2"/>
    <s v="Kerala"/>
    <s v="Kerala"/>
    <s v="Kochi"/>
    <s v="Kochi"/>
    <s v="Furniture"/>
    <x v="1"/>
    <s v="Chairs"/>
    <x v="4"/>
    <s v="Basic Chairs 212"/>
    <s v="Same Day"/>
    <x v="1"/>
    <n v="4"/>
    <n v="711.18"/>
    <n v="0.15"/>
    <n v="2418.0100000000002"/>
    <n v="1441.89"/>
    <n v="976.12"/>
    <s v="Pending"/>
    <x v="2"/>
    <s v="Returned"/>
    <x v="2"/>
    <s v="ORD-2024-10896|11-05-2024|11-10-2024|CUST-4117|Arjun Bose|Consumer|South|Kerala|Kochi|Furniture|Chairs|Basic Chairs 212|Same Day|4|711.18|0.15|2418.01|1441.89|976.12|Pending|Returned"/>
    <s v="Keep"/>
    <n v="1"/>
    <s v="Unique"/>
    <s v=""/>
    <n v="0.15"/>
    <n v="2418.0119999999997"/>
    <n v="976.12199999999962"/>
    <n v="0.40368782288921634"/>
    <n v="11"/>
    <n v="2024"/>
    <b v="0"/>
    <b v="0"/>
    <x v="1"/>
    <s v="Returned order excluded"/>
    <s v="Warning"/>
  </r>
  <r>
    <s v="ORD-2024-10897"/>
    <s v="12/24/2024"/>
    <x v="10"/>
    <d v="2024-12-24T00:00:00"/>
    <s v="25-12-2024"/>
    <d v="2024-12-25T00:00:00"/>
    <s v="OK"/>
    <n v="1"/>
    <s v="CUST-4848"/>
    <s v="Ananya Rao"/>
    <s v="Ananya Rao"/>
    <s v="Small Business"/>
    <x v="1"/>
    <s v="South"/>
    <x v="2"/>
    <s v="Tamil Nadu"/>
    <s v="Tamil Nadu"/>
    <s v="Chennai"/>
    <s v="Chennai"/>
    <s v="Technology"/>
    <x v="2"/>
    <s v="Copiers"/>
    <x v="6"/>
    <s v="Max Copiers 121"/>
    <s v="Second Class"/>
    <x v="0"/>
    <n v="1"/>
    <n v="3693.03"/>
    <n v="0.05"/>
    <n v="3508.38"/>
    <n v="2828.06"/>
    <n v="680.32"/>
    <s v="Failed"/>
    <x v="3"/>
    <s v="Returned"/>
    <x v="2"/>
    <s v="ORD-2024-10897|12-24-2024|25-12-2024|CUST-4848|Ananya Rao|Small Business|South|Tamil Nadu|Chennai|Technology|Copiers|Max Copiers 121|Second Class|1|3693.03|0.05|3508.38|2828.06|680.32|Failed|Returned"/>
    <s v="Keep"/>
    <n v="1"/>
    <s v="Unique"/>
    <s v=""/>
    <n v="0.05"/>
    <n v="3508.3784999999998"/>
    <n v="680.31849999999986"/>
    <n v="0.19391251542557336"/>
    <n v="12"/>
    <n v="2024"/>
    <b v="0"/>
    <b v="0"/>
    <x v="1"/>
    <s v="Failed payment excluded; Returned order excluded"/>
    <s v="Warning"/>
  </r>
  <r>
    <s v="ORD-2025-10898"/>
    <s v="04/29/2025"/>
    <x v="6"/>
    <d v="2025-04-29T00:00:00"/>
    <s v="03 May 2025"/>
    <d v="2025-05-03T00:00:00"/>
    <s v="OK"/>
    <n v="4"/>
    <s v="CUST-2897"/>
    <s v="Rohan Mehta"/>
    <s v="Rohan Mehta"/>
    <s v="Corporate"/>
    <x v="2"/>
    <s v="North"/>
    <x v="0"/>
    <s v="Haryana"/>
    <s v="Haryana"/>
    <s v="Gurugram"/>
    <s v="Gurugram"/>
    <s v="Office Supplies"/>
    <x v="0"/>
    <s v="Paper"/>
    <x v="0"/>
    <s v="Eco Paper 747"/>
    <s v="First Class"/>
    <x v="2"/>
    <n v="4"/>
    <n v="1786.65"/>
    <n v="0.05"/>
    <n v="6789.27"/>
    <n v="5626.43"/>
    <n v="1162.8399999999999"/>
    <s v="Paid"/>
    <x v="0"/>
    <s v="Completed"/>
    <x v="0"/>
    <s v="ORD-2025-10898|04-29-2025|05-03-2025|CUST-2897|Rohan Mehta|Corporate|North|Haryana|Gurugram|Office Supplies|Paper|Eco Paper 747|First Class|4|1786.65|0.05|6789.27|5626.43|1162.84|Paid|Completed"/>
    <s v="Keep"/>
    <n v="1"/>
    <s v="Unique"/>
    <s v=""/>
    <n v="0.05"/>
    <n v="6789.27"/>
    <n v="1162.8400000000001"/>
    <n v="0.17127614603631908"/>
    <n v="4"/>
    <n v="2025"/>
    <b v="0"/>
    <b v="0"/>
    <x v="0"/>
    <s v=""/>
    <s v="Clean"/>
  </r>
  <r>
    <s v="ORD-2024-10899"/>
    <s v="2024-06-02"/>
    <x v="2"/>
    <d v="2024-06-02T00:00:00"/>
    <s v="06/08/2024"/>
    <d v="2024-06-08T00:00:00"/>
    <s v="OK"/>
    <n v="6"/>
    <s v="CUST-6046"/>
    <s v="Vikram Iyer"/>
    <s v="Vikram Iyer"/>
    <s v="Consumer"/>
    <x v="0"/>
    <s v="North"/>
    <x v="0"/>
    <s v="Delhi"/>
    <s v="Delhi"/>
    <s v="New Delhi"/>
    <s v="New Delhi"/>
    <s v="Furniture"/>
    <x v="1"/>
    <s v="Tables"/>
    <x v="1"/>
    <s v="Classic Tables 535"/>
    <s v="First Class"/>
    <x v="2"/>
    <n v="4"/>
    <n v="1536.7"/>
    <n v="0.2"/>
    <n v="4917.4399999999996"/>
    <n v="3846.77"/>
    <n v="1070.67"/>
    <s v="Paid"/>
    <x v="0"/>
    <s v="Completed"/>
    <x v="0"/>
    <s v="ORD-2024-10899|06-02-2024|06-08-2024|CUST-6046|Vikram Iyer|Consumer|North|Delhi|New Delhi|Furniture|Tables|Classic Tables 535|First Class|4|1536.7|0.2|4917.44|3846.77|1070.67|Paid|Completed"/>
    <s v="Keep"/>
    <n v="1"/>
    <s v="Unique"/>
    <s v=""/>
    <n v="0.2"/>
    <n v="4917.4400000000005"/>
    <n v="1070.6700000000005"/>
    <n v="0.21772914361944434"/>
    <n v="6"/>
    <n v="2024"/>
    <b v="0"/>
    <b v="0"/>
    <x v="0"/>
    <s v=""/>
    <s v="Clean"/>
  </r>
  <r>
    <s v="ORD-2025-10900"/>
    <s v="27 May 2025"/>
    <x v="9"/>
    <d v="2025-05-27T00:00:00"/>
    <s v="06/03/2025"/>
    <d v="2025-06-03T00:00:00"/>
    <s v="OK"/>
    <n v="7"/>
    <s v="CUST-3789"/>
    <s v="Karan Malhotra"/>
    <s v="Karan Malhotra"/>
    <s v="Consumer"/>
    <x v="0"/>
    <s v="North"/>
    <x v="0"/>
    <s v="Punjab"/>
    <s v="Punjab"/>
    <s v="Ludhiana"/>
    <s v="Ludhiana"/>
    <s v="Furniture"/>
    <x v="1"/>
    <s v="Chairs"/>
    <x v="4"/>
    <s v="Elite Chairs 971"/>
    <s v="First Class"/>
    <x v="2"/>
    <n v="5"/>
    <n v="881.08"/>
    <n v="0.25"/>
    <n v="3304.05"/>
    <n v="2279.41"/>
    <n v="1024.6400000000001"/>
    <s v="Failed"/>
    <x v="3"/>
    <s v="Cancelled"/>
    <x v="1"/>
    <s v="ORD-2025-10900|05-27-2025|06-03-2025|CUST-3789|Karan Malhotra|Consumer|North|Punjab|Ludhiana|Furniture|Chairs|Elite Chairs 971|First Class|5|881.08|0.25|3304.05|2279.41|1024.64|Failed|Cancelled"/>
    <s v="Keep"/>
    <n v="1"/>
    <s v="Unique"/>
    <s v=""/>
    <n v="0.25"/>
    <n v="3304.05"/>
    <n v="1024.6400000000003"/>
    <n v="0.31011637233092726"/>
    <n v="5"/>
    <n v="2025"/>
    <b v="0"/>
    <b v="0"/>
    <x v="1"/>
    <s v="Failed payment excluded; Cancelled order excluded"/>
    <s v="Warning"/>
  </r>
  <r>
    <s v="ORD-2024-10332"/>
    <s v="04-12-2024"/>
    <x v="10"/>
    <d v="2024-12-04T00:00:00"/>
    <s v="2024-12-06"/>
    <d v="2024-12-06T00:00:00"/>
    <s v="OK"/>
    <n v="2"/>
    <s v="CUST-9346"/>
    <s v="Sneha Kapoor"/>
    <s v="Sneha Kapoor"/>
    <s v="Home Office"/>
    <x v="3"/>
    <s v="East"/>
    <x v="1"/>
    <s v="Odisha"/>
    <s v="Odisha"/>
    <s v="Bhubaneswar"/>
    <s v="Bhubaneswar"/>
    <s v="Office Supplies"/>
    <x v="0"/>
    <s v="Binders"/>
    <x v="9"/>
    <s v="Smart Binders 939"/>
    <s v="Second Class"/>
    <x v="0"/>
    <n v="4"/>
    <n v="2685.66"/>
    <n v="0"/>
    <n v="10989.89"/>
    <n v="6477.37"/>
    <n v="4265.2700000000004"/>
    <s v="Paid"/>
    <x v="0"/>
    <s v="Completed"/>
    <x v="0"/>
    <s v="ORD-2024-10332|04-12-2024|12-06-2024|CUST-9346|Sneha Kapoor|Home Office|East|Odisha|Bhubaneswar|Office Supplies|Binders|Smart Binders 939|Second Class|4|2685.66|0|10989.89|6477.37|4265.27|Paid|Completed"/>
    <s v="Keep"/>
    <n v="2"/>
    <s v="Duplicate order_id"/>
    <s v="Review conflicting duplicate"/>
    <n v="0"/>
    <n v="10742.64"/>
    <n v="4265.2699999999995"/>
    <n v="0.39704113700170535"/>
    <n v="12"/>
    <n v="2024"/>
    <b v="1"/>
    <b v="0"/>
    <x v="1"/>
    <s v="Duplicate order ID conflict; Sales mismatch"/>
    <s v="Invalid"/>
  </r>
  <r>
    <s v="ORD-2025-10091"/>
    <s v="08/24/2025"/>
    <x v="4"/>
    <d v="2025-08-24T00:00:00"/>
    <s v="29 Aug 2025"/>
    <d v="2025-08-29T00:00:00"/>
    <s v="OK"/>
    <n v="5"/>
    <s v="CUST-5909"/>
    <s v="Aarav Sharma"/>
    <s v="Aarav Sharma"/>
    <s v="Small Business"/>
    <x v="1"/>
    <s v="East"/>
    <x v="1"/>
    <s v="Bihar"/>
    <s v="Bihar"/>
    <s v="Patna"/>
    <s v="Patna"/>
    <s v="Technology"/>
    <x v="2"/>
    <s v="Copiers"/>
    <x v="6"/>
    <s v="Smart Copiers 556"/>
    <s v="First Class"/>
    <x v="2"/>
    <n v="3"/>
    <n v="3703.96"/>
    <n v="0.15"/>
    <n v="9549.44"/>
    <n v="5586.28"/>
    <n v="3858.82"/>
    <s v="Paid"/>
    <x v="0"/>
    <s v="Returned"/>
    <x v="2"/>
    <s v="ORD-2025-10091|08-24-2025|08-29-2025|CUST-5909|Aarav Sharma|Small Business|East|Bihar|Patna|Technology|Copiers|Smart Copiers 556|First Class|3|3703.96|0.15|9549.44|5586.28|3858.82|Paid|Returned"/>
    <s v="Keep"/>
    <n v="2"/>
    <s v="Duplicate order_id"/>
    <s v="Review conflicting duplicate"/>
    <n v="0.15"/>
    <n v="9445.098"/>
    <n v="3858.8180000000002"/>
    <n v="0.40855245758170006"/>
    <n v="8"/>
    <n v="2025"/>
    <b v="1"/>
    <b v="0"/>
    <x v="1"/>
    <s v="Returned order excluded; Duplicate order ID conflict; Sales mismatch"/>
    <s v="Invalid"/>
  </r>
  <r>
    <s v="ORD-2025-10374"/>
    <s v="2025-04-13"/>
    <x v="6"/>
    <d v="2025-04-13T00:00:00"/>
    <s v="2025-04-13"/>
    <d v="2025-04-13T00:00:00"/>
    <s v="OK"/>
    <n v="0"/>
    <s v="CUST-8566"/>
    <s v="Sneha Kapoor"/>
    <s v="Sneha Kapoor"/>
    <s v="Small Business"/>
    <x v="1"/>
    <s v="North"/>
    <x v="0"/>
    <s v="Uttar Pradesh"/>
    <s v="Uttar Pradesh"/>
    <s v="Noida"/>
    <s v="Noida"/>
    <s v="Office Supplies"/>
    <x v="0"/>
    <s v="Storage"/>
    <x v="8"/>
    <s v="Prime Storage 951"/>
    <s v="Second Class"/>
    <x v="0"/>
    <n v="9"/>
    <n v="1118.68"/>
    <n v="0"/>
    <n v="10348.43"/>
    <n v="8595.3700000000008"/>
    <n v="1472.75"/>
    <s v="Paid"/>
    <x v="0"/>
    <s v="Returned"/>
    <x v="2"/>
    <s v="ORD-2025-10374|04-13-2025|04-13-2025|CUST-8566|Sneha Kapoor|Small Business|North|Uttar Pradesh|Noida|Office Supplies|Storage|Prime Storage 951|Second Class|9|1118.68|0|10348.43|8595.37|1472.75|Paid|Returned"/>
    <s v="Keep"/>
    <n v="2"/>
    <s v="Duplicate order_id"/>
    <s v="Review conflicting duplicate"/>
    <n v="0"/>
    <n v="10068.120000000001"/>
    <n v="1472.75"/>
    <n v="0.14627855051389932"/>
    <n v="4"/>
    <n v="2025"/>
    <b v="1"/>
    <b v="0"/>
    <x v="1"/>
    <s v="Returned order excluded; Duplicate order ID conflict; Sales mismatch"/>
    <s v="Invalid"/>
  </r>
  <r>
    <s v="ORD-2025-10225"/>
    <s v="10/02/2025"/>
    <x v="11"/>
    <d v="2025-10-02T00:00:00"/>
    <s v="08 Oct 2025"/>
    <d v="2025-10-08T00:00:00"/>
    <s v="OK"/>
    <n v="6"/>
    <s v="CUST-9871"/>
    <s v="Isha Nair"/>
    <s v="Isha Nair"/>
    <s v="Small Business"/>
    <x v="1"/>
    <s v="North"/>
    <x v="0"/>
    <s v="Punjab"/>
    <s v="Punjab"/>
    <s v="Ludhiana"/>
    <s v="Ludhiana"/>
    <s v="Furniture"/>
    <x v="1"/>
    <s v="Furnishings"/>
    <x v="3"/>
    <s v="Classic Furnishings 109"/>
    <s v="Standard Class"/>
    <x v="3"/>
    <n v="4"/>
    <n v="3944.64"/>
    <n v="0.25"/>
    <n v="12116.89"/>
    <n v="6682.92"/>
    <n v="5151"/>
    <s v="Paid"/>
    <x v="0"/>
    <s v="Returned"/>
    <x v="2"/>
    <s v="ORD-2025-10225|10-02-2025|10-08-2025|CUST-9871|Isha Nair|Small Business|North|Punjab|Ludhiana|Furniture|Furnishings|Classic Furnishings 109|Standard Class|4|3944.64|0.25|12116.89|6682.92|5151|Paid|Returned"/>
    <s v="Keep"/>
    <n v="2"/>
    <s v="Duplicate order_id"/>
    <s v="Review conflicting duplicate"/>
    <n v="0.25"/>
    <n v="11833.92"/>
    <n v="5151"/>
    <n v="0.43527419485681834"/>
    <n v="10"/>
    <n v="2025"/>
    <b v="1"/>
    <b v="0"/>
    <x v="1"/>
    <s v="Returned order excluded; Duplicate order ID conflict; Sales mismatch"/>
    <s v="Invalid"/>
  </r>
  <r>
    <s v="ORD-2025-10315"/>
    <s v="05/18/2025"/>
    <x v="9"/>
    <d v="2025-05-18T00:00:00"/>
    <s v="20 May 2025"/>
    <d v="2025-05-20T00:00:00"/>
    <s v="OK"/>
    <n v="2"/>
    <s v="CUST-1945"/>
    <s v="Isha Nair"/>
    <s v="Isha Nair"/>
    <s v="Corporate"/>
    <x v="2"/>
    <s v="West"/>
    <x v="3"/>
    <s v="Madhya Pradesh"/>
    <s v="Madhya Pradesh"/>
    <s v="Indore"/>
    <s v="Indore"/>
    <s v="Office Supplies"/>
    <x v="0"/>
    <s v="Labels"/>
    <x v="7"/>
    <s v="Elite Labels 544"/>
    <s v="Standard Class"/>
    <x v="3"/>
    <n v="9"/>
    <n v="847.76"/>
    <n v="0.15"/>
    <n v="6589.37"/>
    <n v="5376.17"/>
    <n v="1109.19"/>
    <s v="Failed"/>
    <x v="3"/>
    <s v="Completed"/>
    <x v="0"/>
    <s v="ORD-2025-10315|05-18-2025|05-20-2025|CUST-1945|Isha Nair|Corporate|West|Madhya Pradesh|Indore|Office Supplies|Labels|Elite Labels 544|Standard Class|9|847.76|0.15|6589.37|5376.17|1109.19|Failed|Completed"/>
    <s v="Keep"/>
    <n v="2"/>
    <s v="Duplicate order_id"/>
    <s v="Review conflicting duplicate"/>
    <n v="0.15"/>
    <n v="6485.3639999999996"/>
    <n v="1109.1939999999995"/>
    <n v="0.17103033846673826"/>
    <n v="5"/>
    <n v="2025"/>
    <b v="1"/>
    <b v="0"/>
    <x v="1"/>
    <s v="Failed payment excluded; Duplicate order ID conflict; Sales mismatch"/>
    <s v="Invalid"/>
  </r>
  <r>
    <s v="ORD-2025-10171"/>
    <s v="07-09-2025"/>
    <x v="8"/>
    <d v="2025-09-07T00:00:00"/>
    <s v="09/15/2025"/>
    <d v="2025-09-15T00:00:00"/>
    <s v="OK"/>
    <n v="8"/>
    <s v="CUST-3734"/>
    <s v="Rohan Mehta"/>
    <s v="Rohan Mehta"/>
    <s v="Corporate"/>
    <x v="2"/>
    <s v="East"/>
    <x v="1"/>
    <s v="Bihar"/>
    <s v="Bihar"/>
    <s v="Patna"/>
    <s v="Patna"/>
    <s v="Technology"/>
    <x v="2"/>
    <s v="Copiers"/>
    <x v="6"/>
    <s v="Eco Copiers 102"/>
    <s v="Standard Class"/>
    <x v="3"/>
    <n v="3"/>
    <n v="1711.32"/>
    <n v="0"/>
    <n v="5206.53"/>
    <n v="3930"/>
    <n v="1203.96"/>
    <s v="Paid"/>
    <x v="0"/>
    <s v="Returned"/>
    <x v="2"/>
    <s v="ORD-2025-10171|07-09-2025|09-15-2025|CUST-3734|Rohan Mehta|Corporate|East|Bihar|Patna|Technology|Copiers|Eco Copiers 102|Standard Class|3|1711.32|0|5206.53|3930|1203.96|Paid|Returned"/>
    <s v="Keep"/>
    <n v="2"/>
    <s v="Duplicate order_id"/>
    <s v="Review conflicting duplicate"/>
    <n v="0"/>
    <n v="5133.96"/>
    <n v="1203.96"/>
    <n v="0.23450903396208775"/>
    <n v="9"/>
    <n v="2025"/>
    <b v="1"/>
    <b v="0"/>
    <x v="1"/>
    <s v="Returned order excluded; Duplicate order ID conflict; Sales mismatch"/>
    <s v="Invalid"/>
  </r>
  <r>
    <s v="ORD-2024-10424"/>
    <s v="2024-02-20"/>
    <x v="17"/>
    <d v="2024-02-20T00:00:00"/>
    <s v="27-02-2024"/>
    <d v="2024-02-27T00:00:00"/>
    <s v="OK"/>
    <n v="7"/>
    <s v="CUST-6169"/>
    <s v="Diya Patel"/>
    <s v="Diya Patel"/>
    <s v="Consumer"/>
    <x v="0"/>
    <s v="South"/>
    <x v="2"/>
    <s v="Kerala"/>
    <s v="Kerala"/>
    <s v="Kochi"/>
    <s v="Kochi"/>
    <s v="Technology"/>
    <x v="2"/>
    <s v="Accessories"/>
    <x v="5"/>
    <s v="Prime Accessories 236"/>
    <s v="First Class"/>
    <x v="2"/>
    <n v="9"/>
    <n v="3779.31"/>
    <n v="0.2"/>
    <n v="27322.9"/>
    <n v="17940.43"/>
    <n v="9270.6"/>
    <s v="Paid"/>
    <x v="0"/>
    <s v="Returned"/>
    <x v="2"/>
    <s v="ORD-2024-10424|02-20-2024|27-02-2024|CUST-6169|Diya Patel|Consumer|South|Kerala|Kochi|Technology|Accessories|Prime Accessories 236|FIRST CLASS|9|3779.31|0.2|27322.9|17940.43|9270.6|Paid|Returned"/>
    <s v="Keep"/>
    <n v="2"/>
    <s v="Duplicate order_id"/>
    <s v="Review conflicting duplicate"/>
    <n v="0.2"/>
    <n v="27211.032000000003"/>
    <n v="9270.6020000000026"/>
    <n v="0.34069277490100347"/>
    <n v="2"/>
    <n v="2024"/>
    <b v="1"/>
    <b v="0"/>
    <x v="1"/>
    <s v="Returned order excluded; Duplicate order ID conflict; Sales mismatch"/>
    <s v="Invalid"/>
  </r>
  <r>
    <s v="ORD-2025-10572"/>
    <s v="10 Feb 2025"/>
    <x v="7"/>
    <d v="2025-02-10T00:00:00"/>
    <s v="2025-02-14"/>
    <d v="2025-02-14T00:00:00"/>
    <s v="OK"/>
    <n v="4"/>
    <s v="CUST-3425"/>
    <s v="Priya Menon"/>
    <s v="Priya Menon"/>
    <s v="Small Business"/>
    <x v="1"/>
    <s v="North"/>
    <x v="0"/>
    <s v="Uttar Pradesh"/>
    <s v="Uttar Pradesh"/>
    <s v="Noida"/>
    <s v="Noida"/>
    <s v="Technology"/>
    <x v="2"/>
    <s v="Phones"/>
    <x v="11"/>
    <s v="Prime Phones 895"/>
    <m/>
    <x v="4"/>
    <n v="5"/>
    <n v="4276.29"/>
    <n v="0"/>
    <n v="21443.63"/>
    <n v="13240.21"/>
    <n v="8141.24"/>
    <s v="Failed"/>
    <x v="3"/>
    <s v="Completed"/>
    <x v="0"/>
    <s v="ORD-2025-10572|02-10-2025|02-14-2025|CUST-3425|Priya Menon|Small Business|North|Uttar Pradesh|Noida|Technology|Phones|Prime Phones 895||5|4276.29|0|21443.63|13240.21|8141.24|Failed|Completed"/>
    <s v="Keep"/>
    <n v="2"/>
    <s v="Duplicate order_id"/>
    <s v="Review conflicting duplicate"/>
    <n v="0"/>
    <n v="21381.45"/>
    <n v="8141.2400000000016"/>
    <n v="0.38076182859441249"/>
    <n v="2"/>
    <n v="2025"/>
    <b v="1"/>
    <b v="0"/>
    <x v="1"/>
    <s v="Missing ship mode filled as Unknown; Failed payment excluded; Duplicate order ID conflict; Sales mismatch"/>
    <s v="Invalid"/>
  </r>
  <r>
    <s v="ORD-2024-10143"/>
    <s v="30 Mar 2024"/>
    <x v="15"/>
    <d v="2024-03-30T00:00:00"/>
    <s v="26 Mar 2024"/>
    <d v="2024-03-26T00:00:00"/>
    <s v="Ship date before order date"/>
    <n v="-4"/>
    <s v="CUST-8944"/>
    <s v="Aditi Sen"/>
    <s v="Aditi Sen"/>
    <s v="Home Office"/>
    <x v="3"/>
    <s v="North"/>
    <x v="0"/>
    <s v="Rajasthan"/>
    <s v="Rajasthan"/>
    <s v="Jaipur"/>
    <s v="Jaipur"/>
    <s v="Technology"/>
    <x v="2"/>
    <s v="Phones"/>
    <x v="11"/>
    <s v="Classic Phones 142"/>
    <s v="Second Class"/>
    <x v="0"/>
    <n v="5"/>
    <n v="907.54"/>
    <n v="0.15"/>
    <n v="4099.6899999999996"/>
    <n v="2769.26"/>
    <n v="1087.78"/>
    <s v="Paid"/>
    <x v="0"/>
    <s v="Returned"/>
    <x v="2"/>
    <s v="ORD-2024-10143|03-30-2024|03-26-2024|CUST-8944|Aditi Sen|Home Office|North|Rajasthan|Jaipur|Technology|Phones|Classic Phones 142|Second Class|5|907.54|0.15|4099.69|2769.26|1087.78|Paid|Returned"/>
    <s v="Keep"/>
    <n v="2"/>
    <s v="Duplicate order_id"/>
    <s v="Review conflicting duplicate"/>
    <n v="0.15"/>
    <n v="3857.0449999999996"/>
    <n v="1087.7849999999994"/>
    <n v="0.28202548842442843"/>
    <n v="3"/>
    <n v="2024"/>
    <b v="1"/>
    <b v="0"/>
    <x v="1"/>
    <s v="Ship date before order date; Returned order excluded; Duplicate order ID conflict; Sales mismatch"/>
    <s v="Invalid"/>
  </r>
  <r>
    <s v="ORD-2024-10273"/>
    <s v="08/18/2024"/>
    <x v="1"/>
    <d v="2024-08-18T00:00:00"/>
    <s v="24 Aug 2024"/>
    <d v="2024-08-24T00:00:00"/>
    <s v="OK"/>
    <n v="6"/>
    <s v="CUST-7389"/>
    <s v="Arjun Bose"/>
    <s v="Arjun Bose"/>
    <s v="Consumer"/>
    <x v="0"/>
    <s v="South"/>
    <x v="2"/>
    <s v="Andhra Pradesh"/>
    <s v="Andhra Pradesh"/>
    <s v="Vijayawada"/>
    <s v="Vijayawada"/>
    <s v="Furniture"/>
    <x v="1"/>
    <s v="Chairs"/>
    <x v="4"/>
    <s v="Eco Chairs 314"/>
    <s v="First Class"/>
    <x v="2"/>
    <n v="7"/>
    <n v="557.21"/>
    <n v="0.1"/>
    <n v="3797.79"/>
    <n v="2191.5"/>
    <n v="1213.48"/>
    <s v="Paid"/>
    <x v="0"/>
    <s v="Returned"/>
    <x v="2"/>
    <s v="ORD-2024-10273|08-18-2024|08-24-2024|CUST-7389|Arjun Bose|Consumer|South|Andhra Pradesh|Vijayawada|Furniture|Chairs|Eco Chairs 314|First Class|7|557.21|0.1|3797.79|2191.5|1213.48|Paid|Returned"/>
    <s v="Keep"/>
    <n v="2"/>
    <s v="Duplicate order_id"/>
    <s v="Review conflicting duplicate"/>
    <n v="0.1"/>
    <n v="3510.4230000000002"/>
    <n v="1318.9230000000002"/>
    <n v="0.37571625983535323"/>
    <n v="8"/>
    <n v="2024"/>
    <b v="1"/>
    <b v="1"/>
    <x v="1"/>
    <s v="Returned order excluded; Duplicate order ID conflict; Sales mismatch; Profit mismatch"/>
    <s v="Invalid"/>
  </r>
  <r>
    <s v="ORD-2024-10124"/>
    <s v="05/24/2024"/>
    <x v="5"/>
    <d v="2024-05-24T00:00:00"/>
    <s v="25 May 2024"/>
    <d v="2024-05-25T00:00:00"/>
    <s v="OK"/>
    <n v="1"/>
    <s v="CUST-1007"/>
    <s v="Sneha Kapoor"/>
    <s v="Sneha Kapoor"/>
    <s v="Small Business"/>
    <x v="1"/>
    <s v="North"/>
    <x v="0"/>
    <s v="Punjab"/>
    <s v="Punjab"/>
    <s v="Ludhiana"/>
    <s v="Ludhiana"/>
    <s v="Technology"/>
    <x v="2"/>
    <s v="Copiers"/>
    <x v="6"/>
    <s v="Max Copiers 970"/>
    <s v="Same Day"/>
    <x v="1"/>
    <n v="1"/>
    <n v="634.13"/>
    <n v="0"/>
    <n v="808.67"/>
    <n v="453.35"/>
    <n v="180.78"/>
    <s v="Refunded"/>
    <x v="1"/>
    <s v="Returned"/>
    <x v="2"/>
    <s v="ORD-2024-10124|05-24-2024|05-25-2024|CUST-1007|Sneha Kapoor|Small Business|NORTH|Punjab|Ludhiana|Technology|Copiers|Max Copiers 970|Same Day|1|634.13|0|808.67|453.35|180.78|Refunded|Returned"/>
    <s v="Keep"/>
    <n v="2"/>
    <s v="Duplicate order_id"/>
    <s v="Review conflicting duplicate"/>
    <n v="0"/>
    <n v="634.13"/>
    <n v="180.77999999999997"/>
    <n v="0.28508350022865969"/>
    <n v="5"/>
    <n v="2024"/>
    <b v="1"/>
    <b v="0"/>
    <x v="1"/>
    <s v="Refunded order summarized separately; Returned order excluded; Duplicate order ID conflict; Sales mismatch"/>
    <s v="Invalid"/>
  </r>
  <r>
    <s v="ORD-2025-10336"/>
    <s v="06/16/2025"/>
    <x v="18"/>
    <d v="2025-06-16T00:00:00"/>
    <s v="18 Jun 2025"/>
    <d v="2025-06-18T00:00:00"/>
    <s v="OK"/>
    <n v="2"/>
    <s v="CUST-3621"/>
    <s v="Rahul Verma"/>
    <s v="Rahul Verma"/>
    <s v="Home Office"/>
    <x v="3"/>
    <s v="West"/>
    <x v="3"/>
    <s v="Madhya Pradesh"/>
    <s v="Madhya Pradesh"/>
    <s v="Indore"/>
    <s v="Indore"/>
    <s v="Office Supplies"/>
    <x v="0"/>
    <s v="Paper"/>
    <x v="0"/>
    <s v="Prime Paper 559"/>
    <s v="First Class"/>
    <x v="2"/>
    <n v="3"/>
    <n v="4289.37"/>
    <n v="0.1"/>
    <n v="11778.71"/>
    <n v="6829.43"/>
    <n v="4751.87"/>
    <s v="Paid"/>
    <x v="0"/>
    <s v="Returned"/>
    <x v="2"/>
    <s v="ORD-2025-10336|06-16-2025|06-18-2025|CUST-3621|Rahul Verma|Home Office|West|Madhya Pradesh|Indore|Office Supplies|Paper|Prime Paper 559|First Class|3|4289.37|0.1|11778.71|6829.43|4751.87|Paid|Returned"/>
    <s v="Keep"/>
    <n v="2"/>
    <s v="Duplicate order_id"/>
    <s v="Review conflicting duplicate"/>
    <n v="0.1"/>
    <n v="11581.299000000001"/>
    <n v="4751.8690000000006"/>
    <n v="0.41030535521101735"/>
    <n v="6"/>
    <n v="2025"/>
    <b v="1"/>
    <b v="0"/>
    <x v="1"/>
    <s v="Returned order excluded; Duplicate order ID conflict; Sales mismatch"/>
    <s v="Invali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77352-4234-40C6-978F-8FB499000D7F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3:D9" firstHeaderRow="0" firstDataRow="1" firstDataCol="1" rowPageCount="1" colPageCount="1"/>
  <pivotFields count="52">
    <pivotField dataField="1"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4" outline="0" showAll="0"/>
    <pivotField dataField="1" compact="0" numFmtId="4" outline="0" showAll="0"/>
    <pivotField compact="0" numFmtId="1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1"/>
        <item x="0"/>
        <item t="default"/>
      </items>
    </pivotField>
    <pivotField compact="0" outline="0" showAll="0"/>
    <pivotField compact="0" outline="0" showAll="0"/>
  </pivotFields>
  <rowFields count="1">
    <field x="14"/>
  </rowFields>
  <rowItems count="6">
    <i>
      <x v="3"/>
    </i>
    <i>
      <x v="1"/>
    </i>
    <i>
      <x/>
    </i>
    <i>
      <x v="4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9" item="1" hier="-1"/>
  </pageFields>
  <dataFields count="3">
    <dataField name="total_sales" fld="42" baseField="0" baseItem="0" numFmtId="4"/>
    <dataField name="total_profit" fld="43" baseField="0" baseItem="0" numFmtId="4"/>
    <dataField name="Count of order_id" fld="0" subtotal="count" baseField="0" baseItem="0"/>
  </dataField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BD9236-2CA6-4035-8B6D-5AA8D85848F5}" name="PivotTable3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20" firstHeaderRow="0" firstDataRow="1" firstDataCol="2" rowPageCount="1" colPageCount="1"/>
  <pivotFields count="52">
    <pivotField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1"/>
        <item x="0"/>
        <item x="2"/>
        <item t="default"/>
      </items>
    </pivotField>
    <pivotField compact="0" outline="0" showAll="0"/>
    <pivotField axis="axisRow" compact="0" outline="0" showAll="0">
      <items count="14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4" outline="0" showAll="0"/>
    <pivotField dataField="1" compact="0" numFmtId="4" outline="0" showAll="0"/>
    <pivotField compact="0" numFmtId="1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1"/>
        <item x="0"/>
        <item t="default"/>
      </items>
    </pivotField>
    <pivotField compact="0" outline="0" showAll="0"/>
    <pivotField compact="0" outline="0" showAll="0"/>
  </pivotFields>
  <rowFields count="2">
    <field x="20"/>
    <field x="22"/>
  </rowFields>
  <rowItems count="17">
    <i>
      <x/>
      <x v="3"/>
    </i>
    <i r="1">
      <x v="4"/>
    </i>
    <i r="1">
      <x v="6"/>
    </i>
    <i r="1">
      <x v="12"/>
    </i>
    <i t="default">
      <x/>
    </i>
    <i>
      <x v="1"/>
      <x v="1"/>
    </i>
    <i r="1">
      <x v="2"/>
    </i>
    <i r="1">
      <x v="7"/>
    </i>
    <i r="1">
      <x v="9"/>
    </i>
    <i r="1">
      <x v="11"/>
    </i>
    <i t="default">
      <x v="1"/>
    </i>
    <i>
      <x v="2"/>
      <x/>
    </i>
    <i r="1">
      <x v="5"/>
    </i>
    <i r="1">
      <x v="8"/>
    </i>
    <i r="1">
      <x v="1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49" item="1" hier="-1"/>
  </pageFields>
  <dataFields count="2">
    <dataField name="total_sales" fld="42" baseField="0" baseItem="0" numFmtId="4"/>
    <dataField name="total_profit" fld="43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A42912-B97A-4BFB-99FF-EA94AF5D7F41}" name="PivotTable4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B9" firstHeaderRow="1" firstDataRow="1" firstDataCol="1" rowPageCount="1" colPageCount="1"/>
  <pivotFields count="52">
    <pivotField dataField="1"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6">
        <item x="2"/>
        <item x="1"/>
        <item x="0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" outline="0" showAll="0"/>
    <pivotField compact="0" numFmtId="4" outline="0" showAll="0"/>
    <pivotField compact="0" numFmtId="1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1"/>
        <item x="0"/>
        <item t="default"/>
      </items>
    </pivotField>
    <pivotField compact="0" outline="0" showAll="0"/>
    <pivotField compact="0" outline="0" showAll="0"/>
  </pivotFields>
  <rowFields count="1">
    <field x="25"/>
  </rowFields>
  <rowItems count="6">
    <i>
      <x v="3"/>
    </i>
    <i>
      <x/>
    </i>
    <i>
      <x v="2"/>
    </i>
    <i>
      <x v="1"/>
    </i>
    <i>
      <x v="4"/>
    </i>
    <i t="grand">
      <x/>
    </i>
  </rowItems>
  <colItems count="1">
    <i/>
  </colItems>
  <pageFields count="1">
    <pageField fld="49" item="1" hier="-1"/>
  </pageFields>
  <dataFields count="1">
    <dataField name="Count of order_id" fld="0" subtotal="count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5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5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5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5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3747A-A1CC-4F15-B2A8-B2B5132F2A74}" name="PivotTable2" cacheId="49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1">
  <location ref="A3:C8" firstHeaderRow="0" firstDataRow="1" firstDataCol="1" rowPageCount="1" colPageCount="1"/>
  <pivotFields count="52">
    <pivotField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0"/>
        <item x="2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4" outline="0" showAll="0"/>
    <pivotField dataField="1" compact="0" numFmtId="4" outline="0" showAll="0"/>
    <pivotField compact="0" numFmtId="1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1"/>
        <item x="0"/>
        <item t="default"/>
      </items>
    </pivotField>
    <pivotField compact="0" outline="0" showAll="0"/>
    <pivotField compact="0" outline="0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49" item="1" hier="-1"/>
  </pageFields>
  <dataFields count="2">
    <dataField name="Sum of calculated_sales" fld="42" baseField="0" baseItem="0" numFmtId="4"/>
    <dataField name="Sum of calculated_profit" fld="43" baseField="0" baseItem="0" numFmtId="4"/>
  </dataFields>
  <chartFormats count="2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7FBBD4-0397-44B2-B068-1455635C1753}" name="PivotTable5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N11" firstHeaderRow="1" firstDataRow="3" firstDataCol="1" rowPageCount="1" colPageCount="1"/>
  <pivotFields count="52">
    <pivotField dataField="1"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">
        <item x="1"/>
        <item x="0"/>
        <item x="2"/>
        <item x="4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axis="axisCol" compact="0" outline="0" showAll="0">
      <items count="4">
        <item x="1"/>
        <item h="1"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" outline="0" showAll="0"/>
    <pivotField compact="0" numFmtId="4" outline="0" showAll="0"/>
    <pivotField compact="0" numFmtId="1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  <pivotField compact="0" outline="0" showAll="0"/>
    <pivotField compact="0" outline="0" showAll="0"/>
  </pivotFields>
  <rowFields count="1">
    <field x="14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33"/>
    <field x="35"/>
  </colFields>
  <colItems count="13">
    <i>
      <x/>
      <x/>
    </i>
    <i r="1">
      <x v="2"/>
    </i>
    <i t="default">
      <x/>
    </i>
    <i>
      <x v="1"/>
      <x/>
    </i>
    <i r="1">
      <x v="2"/>
    </i>
    <i t="default">
      <x v="1"/>
    </i>
    <i>
      <x v="2"/>
      <x/>
    </i>
    <i r="1">
      <x v="2"/>
    </i>
    <i t="default">
      <x v="2"/>
    </i>
    <i>
      <x v="3"/>
      <x/>
    </i>
    <i r="1">
      <x v="2"/>
    </i>
    <i t="default">
      <x v="3"/>
    </i>
    <i t="grand">
      <x/>
    </i>
  </colItems>
  <pageFields count="1">
    <pageField fld="49" hier="-1"/>
  </pageField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5A7859-16F4-46C0-B606-6AAB800ADC7F}" name="PivotTable9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C26" firstHeaderRow="0" firstDataRow="1" firstDataCol="1" rowPageCount="1" colPageCount="1"/>
  <pivotFields count="52">
    <pivotField compact="0" outline="0" showAll="0"/>
    <pivotField compact="0" outline="0" showAll="0"/>
    <pivotField axis="axisRow" compact="0" outline="0" showAll="0">
      <items count="23">
        <item x="12"/>
        <item x="17"/>
        <item x="15"/>
        <item x="19"/>
        <item x="5"/>
        <item x="2"/>
        <item x="0"/>
        <item x="1"/>
        <item x="21"/>
        <item x="16"/>
        <item x="3"/>
        <item x="10"/>
        <item x="14"/>
        <item x="7"/>
        <item x="20"/>
        <item x="6"/>
        <item x="9"/>
        <item x="18"/>
        <item x="13"/>
        <item x="4"/>
        <item x="8"/>
        <item x="11"/>
        <item t="default"/>
      </items>
    </pivotField>
    <pivotField compact="0" numFmtId="164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4" outline="0" showAll="0"/>
    <pivotField dataField="1" compact="0" numFmtId="4" outline="0" showAll="0"/>
    <pivotField compact="0" numFmtId="1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h="1" x="1"/>
        <item x="0"/>
        <item t="default"/>
      </items>
    </pivotField>
    <pivotField compact="0" outline="0" showAll="0"/>
    <pivotField compact="0" outline="0" showAll="0"/>
  </pivotFields>
  <rowFields count="1">
    <field x="2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">
    <i>
      <x/>
    </i>
    <i i="1">
      <x v="1"/>
    </i>
  </colItems>
  <pageFields count="1">
    <pageField fld="49" item="1" hier="-1"/>
  </pageFields>
  <dataFields count="2">
    <dataField name="Sum of calculated_sales" fld="42" baseField="0" baseItem="0" numFmtId="4"/>
    <dataField name="Sum of calculated_profit" fld="43" baseField="0" baseItem="0" numFmtId="4"/>
  </dataFields>
  <chartFormats count="2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590227-811C-47D3-A676-AE418AB8E889}" name="Table1" displayName="Table1" ref="A1:AZ913" totalsRowShown="0" headerRowDxfId="53" dataDxfId="52">
  <autoFilter ref="A1:AZ913" xr:uid="{3F590227-811C-47D3-A676-AE418AB8E889}"/>
  <tableColumns count="52">
    <tableColumn id="1" xr3:uid="{7920F46E-4F01-4B53-BEA0-A566AA501EB0}" name="order_id" dataDxfId="51"/>
    <tableColumn id="2" xr3:uid="{089E75F7-40C6-4A2E-8F65-052EAA497D35}" name="order_date" dataDxfId="50"/>
    <tableColumn id="52" xr3:uid="{14956C53-A884-4DA4-9DF7-3FD0DA589BC0}" name="order_year_month" dataDxfId="49">
      <calculatedColumnFormula>TEXT(D2, "yyyy-mm")</calculatedColumnFormula>
    </tableColumn>
    <tableColumn id="3" xr3:uid="{EAF302DE-E95D-42A4-8A56-068C411A62FB}" name="clean_order_date" dataDxfId="48"/>
    <tableColumn id="4" xr3:uid="{EEAB6E25-F540-4B2C-AD64-47B082D8FB77}" name="ship_date" dataDxfId="47"/>
    <tableColumn id="5" xr3:uid="{7B8E2659-E811-449A-8295-3DE123B2E2EC}" name="clean_ship_date" dataDxfId="46"/>
    <tableColumn id="6" xr3:uid="{0120CA07-6BF3-4238-A884-9AFE39B7EF52}" name="date_issue_flag" dataDxfId="45">
      <calculatedColumnFormula>IF(OR(D2="",F2=""),"Missing date",IF(OR(D2="Invalid Date",F2="Invalid Date"),"Invalid date",IF(F2&lt;D2,"Ship date before order date","OK")))</calculatedColumnFormula>
    </tableColumn>
    <tableColumn id="7" xr3:uid="{C0311C45-DE53-4B2B-92D1-C4970186BDD2}" name="shipping_delay_days" dataDxfId="44">
      <calculatedColumnFormula>IF(AND(ISNUMBER(D2),ISNUMBER(F2)),F2-D2,"")</calculatedColumnFormula>
    </tableColumn>
    <tableColumn id="8" xr3:uid="{198DC1F8-07C2-4F6F-9E4A-F59D07FB0D52}" name="customer_id" dataDxfId="43"/>
    <tableColumn id="9" xr3:uid="{34B578F3-B8DA-4829-9CB1-6B38ECC92CCC}" name="customer_name" dataDxfId="42"/>
    <tableColumn id="10" xr3:uid="{6D4C7137-CAFD-4552-B7EE-B5A44149AAF6}" name="clean_customer_name" dataDxfId="41">
      <calculatedColumnFormula>PROPER(TRIM(CLEAN(SUBSTITUTE(J2,CHAR(160)," "))))</calculatedColumnFormula>
    </tableColumn>
    <tableColumn id="11" xr3:uid="{63AAD248-78FB-4648-99B5-23B878783159}" name="segment" dataDxfId="40"/>
    <tableColumn id="12" xr3:uid="{268170B7-7B58-4966-89C2-963F43A94E50}" name="clean_segment" dataDxfId="39">
      <calculatedColumnFormula>IF(LOWER(TRIM(L2))="consumer","Consumer", IF(LOWER(TRIM(L2))="corporate","Corporate", IF(LOWER(TRIM(L2))="home office","Home Office", IF(LOWER(TRIM(SUBSTITUTE(L2," "," ")))="small business","Small Business", PROPER(TRIM(L2))))))</calculatedColumnFormula>
    </tableColumn>
    <tableColumn id="13" xr3:uid="{1E5C56B2-210D-4CA0-89E6-54B1BA84E1CC}" name="region" dataDxfId="38"/>
    <tableColumn id="14" xr3:uid="{91CA6DEE-A510-4BFF-A40D-AE53A9873C0E}" name="clean_region" dataDxfId="37">
      <calculatedColumnFormula>IF(TRIM(N2)="","Unknown",PROPER(TRIM(CLEAN(SUBSTITUTE(N2,CHAR(160)," ")))))</calculatedColumnFormula>
    </tableColumn>
    <tableColumn id="15" xr3:uid="{A5823EC7-B8DF-4FD3-86C7-3D173F51616F}" name="state" dataDxfId="36"/>
    <tableColumn id="16" xr3:uid="{B7AA0155-E718-4C38-9376-FE70A24B1B0D}" name="clean_state" dataDxfId="35">
      <calculatedColumnFormula>PROPER(TRIM(P2))</calculatedColumnFormula>
    </tableColumn>
    <tableColumn id="17" xr3:uid="{4280E9BD-6C68-4FC0-BE0C-1BFEFA0E4345}" name="city" dataDxfId="34"/>
    <tableColumn id="18" xr3:uid="{3FA2BDF5-6EF9-4200-B40C-306E7131EB38}" name="clean_city" dataDxfId="33">
      <calculatedColumnFormula>PROPER(TRIM(R2))</calculatedColumnFormula>
    </tableColumn>
    <tableColumn id="19" xr3:uid="{37D63AE7-BF64-48D5-8107-9E1E50F0614D}" name="category" dataDxfId="32"/>
    <tableColumn id="20" xr3:uid="{E0C3AB34-6D6C-4AFC-9392-C6F5D78C0203}" name="clean_category" dataDxfId="31">
      <calculatedColumnFormula>IF(LOWER(TRIM(SUBSTITUTE(T2," "," ")))="office supplies","Office Supplies", IF(LOWER(TRIM(T2))="furniture","Furniture", IF(LOWER(TRIM(T2))="technology","Technology", PROPER(TRIM(T2)))))</calculatedColumnFormula>
    </tableColumn>
    <tableColumn id="21" xr3:uid="{55110F89-AB73-4719-8E0F-18712C483C6D}" name="sub_category" dataDxfId="30"/>
    <tableColumn id="22" xr3:uid="{5C580261-D840-4E0F-9F24-A3BF5B6DF7CB}" name="clean_sub_category" dataDxfId="29">
      <calculatedColumnFormula>PROPER(TRIM(V2))</calculatedColumnFormula>
    </tableColumn>
    <tableColumn id="23" xr3:uid="{4486FF9E-110B-4A6C-8104-70746C668705}" name="product_name" dataDxfId="28"/>
    <tableColumn id="24" xr3:uid="{19B7B5A9-014C-40B6-BD51-4A1C6B4E13DE}" name="ship_mode" dataDxfId="27"/>
    <tableColumn id="25" xr3:uid="{4644F98A-C0C2-4B0F-8F1B-908351BD4A30}" name="clean_ship_mode" dataDxfId="26">
      <calculatedColumnFormula>IF(TRIM(Y2)="","Unknown",PROPER(TRIM(CLEAN(SUBSTITUTE(Y2,CHAR(160)," ")))))</calculatedColumnFormula>
    </tableColumn>
    <tableColumn id="26" xr3:uid="{9BFD8D96-B4A5-43FA-8580-919BC07D123C}" name="quantity" dataDxfId="25"/>
    <tableColumn id="27" xr3:uid="{A37FB8DE-EFE3-4530-AE7B-D669A6494758}" name="unit_price" dataDxfId="24"/>
    <tableColumn id="28" xr3:uid="{64E7B865-9901-4583-845E-D00093EC5BDC}" name="discount" dataDxfId="23"/>
    <tableColumn id="29" xr3:uid="{190FE2FE-6B8E-462A-9D82-2CEA34FC42B3}" name="sales" dataDxfId="22"/>
    <tableColumn id="30" xr3:uid="{ADA63FA3-AE03-4097-BB0A-2BA0E782CC1E}" name="cost" dataDxfId="21"/>
    <tableColumn id="31" xr3:uid="{C3C6B183-4021-42E2-9948-9CD1B3CCD798}" name="profit" dataDxfId="20"/>
    <tableColumn id="32" xr3:uid="{AADC8509-9A77-4266-BBBA-52E92DE236A2}" name="payment_status" dataDxfId="19"/>
    <tableColumn id="33" xr3:uid="{57580473-9A6C-44B0-8DEA-991A163E56C2}" name="clean_payment_status" dataDxfId="18">
      <calculatedColumnFormula>PROPER(TRIM(AG2))</calculatedColumnFormula>
    </tableColumn>
    <tableColumn id="34" xr3:uid="{F02A550A-79C6-42FF-A3C0-97C0C7220291}" name="order_status" dataDxfId="17"/>
    <tableColumn id="35" xr3:uid="{990536FC-4921-438F-BEE7-8B9D0F228A8A}" name="clean_order_status" dataDxfId="16">
      <calculatedColumnFormula>PROPER(TRIM(AI2))</calculatedColumnFormula>
    </tableColumn>
    <tableColumn id="36" xr3:uid="{91003D3F-9928-4706-9686-8270B47F4BAD}" name="row_signature" dataDxfId="15">
      <calculatedColumnFormula>_xlfn.TEXTJOIN("|",FALSE,A2,TEXT(B2,"mm-dd-yyyy"),TEXT(E2,"mm-dd-yyyy"),I2,J2,L2,N2,P2,R2,T2,V2,X2,Y2,AA2,AB2,AC2,AD2,AE2,AF2,AG2,AI2)</calculatedColumnFormula>
    </tableColumn>
    <tableColumn id="37" xr3:uid="{8CDBF086-1C27-4CF3-AFD3-53937A829DB3}" name="exact_duplicate_action" dataDxfId="14">
      <calculatedColumnFormula>IF(COUNTIF($AK$2:AK2,AK2)&gt;1,"Remove exact duplicate copy","Keep")</calculatedColumnFormula>
    </tableColumn>
    <tableColumn id="38" xr3:uid="{2CCA4FE9-C4C6-4A42-9CFA-8FE2D0933A72}" name="duplicate_order_id_count" dataDxfId="13">
      <calculatedColumnFormula>COUNTIF($A$2:$A$913,A2)</calculatedColumnFormula>
    </tableColumn>
    <tableColumn id="39" xr3:uid="{F87DE5C1-19DB-4C68-87F4-9C8B9CDAD060}" name="duplicate_order_id_flag" dataDxfId="12">
      <calculatedColumnFormula>IF(AM2&gt;1,"Duplicate order_id","Unique")</calculatedColumnFormula>
    </tableColumn>
    <tableColumn id="40" xr3:uid="{A95FD4CC-AF6E-475E-B422-7FCB008D4CB6}" name="duplicate_review_flag" dataDxfId="11">
      <calculatedColumnFormula>IF(AND(AM2&gt;1,COUNTIF($AK$2:$AK$913,AK2)&lt;AM2),"Review conflicting duplicate","")</calculatedColumnFormula>
    </tableColumn>
    <tableColumn id="41" xr3:uid="{497761A9-B5DD-4D15-8E41-BD5FFD9D2F51}" name="cleaned_discount" dataDxfId="10">
      <calculatedColumnFormula>IF(TRIM(AC2&amp;"")="",IF(AND(ISNUMBER(AA2),ISNUMBER(AB2),ISNUMBER(AD2),ISNUMBER(AE2),ISNUMBER(AF2)),0,""),IF(RIGHT(TRIM(AC2&amp;""),1)="%",VALUE(SUBSTITUTE(TRIM(AC2&amp;""),"%",""))/100,VALUE(AC2)))</calculatedColumnFormula>
    </tableColumn>
    <tableColumn id="42" xr3:uid="{00EA0442-CDB4-415F-93C9-CB701A67B4ED}" name="calculated_sales" dataDxfId="9">
      <calculatedColumnFormula>IF(AND(ISNUMBER(AA2),ISNUMBER(AB2),ISNUMBER(AP2)),AA2*AB2*(1-AP2),"")</calculatedColumnFormula>
    </tableColumn>
    <tableColumn id="43" xr3:uid="{50C0C37B-1205-435A-A972-B0A8A4CBEC2E}" name="calculated_profit" dataDxfId="8">
      <calculatedColumnFormula>IF(AND(ISNUMBER(AQ2),ISNUMBER(AE2)),AQ2-AE2,"")</calculatedColumnFormula>
    </tableColumn>
    <tableColumn id="44" xr3:uid="{7346B3AA-0432-45CF-AA26-041FF5DAF968}" name="profit_margin" dataDxfId="7">
      <calculatedColumnFormula>IFERROR(AR2/AQ2,"")</calculatedColumnFormula>
    </tableColumn>
    <tableColumn id="45" xr3:uid="{044A02C9-EC1D-4D3A-9502-6020384732E5}" name="order_month" dataDxfId="6">
      <calculatedColumnFormula>IF(ISNUMBER(D2),MONTH(D2),"")</calculatedColumnFormula>
    </tableColumn>
    <tableColumn id="46" xr3:uid="{FDC1620E-3581-41FC-90E5-0A1D6800DDC9}" name="order_year" dataDxfId="5">
      <calculatedColumnFormula>IF(ISNUMBER(D2),YEAR(D2),"")</calculatedColumnFormula>
    </tableColumn>
    <tableColumn id="47" xr3:uid="{B0FCBA4C-2301-4CC7-AAEB-196A26A50B99}" name="sales_mismatch" dataDxfId="4">
      <calculatedColumnFormula>IF(AND(ISNUMBER(AQ2),ISNUMBER(AD2)),ABS(AQ2-AD2)&gt;0.05,FALSE)</calculatedColumnFormula>
    </tableColumn>
    <tableColumn id="48" xr3:uid="{1262A92F-3BFD-4946-9BEB-34E99AB44981}" name="profit_mismatch" dataDxfId="3">
      <calculatedColumnFormula>IF(AND(ISNUMBER(AR2),ISNUMBER(AF2)),ABS(AR2-AF2)&gt;0.05,FALSE)</calculatedColumnFormula>
    </tableColumn>
    <tableColumn id="49" xr3:uid="{871DAB4D-DF6D-45DF-8182-CF3B93AD159E}" name="completed_sales_include" dataDxfId="2">
      <calculatedColumnFormula>IF(AND(AJ2="Completed",AH2="Paid",AZ2&lt;&gt;"Invalid",AO2="",AL2="Keep"),"Yes","No")</calculatedColumnFormula>
    </tableColumn>
    <tableColumn id="50" xr3:uid="{AADBDBF3-D67D-4E72-B92E-162633EE29C3}" name="business_rule_notes" dataDxfId="1">
      <calculatedColumnFormula>_xlfn.TEXTJOIN("; ",TRUE,IF(O2="Unknown","Missing region filled as Unknown",""),IF(Z2="Unknown","Missing ship mode filled as Unknown",""),IF(AND(AC2="",AP2=0),"Missing discount treated as 0",""),IF(AP2&lt;0,"Negative discount",""),IF(AP2&gt;0.5,"Discount above 50%",""),IF(G2="Ship date before order date","Ship date before order date",""),IF(AH2="Failed","Failed payment excluded",""),IF(AH2="Refunded","Refunded order summarized separately",""),IF(AJ2="Cancelled","Cancelled order excluded",""),IF(AJ2="Returned","Returned order excluded",""),IF(AO2&lt;&gt;"","Duplicate order ID conflict",""),IF(AV2=TRUE,"Sales mismatch",""),IF(AW2=TRUE,"Profit mismatch",""))</calculatedColumnFormula>
    </tableColumn>
    <tableColumn id="51" xr3:uid="{15371BB7-6139-4764-B068-A7129C91470B}" name="data_quality_flag" dataDxfId="0">
      <calculatedColumnFormula>IF(OR(G2="Missing date",G2="Invalid date",G2="Ship date before order date",NOT(ISNUMBER(AP2)),AP2&lt;0,AP2&gt;0.5,AV2=TRUE,AW2=TRUE),"Invalid",IF(OR(O2="Unknown",Z2="Unknown",AC2="",AH2&lt;&gt;"Paid",AJ2&lt;&gt;"Completed",AO2&lt;&gt;""),"Warning","Clean"))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D0C3-853D-4537-9F2A-575722B94AAF}">
  <dimension ref="A1:D9"/>
  <sheetViews>
    <sheetView workbookViewId="0">
      <selection activeCell="J18" sqref="J18"/>
    </sheetView>
  </sheetViews>
  <sheetFormatPr defaultRowHeight="14.25"/>
  <cols>
    <col min="1" max="1" width="21.75" bestFit="1" customWidth="1"/>
    <col min="2" max="3" width="12.25" bestFit="1" customWidth="1"/>
    <col min="4" max="4" width="16.625" bestFit="1" customWidth="1"/>
  </cols>
  <sheetData>
    <row r="1" spans="1:4">
      <c r="A1" s="29" t="s">
        <v>0</v>
      </c>
      <c r="B1" t="s">
        <v>1</v>
      </c>
    </row>
    <row r="3" spans="1:4">
      <c r="A3" s="29" t="s">
        <v>2</v>
      </c>
      <c r="B3" t="s">
        <v>3</v>
      </c>
      <c r="C3" t="s">
        <v>4</v>
      </c>
      <c r="D3" t="s">
        <v>5</v>
      </c>
    </row>
    <row r="4" spans="1:4">
      <c r="A4" t="s">
        <v>6</v>
      </c>
      <c r="B4" s="30">
        <v>167549.28149999998</v>
      </c>
      <c r="C4" s="30">
        <v>52007.541500000007</v>
      </c>
      <c r="D4" s="38">
        <v>18</v>
      </c>
    </row>
    <row r="5" spans="1:4">
      <c r="A5" t="s">
        <v>7</v>
      </c>
      <c r="B5" s="30">
        <v>1126699.7060000002</v>
      </c>
      <c r="C5" s="30">
        <v>331075.73600000009</v>
      </c>
      <c r="D5" s="38">
        <v>112</v>
      </c>
    </row>
    <row r="6" spans="1:4">
      <c r="A6" t="s">
        <v>8</v>
      </c>
      <c r="B6" s="30">
        <v>1247672.5690000004</v>
      </c>
      <c r="C6" s="30">
        <v>371870.64900000009</v>
      </c>
      <c r="D6" s="38">
        <v>130</v>
      </c>
    </row>
    <row r="7" spans="1:4">
      <c r="A7" t="s">
        <v>9</v>
      </c>
      <c r="B7" s="30">
        <v>1360140.4579999996</v>
      </c>
      <c r="C7" s="30">
        <v>385718.11799999996</v>
      </c>
      <c r="D7" s="38">
        <v>140</v>
      </c>
    </row>
    <row r="8" spans="1:4">
      <c r="A8" t="s">
        <v>10</v>
      </c>
      <c r="B8" s="30">
        <v>1427391.8204999999</v>
      </c>
      <c r="C8" s="30">
        <v>408387.90049999993</v>
      </c>
      <c r="D8" s="38">
        <v>137</v>
      </c>
    </row>
    <row r="9" spans="1:4">
      <c r="A9" t="s">
        <v>11</v>
      </c>
      <c r="B9" s="30">
        <v>5329453.8350000065</v>
      </c>
      <c r="C9" s="30">
        <v>1549059.9450000003</v>
      </c>
      <c r="D9" s="38">
        <v>537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E5B36-0C30-4725-8E37-EB07ABC28B93}">
  <dimension ref="A1:D20"/>
  <sheetViews>
    <sheetView topLeftCell="A2" workbookViewId="0">
      <selection activeCell="F9" sqref="F9"/>
    </sheetView>
  </sheetViews>
  <sheetFormatPr defaultRowHeight="14.25"/>
  <cols>
    <col min="1" max="1" width="17" bestFit="1" customWidth="1"/>
    <col min="2" max="2" width="21" bestFit="1" customWidth="1"/>
    <col min="3" max="4" width="12.25" bestFit="1" customWidth="1"/>
  </cols>
  <sheetData>
    <row r="1" spans="1:4">
      <c r="A1" s="29" t="s">
        <v>0</v>
      </c>
      <c r="B1" t="s">
        <v>1</v>
      </c>
    </row>
    <row r="3" spans="1:4">
      <c r="A3" s="29" t="s">
        <v>12</v>
      </c>
      <c r="B3" s="29" t="s">
        <v>13</v>
      </c>
      <c r="C3" t="s">
        <v>3</v>
      </c>
      <c r="D3" t="s">
        <v>4</v>
      </c>
    </row>
    <row r="4" spans="1:4">
      <c r="A4" t="s">
        <v>14</v>
      </c>
      <c r="B4" t="s">
        <v>15</v>
      </c>
      <c r="C4" s="30">
        <v>357605.90349999996</v>
      </c>
      <c r="D4" s="30">
        <v>98715.833500000008</v>
      </c>
    </row>
    <row r="5" spans="1:4">
      <c r="B5" t="s">
        <v>16</v>
      </c>
      <c r="C5" s="30">
        <v>528777.72649999999</v>
      </c>
      <c r="D5" s="30">
        <v>150921.63650000002</v>
      </c>
    </row>
    <row r="6" spans="1:4">
      <c r="B6" t="s">
        <v>17</v>
      </c>
      <c r="C6" s="30">
        <v>438475.81750000018</v>
      </c>
      <c r="D6" s="30">
        <v>130589.23750000003</v>
      </c>
    </row>
    <row r="7" spans="1:4">
      <c r="B7" t="s">
        <v>18</v>
      </c>
      <c r="C7" s="30">
        <v>383944.65699999995</v>
      </c>
      <c r="D7" s="30">
        <v>115788.12700000001</v>
      </c>
    </row>
    <row r="8" spans="1:4">
      <c r="A8" t="s">
        <v>19</v>
      </c>
      <c r="C8" s="30">
        <v>1708804.1044999999</v>
      </c>
      <c r="D8" s="30">
        <v>496014.83450000011</v>
      </c>
    </row>
    <row r="9" spans="1:4">
      <c r="A9" t="s">
        <v>20</v>
      </c>
      <c r="B9" t="s">
        <v>21</v>
      </c>
      <c r="C9" s="30">
        <v>288967.11949999991</v>
      </c>
      <c r="D9" s="30">
        <v>78457.869499999972</v>
      </c>
    </row>
    <row r="10" spans="1:4">
      <c r="B10" t="s">
        <v>22</v>
      </c>
      <c r="C10" s="30">
        <v>301207.4325</v>
      </c>
      <c r="D10" s="30">
        <v>94944.202500000014</v>
      </c>
    </row>
    <row r="11" spans="1:4">
      <c r="B11" t="s">
        <v>23</v>
      </c>
      <c r="C11" s="30">
        <v>186231.76799999995</v>
      </c>
      <c r="D11" s="30">
        <v>57988.778000000006</v>
      </c>
    </row>
    <row r="12" spans="1:4">
      <c r="B12" t="s">
        <v>24</v>
      </c>
      <c r="C12" s="30">
        <v>411113.93650000001</v>
      </c>
      <c r="D12" s="30">
        <v>110201.4865</v>
      </c>
    </row>
    <row r="13" spans="1:4">
      <c r="B13" t="s">
        <v>25</v>
      </c>
      <c r="C13" s="30">
        <v>493993.39299999992</v>
      </c>
      <c r="D13" s="30">
        <v>129283.51299999999</v>
      </c>
    </row>
    <row r="14" spans="1:4">
      <c r="A14" t="s">
        <v>26</v>
      </c>
      <c r="C14" s="30">
        <v>1681513.6494999998</v>
      </c>
      <c r="D14" s="30">
        <v>470875.84949999995</v>
      </c>
    </row>
    <row r="15" spans="1:4">
      <c r="A15" t="s">
        <v>27</v>
      </c>
      <c r="B15" t="s">
        <v>28</v>
      </c>
      <c r="C15" s="30">
        <v>453302.54149999993</v>
      </c>
      <c r="D15" s="30">
        <v>132222.69150000002</v>
      </c>
    </row>
    <row r="16" spans="1:4">
      <c r="B16" t="s">
        <v>29</v>
      </c>
      <c r="C16" s="30">
        <v>636659.33499999996</v>
      </c>
      <c r="D16" s="30">
        <v>182201.1350000001</v>
      </c>
    </row>
    <row r="17" spans="1:4">
      <c r="B17" t="s">
        <v>30</v>
      </c>
      <c r="C17" s="30">
        <v>368660.43600000005</v>
      </c>
      <c r="D17" s="30">
        <v>125630.70600000003</v>
      </c>
    </row>
    <row r="18" spans="1:4">
      <c r="B18" t="s">
        <v>31</v>
      </c>
      <c r="C18" s="30">
        <v>480513.76850000006</v>
      </c>
      <c r="D18" s="30">
        <v>142114.7285</v>
      </c>
    </row>
    <row r="19" spans="1:4">
      <c r="A19" t="s">
        <v>32</v>
      </c>
      <c r="C19" s="30">
        <v>1939136.0809999998</v>
      </c>
      <c r="D19" s="30">
        <v>582169.26100000006</v>
      </c>
    </row>
    <row r="20" spans="1:4">
      <c r="A20" t="s">
        <v>11</v>
      </c>
      <c r="C20" s="30">
        <v>5329453.835</v>
      </c>
      <c r="D20" s="30">
        <v>1549059.9450000003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CFEE-E15A-4A10-9A44-BDF3064C9B14}">
  <dimension ref="A1:B9"/>
  <sheetViews>
    <sheetView workbookViewId="0">
      <selection activeCell="B3" sqref="B3"/>
    </sheetView>
  </sheetViews>
  <sheetFormatPr defaultRowHeight="14.25"/>
  <cols>
    <col min="1" max="1" width="21.75" bestFit="1" customWidth="1"/>
    <col min="2" max="3" width="16.625" bestFit="1" customWidth="1"/>
  </cols>
  <sheetData>
    <row r="1" spans="1:2">
      <c r="A1" s="29" t="s">
        <v>0</v>
      </c>
      <c r="B1" t="s">
        <v>1</v>
      </c>
    </row>
    <row r="3" spans="1:2">
      <c r="A3" s="29" t="s">
        <v>33</v>
      </c>
      <c r="B3" t="s">
        <v>5</v>
      </c>
    </row>
    <row r="4" spans="1:2">
      <c r="A4" t="s">
        <v>34</v>
      </c>
      <c r="B4" s="38">
        <v>145</v>
      </c>
    </row>
    <row r="5" spans="1:2">
      <c r="A5" t="s">
        <v>35</v>
      </c>
      <c r="B5" s="38">
        <v>136</v>
      </c>
    </row>
    <row r="6" spans="1:2">
      <c r="A6" t="s">
        <v>36</v>
      </c>
      <c r="B6" s="38">
        <v>124</v>
      </c>
    </row>
    <row r="7" spans="1:2">
      <c r="A7" t="s">
        <v>37</v>
      </c>
      <c r="B7" s="38">
        <v>120</v>
      </c>
    </row>
    <row r="8" spans="1:2">
      <c r="A8" t="s">
        <v>6</v>
      </c>
      <c r="B8" s="38">
        <v>12</v>
      </c>
    </row>
    <row r="9" spans="1:2">
      <c r="A9" t="s">
        <v>11</v>
      </c>
      <c r="B9" s="38">
        <v>537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29F1-4E95-4905-B495-45AA10C64E0A}">
  <dimension ref="A1:G8"/>
  <sheetViews>
    <sheetView tabSelected="1" workbookViewId="0">
      <selection activeCell="F4" sqref="F4:G7"/>
    </sheetView>
  </sheetViews>
  <sheetFormatPr defaultRowHeight="14.25"/>
  <cols>
    <col min="1" max="1" width="21.75" bestFit="1" customWidth="1"/>
    <col min="2" max="3" width="12.25" bestFit="1" customWidth="1"/>
    <col min="4" max="4" width="11.25" customWidth="1"/>
    <col min="6" max="6" width="12.75" customWidth="1"/>
    <col min="7" max="7" width="12.125" customWidth="1"/>
  </cols>
  <sheetData>
    <row r="1" spans="1:7">
      <c r="A1" s="29" t="s">
        <v>0</v>
      </c>
      <c r="B1" t="s">
        <v>1</v>
      </c>
    </row>
    <row r="3" spans="1:7" ht="15">
      <c r="A3" s="29" t="s">
        <v>38</v>
      </c>
      <c r="B3" t="s">
        <v>39</v>
      </c>
      <c r="C3" t="s">
        <v>40</v>
      </c>
      <c r="D3" s="31" t="s">
        <v>41</v>
      </c>
      <c r="F3" s="34" t="s">
        <v>42</v>
      </c>
      <c r="G3" s="31" t="s">
        <v>41</v>
      </c>
    </row>
    <row r="4" spans="1:7">
      <c r="A4" t="s">
        <v>43</v>
      </c>
      <c r="B4" s="30">
        <v>1221728.5200000003</v>
      </c>
      <c r="C4" s="30">
        <v>354282.68</v>
      </c>
      <c r="D4" s="32">
        <f>C4/B4</f>
        <v>0.28998478319880749</v>
      </c>
      <c r="F4" t="s">
        <v>44</v>
      </c>
      <c r="G4" s="32">
        <v>0.30230000000000001</v>
      </c>
    </row>
    <row r="5" spans="1:7">
      <c r="A5" t="s">
        <v>45</v>
      </c>
      <c r="B5" s="30">
        <v>1181178.0679999993</v>
      </c>
      <c r="C5" s="30">
        <v>342120.66800000012</v>
      </c>
      <c r="D5" s="32">
        <f t="shared" ref="D5:D8" si="0">C5/B5</f>
        <v>0.28964360012143431</v>
      </c>
      <c r="F5" t="s">
        <v>43</v>
      </c>
      <c r="G5" s="32">
        <v>0.28999999999999998</v>
      </c>
    </row>
    <row r="6" spans="1:7">
      <c r="A6" t="s">
        <v>44</v>
      </c>
      <c r="B6" s="30">
        <v>1422428.5015</v>
      </c>
      <c r="C6" s="30">
        <v>429965.00150000036</v>
      </c>
      <c r="D6" s="32">
        <f t="shared" si="0"/>
        <v>0.30227529963480582</v>
      </c>
      <c r="F6" t="s">
        <v>45</v>
      </c>
      <c r="G6" s="32">
        <v>0.28960000000000002</v>
      </c>
    </row>
    <row r="7" spans="1:7">
      <c r="A7" t="s">
        <v>46</v>
      </c>
      <c r="B7" s="30">
        <v>1504118.7455000009</v>
      </c>
      <c r="C7" s="30">
        <v>422691.5955</v>
      </c>
      <c r="D7" s="32">
        <f t="shared" si="0"/>
        <v>0.28102275619169176</v>
      </c>
      <c r="F7" t="s">
        <v>46</v>
      </c>
      <c r="G7" s="32">
        <v>0.28100000000000003</v>
      </c>
    </row>
    <row r="8" spans="1:7" ht="15">
      <c r="A8" t="s">
        <v>11</v>
      </c>
      <c r="B8" s="30">
        <v>5329453.8350000009</v>
      </c>
      <c r="C8" s="30">
        <v>1549059.9450000005</v>
      </c>
      <c r="D8" s="33">
        <f t="shared" si="0"/>
        <v>0.29066016761922103</v>
      </c>
    </row>
  </sheetData>
  <sortState xmlns:xlrd2="http://schemas.microsoft.com/office/spreadsheetml/2017/richdata2" ref="F4:G7">
    <sortCondition descending="1" ref="G4:G7"/>
  </sortState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670B9-60E6-4539-A959-CD66506EF11B}">
  <dimension ref="A1:N11"/>
  <sheetViews>
    <sheetView workbookViewId="0">
      <selection activeCell="C17" sqref="C17"/>
    </sheetView>
  </sheetViews>
  <sheetFormatPr defaultRowHeight="14.25"/>
  <cols>
    <col min="1" max="1" width="21.75" bestFit="1" customWidth="1"/>
    <col min="2" max="2" width="23.125" bestFit="1" customWidth="1"/>
    <col min="3" max="3" width="20.25" bestFit="1" customWidth="1"/>
    <col min="4" max="4" width="11.25" bestFit="1" customWidth="1"/>
    <col min="5" max="5" width="9.5" bestFit="1" customWidth="1"/>
    <col min="6" max="6" width="9.125" bestFit="1" customWidth="1"/>
    <col min="7" max="8" width="9.875" bestFit="1" customWidth="1"/>
    <col min="9" max="9" width="9.125" bestFit="1" customWidth="1"/>
    <col min="10" max="10" width="13.5" bestFit="1" customWidth="1"/>
    <col min="11" max="11" width="11.125" bestFit="1" customWidth="1"/>
    <col min="12" max="12" width="9.125" bestFit="1" customWidth="1"/>
    <col min="13" max="13" width="14.75" bestFit="1" customWidth="1"/>
    <col min="14" max="14" width="11.375" bestFit="1" customWidth="1"/>
    <col min="15" max="15" width="14.75" bestFit="1" customWidth="1"/>
    <col min="16" max="16" width="11.375" bestFit="1" customWidth="1"/>
    <col min="17" max="17" width="4.875" bestFit="1" customWidth="1"/>
    <col min="18" max="18" width="8.25" bestFit="1" customWidth="1"/>
    <col min="19" max="19" width="9.5" bestFit="1" customWidth="1"/>
    <col min="20" max="20" width="14.375" bestFit="1" customWidth="1"/>
    <col min="21" max="21" width="11.375" bestFit="1" customWidth="1"/>
  </cols>
  <sheetData>
    <row r="1" spans="1:14">
      <c r="A1" s="29" t="s">
        <v>0</v>
      </c>
      <c r="B1" t="s">
        <v>47</v>
      </c>
    </row>
    <row r="3" spans="1:14">
      <c r="A3" s="29" t="s">
        <v>5</v>
      </c>
      <c r="B3" s="29" t="s">
        <v>48</v>
      </c>
      <c r="C3" s="29" t="s">
        <v>49</v>
      </c>
    </row>
    <row r="4" spans="1:14">
      <c r="B4" t="s">
        <v>50</v>
      </c>
      <c r="D4" t="s">
        <v>51</v>
      </c>
      <c r="E4" t="s">
        <v>52</v>
      </c>
      <c r="G4" t="s">
        <v>53</v>
      </c>
      <c r="H4" t="s">
        <v>54</v>
      </c>
      <c r="J4" t="s">
        <v>55</v>
      </c>
      <c r="K4" t="s">
        <v>56</v>
      </c>
      <c r="M4" t="s">
        <v>57</v>
      </c>
      <c r="N4" t="s">
        <v>11</v>
      </c>
    </row>
    <row r="5" spans="1:14">
      <c r="A5" s="29" t="s">
        <v>2</v>
      </c>
      <c r="B5" t="s">
        <v>58</v>
      </c>
      <c r="C5" t="s">
        <v>59</v>
      </c>
      <c r="E5" t="s">
        <v>58</v>
      </c>
      <c r="F5" t="s">
        <v>59</v>
      </c>
      <c r="H5" t="s">
        <v>58</v>
      </c>
      <c r="I5" t="s">
        <v>59</v>
      </c>
      <c r="K5" t="s">
        <v>58</v>
      </c>
      <c r="L5" t="s">
        <v>59</v>
      </c>
    </row>
    <row r="6" spans="1:14">
      <c r="A6" t="s">
        <v>8</v>
      </c>
      <c r="B6" s="38">
        <v>5</v>
      </c>
      <c r="C6" s="38">
        <v>8</v>
      </c>
      <c r="D6" s="38">
        <v>13</v>
      </c>
      <c r="E6" s="38">
        <v>8</v>
      </c>
      <c r="F6" s="38">
        <v>12</v>
      </c>
      <c r="G6" s="38">
        <v>20</v>
      </c>
      <c r="H6" s="38">
        <v>11</v>
      </c>
      <c r="I6" s="38">
        <v>17</v>
      </c>
      <c r="J6" s="38">
        <v>28</v>
      </c>
      <c r="K6" s="38">
        <v>6</v>
      </c>
      <c r="L6" s="38">
        <v>8</v>
      </c>
      <c r="M6" s="38">
        <v>14</v>
      </c>
      <c r="N6" s="38">
        <v>75</v>
      </c>
    </row>
    <row r="7" spans="1:14">
      <c r="A7" t="s">
        <v>7</v>
      </c>
      <c r="B7" s="38">
        <v>12</v>
      </c>
      <c r="C7" s="38">
        <v>7</v>
      </c>
      <c r="D7" s="38">
        <v>19</v>
      </c>
      <c r="E7" s="38">
        <v>11</v>
      </c>
      <c r="F7" s="38">
        <v>12</v>
      </c>
      <c r="G7" s="38">
        <v>23</v>
      </c>
      <c r="H7" s="38">
        <v>12</v>
      </c>
      <c r="I7" s="38">
        <v>11</v>
      </c>
      <c r="J7" s="38">
        <v>23</v>
      </c>
      <c r="K7" s="38">
        <v>13</v>
      </c>
      <c r="L7" s="38">
        <v>7</v>
      </c>
      <c r="M7" s="38">
        <v>20</v>
      </c>
      <c r="N7" s="38">
        <v>85</v>
      </c>
    </row>
    <row r="8" spans="1:14">
      <c r="A8" t="s">
        <v>10</v>
      </c>
      <c r="B8" s="38">
        <v>7</v>
      </c>
      <c r="C8" s="38">
        <v>13</v>
      </c>
      <c r="D8" s="38">
        <v>20</v>
      </c>
      <c r="E8" s="38">
        <v>12</v>
      </c>
      <c r="F8" s="38">
        <v>9</v>
      </c>
      <c r="G8" s="38">
        <v>21</v>
      </c>
      <c r="H8" s="38">
        <v>5</v>
      </c>
      <c r="I8" s="38">
        <v>6</v>
      </c>
      <c r="J8" s="38">
        <v>11</v>
      </c>
      <c r="K8" s="38">
        <v>11</v>
      </c>
      <c r="L8" s="38">
        <v>9</v>
      </c>
      <c r="M8" s="38">
        <v>20</v>
      </c>
      <c r="N8" s="38">
        <v>72</v>
      </c>
    </row>
    <row r="9" spans="1:14">
      <c r="A9" t="s">
        <v>6</v>
      </c>
      <c r="B9" s="38">
        <v>1</v>
      </c>
      <c r="C9" s="38">
        <v>1</v>
      </c>
      <c r="D9" s="38">
        <v>2</v>
      </c>
      <c r="E9" s="38"/>
      <c r="F9" s="38"/>
      <c r="G9" s="38"/>
      <c r="H9" s="38"/>
      <c r="I9" s="38">
        <v>1</v>
      </c>
      <c r="J9" s="38">
        <v>1</v>
      </c>
      <c r="K9" s="38">
        <v>1</v>
      </c>
      <c r="L9" s="38">
        <v>2</v>
      </c>
      <c r="M9" s="38">
        <v>3</v>
      </c>
      <c r="N9" s="38">
        <v>6</v>
      </c>
    </row>
    <row r="10" spans="1:14">
      <c r="A10" t="s">
        <v>9</v>
      </c>
      <c r="B10" s="38">
        <v>7</v>
      </c>
      <c r="C10" s="38">
        <v>6</v>
      </c>
      <c r="D10" s="38">
        <v>13</v>
      </c>
      <c r="E10" s="38">
        <v>8</v>
      </c>
      <c r="F10" s="38">
        <v>12</v>
      </c>
      <c r="G10" s="38">
        <v>20</v>
      </c>
      <c r="H10" s="38">
        <v>9</v>
      </c>
      <c r="I10" s="38">
        <v>14</v>
      </c>
      <c r="J10" s="38">
        <v>23</v>
      </c>
      <c r="K10" s="38">
        <v>6</v>
      </c>
      <c r="L10" s="38">
        <v>8</v>
      </c>
      <c r="M10" s="38">
        <v>14</v>
      </c>
      <c r="N10" s="38">
        <v>70</v>
      </c>
    </row>
    <row r="11" spans="1:14">
      <c r="A11" t="s">
        <v>11</v>
      </c>
      <c r="B11" s="38">
        <v>32</v>
      </c>
      <c r="C11" s="38">
        <v>35</v>
      </c>
      <c r="D11" s="38">
        <v>67</v>
      </c>
      <c r="E11" s="38">
        <v>39</v>
      </c>
      <c r="F11" s="38">
        <v>45</v>
      </c>
      <c r="G11" s="38">
        <v>84</v>
      </c>
      <c r="H11" s="38">
        <v>37</v>
      </c>
      <c r="I11" s="38">
        <v>49</v>
      </c>
      <c r="J11" s="38">
        <v>86</v>
      </c>
      <c r="K11" s="38">
        <v>37</v>
      </c>
      <c r="L11" s="38">
        <v>34</v>
      </c>
      <c r="M11" s="38">
        <v>71</v>
      </c>
      <c r="N11" s="38">
        <v>308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1FE76-4528-4908-BCC7-F8A75A1A69AB}">
  <dimension ref="A1:C26"/>
  <sheetViews>
    <sheetView workbookViewId="0">
      <selection activeCell="A9" sqref="A9"/>
    </sheetView>
  </sheetViews>
  <sheetFormatPr defaultRowHeight="14.25"/>
  <cols>
    <col min="1" max="1" width="21.75" bestFit="1" customWidth="1"/>
    <col min="2" max="2" width="22.125" bestFit="1" customWidth="1"/>
    <col min="3" max="3" width="22.875" bestFit="1" customWidth="1"/>
    <col min="4" max="4" width="12.25" bestFit="1" customWidth="1"/>
  </cols>
  <sheetData>
    <row r="1" spans="1:3">
      <c r="A1" s="29" t="s">
        <v>0</v>
      </c>
      <c r="B1" t="s">
        <v>1</v>
      </c>
    </row>
    <row r="3" spans="1:3">
      <c r="A3" s="29" t="s">
        <v>60</v>
      </c>
      <c r="B3" t="s">
        <v>39</v>
      </c>
      <c r="C3" t="s">
        <v>40</v>
      </c>
    </row>
    <row r="4" spans="1:3">
      <c r="A4" t="s">
        <v>61</v>
      </c>
      <c r="B4" s="30">
        <v>171470.24199999997</v>
      </c>
      <c r="C4" s="30">
        <v>57787.462000000007</v>
      </c>
    </row>
    <row r="5" spans="1:3">
      <c r="A5" t="s">
        <v>62</v>
      </c>
      <c r="B5" s="30">
        <v>172822.14300000001</v>
      </c>
      <c r="C5" s="30">
        <v>55626.253000000012</v>
      </c>
    </row>
    <row r="6" spans="1:3">
      <c r="A6" t="s">
        <v>63</v>
      </c>
      <c r="B6" s="30">
        <v>234703.82299999997</v>
      </c>
      <c r="C6" s="30">
        <v>72701.792999999991</v>
      </c>
    </row>
    <row r="7" spans="1:3">
      <c r="A7" t="s">
        <v>64</v>
      </c>
      <c r="B7" s="30">
        <v>241541.505</v>
      </c>
      <c r="C7" s="30">
        <v>67927.844999999987</v>
      </c>
    </row>
    <row r="8" spans="1:3">
      <c r="A8" t="s">
        <v>65</v>
      </c>
      <c r="B8" s="30">
        <v>283117.1715</v>
      </c>
      <c r="C8" s="30">
        <v>71061.581500000015</v>
      </c>
    </row>
    <row r="9" spans="1:3">
      <c r="A9" t="s">
        <v>66</v>
      </c>
      <c r="B9" s="30">
        <v>377375.22149999993</v>
      </c>
      <c r="C9" s="30">
        <v>111205.58149999999</v>
      </c>
    </row>
    <row r="10" spans="1:3">
      <c r="A10" t="s">
        <v>67</v>
      </c>
      <c r="B10" s="30">
        <v>211345.3045</v>
      </c>
      <c r="C10" s="30">
        <v>52770.394500000009</v>
      </c>
    </row>
    <row r="11" spans="1:3">
      <c r="A11" t="s">
        <v>68</v>
      </c>
      <c r="B11" s="30">
        <v>224989.23850000001</v>
      </c>
      <c r="C11" s="30">
        <v>70986.448499999999</v>
      </c>
    </row>
    <row r="12" spans="1:3">
      <c r="A12" t="s">
        <v>69</v>
      </c>
      <c r="B12" s="30">
        <v>205120.34799999997</v>
      </c>
      <c r="C12" s="30">
        <v>50495.887999999999</v>
      </c>
    </row>
    <row r="13" spans="1:3">
      <c r="A13" t="s">
        <v>70</v>
      </c>
      <c r="B13" s="30">
        <v>315726.37599999999</v>
      </c>
      <c r="C13" s="30">
        <v>91592.565999999992</v>
      </c>
    </row>
    <row r="14" spans="1:3">
      <c r="A14" t="s">
        <v>71</v>
      </c>
      <c r="B14" s="30">
        <v>228729.68749999997</v>
      </c>
      <c r="C14" s="30">
        <v>80007.807499999995</v>
      </c>
    </row>
    <row r="15" spans="1:3">
      <c r="A15" t="s">
        <v>72</v>
      </c>
      <c r="B15" s="30">
        <v>190414.51699999999</v>
      </c>
      <c r="C15" s="30">
        <v>52061.916999999994</v>
      </c>
    </row>
    <row r="16" spans="1:3">
      <c r="A16" t="s">
        <v>73</v>
      </c>
      <c r="B16" s="30">
        <v>248580.28099999999</v>
      </c>
      <c r="C16" s="30">
        <v>68625.310999999987</v>
      </c>
    </row>
    <row r="17" spans="1:3">
      <c r="A17" t="s">
        <v>74</v>
      </c>
      <c r="B17" s="30">
        <v>387223.37849999993</v>
      </c>
      <c r="C17" s="30">
        <v>113384.7485</v>
      </c>
    </row>
    <row r="18" spans="1:3">
      <c r="A18" t="s">
        <v>75</v>
      </c>
      <c r="B18" s="30">
        <v>320187.16649999999</v>
      </c>
      <c r="C18" s="30">
        <v>91339.696499999976</v>
      </c>
    </row>
    <row r="19" spans="1:3">
      <c r="A19" t="s">
        <v>76</v>
      </c>
      <c r="B19" s="30">
        <v>278580.7905</v>
      </c>
      <c r="C19" s="30">
        <v>76711.420500000022</v>
      </c>
    </row>
    <row r="20" spans="1:3">
      <c r="A20" t="s">
        <v>77</v>
      </c>
      <c r="B20" s="30">
        <v>208093.28450000004</v>
      </c>
      <c r="C20" s="30">
        <v>61620.004500000003</v>
      </c>
    </row>
    <row r="21" spans="1:3">
      <c r="A21" t="s">
        <v>78</v>
      </c>
      <c r="B21" s="30">
        <v>175461.6545</v>
      </c>
      <c r="C21" s="30">
        <v>47791.204499999993</v>
      </c>
    </row>
    <row r="22" spans="1:3">
      <c r="A22" t="s">
        <v>79</v>
      </c>
      <c r="B22" s="30">
        <v>206367.74599999996</v>
      </c>
      <c r="C22" s="30">
        <v>56036.59599999999</v>
      </c>
    </row>
    <row r="23" spans="1:3">
      <c r="A23" t="s">
        <v>80</v>
      </c>
      <c r="B23" s="30">
        <v>236506.09599999996</v>
      </c>
      <c r="C23" s="30">
        <v>73905.825999999986</v>
      </c>
    </row>
    <row r="24" spans="1:3">
      <c r="A24" t="s">
        <v>81</v>
      </c>
      <c r="B24" s="30">
        <v>289663.05550000002</v>
      </c>
      <c r="C24" s="30">
        <v>88457.325500000021</v>
      </c>
    </row>
    <row r="25" spans="1:3">
      <c r="A25" t="s">
        <v>82</v>
      </c>
      <c r="B25" s="30">
        <v>121434.8045</v>
      </c>
      <c r="C25" s="30">
        <v>36962.2745</v>
      </c>
    </row>
    <row r="26" spans="1:3">
      <c r="A26" t="s">
        <v>11</v>
      </c>
      <c r="B26" s="30">
        <v>5329453.835</v>
      </c>
      <c r="C26" s="30">
        <v>1549059.9449999998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913"/>
  <sheetViews>
    <sheetView workbookViewId="0">
      <selection activeCell="C9" sqref="C9"/>
    </sheetView>
  </sheetViews>
  <sheetFormatPr defaultColWidth="12.625" defaultRowHeight="15" customHeight="1"/>
  <cols>
    <col min="1" max="2" width="16" customWidth="1"/>
    <col min="3" max="3" width="18" bestFit="1" customWidth="1"/>
    <col min="4" max="4" width="16" customWidth="1"/>
    <col min="5" max="5" width="16.875" bestFit="1" customWidth="1"/>
    <col min="6" max="6" width="24.25" bestFit="1" customWidth="1"/>
    <col min="7" max="7" width="15.125" bestFit="1" customWidth="1"/>
    <col min="8" max="8" width="16" customWidth="1"/>
    <col min="9" max="9" width="17" bestFit="1" customWidth="1"/>
    <col min="10" max="10" width="18" bestFit="1" customWidth="1"/>
    <col min="11" max="11" width="16" customWidth="1"/>
    <col min="12" max="12" width="16.125" bestFit="1" customWidth="1"/>
    <col min="13" max="18" width="16" customWidth="1"/>
    <col min="19" max="19" width="17.375" bestFit="1" customWidth="1"/>
    <col min="20" max="20" width="16.25" bestFit="1" customWidth="1"/>
    <col min="21" max="21" width="16" customWidth="1"/>
    <col min="22" max="22" width="18" bestFit="1" customWidth="1"/>
    <col min="23" max="23" width="21.625" bestFit="1" customWidth="1"/>
    <col min="24" max="24" width="17.75" bestFit="1" customWidth="1"/>
    <col min="25" max="25" width="18" bestFit="1" customWidth="1"/>
    <col min="26" max="31" width="16" customWidth="1"/>
    <col min="32" max="32" width="16.875" bestFit="1" customWidth="1"/>
    <col min="33" max="33" width="18" bestFit="1" customWidth="1"/>
    <col min="34" max="34" width="16" customWidth="1"/>
    <col min="35" max="35" width="18" bestFit="1" customWidth="1"/>
    <col min="36" max="36" width="48.25" customWidth="1"/>
    <col min="37" max="37" width="23.5" style="28" customWidth="1"/>
    <col min="38" max="38" width="13.375" bestFit="1" customWidth="1"/>
    <col min="39" max="39" width="17.625" bestFit="1" customWidth="1"/>
    <col min="40" max="40" width="24.5" bestFit="1" customWidth="1"/>
    <col min="41" max="48" width="24" customWidth="1"/>
    <col min="49" max="49" width="24.875" bestFit="1" customWidth="1"/>
    <col min="50" max="50" width="54.875" customWidth="1"/>
    <col min="51" max="51" width="24" customWidth="1"/>
  </cols>
  <sheetData>
    <row r="1" spans="1:52" ht="27.75" customHeight="1">
      <c r="A1" s="1" t="s">
        <v>83</v>
      </c>
      <c r="B1" s="2" t="s">
        <v>84</v>
      </c>
      <c r="C1" s="2" t="s">
        <v>60</v>
      </c>
      <c r="D1" s="3" t="s">
        <v>85</v>
      </c>
      <c r="E1" s="2" t="s">
        <v>86</v>
      </c>
      <c r="F1" s="3" t="s">
        <v>87</v>
      </c>
      <c r="G1" s="1" t="s">
        <v>88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42</v>
      </c>
      <c r="M1" s="1" t="s">
        <v>38</v>
      </c>
      <c r="N1" s="1" t="s">
        <v>93</v>
      </c>
      <c r="O1" s="1" t="s">
        <v>2</v>
      </c>
      <c r="P1" s="1" t="s">
        <v>94</v>
      </c>
      <c r="Q1" s="1" t="s">
        <v>95</v>
      </c>
      <c r="R1" s="1" t="s">
        <v>96</v>
      </c>
      <c r="S1" s="1" t="s">
        <v>97</v>
      </c>
      <c r="T1" s="1" t="s">
        <v>98</v>
      </c>
      <c r="U1" s="1" t="s">
        <v>12</v>
      </c>
      <c r="V1" s="1" t="s">
        <v>99</v>
      </c>
      <c r="W1" s="1" t="s">
        <v>13</v>
      </c>
      <c r="X1" s="1" t="s">
        <v>100</v>
      </c>
      <c r="Y1" s="1" t="s">
        <v>101</v>
      </c>
      <c r="Z1" s="1" t="s">
        <v>33</v>
      </c>
      <c r="AA1" s="1" t="s">
        <v>102</v>
      </c>
      <c r="AB1" s="1" t="s">
        <v>103</v>
      </c>
      <c r="AC1" s="1" t="s">
        <v>104</v>
      </c>
      <c r="AD1" s="1" t="s">
        <v>105</v>
      </c>
      <c r="AE1" s="1" t="s">
        <v>106</v>
      </c>
      <c r="AF1" s="1" t="s">
        <v>107</v>
      </c>
      <c r="AG1" s="1" t="s">
        <v>108</v>
      </c>
      <c r="AH1" s="1" t="s">
        <v>48</v>
      </c>
      <c r="AI1" s="1" t="s">
        <v>109</v>
      </c>
      <c r="AJ1" s="1" t="s">
        <v>49</v>
      </c>
      <c r="AK1" s="26" t="s">
        <v>110</v>
      </c>
      <c r="AL1" s="1" t="s">
        <v>111</v>
      </c>
      <c r="AM1" s="1" t="s">
        <v>112</v>
      </c>
      <c r="AN1" s="1" t="s">
        <v>113</v>
      </c>
      <c r="AO1" s="1" t="s">
        <v>114</v>
      </c>
      <c r="AP1" s="1" t="s">
        <v>115</v>
      </c>
      <c r="AQ1" s="4" t="s">
        <v>116</v>
      </c>
      <c r="AR1" s="4" t="s">
        <v>117</v>
      </c>
      <c r="AS1" s="5" t="s">
        <v>118</v>
      </c>
      <c r="AT1" s="1" t="s">
        <v>119</v>
      </c>
      <c r="AU1" s="1" t="s">
        <v>120</v>
      </c>
      <c r="AV1" s="1" t="s">
        <v>121</v>
      </c>
      <c r="AW1" s="1" t="s">
        <v>122</v>
      </c>
      <c r="AX1" s="1" t="s">
        <v>0</v>
      </c>
      <c r="AY1" s="1" t="s">
        <v>123</v>
      </c>
      <c r="AZ1" s="1" t="s">
        <v>124</v>
      </c>
    </row>
    <row r="2" spans="1:52" ht="15.75" customHeight="1">
      <c r="A2" s="6" t="s">
        <v>125</v>
      </c>
      <c r="B2" s="7" t="s">
        <v>126</v>
      </c>
      <c r="C2" s="7" t="str">
        <f t="shared" ref="C2:C65" si="0">TEXT(D2, "yyyy-mm")</f>
        <v>2024-07</v>
      </c>
      <c r="D2" s="7" cm="1">
        <f t="array" ref="D2">_xlfn.LET(_xlpm.x,B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45494</v>
      </c>
      <c r="E2" s="7" t="s">
        <v>127</v>
      </c>
      <c r="F2" s="7" cm="1">
        <f t="array" ref="F2">_xlfn.LET(_xlpm.x,E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45500</v>
      </c>
      <c r="G2" s="8" t="str">
        <f t="shared" ref="G2:G256" si="1">IF(OR(D2="",F2=""),"Missing date",IF(OR(D2="Invalid Date",F2="Invalid Date"),"Invalid date",IF(F2&lt;D2,"Ship date before order date","OK")))</f>
        <v>OK</v>
      </c>
      <c r="H2" s="6">
        <f t="shared" ref="H2:H256" si="2">IF(AND(ISNUMBER(D2),ISNUMBER(F2)),F2-D2,"")</f>
        <v>6</v>
      </c>
      <c r="I2" s="6" t="s">
        <v>128</v>
      </c>
      <c r="J2" s="6" t="s">
        <v>129</v>
      </c>
      <c r="K2" s="6" t="str">
        <f t="shared" ref="K2:K256" si="3">PROPER(TRIM(CLEAN(SUBSTITUTE(J2,CHAR(160)," "))))</f>
        <v>Karan Malhotra</v>
      </c>
      <c r="L2" s="6" t="s">
        <v>43</v>
      </c>
      <c r="M2" s="6" t="str">
        <f t="shared" ref="M2:M256" si="4">IF(LOWER(TRIM(L2))="consumer","Consumer", IF(LOWER(TRIM(L2))="corporate","Corporate", IF(LOWER(TRIM(L2))="home office","Home Office", IF(LOWER(TRIM(SUBSTITUTE(L2," "," ")))="small business","Small Business", PROPER(TRIM(L2))))))</f>
        <v>Consumer</v>
      </c>
      <c r="N2" s="6" t="s">
        <v>130</v>
      </c>
      <c r="O2" s="6" t="str">
        <f t="shared" ref="O2:O256" si="5">IF(TRIM(N2)="","Unknown",PROPER(TRIM(CLEAN(SUBSTITUTE(N2,CHAR(160)," ")))))</f>
        <v>North</v>
      </c>
      <c r="P2" s="6" t="s">
        <v>131</v>
      </c>
      <c r="Q2" s="6" t="str">
        <f t="shared" ref="Q2:Q256" si="6">PROPER(TRIM(P2))</f>
        <v>Rajasthan</v>
      </c>
      <c r="R2" s="6" t="s">
        <v>132</v>
      </c>
      <c r="S2" s="6" t="str">
        <f t="shared" ref="S2:S256" si="7">PROPER(TRIM(R2))</f>
        <v>Jaipur</v>
      </c>
      <c r="T2" s="6" t="s">
        <v>20</v>
      </c>
      <c r="U2" s="8" t="str">
        <f t="shared" ref="U2:U256" si="8">IF(LOWER(TRIM(SUBSTITUTE(T2," "," ")))="office supplies","Office Supplies", IF(LOWER(TRIM(T2))="furniture","Furniture", IF(LOWER(TRIM(T2))="technology","Technology", PROPER(TRIM(T2)))))</f>
        <v>Office Supplies</v>
      </c>
      <c r="V2" s="6" t="s">
        <v>24</v>
      </c>
      <c r="W2" s="6" t="str">
        <f t="shared" ref="W2:W256" si="9">PROPER(TRIM(V2))</f>
        <v>Paper</v>
      </c>
      <c r="X2" s="6" t="s">
        <v>133</v>
      </c>
      <c r="Y2" s="6" t="s">
        <v>36</v>
      </c>
      <c r="Z2" s="6" t="str">
        <f t="shared" ref="Z2:Z256" si="10">IF(TRIM(Y2)="","Unknown",PROPER(TRIM(CLEAN(SUBSTITUTE(Y2,CHAR(160)," ")))))</f>
        <v>Second Class</v>
      </c>
      <c r="AA2" s="6">
        <v>8</v>
      </c>
      <c r="AB2" s="6">
        <v>2976.45</v>
      </c>
      <c r="AC2" s="6">
        <v>0.2</v>
      </c>
      <c r="AD2" s="6">
        <v>19049.28</v>
      </c>
      <c r="AE2" s="6">
        <v>15841.89</v>
      </c>
      <c r="AF2" s="6">
        <v>3207.39</v>
      </c>
      <c r="AG2" s="6" t="s">
        <v>52</v>
      </c>
      <c r="AH2" s="6" t="str">
        <f t="shared" ref="AH2:AH256" si="11">PROPER(TRIM(AG2))</f>
        <v>Paid</v>
      </c>
      <c r="AI2" s="6" t="s">
        <v>134</v>
      </c>
      <c r="AJ2" s="6" t="str">
        <f t="shared" ref="AJ2:AJ256" si="12">PROPER(TRIM(AI2))</f>
        <v>Completed</v>
      </c>
      <c r="AK2" s="9" t="str">
        <f>_xlfn.TEXTJOIN("|",FALSE,A2,TEXT(B2,"mm-dd-yyyy"),TEXT(E2,"mm-dd-yyyy"),I2,J2,L2,N2,P2,R2,T2,V2,X2,Y2,AA2,AB2,AC2,AD2,AE2,AF2,AG2,AI2)</f>
        <v>ORD-2024-10001|07-21-2024|07-27-2024|CUST-4655|Karan Malhotra|Consumer|  North |Rajasthan|Jaipur|Office Supplies|Paper|Pro Paper 122|Second Class|8|2976.45|0.2|19049.28|15841.89|3207.39|Paid|Completed</v>
      </c>
      <c r="AL2" s="27" t="str">
        <f>IF(COUNTIF($AK$2:AK2,AK2)&gt;1,"Remove exact duplicate copy","Keep")</f>
        <v>Keep</v>
      </c>
      <c r="AM2" s="9">
        <f t="shared" ref="AM2:AM256" si="13">COUNTIF($A$2:$A$913,A2)</f>
        <v>1</v>
      </c>
      <c r="AN2" s="9" t="str">
        <f t="shared" ref="AN2:AN256" si="14">IF(AM2&gt;1,"Duplicate order_id","Unique")</f>
        <v>Unique</v>
      </c>
      <c r="AO2" s="9" t="str">
        <f t="shared" ref="AO2:AO256" si="15">IF(AND(AM2&gt;1,COUNTIF($AK$2:$AK$913,AK2)&lt;AM2),"Review conflicting duplicate","")</f>
        <v/>
      </c>
      <c r="AP2" s="9">
        <f t="shared" ref="AP2:AP256" si="16">IF(TRIM(AC2&amp;"")="",IF(AND(ISNUMBER(AA2),ISNUMBER(AB2),ISNUMBER(AD2),ISNUMBER(AE2),ISNUMBER(AF2)),0,""),IF(RIGHT(TRIM(AC2&amp;""),1)="%",VALUE(SUBSTITUTE(TRIM(AC2&amp;""),"%",""))/100,VALUE(AC2)))</f>
        <v>0.2</v>
      </c>
      <c r="AQ2" s="10">
        <f t="shared" ref="AQ2:AQ256" si="17">IF(AND(ISNUMBER(AA2),ISNUMBER(AB2),ISNUMBER(AP2)),AA2*AB2*(1-AP2),"")</f>
        <v>19049.28</v>
      </c>
      <c r="AR2" s="10">
        <f t="shared" ref="AR2:AR256" si="18">IF(AND(ISNUMBER(AQ2),ISNUMBER(AE2)),AQ2-AE2,"")</f>
        <v>3207.3899999999994</v>
      </c>
      <c r="AS2" s="11">
        <f t="shared" ref="AS2:AS256" si="19">IFERROR(AR2/AQ2,"")</f>
        <v>0.16837329284886357</v>
      </c>
      <c r="AT2" s="9">
        <f t="shared" ref="AT2:AT256" si="20">IF(ISNUMBER(D2),MONTH(D2),"")</f>
        <v>7</v>
      </c>
      <c r="AU2" s="9">
        <f t="shared" ref="AU2:AU256" si="21">IF(ISNUMBER(D2),YEAR(D2),"")</f>
        <v>2024</v>
      </c>
      <c r="AV2" s="9" t="b">
        <f t="shared" ref="AV2:AV256" si="22">IF(AND(ISNUMBER(AQ2),ISNUMBER(AD2)),ABS(AQ2-AD2)&gt;0.05,FALSE)</f>
        <v>0</v>
      </c>
      <c r="AW2" s="9" t="b">
        <f t="shared" ref="AW2:AW256" si="23">IF(AND(ISNUMBER(AR2),ISNUMBER(AF2)),ABS(AR2-AF2)&gt;0.05,FALSE)</f>
        <v>0</v>
      </c>
      <c r="AX2" s="9" t="str">
        <f t="shared" ref="AX2:AX256" si="24">IF(AND(AJ2="Completed",AH2="Paid",AZ2&lt;&gt;"Invalid",AO2="",AL2="Keep"),"Yes","No")</f>
        <v>Yes</v>
      </c>
      <c r="AY2" s="9" t="str">
        <f>_xlfn.TEXTJOIN("; ",TRUE,IF(O2="Unknown","Missing region filled as Unknown",""),IF(Z2="Unknown","Missing ship mode filled as Unknown",""),IF(AND(AC2="",AP2=0),"Missing discount treated as 0",""),IF(AP2&lt;0,"Negative discount",""),IF(AP2&gt;0.5,"Discount above 50%",""),IF(G2="Ship date before order date","Ship date before order date",""),IF(AH2="Failed","Failed payment excluded",""),IF(AH2="Refunded","Refunded order summarized separately",""),IF(AJ2="Cancelled","Cancelled order excluded",""),IF(AJ2="Returned","Returned order excluded",""),IF(AO2&lt;&gt;"","Duplicate order ID conflict",""),IF(AV2=TRUE,"Sales mismatch",""),IF(AW2=TRUE,"Profit mismatch",""))</f>
        <v/>
      </c>
      <c r="AZ2" s="9" t="str">
        <f>IF(OR(G2="Missing date",G2="Invalid date",G2="Ship date before order date",NOT(ISNUMBER(AP2)),AP2&lt;0,AP2&gt;0.5,AV2=TRUE,AW2=TRUE),"Invalid",IF(OR(O2="Unknown",Z2="Unknown",AC2="",AH2&lt;&gt;"Paid",AJ2&lt;&gt;"Completed",AO2&lt;&gt;""),"Warning","Clean"))</f>
        <v>Clean</v>
      </c>
    </row>
    <row r="3" spans="1:52" ht="14.25">
      <c r="A3" s="6" t="s">
        <v>135</v>
      </c>
      <c r="B3" s="7" t="s">
        <v>136</v>
      </c>
      <c r="C3" s="7" t="str">
        <f t="shared" si="0"/>
        <v>2024-08</v>
      </c>
      <c r="D3" s="7" cm="1">
        <f t="array" ref="D3">_xlfn.LET(_xlpm.x,B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45535</v>
      </c>
      <c r="E3" s="7" t="s">
        <v>137</v>
      </c>
      <c r="F3" s="7" cm="1">
        <f t="array" ref="F3">_xlfn.LET(_xlpm.x,E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45540</v>
      </c>
      <c r="G3" s="8" t="str">
        <f t="shared" si="1"/>
        <v>OK</v>
      </c>
      <c r="H3" s="6">
        <f t="shared" si="2"/>
        <v>5</v>
      </c>
      <c r="I3" s="6" t="s">
        <v>138</v>
      </c>
      <c r="J3" s="6" t="s">
        <v>139</v>
      </c>
      <c r="K3" s="6" t="str">
        <f t="shared" si="3"/>
        <v>Mira Das</v>
      </c>
      <c r="L3" s="6" t="s">
        <v>46</v>
      </c>
      <c r="M3" s="8" t="str">
        <f t="shared" si="4"/>
        <v>Small Business</v>
      </c>
      <c r="N3" s="6" t="s">
        <v>8</v>
      </c>
      <c r="O3" s="6" t="str">
        <f t="shared" si="5"/>
        <v>East</v>
      </c>
      <c r="P3" s="6" t="s">
        <v>140</v>
      </c>
      <c r="Q3" s="6" t="str">
        <f t="shared" si="6"/>
        <v>Odisha</v>
      </c>
      <c r="R3" s="6" t="s">
        <v>141</v>
      </c>
      <c r="S3" s="6" t="str">
        <f t="shared" si="7"/>
        <v>Bhubaneswar</v>
      </c>
      <c r="T3" s="6" t="s">
        <v>14</v>
      </c>
      <c r="U3" s="8" t="str">
        <f t="shared" si="8"/>
        <v>Furniture</v>
      </c>
      <c r="V3" s="6" t="s">
        <v>18</v>
      </c>
      <c r="W3" s="6" t="str">
        <f t="shared" si="9"/>
        <v>Tables</v>
      </c>
      <c r="X3" s="6" t="s">
        <v>142</v>
      </c>
      <c r="Y3" s="6" t="s">
        <v>37</v>
      </c>
      <c r="Z3" s="6" t="str">
        <f t="shared" si="10"/>
        <v>Same Day</v>
      </c>
      <c r="AA3" s="6">
        <v>3</v>
      </c>
      <c r="AB3" s="6">
        <v>2437.5</v>
      </c>
      <c r="AC3" s="6">
        <v>0</v>
      </c>
      <c r="AD3" s="6">
        <v>7312.5</v>
      </c>
      <c r="AE3" s="6">
        <v>4904.7299999999996</v>
      </c>
      <c r="AF3" s="6">
        <v>2407.77</v>
      </c>
      <c r="AG3" s="6" t="s">
        <v>52</v>
      </c>
      <c r="AH3" s="6" t="str">
        <f t="shared" si="11"/>
        <v>Paid</v>
      </c>
      <c r="AI3" s="6" t="s">
        <v>134</v>
      </c>
      <c r="AJ3" s="6" t="str">
        <f t="shared" si="12"/>
        <v>Completed</v>
      </c>
      <c r="AK3" s="9" t="str">
        <f>_xlfn.TEXTJOIN("|",FALSE,A3,TEXT(B3,"mm-dd-yyyy"),TEXT(E3,"mm-dd-yyyy"),I3,J3,L3,N3,P3,R3,T3,V3,X3,Y3,AA3,AB3,AC3,AD3,AE3,AF3,AG3,AI3)</f>
        <v>ORD-2024-10002|08-31-2024|09-05-2024|CUST-2054|Mira Das|Small Business|East|Odisha|Bhubaneswar|Furniture|Tables|Pro Tables 258|Same Day|3|2437.5|0|7312.5|4904.73|2407.77|Paid|Completed</v>
      </c>
      <c r="AL3" s="27" t="str">
        <f>IF(COUNTIF($AK$2:AK3,AK3)&gt;1,"Remove exact duplicate copy","Keep")</f>
        <v>Keep</v>
      </c>
      <c r="AM3" s="9">
        <f t="shared" si="13"/>
        <v>1</v>
      </c>
      <c r="AN3" s="9" t="str">
        <f t="shared" si="14"/>
        <v>Unique</v>
      </c>
      <c r="AO3" s="9" t="str">
        <f t="shared" si="15"/>
        <v/>
      </c>
      <c r="AP3" s="9">
        <f t="shared" si="16"/>
        <v>0</v>
      </c>
      <c r="AQ3" s="10">
        <f t="shared" si="17"/>
        <v>7312.5</v>
      </c>
      <c r="AR3" s="10">
        <f t="shared" si="18"/>
        <v>2407.7700000000004</v>
      </c>
      <c r="AS3" s="11">
        <f t="shared" si="19"/>
        <v>0.32926769230769237</v>
      </c>
      <c r="AT3" s="9">
        <f t="shared" si="20"/>
        <v>8</v>
      </c>
      <c r="AU3" s="9">
        <f t="shared" si="21"/>
        <v>2024</v>
      </c>
      <c r="AV3" s="9" t="b">
        <f t="shared" si="22"/>
        <v>0</v>
      </c>
      <c r="AW3" s="9" t="b">
        <f t="shared" si="23"/>
        <v>0</v>
      </c>
      <c r="AX3" s="9" t="str">
        <f t="shared" si="24"/>
        <v>Yes</v>
      </c>
      <c r="AY3" s="9" t="str">
        <f t="shared" ref="AY3:AY66" si="25">_xlfn.TEXTJOIN("; ",TRUE,IF(O3="Unknown","Missing region filled as Unknown",""),IF(Z3="Unknown","Missing ship mode filled as Unknown",""),IF(AND(AC3="",AP3=0),"Missing discount treated as 0",""),IF(AP3&lt;0,"Negative discount",""),IF(AP3&gt;0.5,"Discount above 50%",""),IF(G3="Ship date before order date","Ship date before order date",""),IF(AH3="Failed","Failed payment excluded",""),IF(AH3="Refunded","Refunded order summarized separately",""),IF(AJ3="Cancelled","Cancelled order excluded",""),IF(AJ3="Returned","Returned order excluded",""),IF(AO3&lt;&gt;"","Duplicate order ID conflict",""),IF(AV3=TRUE,"Sales mismatch",""),IF(AW3=TRUE,"Profit mismatch",""))</f>
        <v/>
      </c>
      <c r="AZ3" s="9" t="str">
        <f>IF(OR(G3="Missing date",G3="Invalid date",G3="Ship date before order date",NOT(ISNUMBER(AP3)),AP3&lt;0,AP3&gt;0.5,AV3=TRUE,AW3=TRUE),"Invalid",IF(OR(O3="Unknown",Z3="Unknown",AC3="",AH3&lt;&gt;"Paid",AJ3&lt;&gt;"Completed",AO3&lt;&gt;""),"Warning","Clean"))</f>
        <v>Clean</v>
      </c>
    </row>
    <row r="4" spans="1:52" ht="14.25">
      <c r="A4" s="6" t="s">
        <v>143</v>
      </c>
      <c r="B4" s="7" t="s">
        <v>144</v>
      </c>
      <c r="C4" s="7" t="str">
        <f t="shared" si="0"/>
        <v>2024-06</v>
      </c>
      <c r="D4" s="7" cm="1">
        <f t="array" ref="D4">_xlfn.LET(_xlpm.x,B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45451</v>
      </c>
      <c r="E4" s="7" t="s">
        <v>145</v>
      </c>
      <c r="F4" s="7" cm="1">
        <f t="array" ref="F4">_xlfn.LET(_xlpm.x,E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45458</v>
      </c>
      <c r="G4" s="8" t="str">
        <f t="shared" si="1"/>
        <v>OK</v>
      </c>
      <c r="H4" s="6">
        <f t="shared" si="2"/>
        <v>7</v>
      </c>
      <c r="I4" s="6" t="s">
        <v>146</v>
      </c>
      <c r="J4" s="6" t="s">
        <v>147</v>
      </c>
      <c r="K4" s="6" t="str">
        <f t="shared" si="3"/>
        <v>Isha Nair</v>
      </c>
      <c r="L4" s="6" t="s">
        <v>43</v>
      </c>
      <c r="M4" s="8" t="str">
        <f t="shared" si="4"/>
        <v>Consumer</v>
      </c>
      <c r="N4" s="6" t="s">
        <v>8</v>
      </c>
      <c r="O4" s="6" t="str">
        <f t="shared" si="5"/>
        <v>East</v>
      </c>
      <c r="P4" s="6" t="s">
        <v>140</v>
      </c>
      <c r="Q4" s="6" t="str">
        <f t="shared" si="6"/>
        <v>Odisha</v>
      </c>
      <c r="R4" s="6" t="s">
        <v>141</v>
      </c>
      <c r="S4" s="6" t="str">
        <f t="shared" si="7"/>
        <v>Bhubaneswar</v>
      </c>
      <c r="T4" s="6" t="s">
        <v>20</v>
      </c>
      <c r="U4" s="8" t="str">
        <f t="shared" si="8"/>
        <v>Office Supplies</v>
      </c>
      <c r="V4" s="6" t="s">
        <v>21</v>
      </c>
      <c r="W4" s="6" t="str">
        <f t="shared" si="9"/>
        <v>Art</v>
      </c>
      <c r="X4" s="6" t="s">
        <v>148</v>
      </c>
      <c r="Y4" s="6" t="s">
        <v>35</v>
      </c>
      <c r="Z4" s="6" t="str">
        <f t="shared" si="10"/>
        <v>First Class</v>
      </c>
      <c r="AA4" s="6">
        <v>4</v>
      </c>
      <c r="AB4" s="6">
        <v>1065.43</v>
      </c>
      <c r="AC4" s="6">
        <v>0.55000000000000004</v>
      </c>
      <c r="AD4" s="6">
        <v>4261.72</v>
      </c>
      <c r="AE4" s="6">
        <v>2465.69</v>
      </c>
      <c r="AF4" s="6">
        <v>1796.03</v>
      </c>
      <c r="AG4" s="6" t="s">
        <v>52</v>
      </c>
      <c r="AH4" s="6" t="str">
        <f t="shared" si="11"/>
        <v>Paid</v>
      </c>
      <c r="AI4" s="6" t="s">
        <v>134</v>
      </c>
      <c r="AJ4" s="6" t="str">
        <f t="shared" si="12"/>
        <v>Completed</v>
      </c>
      <c r="AK4" s="9" t="str">
        <f>_xlfn.TEXTJOIN("|",FALSE,A4,TEXT(B4,"mm-dd-yyyy"),TEXT(E4,"mm-dd-yyyy"),I4,J4,L4,N4,P4,R4,T4,V4,X4,Y4,AA4,AB4,AC4,AD4,AE4,AF4,AG4,AI4)</f>
        <v>ORD-2024-10003|06-08-2024|06-15-2024|CUST-6843|Isha Nair|Consumer|East|Odisha|Bhubaneswar|Office Supplies|Art|Elite Art 525|First Class|4|1065.43|0.55|4261.72|2465.69|1796.03|Paid|Completed</v>
      </c>
      <c r="AL4" s="27" t="str">
        <f>IF(COUNTIF($AK$2:AK4,AK4)&gt;1,"Remove exact duplicate copy","Keep")</f>
        <v>Keep</v>
      </c>
      <c r="AM4" s="9">
        <f t="shared" si="13"/>
        <v>1</v>
      </c>
      <c r="AN4" s="9" t="str">
        <f t="shared" si="14"/>
        <v>Unique</v>
      </c>
      <c r="AO4" s="9" t="str">
        <f t="shared" si="15"/>
        <v/>
      </c>
      <c r="AP4" s="9">
        <f t="shared" si="16"/>
        <v>0.55000000000000004</v>
      </c>
      <c r="AQ4" s="10">
        <f t="shared" si="17"/>
        <v>1917.7739999999999</v>
      </c>
      <c r="AR4" s="10">
        <f t="shared" si="18"/>
        <v>-547.91600000000017</v>
      </c>
      <c r="AS4" s="11">
        <f t="shared" si="19"/>
        <v>-0.28570415492127865</v>
      </c>
      <c r="AT4" s="9">
        <f t="shared" si="20"/>
        <v>6</v>
      </c>
      <c r="AU4" s="9">
        <f t="shared" si="21"/>
        <v>2024</v>
      </c>
      <c r="AV4" s="9" t="b">
        <f t="shared" si="22"/>
        <v>1</v>
      </c>
      <c r="AW4" s="9" t="b">
        <f t="shared" si="23"/>
        <v>1</v>
      </c>
      <c r="AX4" s="9" t="str">
        <f t="shared" si="24"/>
        <v>No</v>
      </c>
      <c r="AY4" s="9" t="str">
        <f t="shared" si="25"/>
        <v>Discount above 50%; Sales mismatch; Profit mismatch</v>
      </c>
      <c r="AZ4" s="9" t="str">
        <f>IF(OR(G4="Missing date",G4="Invalid date",G4="Ship date before order date",NOT(ISNUMBER(AP4)),AP4&lt;0,AP4&gt;0.5,AV4=TRUE,AW4=TRUE),"Invalid",IF(OR(O4="Unknown",Z4="Unknown",AC4="",AH4&lt;&gt;"Paid",AJ4&lt;&gt;"Completed",AO4&lt;&gt;""),"Warning","Clean"))</f>
        <v>Invalid</v>
      </c>
    </row>
    <row r="5" spans="1:52" ht="14.25">
      <c r="A5" s="6" t="s">
        <v>149</v>
      </c>
      <c r="B5" s="7" t="s">
        <v>150</v>
      </c>
      <c r="C5" s="7" t="str">
        <f t="shared" si="0"/>
        <v>2024-11</v>
      </c>
      <c r="D5" s="7" cm="1">
        <f t="array" ref="D5">_xlfn.LET(_xlpm.x,B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45624</v>
      </c>
      <c r="E5" s="7" t="s">
        <v>151</v>
      </c>
      <c r="F5" s="7" cm="1">
        <f t="array" ref="F5">_xlfn.LET(_xlpm.x,E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45625</v>
      </c>
      <c r="G5" s="8" t="str">
        <f t="shared" si="1"/>
        <v>OK</v>
      </c>
      <c r="H5" s="6">
        <f t="shared" si="2"/>
        <v>1</v>
      </c>
      <c r="I5" s="6" t="s">
        <v>152</v>
      </c>
      <c r="J5" s="6" t="s">
        <v>153</v>
      </c>
      <c r="K5" s="6" t="str">
        <f t="shared" si="3"/>
        <v>Arjun Bose</v>
      </c>
      <c r="L5" s="6" t="s">
        <v>46</v>
      </c>
      <c r="M5" s="8" t="str">
        <f t="shared" si="4"/>
        <v>Small Business</v>
      </c>
      <c r="N5" s="6" t="s">
        <v>10</v>
      </c>
      <c r="O5" s="6" t="str">
        <f t="shared" si="5"/>
        <v>South</v>
      </c>
      <c r="P5" s="6" t="s">
        <v>154</v>
      </c>
      <c r="Q5" s="6" t="str">
        <f t="shared" si="6"/>
        <v>Telangana</v>
      </c>
      <c r="R5" s="6" t="s">
        <v>155</v>
      </c>
      <c r="S5" s="6" t="str">
        <f t="shared" si="7"/>
        <v>Hyderabad</v>
      </c>
      <c r="T5" s="6" t="s">
        <v>14</v>
      </c>
      <c r="U5" s="8" t="str">
        <f t="shared" si="8"/>
        <v>Furniture</v>
      </c>
      <c r="V5" s="6" t="s">
        <v>17</v>
      </c>
      <c r="W5" s="6" t="str">
        <f t="shared" si="9"/>
        <v>Furnishings</v>
      </c>
      <c r="X5" s="6" t="s">
        <v>156</v>
      </c>
      <c r="Y5" s="6" t="s">
        <v>34</v>
      </c>
      <c r="Z5" s="6" t="str">
        <f t="shared" si="10"/>
        <v>Standard Class</v>
      </c>
      <c r="AA5" s="6">
        <v>6</v>
      </c>
      <c r="AB5" s="6">
        <v>1848.43</v>
      </c>
      <c r="AC5" s="6">
        <v>0.25</v>
      </c>
      <c r="AD5" s="6">
        <v>8317.93</v>
      </c>
      <c r="AE5" s="6">
        <v>6796.77</v>
      </c>
      <c r="AF5" s="6">
        <v>1521.16</v>
      </c>
      <c r="AG5" s="6" t="s">
        <v>52</v>
      </c>
      <c r="AH5" s="6" t="str">
        <f t="shared" si="11"/>
        <v>Paid</v>
      </c>
      <c r="AI5" s="6" t="s">
        <v>134</v>
      </c>
      <c r="AJ5" s="6" t="str">
        <f t="shared" si="12"/>
        <v>Completed</v>
      </c>
      <c r="AK5" s="9" t="str">
        <f>_xlfn.TEXTJOIN("|",FALSE,A5,TEXT(B5,"mm-dd-yyyy"),TEXT(E5,"mm-dd-yyyy"),I5,J5,L5,N5,P5,R5,T5,V5,X5,Y5,AA5,AB5,AC5,AD5,AE5,AF5,AG5,AI5)</f>
        <v>ORD-2024-10004|28-11-2024|11-29-2024|CUST-3722|Arjun Bose|Small Business|South|Telangana|Hyderabad|Furniture|Furnishings|Smart Furnishings 294|Standard Class|6|1848.43|0.25|8317.93|6796.77|1521.16|Paid|Completed</v>
      </c>
      <c r="AL5" s="27" t="str">
        <f>IF(COUNTIF($AK$2:AK5,AK5)&gt;1,"Remove exact duplicate copy","Keep")</f>
        <v>Keep</v>
      </c>
      <c r="AM5" s="9">
        <f t="shared" si="13"/>
        <v>1</v>
      </c>
      <c r="AN5" s="9" t="str">
        <f t="shared" si="14"/>
        <v>Unique</v>
      </c>
      <c r="AO5" s="9" t="str">
        <f t="shared" si="15"/>
        <v/>
      </c>
      <c r="AP5" s="9">
        <f t="shared" si="16"/>
        <v>0.25</v>
      </c>
      <c r="AQ5" s="10">
        <f t="shared" si="17"/>
        <v>8317.9349999999995</v>
      </c>
      <c r="AR5" s="10">
        <f t="shared" si="18"/>
        <v>1521.1649999999991</v>
      </c>
      <c r="AS5" s="11">
        <f t="shared" si="19"/>
        <v>0.18287772145370204</v>
      </c>
      <c r="AT5" s="9">
        <f t="shared" si="20"/>
        <v>11</v>
      </c>
      <c r="AU5" s="9">
        <f t="shared" si="21"/>
        <v>2024</v>
      </c>
      <c r="AV5" s="9" t="b">
        <f t="shared" si="22"/>
        <v>0</v>
      </c>
      <c r="AW5" s="9" t="b">
        <f t="shared" si="23"/>
        <v>0</v>
      </c>
      <c r="AX5" s="9" t="str">
        <f t="shared" si="24"/>
        <v>Yes</v>
      </c>
      <c r="AY5" s="9" t="str">
        <f t="shared" si="25"/>
        <v/>
      </c>
      <c r="AZ5" s="9" t="str">
        <f>IF(OR(G5="Missing date",G5="Invalid date",G5="Ship date before order date",NOT(ISNUMBER(AP5)),AP5&lt;0,AP5&gt;0.5,AV5=TRUE,AW5=TRUE),"Invalid",IF(OR(O5="Unknown",Z5="Unknown",AC5="",AH5&lt;&gt;"Paid",AJ5&lt;&gt;"Completed",AO5&lt;&gt;""),"Warning","Clean"))</f>
        <v>Clean</v>
      </c>
    </row>
    <row r="6" spans="1:52" ht="14.25">
      <c r="A6" s="6" t="s">
        <v>157</v>
      </c>
      <c r="B6" s="7" t="s">
        <v>158</v>
      </c>
      <c r="C6" s="7" t="str">
        <f t="shared" si="0"/>
        <v>2025-08</v>
      </c>
      <c r="D6" s="7" cm="1">
        <f t="array" ref="D6">_xlfn.LET(_xlpm.x,B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45898</v>
      </c>
      <c r="E6" s="7" t="s">
        <v>159</v>
      </c>
      <c r="F6" s="7" cm="1">
        <f t="array" ref="F6">_xlfn.LET(_xlpm.x,E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45901</v>
      </c>
      <c r="G6" s="8" t="str">
        <f t="shared" si="1"/>
        <v>OK</v>
      </c>
      <c r="H6" s="6">
        <f t="shared" si="2"/>
        <v>3</v>
      </c>
      <c r="I6" s="6" t="s">
        <v>160</v>
      </c>
      <c r="J6" s="6" t="s">
        <v>161</v>
      </c>
      <c r="K6" s="6" t="str">
        <f t="shared" si="3"/>
        <v>Ananya Rao</v>
      </c>
      <c r="L6" s="6" t="s">
        <v>46</v>
      </c>
      <c r="M6" s="8" t="str">
        <f t="shared" si="4"/>
        <v>Small Business</v>
      </c>
      <c r="N6" s="6" t="s">
        <v>9</v>
      </c>
      <c r="O6" s="6" t="str">
        <f t="shared" si="5"/>
        <v>West</v>
      </c>
      <c r="P6" s="6" t="s">
        <v>162</v>
      </c>
      <c r="Q6" s="6" t="str">
        <f t="shared" si="6"/>
        <v>Maharashtra</v>
      </c>
      <c r="R6" s="6" t="s">
        <v>163</v>
      </c>
      <c r="S6" s="6" t="str">
        <f t="shared" si="7"/>
        <v>Mumbai</v>
      </c>
      <c r="T6" s="6" t="s">
        <v>14</v>
      </c>
      <c r="U6" s="8" t="str">
        <f t="shared" si="8"/>
        <v>Furniture</v>
      </c>
      <c r="V6" s="6" t="s">
        <v>16</v>
      </c>
      <c r="W6" s="6" t="str">
        <f t="shared" si="9"/>
        <v>Chairs</v>
      </c>
      <c r="X6" s="6" t="s">
        <v>164</v>
      </c>
      <c r="Y6" s="6" t="s">
        <v>35</v>
      </c>
      <c r="Z6" s="6" t="str">
        <f t="shared" si="10"/>
        <v>First Class</v>
      </c>
      <c r="AA6" s="6">
        <v>7</v>
      </c>
      <c r="AB6" s="6">
        <v>2973.76</v>
      </c>
      <c r="AC6" s="6">
        <v>0</v>
      </c>
      <c r="AD6" s="6">
        <v>20816.32</v>
      </c>
      <c r="AE6" s="6">
        <v>17705.37</v>
      </c>
      <c r="AF6" s="6">
        <v>3110.95</v>
      </c>
      <c r="AG6" s="6" t="s">
        <v>52</v>
      </c>
      <c r="AH6" s="6" t="str">
        <f t="shared" si="11"/>
        <v>Paid</v>
      </c>
      <c r="AI6" s="6" t="s">
        <v>58</v>
      </c>
      <c r="AJ6" s="6" t="str">
        <f t="shared" si="12"/>
        <v>Cancelled</v>
      </c>
      <c r="AK6" s="9" t="str">
        <f>_xlfn.TEXTJOIN("|",FALSE,A6,TEXT(B6,"mm-dd-yyyy"),TEXT(E6,"mm-dd-yyyy"),I6,J6,L6,N6,P6,R6,T6,V6,X6,Y6,AA6,AB6,AC6,AD6,AE6,AF6,AG6,AI6)</f>
        <v>ORD-2025-10005|08-29-2025|09-01-2025|CUST-8130|Ananya Rao|Small Business|West|Maharashtra|Mumbai|Furniture|Chairs|Elite Chairs 543|First Class|7|2973.76|0|20816.32|17705.37|3110.95|Paid|Cancelled</v>
      </c>
      <c r="AL6" s="27" t="str">
        <f>IF(COUNTIF($AK$2:AK6,AK6)&gt;1,"Remove exact duplicate copy","Keep")</f>
        <v>Keep</v>
      </c>
      <c r="AM6" s="9">
        <f t="shared" si="13"/>
        <v>1</v>
      </c>
      <c r="AN6" s="9" t="str">
        <f t="shared" si="14"/>
        <v>Unique</v>
      </c>
      <c r="AO6" s="9" t="str">
        <f t="shared" si="15"/>
        <v/>
      </c>
      <c r="AP6" s="9">
        <f t="shared" si="16"/>
        <v>0</v>
      </c>
      <c r="AQ6" s="10">
        <f t="shared" si="17"/>
        <v>20816.32</v>
      </c>
      <c r="AR6" s="10">
        <f t="shared" si="18"/>
        <v>3110.9500000000007</v>
      </c>
      <c r="AS6" s="11">
        <f t="shared" si="19"/>
        <v>0.14944764492475138</v>
      </c>
      <c r="AT6" s="9">
        <f t="shared" si="20"/>
        <v>8</v>
      </c>
      <c r="AU6" s="9">
        <f t="shared" si="21"/>
        <v>2025</v>
      </c>
      <c r="AV6" s="9" t="b">
        <f t="shared" si="22"/>
        <v>0</v>
      </c>
      <c r="AW6" s="9" t="b">
        <f t="shared" si="23"/>
        <v>0</v>
      </c>
      <c r="AX6" s="9" t="str">
        <f t="shared" si="24"/>
        <v>No</v>
      </c>
      <c r="AY6" s="9" t="str">
        <f t="shared" si="25"/>
        <v>Cancelled order excluded</v>
      </c>
      <c r="AZ6" s="9" t="str">
        <f>IF(OR(G6="Missing date",G6="Invalid date",G6="Ship date before order date",NOT(ISNUMBER(AP6)),AP6&lt;0,AP6&gt;0.5,AV6=TRUE,AW6=TRUE),"Invalid",IF(OR(O6="Unknown",Z6="Unknown",AC6="",AH6&lt;&gt;"Paid",AJ6&lt;&gt;"Completed",AO6&lt;&gt;""),"Warning","Clean"))</f>
        <v>Warning</v>
      </c>
    </row>
    <row r="7" spans="1:52" ht="14.25">
      <c r="A7" s="6" t="s">
        <v>165</v>
      </c>
      <c r="B7" s="7" t="s">
        <v>166</v>
      </c>
      <c r="C7" s="7" t="str">
        <f t="shared" si="0"/>
        <v>2024-05</v>
      </c>
      <c r="D7" s="7" cm="1">
        <f t="array" ref="D7">_xlfn.LET(_xlpm.x,B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45436</v>
      </c>
      <c r="E7" s="7" t="s">
        <v>167</v>
      </c>
      <c r="F7" s="7" cm="1">
        <f t="array" ref="F7">_xlfn.LET(_xlpm.x,E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45440</v>
      </c>
      <c r="G7" s="8" t="str">
        <f t="shared" si="1"/>
        <v>OK</v>
      </c>
      <c r="H7" s="6">
        <f t="shared" si="2"/>
        <v>4</v>
      </c>
      <c r="I7" s="6" t="s">
        <v>168</v>
      </c>
      <c r="J7" s="6" t="s">
        <v>169</v>
      </c>
      <c r="K7" s="6" t="str">
        <f t="shared" si="3"/>
        <v>Vikram Iyer</v>
      </c>
      <c r="L7" s="6" t="s">
        <v>46</v>
      </c>
      <c r="M7" s="8" t="str">
        <f t="shared" si="4"/>
        <v>Small Business</v>
      </c>
      <c r="N7" s="6" t="s">
        <v>9</v>
      </c>
      <c r="O7" s="6" t="str">
        <f t="shared" si="5"/>
        <v>West</v>
      </c>
      <c r="P7" s="6" t="s">
        <v>170</v>
      </c>
      <c r="Q7" s="6" t="str">
        <f t="shared" si="6"/>
        <v>Madhya Pradesh</v>
      </c>
      <c r="R7" s="6" t="s">
        <v>171</v>
      </c>
      <c r="S7" s="6" t="str">
        <f t="shared" si="7"/>
        <v>Indore</v>
      </c>
      <c r="T7" s="6" t="s">
        <v>27</v>
      </c>
      <c r="U7" s="8" t="str">
        <f t="shared" si="8"/>
        <v>Technology</v>
      </c>
      <c r="V7" s="6" t="s">
        <v>28</v>
      </c>
      <c r="W7" s="6" t="str">
        <f t="shared" si="9"/>
        <v>Accessories</v>
      </c>
      <c r="X7" s="6" t="s">
        <v>172</v>
      </c>
      <c r="Y7" s="6" t="s">
        <v>37</v>
      </c>
      <c r="Z7" s="6" t="str">
        <f t="shared" si="10"/>
        <v>Same Day</v>
      </c>
      <c r="AA7" s="6">
        <v>3</v>
      </c>
      <c r="AB7" s="6">
        <v>1053.1099999999999</v>
      </c>
      <c r="AC7" s="6">
        <v>0.2</v>
      </c>
      <c r="AD7" s="6">
        <v>2527.46</v>
      </c>
      <c r="AE7" s="6">
        <v>1533.58</v>
      </c>
      <c r="AF7" s="6">
        <v>993.88</v>
      </c>
      <c r="AG7" s="6" t="s">
        <v>52</v>
      </c>
      <c r="AH7" s="6" t="str">
        <f t="shared" si="11"/>
        <v>Paid</v>
      </c>
      <c r="AI7" s="6" t="s">
        <v>134</v>
      </c>
      <c r="AJ7" s="6" t="str">
        <f t="shared" si="12"/>
        <v>Completed</v>
      </c>
      <c r="AK7" s="9" t="str">
        <f>_xlfn.TEXTJOIN("|",FALSE,A7,TEXT(B7,"mm-dd-yyyy"),TEXT(E7,"mm-dd-yyyy"),I7,J7,L7,N7,P7,R7,T7,V7,X7,Y7,AA7,AB7,AC7,AD7,AE7,AF7,AG7,AI7)</f>
        <v>ORD-2024-10006|05-24-2024|28-05-2024|CUST-6056|Vikram Iyer|Small Business|West|Madhya Pradesh|Indore|Technology|Accessories|Pro Accessories 821|Same Day|3|1053.11|0.2|2527.46|1533.58|993.88|Paid|Completed</v>
      </c>
      <c r="AL7" s="27" t="str">
        <f>IF(COUNTIF($AK$2:AK7,AK7)&gt;1,"Remove exact duplicate copy","Keep")</f>
        <v>Keep</v>
      </c>
      <c r="AM7" s="9">
        <f t="shared" si="13"/>
        <v>1</v>
      </c>
      <c r="AN7" s="9" t="str">
        <f t="shared" si="14"/>
        <v>Unique</v>
      </c>
      <c r="AO7" s="9" t="str">
        <f t="shared" si="15"/>
        <v/>
      </c>
      <c r="AP7" s="9">
        <f t="shared" si="16"/>
        <v>0.2</v>
      </c>
      <c r="AQ7" s="10">
        <f t="shared" si="17"/>
        <v>2527.4639999999999</v>
      </c>
      <c r="AR7" s="10">
        <f t="shared" si="18"/>
        <v>993.88400000000001</v>
      </c>
      <c r="AS7" s="11">
        <f t="shared" si="19"/>
        <v>0.39323369195367375</v>
      </c>
      <c r="AT7" s="9">
        <f t="shared" si="20"/>
        <v>5</v>
      </c>
      <c r="AU7" s="9">
        <f t="shared" si="21"/>
        <v>2024</v>
      </c>
      <c r="AV7" s="9" t="b">
        <f t="shared" si="22"/>
        <v>0</v>
      </c>
      <c r="AW7" s="9" t="b">
        <f t="shared" si="23"/>
        <v>0</v>
      </c>
      <c r="AX7" s="9" t="str">
        <f t="shared" si="24"/>
        <v>Yes</v>
      </c>
      <c r="AY7" s="9" t="str">
        <f t="shared" si="25"/>
        <v/>
      </c>
      <c r="AZ7" s="9" t="str">
        <f>IF(OR(G7="Missing date",G7="Invalid date",G7="Ship date before order date",NOT(ISNUMBER(AP7)),AP7&lt;0,AP7&gt;0.5,AV7=TRUE,AW7=TRUE),"Invalid",IF(OR(O7="Unknown",Z7="Unknown",AC7="",AH7&lt;&gt;"Paid",AJ7&lt;&gt;"Completed",AO7&lt;&gt;""),"Warning","Clean"))</f>
        <v>Clean</v>
      </c>
    </row>
    <row r="8" spans="1:52" ht="14.25">
      <c r="A8" s="6" t="s">
        <v>173</v>
      </c>
      <c r="B8" s="7" t="s">
        <v>174</v>
      </c>
      <c r="C8" s="7" t="str">
        <f t="shared" si="0"/>
        <v>2025-04</v>
      </c>
      <c r="D8" s="7" cm="1">
        <f t="array" ref="D8">_xlfn.LET(_xlpm.x,B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45757</v>
      </c>
      <c r="E8" s="7" t="s">
        <v>175</v>
      </c>
      <c r="F8" s="7" cm="1">
        <f t="array" ref="F8">_xlfn.LET(_xlpm.x,E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45763</v>
      </c>
      <c r="G8" s="8" t="str">
        <f t="shared" si="1"/>
        <v>OK</v>
      </c>
      <c r="H8" s="6">
        <f t="shared" si="2"/>
        <v>6</v>
      </c>
      <c r="I8" s="6" t="s">
        <v>176</v>
      </c>
      <c r="J8" s="6" t="s">
        <v>177</v>
      </c>
      <c r="K8" s="6" t="str">
        <f t="shared" si="3"/>
        <v>Neha Gupta</v>
      </c>
      <c r="L8" s="6" t="s">
        <v>43</v>
      </c>
      <c r="M8" s="8" t="str">
        <f t="shared" si="4"/>
        <v>Consumer</v>
      </c>
      <c r="N8" s="6" t="s">
        <v>8</v>
      </c>
      <c r="O8" s="6" t="str">
        <f t="shared" si="5"/>
        <v>East</v>
      </c>
      <c r="P8" s="6" t="s">
        <v>140</v>
      </c>
      <c r="Q8" s="6" t="str">
        <f t="shared" si="6"/>
        <v>Odisha</v>
      </c>
      <c r="R8" s="6" t="s">
        <v>141</v>
      </c>
      <c r="S8" s="6" t="str">
        <f t="shared" si="7"/>
        <v>Bhubaneswar</v>
      </c>
      <c r="T8" s="6" t="s">
        <v>27</v>
      </c>
      <c r="U8" s="8" t="str">
        <f t="shared" si="8"/>
        <v>Technology</v>
      </c>
      <c r="V8" s="6" t="s">
        <v>29</v>
      </c>
      <c r="W8" s="6" t="str">
        <f t="shared" si="9"/>
        <v>Copiers</v>
      </c>
      <c r="X8" s="6" t="s">
        <v>178</v>
      </c>
      <c r="Y8" s="6" t="s">
        <v>34</v>
      </c>
      <c r="Z8" s="6" t="str">
        <f t="shared" si="10"/>
        <v>Standard Class</v>
      </c>
      <c r="AA8" s="6">
        <v>4</v>
      </c>
      <c r="AB8" s="6">
        <v>1719.87</v>
      </c>
      <c r="AC8" s="6">
        <v>0.15</v>
      </c>
      <c r="AD8" s="6">
        <v>5847.56</v>
      </c>
      <c r="AE8" s="6">
        <v>4727.25</v>
      </c>
      <c r="AF8" s="6">
        <v>1120.31</v>
      </c>
      <c r="AG8" s="6" t="s">
        <v>52</v>
      </c>
      <c r="AH8" s="6" t="str">
        <f t="shared" si="11"/>
        <v>Paid</v>
      </c>
      <c r="AI8" s="6" t="s">
        <v>134</v>
      </c>
      <c r="AJ8" s="6" t="str">
        <f t="shared" si="12"/>
        <v>Completed</v>
      </c>
      <c r="AK8" s="9" t="str">
        <f>_xlfn.TEXTJOIN("|",FALSE,A8,TEXT(B8,"mm-dd-yyyy"),TEXT(E8,"mm-dd-yyyy"),I8,J8,L8,N8,P8,R8,T8,V8,X8,Y8,AA8,AB8,AC8,AD8,AE8,AF8,AG8,AI8)</f>
        <v>ORD-2025-10007|04-10-2025|04-16-2025|CUST-3656|Neha Gupta|Consumer|East|Odisha|Bhubaneswar|Technology|Copiers|Eco Copiers 790|Standard Class|4|1719.87|0.15|5847.56|4727.25|1120.31|Paid|Completed</v>
      </c>
      <c r="AL8" s="27" t="str">
        <f>IF(COUNTIF($AK$2:AK8,AK8)&gt;1,"Remove exact duplicate copy","Keep")</f>
        <v>Keep</v>
      </c>
      <c r="AM8" s="9">
        <f t="shared" si="13"/>
        <v>1</v>
      </c>
      <c r="AN8" s="9" t="str">
        <f t="shared" si="14"/>
        <v>Unique</v>
      </c>
      <c r="AO8" s="9" t="str">
        <f t="shared" si="15"/>
        <v/>
      </c>
      <c r="AP8" s="9">
        <f t="shared" si="16"/>
        <v>0.15</v>
      </c>
      <c r="AQ8" s="10">
        <f t="shared" si="17"/>
        <v>5847.5579999999991</v>
      </c>
      <c r="AR8" s="10">
        <f t="shared" si="18"/>
        <v>1120.3079999999991</v>
      </c>
      <c r="AS8" s="11">
        <f t="shared" si="19"/>
        <v>0.19158561573908275</v>
      </c>
      <c r="AT8" s="9">
        <f t="shared" si="20"/>
        <v>4</v>
      </c>
      <c r="AU8" s="9">
        <f t="shared" si="21"/>
        <v>2025</v>
      </c>
      <c r="AV8" s="9" t="b">
        <f t="shared" si="22"/>
        <v>0</v>
      </c>
      <c r="AW8" s="9" t="b">
        <f t="shared" si="23"/>
        <v>0</v>
      </c>
      <c r="AX8" s="9" t="str">
        <f t="shared" si="24"/>
        <v>Yes</v>
      </c>
      <c r="AY8" s="9" t="str">
        <f t="shared" si="25"/>
        <v/>
      </c>
      <c r="AZ8" s="9" t="str">
        <f>IF(OR(G8="Missing date",G8="Invalid date",G8="Ship date before order date",NOT(ISNUMBER(AP8)),AP8&lt;0,AP8&gt;0.5,AV8=TRUE,AW8=TRUE),"Invalid",IF(OR(O8="Unknown",Z8="Unknown",AC8="",AH8&lt;&gt;"Paid",AJ8&lt;&gt;"Completed",AO8&lt;&gt;""),"Warning","Clean"))</f>
        <v>Clean</v>
      </c>
    </row>
    <row r="9" spans="1:52" ht="14.25">
      <c r="A9" s="6" t="s">
        <v>179</v>
      </c>
      <c r="B9" s="7" t="s">
        <v>180</v>
      </c>
      <c r="C9" s="7" t="str">
        <f t="shared" si="0"/>
        <v>2025-02</v>
      </c>
      <c r="D9" s="7" cm="1">
        <f t="array" ref="D9">_xlfn.LET(_xlpm.x,B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45711</v>
      </c>
      <c r="E9" s="7" t="s">
        <v>181</v>
      </c>
      <c r="F9" s="7" cm="1">
        <f t="array" ref="F9">_xlfn.LET(_xlpm.x,E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45714</v>
      </c>
      <c r="G9" s="8" t="str">
        <f t="shared" si="1"/>
        <v>OK</v>
      </c>
      <c r="H9" s="6">
        <f t="shared" si="2"/>
        <v>3</v>
      </c>
      <c r="I9" s="6" t="s">
        <v>182</v>
      </c>
      <c r="J9" s="6" t="s">
        <v>147</v>
      </c>
      <c r="K9" s="6" t="str">
        <f t="shared" si="3"/>
        <v>Isha Nair</v>
      </c>
      <c r="L9" s="6" t="s">
        <v>46</v>
      </c>
      <c r="M9" s="8" t="str">
        <f t="shared" si="4"/>
        <v>Small Business</v>
      </c>
      <c r="N9" s="6" t="s">
        <v>10</v>
      </c>
      <c r="O9" s="6" t="str">
        <f t="shared" si="5"/>
        <v>South</v>
      </c>
      <c r="P9" s="6" t="s">
        <v>183</v>
      </c>
      <c r="Q9" s="6" t="str">
        <f t="shared" si="6"/>
        <v>Andhra Pradesh</v>
      </c>
      <c r="R9" s="6" t="s">
        <v>184</v>
      </c>
      <c r="S9" s="6" t="str">
        <f t="shared" si="7"/>
        <v>Vijayawada</v>
      </c>
      <c r="T9" s="6" t="s">
        <v>20</v>
      </c>
      <c r="U9" s="8" t="str">
        <f t="shared" si="8"/>
        <v>Office Supplies</v>
      </c>
      <c r="V9" s="6" t="s">
        <v>21</v>
      </c>
      <c r="W9" s="6" t="str">
        <f t="shared" si="9"/>
        <v>Art</v>
      </c>
      <c r="X9" s="6" t="s">
        <v>185</v>
      </c>
      <c r="Y9" s="6" t="s">
        <v>35</v>
      </c>
      <c r="Z9" s="6" t="str">
        <f t="shared" si="10"/>
        <v>First Class</v>
      </c>
      <c r="AA9" s="6">
        <v>1</v>
      </c>
      <c r="AB9" s="6">
        <v>2980.71</v>
      </c>
      <c r="AC9" s="6">
        <v>0</v>
      </c>
      <c r="AD9" s="6">
        <v>2980.71</v>
      </c>
      <c r="AE9" s="6">
        <v>2357.2199999999998</v>
      </c>
      <c r="AF9" s="6">
        <v>623.49</v>
      </c>
      <c r="AG9" s="6" t="s">
        <v>52</v>
      </c>
      <c r="AH9" s="6" t="str">
        <f t="shared" si="11"/>
        <v>Paid</v>
      </c>
      <c r="AI9" s="6" t="s">
        <v>134</v>
      </c>
      <c r="AJ9" s="6" t="str">
        <f t="shared" si="12"/>
        <v>Completed</v>
      </c>
      <c r="AK9" s="9" t="str">
        <f>_xlfn.TEXTJOIN("|",FALSE,A9,TEXT(B9,"mm-dd-yyyy"),TEXT(E9,"mm-dd-yyyy"),I9,J9,L9,N9,P9,R9,T9,V9,X9,Y9,AA9,AB9,AC9,AD9,AE9,AF9,AG9,AI9)</f>
        <v>ORD-2025-10008|02-23-2025|26-02-2025|CUST-4683|Isha Nair|Small Business|South|Andhra Pradesh|Vijayawada|Office Supplies|Art|Eco Art 848|First Class|1|2980.71|0|2980.71|2357.22|623.49|Paid|Completed</v>
      </c>
      <c r="AL9" s="27" t="str">
        <f>IF(COUNTIF($AK$2:AK9,AK9)&gt;1,"Remove exact duplicate copy","Keep")</f>
        <v>Keep</v>
      </c>
      <c r="AM9" s="9">
        <f t="shared" si="13"/>
        <v>1</v>
      </c>
      <c r="AN9" s="9" t="str">
        <f t="shared" si="14"/>
        <v>Unique</v>
      </c>
      <c r="AO9" s="9" t="str">
        <f t="shared" si="15"/>
        <v/>
      </c>
      <c r="AP9" s="9">
        <f t="shared" si="16"/>
        <v>0</v>
      </c>
      <c r="AQ9" s="10">
        <f t="shared" si="17"/>
        <v>2980.71</v>
      </c>
      <c r="AR9" s="10">
        <f t="shared" si="18"/>
        <v>623.49000000000024</v>
      </c>
      <c r="AS9" s="11">
        <f t="shared" si="19"/>
        <v>0.20917499521925992</v>
      </c>
      <c r="AT9" s="9">
        <f t="shared" si="20"/>
        <v>2</v>
      </c>
      <c r="AU9" s="9">
        <f t="shared" si="21"/>
        <v>2025</v>
      </c>
      <c r="AV9" s="9" t="b">
        <f t="shared" si="22"/>
        <v>0</v>
      </c>
      <c r="AW9" s="9" t="b">
        <f t="shared" si="23"/>
        <v>0</v>
      </c>
      <c r="AX9" s="9" t="str">
        <f t="shared" si="24"/>
        <v>Yes</v>
      </c>
      <c r="AY9" s="9" t="str">
        <f t="shared" si="25"/>
        <v/>
      </c>
      <c r="AZ9" s="9" t="str">
        <f>IF(OR(G9="Missing date",G9="Invalid date",G9="Ship date before order date",NOT(ISNUMBER(AP9)),AP9&lt;0,AP9&gt;0.5,AV9=TRUE,AW9=TRUE),"Invalid",IF(OR(O9="Unknown",Z9="Unknown",AC9="",AH9&lt;&gt;"Paid",AJ9&lt;&gt;"Completed",AO9&lt;&gt;""),"Warning","Clean"))</f>
        <v>Clean</v>
      </c>
    </row>
    <row r="10" spans="1:52" ht="14.25">
      <c r="A10" s="6" t="s">
        <v>186</v>
      </c>
      <c r="B10" s="7" t="s">
        <v>187</v>
      </c>
      <c r="C10" s="7" t="str">
        <f t="shared" si="0"/>
        <v>2024-11</v>
      </c>
      <c r="D10" s="7" cm="1">
        <f t="array" ref="D10">_xlfn.LET(_xlpm.x,B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45601</v>
      </c>
      <c r="E10" s="7" t="s">
        <v>188</v>
      </c>
      <c r="F10" s="7" cm="1">
        <f t="array" ref="F10">_xlfn.LET(_xlpm.x,E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45606</v>
      </c>
      <c r="G10" s="8" t="str">
        <f t="shared" si="1"/>
        <v>OK</v>
      </c>
      <c r="H10" s="6">
        <f t="shared" si="2"/>
        <v>5</v>
      </c>
      <c r="I10" s="6" t="s">
        <v>189</v>
      </c>
      <c r="J10" s="6" t="s">
        <v>190</v>
      </c>
      <c r="K10" s="6" t="str">
        <f t="shared" si="3"/>
        <v>Aditi Sen</v>
      </c>
      <c r="L10" s="6" t="s">
        <v>45</v>
      </c>
      <c r="M10" s="8" t="str">
        <f t="shared" si="4"/>
        <v>Corporate</v>
      </c>
      <c r="N10" s="6" t="s">
        <v>10</v>
      </c>
      <c r="O10" s="6" t="str">
        <f t="shared" si="5"/>
        <v>South</v>
      </c>
      <c r="P10" s="6" t="s">
        <v>154</v>
      </c>
      <c r="Q10" s="6" t="str">
        <f t="shared" si="6"/>
        <v>Telangana</v>
      </c>
      <c r="R10" s="6" t="s">
        <v>155</v>
      </c>
      <c r="S10" s="6" t="str">
        <f t="shared" si="7"/>
        <v>Hyderabad</v>
      </c>
      <c r="T10" s="6" t="s">
        <v>20</v>
      </c>
      <c r="U10" s="8" t="str">
        <f t="shared" si="8"/>
        <v>Office Supplies</v>
      </c>
      <c r="V10" s="6" t="s">
        <v>23</v>
      </c>
      <c r="W10" s="6" t="str">
        <f t="shared" si="9"/>
        <v>Labels</v>
      </c>
      <c r="X10" s="6" t="s">
        <v>191</v>
      </c>
      <c r="Y10" s="6" t="s">
        <v>35</v>
      </c>
      <c r="Z10" s="6" t="str">
        <f t="shared" si="10"/>
        <v>First Class</v>
      </c>
      <c r="AA10" s="6">
        <v>8</v>
      </c>
      <c r="AB10" s="6">
        <v>3134.2</v>
      </c>
      <c r="AC10" s="6">
        <v>0</v>
      </c>
      <c r="AD10" s="6">
        <v>25073.599999999999</v>
      </c>
      <c r="AE10" s="6">
        <v>17347.23</v>
      </c>
      <c r="AF10" s="6">
        <v>7726.37</v>
      </c>
      <c r="AG10" s="6" t="s">
        <v>52</v>
      </c>
      <c r="AH10" s="6" t="str">
        <f t="shared" si="11"/>
        <v>Paid</v>
      </c>
      <c r="AI10" s="6" t="s">
        <v>134</v>
      </c>
      <c r="AJ10" s="6" t="str">
        <f t="shared" si="12"/>
        <v>Completed</v>
      </c>
      <c r="AK10" s="9" t="str">
        <f>_xlfn.TEXTJOIN("|",FALSE,A10,TEXT(B10,"mm-dd-yyyy"),TEXT(E10,"mm-dd-yyyy"),I10,J10,L10,N10,P10,R10,T10,V10,X10,Y10,AA10,AB10,AC10,AD10,AE10,AF10,AG10,AI10)</f>
        <v>ORD-2024-10009|11-05-2024|11-10-2024|CUST-2598|Aditi Sen|Corporate|South|Telangana|Hyderabad|Office Supplies|Labels|Classic Labels 815|First Class|8|3134.2|0|25073.6|17347.23|7726.37|Paid|Completed</v>
      </c>
      <c r="AL10" s="27" t="str">
        <f>IF(COUNTIF($AK$2:AK10,AK10)&gt;1,"Remove exact duplicate copy","Keep")</f>
        <v>Keep</v>
      </c>
      <c r="AM10" s="9">
        <f t="shared" si="13"/>
        <v>1</v>
      </c>
      <c r="AN10" s="9" t="str">
        <f t="shared" si="14"/>
        <v>Unique</v>
      </c>
      <c r="AO10" s="9" t="str">
        <f t="shared" si="15"/>
        <v/>
      </c>
      <c r="AP10" s="9">
        <f t="shared" si="16"/>
        <v>0</v>
      </c>
      <c r="AQ10" s="10">
        <f t="shared" si="17"/>
        <v>25073.599999999999</v>
      </c>
      <c r="AR10" s="10">
        <f t="shared" si="18"/>
        <v>7726.369999999999</v>
      </c>
      <c r="AS10" s="11">
        <f t="shared" si="19"/>
        <v>0.30814761342607361</v>
      </c>
      <c r="AT10" s="9">
        <f t="shared" si="20"/>
        <v>11</v>
      </c>
      <c r="AU10" s="9">
        <f t="shared" si="21"/>
        <v>2024</v>
      </c>
      <c r="AV10" s="9" t="b">
        <f t="shared" si="22"/>
        <v>0</v>
      </c>
      <c r="AW10" s="9" t="b">
        <f t="shared" si="23"/>
        <v>0</v>
      </c>
      <c r="AX10" s="9" t="str">
        <f t="shared" si="24"/>
        <v>Yes</v>
      </c>
      <c r="AY10" s="9" t="str">
        <f t="shared" si="25"/>
        <v/>
      </c>
      <c r="AZ10" s="9" t="str">
        <f>IF(OR(G10="Missing date",G10="Invalid date",G10="Ship date before order date",NOT(ISNUMBER(AP10)),AP10&lt;0,AP10&gt;0.5,AV10=TRUE,AW10=TRUE),"Invalid",IF(OR(O10="Unknown",Z10="Unknown",AC10="",AH10&lt;&gt;"Paid",AJ10&lt;&gt;"Completed",AO10&lt;&gt;""),"Warning","Clean"))</f>
        <v>Clean</v>
      </c>
    </row>
    <row r="11" spans="1:52" ht="14.25">
      <c r="A11" s="6" t="s">
        <v>192</v>
      </c>
      <c r="B11" s="7" t="s">
        <v>193</v>
      </c>
      <c r="C11" s="7" t="str">
        <f t="shared" si="0"/>
        <v>2025-09</v>
      </c>
      <c r="D11" s="7" cm="1">
        <f t="array" ref="D11">_xlfn.LET(_xlpm.x,B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45907</v>
      </c>
      <c r="E11" s="7" t="s">
        <v>194</v>
      </c>
      <c r="F11" s="7" cm="1">
        <f t="array" ref="F11">_xlfn.LET(_xlpm.x,E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45912</v>
      </c>
      <c r="G11" s="8" t="str">
        <f t="shared" si="1"/>
        <v>OK</v>
      </c>
      <c r="H11" s="6">
        <f t="shared" si="2"/>
        <v>5</v>
      </c>
      <c r="I11" s="6" t="s">
        <v>195</v>
      </c>
      <c r="J11" s="6" t="s">
        <v>139</v>
      </c>
      <c r="K11" s="6" t="str">
        <f t="shared" si="3"/>
        <v>Mira Das</v>
      </c>
      <c r="L11" s="6" t="s">
        <v>44</v>
      </c>
      <c r="M11" s="8" t="str">
        <f t="shared" si="4"/>
        <v>Home Office</v>
      </c>
      <c r="N11" s="6" t="s">
        <v>10</v>
      </c>
      <c r="O11" s="6" t="str">
        <f t="shared" si="5"/>
        <v>South</v>
      </c>
      <c r="P11" s="6" t="s">
        <v>154</v>
      </c>
      <c r="Q11" s="6" t="str">
        <f t="shared" si="6"/>
        <v>Telangana</v>
      </c>
      <c r="R11" s="6" t="s">
        <v>155</v>
      </c>
      <c r="S11" s="6" t="str">
        <f t="shared" si="7"/>
        <v>Hyderabad</v>
      </c>
      <c r="T11" s="6" t="s">
        <v>20</v>
      </c>
      <c r="U11" s="8" t="str">
        <f t="shared" si="8"/>
        <v>Office Supplies</v>
      </c>
      <c r="V11" s="6" t="s">
        <v>24</v>
      </c>
      <c r="W11" s="6" t="str">
        <f t="shared" si="9"/>
        <v>Paper</v>
      </c>
      <c r="X11" s="6" t="s">
        <v>196</v>
      </c>
      <c r="Y11" s="6" t="s">
        <v>36</v>
      </c>
      <c r="Z11" s="6" t="str">
        <f t="shared" si="10"/>
        <v>Second Class</v>
      </c>
      <c r="AA11" s="6">
        <v>9</v>
      </c>
      <c r="AB11" s="6">
        <v>852.04</v>
      </c>
      <c r="AC11" s="6">
        <v>0.2</v>
      </c>
      <c r="AD11" s="6">
        <v>6134.69</v>
      </c>
      <c r="AE11" s="6">
        <v>3800.19</v>
      </c>
      <c r="AF11" s="6">
        <v>2334.5</v>
      </c>
      <c r="AG11" s="6" t="s">
        <v>52</v>
      </c>
      <c r="AH11" s="6" t="str">
        <f t="shared" si="11"/>
        <v>Paid</v>
      </c>
      <c r="AI11" s="6" t="s">
        <v>134</v>
      </c>
      <c r="AJ11" s="6" t="str">
        <f t="shared" si="12"/>
        <v>Completed</v>
      </c>
      <c r="AK11" s="9" t="str">
        <f>_xlfn.TEXTJOIN("|",FALSE,A11,TEXT(B11,"mm-dd-yyyy"),TEXT(E11,"mm-dd-yyyy"),I11,J11,L11,N11,P11,R11,T11,V11,X11,Y11,AA11,AB11,AC11,AD11,AE11,AF11,AG11,AI11)</f>
        <v>ORD-2025-10010|07-09-2025|09-12-2025|CUST-2483|Mira Das|Home Office|South|Telangana|Hyderabad|Office Supplies|Paper|Pro Paper 622|Second Class|9|852.04|0.2|6134.69|3800.19|2334.5|Paid|Completed</v>
      </c>
      <c r="AL11" s="27" t="str">
        <f>IF(COUNTIF($AK$2:AK11,AK11)&gt;1,"Remove exact duplicate copy","Keep")</f>
        <v>Keep</v>
      </c>
      <c r="AM11" s="9">
        <f t="shared" si="13"/>
        <v>1</v>
      </c>
      <c r="AN11" s="9" t="str">
        <f t="shared" si="14"/>
        <v>Unique</v>
      </c>
      <c r="AO11" s="9" t="str">
        <f t="shared" si="15"/>
        <v/>
      </c>
      <c r="AP11" s="9">
        <f t="shared" si="16"/>
        <v>0.2</v>
      </c>
      <c r="AQ11" s="10">
        <f t="shared" si="17"/>
        <v>6134.6880000000001</v>
      </c>
      <c r="AR11" s="10">
        <f t="shared" si="18"/>
        <v>2334.498</v>
      </c>
      <c r="AS11" s="11">
        <f t="shared" si="19"/>
        <v>0.38054062407085737</v>
      </c>
      <c r="AT11" s="9">
        <f t="shared" si="20"/>
        <v>9</v>
      </c>
      <c r="AU11" s="9">
        <f t="shared" si="21"/>
        <v>2025</v>
      </c>
      <c r="AV11" s="9" t="b">
        <f t="shared" si="22"/>
        <v>0</v>
      </c>
      <c r="AW11" s="9" t="b">
        <f t="shared" si="23"/>
        <v>0</v>
      </c>
      <c r="AX11" s="9" t="str">
        <f t="shared" si="24"/>
        <v>Yes</v>
      </c>
      <c r="AY11" s="9" t="str">
        <f t="shared" si="25"/>
        <v/>
      </c>
      <c r="AZ11" s="9" t="str">
        <f>IF(OR(G11="Missing date",G11="Invalid date",G11="Ship date before order date",NOT(ISNUMBER(AP11)),AP11&lt;0,AP11&gt;0.5,AV11=TRUE,AW11=TRUE),"Invalid",IF(OR(O11="Unknown",Z11="Unknown",AC11="",AH11&lt;&gt;"Paid",AJ11&lt;&gt;"Completed",AO11&lt;&gt;""),"Warning","Clean"))</f>
        <v>Clean</v>
      </c>
    </row>
    <row r="12" spans="1:52" ht="14.25">
      <c r="A12" s="6" t="s">
        <v>197</v>
      </c>
      <c r="B12" s="7" t="s">
        <v>198</v>
      </c>
      <c r="C12" s="7" t="str">
        <f t="shared" si="0"/>
        <v>2025-05</v>
      </c>
      <c r="D12" s="7" cm="1">
        <f t="array" ref="D12">_xlfn.LET(_xlpm.x,B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45797</v>
      </c>
      <c r="E12" s="7" t="s">
        <v>199</v>
      </c>
      <c r="F12" s="7" cm="1">
        <f t="array" ref="F12">_xlfn.LET(_xlpm.x,E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45797</v>
      </c>
      <c r="G12" s="8" t="str">
        <f t="shared" si="1"/>
        <v>OK</v>
      </c>
      <c r="H12" s="6">
        <f t="shared" si="2"/>
        <v>0</v>
      </c>
      <c r="I12" s="6" t="s">
        <v>200</v>
      </c>
      <c r="J12" s="6" t="s">
        <v>161</v>
      </c>
      <c r="K12" s="6" t="str">
        <f t="shared" si="3"/>
        <v>Ananya Rao</v>
      </c>
      <c r="L12" s="6" t="s">
        <v>45</v>
      </c>
      <c r="M12" s="8" t="str">
        <f t="shared" si="4"/>
        <v>Corporate</v>
      </c>
      <c r="N12" s="6" t="s">
        <v>8</v>
      </c>
      <c r="O12" s="6" t="str">
        <f t="shared" si="5"/>
        <v>East</v>
      </c>
      <c r="P12" s="6" t="s">
        <v>201</v>
      </c>
      <c r="Q12" s="6" t="str">
        <f t="shared" si="6"/>
        <v>West Bengal</v>
      </c>
      <c r="R12" s="6" t="s">
        <v>202</v>
      </c>
      <c r="S12" s="6" t="str">
        <f t="shared" si="7"/>
        <v>Kolkata</v>
      </c>
      <c r="T12" s="6" t="s">
        <v>20</v>
      </c>
      <c r="U12" s="8" t="str">
        <f t="shared" si="8"/>
        <v>Office Supplies</v>
      </c>
      <c r="V12" s="6" t="s">
        <v>23</v>
      </c>
      <c r="W12" s="6" t="str">
        <f t="shared" si="9"/>
        <v>Labels</v>
      </c>
      <c r="X12" s="6" t="s">
        <v>203</v>
      </c>
      <c r="Y12" s="6" t="s">
        <v>36</v>
      </c>
      <c r="Z12" s="6" t="str">
        <f t="shared" si="10"/>
        <v>Second Class</v>
      </c>
      <c r="AA12" s="6">
        <v>3</v>
      </c>
      <c r="AB12" s="6">
        <v>3534.83</v>
      </c>
      <c r="AC12" s="6">
        <v>0.05</v>
      </c>
      <c r="AD12" s="6">
        <v>10074.27</v>
      </c>
      <c r="AE12" s="6">
        <v>6048.27</v>
      </c>
      <c r="AF12" s="6">
        <v>4026</v>
      </c>
      <c r="AG12" s="6" t="s">
        <v>56</v>
      </c>
      <c r="AH12" s="6" t="str">
        <f t="shared" si="11"/>
        <v>Refunded</v>
      </c>
      <c r="AI12" s="6" t="s">
        <v>59</v>
      </c>
      <c r="AJ12" s="6" t="str">
        <f t="shared" si="12"/>
        <v>Returned</v>
      </c>
      <c r="AK12" s="9" t="str">
        <f>_xlfn.TEXTJOIN("|",FALSE,A12,TEXT(B12,"mm-dd-yyyy"),TEXT(E12,"mm-dd-yyyy"),I12,J12,L12,N12,P12,R12,T12,V12,X12,Y12,AA12,AB12,AC12,AD12,AE12,AF12,AG12,AI12)</f>
        <v>ORD-2025-10011|05-20-2025|05-20-2025|CUST-8092|Ananya Rao|Corporate|East|West Bengal|Kolkata|Office Supplies|Labels|Prime Labels 644|Second Class|3|3534.83|0.05|10074.27|6048.27|4026|Refunded|Returned</v>
      </c>
      <c r="AL12" s="27" t="str">
        <f>IF(COUNTIF($AK$2:AK12,AK12)&gt;1,"Remove exact duplicate copy","Keep")</f>
        <v>Keep</v>
      </c>
      <c r="AM12" s="9">
        <f t="shared" si="13"/>
        <v>1</v>
      </c>
      <c r="AN12" s="9" t="str">
        <f t="shared" si="14"/>
        <v>Unique</v>
      </c>
      <c r="AO12" s="9" t="str">
        <f t="shared" si="15"/>
        <v/>
      </c>
      <c r="AP12" s="9">
        <f t="shared" si="16"/>
        <v>0.05</v>
      </c>
      <c r="AQ12" s="10">
        <f t="shared" si="17"/>
        <v>10074.2655</v>
      </c>
      <c r="AR12" s="10">
        <f t="shared" si="18"/>
        <v>4025.9954999999991</v>
      </c>
      <c r="AS12" s="11">
        <f t="shared" si="19"/>
        <v>0.39963166545491574</v>
      </c>
      <c r="AT12" s="9">
        <f t="shared" si="20"/>
        <v>5</v>
      </c>
      <c r="AU12" s="9">
        <f t="shared" si="21"/>
        <v>2025</v>
      </c>
      <c r="AV12" s="9" t="b">
        <f t="shared" si="22"/>
        <v>0</v>
      </c>
      <c r="AW12" s="9" t="b">
        <f t="shared" si="23"/>
        <v>0</v>
      </c>
      <c r="AX12" s="9" t="str">
        <f t="shared" si="24"/>
        <v>No</v>
      </c>
      <c r="AY12" s="9" t="str">
        <f t="shared" si="25"/>
        <v>Refunded order summarized separately; Returned order excluded</v>
      </c>
      <c r="AZ12" s="9" t="str">
        <f>IF(OR(G12="Missing date",G12="Invalid date",G12="Ship date before order date",NOT(ISNUMBER(AP12)),AP12&lt;0,AP12&gt;0.5,AV12=TRUE,AW12=TRUE),"Invalid",IF(OR(O12="Unknown",Z12="Unknown",AC12="",AH12&lt;&gt;"Paid",AJ12&lt;&gt;"Completed",AO12&lt;&gt;""),"Warning","Clean"))</f>
        <v>Warning</v>
      </c>
    </row>
    <row r="13" spans="1:52" ht="14.25">
      <c r="A13" s="6" t="s">
        <v>204</v>
      </c>
      <c r="B13" s="7" t="s">
        <v>205</v>
      </c>
      <c r="C13" s="7" t="str">
        <f t="shared" si="0"/>
        <v>2024-07</v>
      </c>
      <c r="D13" s="7" cm="1">
        <f t="array" ref="D13">_xlfn.LET(_xlpm.x,B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45495</v>
      </c>
      <c r="E13" s="7" t="s">
        <v>206</v>
      </c>
      <c r="F13" s="7" cm="1">
        <f t="array" ref="F13">_xlfn.LET(_xlpm.x,E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45496</v>
      </c>
      <c r="G13" s="8" t="str">
        <f t="shared" si="1"/>
        <v>OK</v>
      </c>
      <c r="H13" s="6">
        <f t="shared" si="2"/>
        <v>1</v>
      </c>
      <c r="I13" s="6" t="s">
        <v>207</v>
      </c>
      <c r="J13" s="6" t="s">
        <v>169</v>
      </c>
      <c r="K13" s="6" t="str">
        <f t="shared" si="3"/>
        <v>Vikram Iyer</v>
      </c>
      <c r="L13" s="6" t="s">
        <v>46</v>
      </c>
      <c r="M13" s="8" t="str">
        <f t="shared" si="4"/>
        <v>Small Business</v>
      </c>
      <c r="N13" s="6" t="s">
        <v>8</v>
      </c>
      <c r="O13" s="6" t="str">
        <f t="shared" si="5"/>
        <v>East</v>
      </c>
      <c r="P13" s="6" t="s">
        <v>140</v>
      </c>
      <c r="Q13" s="6" t="str">
        <f t="shared" si="6"/>
        <v>Odisha</v>
      </c>
      <c r="R13" s="6" t="s">
        <v>141</v>
      </c>
      <c r="S13" s="6" t="str">
        <f t="shared" si="7"/>
        <v>Bhubaneswar</v>
      </c>
      <c r="T13" s="6" t="s">
        <v>27</v>
      </c>
      <c r="U13" s="8" t="str">
        <f t="shared" si="8"/>
        <v>Technology</v>
      </c>
      <c r="V13" s="6" t="s">
        <v>28</v>
      </c>
      <c r="W13" s="6" t="str">
        <f t="shared" si="9"/>
        <v>Accessories</v>
      </c>
      <c r="X13" s="6" t="s">
        <v>208</v>
      </c>
      <c r="Y13" s="6" t="s">
        <v>37</v>
      </c>
      <c r="Z13" s="6" t="str">
        <f t="shared" si="10"/>
        <v>Same Day</v>
      </c>
      <c r="AA13" s="6">
        <v>6</v>
      </c>
      <c r="AB13" s="6">
        <v>2005.95</v>
      </c>
      <c r="AC13" s="6">
        <v>0.2</v>
      </c>
      <c r="AD13" s="6">
        <v>9628.56</v>
      </c>
      <c r="AE13" s="6">
        <v>8038.59</v>
      </c>
      <c r="AF13" s="6">
        <v>1589.97</v>
      </c>
      <c r="AG13" s="6" t="s">
        <v>52</v>
      </c>
      <c r="AH13" s="6" t="str">
        <f t="shared" si="11"/>
        <v>Paid</v>
      </c>
      <c r="AI13" s="6" t="s">
        <v>134</v>
      </c>
      <c r="AJ13" s="6" t="str">
        <f t="shared" si="12"/>
        <v>Completed</v>
      </c>
      <c r="AK13" s="9" t="str">
        <f>_xlfn.TEXTJOIN("|",FALSE,A13,TEXT(B13,"mm-dd-yyyy"),TEXT(E13,"mm-dd-yyyy"),I13,J13,L13,N13,P13,R13,T13,V13,X13,Y13,AA13,AB13,AC13,AD13,AE13,AF13,AG13,AI13)</f>
        <v>ORD-2024-10012|07-22-2024|23-07-2024|CUST-6528|Vikram Iyer|Small Business|East|Odisha|Bhubaneswar|Technology|Accessories|Smart Accessories 603|Same Day|6|2005.95|0.2|9628.56|8038.59|1589.97|Paid|Completed</v>
      </c>
      <c r="AL13" s="27" t="str">
        <f>IF(COUNTIF($AK$2:AK13,AK13)&gt;1,"Remove exact duplicate copy","Keep")</f>
        <v>Keep</v>
      </c>
      <c r="AM13" s="9">
        <f t="shared" si="13"/>
        <v>1</v>
      </c>
      <c r="AN13" s="9" t="str">
        <f t="shared" si="14"/>
        <v>Unique</v>
      </c>
      <c r="AO13" s="9" t="str">
        <f t="shared" si="15"/>
        <v/>
      </c>
      <c r="AP13" s="9">
        <f t="shared" si="16"/>
        <v>0.2</v>
      </c>
      <c r="AQ13" s="10">
        <f t="shared" si="17"/>
        <v>9628.5600000000013</v>
      </c>
      <c r="AR13" s="10">
        <f t="shared" si="18"/>
        <v>1589.9700000000012</v>
      </c>
      <c r="AS13" s="11">
        <f t="shared" si="19"/>
        <v>0.16513061143099289</v>
      </c>
      <c r="AT13" s="9">
        <f t="shared" si="20"/>
        <v>7</v>
      </c>
      <c r="AU13" s="9">
        <f t="shared" si="21"/>
        <v>2024</v>
      </c>
      <c r="AV13" s="9" t="b">
        <f t="shared" si="22"/>
        <v>0</v>
      </c>
      <c r="AW13" s="9" t="b">
        <f t="shared" si="23"/>
        <v>0</v>
      </c>
      <c r="AX13" s="9" t="str">
        <f t="shared" si="24"/>
        <v>Yes</v>
      </c>
      <c r="AY13" s="9" t="str">
        <f t="shared" si="25"/>
        <v/>
      </c>
      <c r="AZ13" s="9" t="str">
        <f>IF(OR(G13="Missing date",G13="Invalid date",G13="Ship date before order date",NOT(ISNUMBER(AP13)),AP13&lt;0,AP13&gt;0.5,AV13=TRUE,AW13=TRUE),"Invalid",IF(OR(O13="Unknown",Z13="Unknown",AC13="",AH13&lt;&gt;"Paid",AJ13&lt;&gt;"Completed",AO13&lt;&gt;""),"Warning","Clean"))</f>
        <v>Clean</v>
      </c>
    </row>
    <row r="14" spans="1:52" ht="14.25">
      <c r="A14" s="6" t="s">
        <v>209</v>
      </c>
      <c r="B14" s="7" t="s">
        <v>210</v>
      </c>
      <c r="C14" s="7" t="str">
        <f t="shared" si="0"/>
        <v>2024-12</v>
      </c>
      <c r="D14" s="7" cm="1">
        <f t="array" ref="D14">_xlfn.LET(_xlpm.x,B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45646</v>
      </c>
      <c r="E14" s="7" t="s">
        <v>211</v>
      </c>
      <c r="F14" s="7" cm="1">
        <f t="array" ref="F14">_xlfn.LET(_xlpm.x,E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45647</v>
      </c>
      <c r="G14" s="8" t="str">
        <f t="shared" si="1"/>
        <v>OK</v>
      </c>
      <c r="H14" s="6">
        <f t="shared" si="2"/>
        <v>1</v>
      </c>
      <c r="I14" s="6" t="s">
        <v>212</v>
      </c>
      <c r="J14" s="6" t="s">
        <v>161</v>
      </c>
      <c r="K14" s="6" t="str">
        <f t="shared" si="3"/>
        <v>Ananya Rao</v>
      </c>
      <c r="L14" s="6" t="s">
        <v>213</v>
      </c>
      <c r="M14" s="8" t="str">
        <f t="shared" si="4"/>
        <v>Corporate</v>
      </c>
      <c r="N14" s="6" t="s">
        <v>9</v>
      </c>
      <c r="O14" s="6" t="str">
        <f t="shared" si="5"/>
        <v>West</v>
      </c>
      <c r="P14" s="6" t="s">
        <v>131</v>
      </c>
      <c r="Q14" s="6" t="str">
        <f t="shared" si="6"/>
        <v>Rajasthan</v>
      </c>
      <c r="R14" s="6" t="s">
        <v>214</v>
      </c>
      <c r="S14" s="6" t="str">
        <f t="shared" si="7"/>
        <v>Udaipur</v>
      </c>
      <c r="T14" s="6" t="s">
        <v>20</v>
      </c>
      <c r="U14" s="8" t="str">
        <f t="shared" si="8"/>
        <v>Office Supplies</v>
      </c>
      <c r="V14" s="6" t="s">
        <v>24</v>
      </c>
      <c r="W14" s="6" t="str">
        <f t="shared" si="9"/>
        <v>Paper</v>
      </c>
      <c r="X14" s="6" t="s">
        <v>215</v>
      </c>
      <c r="Y14" s="6" t="s">
        <v>35</v>
      </c>
      <c r="Z14" s="6" t="str">
        <f t="shared" si="10"/>
        <v>First Class</v>
      </c>
      <c r="AA14" s="6">
        <v>1</v>
      </c>
      <c r="AB14" s="6">
        <v>702.14</v>
      </c>
      <c r="AC14" s="6">
        <v>0.15</v>
      </c>
      <c r="AD14" s="6">
        <v>596.82000000000005</v>
      </c>
      <c r="AE14" s="6">
        <v>380.25</v>
      </c>
      <c r="AF14" s="6">
        <v>216.57</v>
      </c>
      <c r="AG14" s="6" t="s">
        <v>54</v>
      </c>
      <c r="AH14" s="6" t="str">
        <f t="shared" si="11"/>
        <v>Pending</v>
      </c>
      <c r="AI14" s="6" t="s">
        <v>59</v>
      </c>
      <c r="AJ14" s="6" t="str">
        <f t="shared" si="12"/>
        <v>Returned</v>
      </c>
      <c r="AK14" s="9" t="str">
        <f>_xlfn.TEXTJOIN("|",FALSE,A14,TEXT(B14,"mm-dd-yyyy"),TEXT(E14,"mm-dd-yyyy"),I14,J14,L14,N14,P14,R14,T14,V14,X14,Y14,AA14,AB14,AC14,AD14,AE14,AF14,AG14,AI14)</f>
        <v>ORD-2024-10013|12-20-2024|12-21-2024|CUST-2648|Ananya Rao|Corporate |West|Rajasthan|Udaipur|Office Supplies|Paper|Pro Paper 481|First Class|1|702.14|0.15|596.82|380.25|216.57|Pending|Returned</v>
      </c>
      <c r="AL14" s="27" t="str">
        <f>IF(COUNTIF($AK$2:AK14,AK14)&gt;1,"Remove exact duplicate copy","Keep")</f>
        <v>Keep</v>
      </c>
      <c r="AM14" s="9">
        <f t="shared" si="13"/>
        <v>1</v>
      </c>
      <c r="AN14" s="9" t="str">
        <f t="shared" si="14"/>
        <v>Unique</v>
      </c>
      <c r="AO14" s="9" t="str">
        <f t="shared" si="15"/>
        <v/>
      </c>
      <c r="AP14" s="9">
        <f t="shared" si="16"/>
        <v>0.15</v>
      </c>
      <c r="AQ14" s="10">
        <f t="shared" si="17"/>
        <v>596.81899999999996</v>
      </c>
      <c r="AR14" s="10">
        <f t="shared" si="18"/>
        <v>216.56899999999996</v>
      </c>
      <c r="AS14" s="11">
        <f t="shared" si="19"/>
        <v>0.36287216057129545</v>
      </c>
      <c r="AT14" s="9">
        <f t="shared" si="20"/>
        <v>12</v>
      </c>
      <c r="AU14" s="9">
        <f t="shared" si="21"/>
        <v>2024</v>
      </c>
      <c r="AV14" s="9" t="b">
        <f t="shared" si="22"/>
        <v>0</v>
      </c>
      <c r="AW14" s="9" t="b">
        <f t="shared" si="23"/>
        <v>0</v>
      </c>
      <c r="AX14" s="9" t="str">
        <f t="shared" si="24"/>
        <v>No</v>
      </c>
      <c r="AY14" s="9" t="str">
        <f t="shared" si="25"/>
        <v>Returned order excluded</v>
      </c>
      <c r="AZ14" s="9" t="str">
        <f>IF(OR(G14="Missing date",G14="Invalid date",G14="Ship date before order date",NOT(ISNUMBER(AP14)),AP14&lt;0,AP14&gt;0.5,AV14=TRUE,AW14=TRUE),"Invalid",IF(OR(O14="Unknown",Z14="Unknown",AC14="",AH14&lt;&gt;"Paid",AJ14&lt;&gt;"Completed",AO14&lt;&gt;""),"Warning","Clean"))</f>
        <v>Warning</v>
      </c>
    </row>
    <row r="15" spans="1:52" ht="14.25">
      <c r="A15" s="6" t="s">
        <v>216</v>
      </c>
      <c r="B15" s="7" t="s">
        <v>217</v>
      </c>
      <c r="C15" s="7" t="str">
        <f t="shared" si="0"/>
        <v>2025-10</v>
      </c>
      <c r="D15" s="7" cm="1">
        <f t="array" ref="D15">_xlfn.LET(_xlpm.x,B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45942</v>
      </c>
      <c r="E15" s="7" t="s">
        <v>218</v>
      </c>
      <c r="F15" s="7" cm="1">
        <f t="array" ref="F15">_xlfn.LET(_xlpm.x,E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45946</v>
      </c>
      <c r="G15" s="8" t="str">
        <f t="shared" si="1"/>
        <v>OK</v>
      </c>
      <c r="H15" s="6">
        <f t="shared" si="2"/>
        <v>4</v>
      </c>
      <c r="I15" s="6" t="s">
        <v>219</v>
      </c>
      <c r="J15" s="6" t="s">
        <v>220</v>
      </c>
      <c r="K15" s="6" t="str">
        <f t="shared" si="3"/>
        <v>Priya Menon</v>
      </c>
      <c r="L15" s="6" t="s">
        <v>46</v>
      </c>
      <c r="M15" s="8" t="str">
        <f t="shared" si="4"/>
        <v>Small Business</v>
      </c>
      <c r="N15" s="6" t="s">
        <v>9</v>
      </c>
      <c r="O15" s="6" t="str">
        <f t="shared" si="5"/>
        <v>West</v>
      </c>
      <c r="P15" s="6" t="s">
        <v>162</v>
      </c>
      <c r="Q15" s="6" t="str">
        <f t="shared" si="6"/>
        <v>Maharashtra</v>
      </c>
      <c r="R15" s="6" t="s">
        <v>163</v>
      </c>
      <c r="S15" s="6" t="str">
        <f t="shared" si="7"/>
        <v>Mumbai</v>
      </c>
      <c r="T15" s="6" t="s">
        <v>20</v>
      </c>
      <c r="U15" s="8" t="str">
        <f t="shared" si="8"/>
        <v>Office Supplies</v>
      </c>
      <c r="V15" s="6" t="s">
        <v>21</v>
      </c>
      <c r="W15" s="6" t="str">
        <f t="shared" si="9"/>
        <v>Art</v>
      </c>
      <c r="X15" s="6" t="s">
        <v>221</v>
      </c>
      <c r="Y15" s="6" t="s">
        <v>36</v>
      </c>
      <c r="Z15" s="6" t="str">
        <f t="shared" si="10"/>
        <v>Second Class</v>
      </c>
      <c r="AA15" s="6">
        <v>7</v>
      </c>
      <c r="AB15" s="6">
        <v>3964.72</v>
      </c>
      <c r="AC15" s="6">
        <v>0.05</v>
      </c>
      <c r="AD15" s="6">
        <v>26365.39</v>
      </c>
      <c r="AE15" s="6">
        <v>22306.240000000002</v>
      </c>
      <c r="AF15" s="6">
        <v>4059.15</v>
      </c>
      <c r="AG15" s="6" t="s">
        <v>52</v>
      </c>
      <c r="AH15" s="6" t="str">
        <f t="shared" si="11"/>
        <v>Paid</v>
      </c>
      <c r="AI15" s="6" t="s">
        <v>134</v>
      </c>
      <c r="AJ15" s="6" t="str">
        <f t="shared" si="12"/>
        <v>Completed</v>
      </c>
      <c r="AK15" s="9" t="str">
        <f>_xlfn.TEXTJOIN("|",FALSE,A15,TEXT(B15,"mm-dd-yyyy"),TEXT(E15,"mm-dd-yyyy"),I15,J15,L15,N15,P15,R15,T15,V15,X15,Y15,AA15,AB15,AC15,AD15,AE15,AF15,AG15,AI15)</f>
        <v>ORD-2025-10014|10-12-2025|16-10-2025|CUST-7482|Priya Menon|Small Business|West|Maharashtra|Mumbai|Office Supplies|Art|Smart Art 795|Second Class|7|3964.72|0.05|26365.39|22306.24|4059.15|Paid|Completed</v>
      </c>
      <c r="AL15" s="27" t="str">
        <f>IF(COUNTIF($AK$2:AK15,AK15)&gt;1,"Remove exact duplicate copy","Keep")</f>
        <v>Keep</v>
      </c>
      <c r="AM15" s="9">
        <f t="shared" si="13"/>
        <v>1</v>
      </c>
      <c r="AN15" s="9" t="str">
        <f t="shared" si="14"/>
        <v>Unique</v>
      </c>
      <c r="AO15" s="9" t="str">
        <f t="shared" si="15"/>
        <v/>
      </c>
      <c r="AP15" s="9">
        <f t="shared" si="16"/>
        <v>0.05</v>
      </c>
      <c r="AQ15" s="10">
        <f t="shared" si="17"/>
        <v>26365.387999999995</v>
      </c>
      <c r="AR15" s="10">
        <f t="shared" si="18"/>
        <v>4059.1479999999938</v>
      </c>
      <c r="AS15" s="11">
        <f t="shared" si="19"/>
        <v>0.15395745361304733</v>
      </c>
      <c r="AT15" s="9">
        <f t="shared" si="20"/>
        <v>10</v>
      </c>
      <c r="AU15" s="9">
        <f t="shared" si="21"/>
        <v>2025</v>
      </c>
      <c r="AV15" s="9" t="b">
        <f t="shared" si="22"/>
        <v>0</v>
      </c>
      <c r="AW15" s="9" t="b">
        <f t="shared" si="23"/>
        <v>0</v>
      </c>
      <c r="AX15" s="9" t="str">
        <f t="shared" si="24"/>
        <v>Yes</v>
      </c>
      <c r="AY15" s="9" t="str">
        <f t="shared" si="25"/>
        <v/>
      </c>
      <c r="AZ15" s="9" t="str">
        <f>IF(OR(G15="Missing date",G15="Invalid date",G15="Ship date before order date",NOT(ISNUMBER(AP15)),AP15&lt;0,AP15&gt;0.5,AV15=TRUE,AW15=TRUE),"Invalid",IF(OR(O15="Unknown",Z15="Unknown",AC15="",AH15&lt;&gt;"Paid",AJ15&lt;&gt;"Completed",AO15&lt;&gt;""),"Warning","Clean"))</f>
        <v>Clean</v>
      </c>
    </row>
    <row r="16" spans="1:52" ht="14.25">
      <c r="A16" s="6" t="s">
        <v>222</v>
      </c>
      <c r="B16" s="7" t="s">
        <v>223</v>
      </c>
      <c r="C16" s="7" t="str">
        <f t="shared" si="0"/>
        <v>2024-12</v>
      </c>
      <c r="D16" s="7" cm="1">
        <f t="array" ref="D16">_xlfn.LET(_xlpm.x,B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45653</v>
      </c>
      <c r="E16" s="7" t="s">
        <v>224</v>
      </c>
      <c r="F16" s="7" cm="1">
        <f t="array" ref="F16">_xlfn.LET(_xlpm.x,E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45654</v>
      </c>
      <c r="G16" s="8" t="str">
        <f t="shared" si="1"/>
        <v>OK</v>
      </c>
      <c r="H16" s="6">
        <f t="shared" si="2"/>
        <v>1</v>
      </c>
      <c r="I16" s="6" t="s">
        <v>225</v>
      </c>
      <c r="J16" s="6" t="s">
        <v>226</v>
      </c>
      <c r="K16" s="6" t="str">
        <f t="shared" si="3"/>
        <v>Rahul Verma</v>
      </c>
      <c r="L16" s="6" t="s">
        <v>43</v>
      </c>
      <c r="M16" s="8" t="str">
        <f t="shared" si="4"/>
        <v>Consumer</v>
      </c>
      <c r="N16" s="6" t="s">
        <v>9</v>
      </c>
      <c r="O16" s="6" t="str">
        <f t="shared" si="5"/>
        <v>West</v>
      </c>
      <c r="P16" s="6" t="s">
        <v>131</v>
      </c>
      <c r="Q16" s="6" t="str">
        <f t="shared" si="6"/>
        <v>Rajasthan</v>
      </c>
      <c r="R16" s="6" t="s">
        <v>214</v>
      </c>
      <c r="S16" s="6" t="str">
        <f t="shared" si="7"/>
        <v>Udaipur</v>
      </c>
      <c r="T16" s="6" t="s">
        <v>27</v>
      </c>
      <c r="U16" s="8" t="str">
        <f t="shared" si="8"/>
        <v>Technology</v>
      </c>
      <c r="V16" s="6" t="s">
        <v>29</v>
      </c>
      <c r="W16" s="6" t="str">
        <f t="shared" si="9"/>
        <v>Copiers</v>
      </c>
      <c r="X16" s="6" t="s">
        <v>227</v>
      </c>
      <c r="Y16" s="6" t="s">
        <v>34</v>
      </c>
      <c r="Z16" s="6" t="str">
        <f t="shared" si="10"/>
        <v>Standard Class</v>
      </c>
      <c r="AA16" s="6">
        <v>2</v>
      </c>
      <c r="AB16" s="6">
        <v>2737.83</v>
      </c>
      <c r="AC16" s="6">
        <v>0.25</v>
      </c>
      <c r="AD16" s="6">
        <v>4106.74</v>
      </c>
      <c r="AE16" s="6">
        <v>2666.3</v>
      </c>
      <c r="AF16" s="6">
        <v>1440.44</v>
      </c>
      <c r="AG16" s="6" t="s">
        <v>52</v>
      </c>
      <c r="AH16" s="6" t="str">
        <f t="shared" si="11"/>
        <v>Paid</v>
      </c>
      <c r="AI16" s="6" t="s">
        <v>134</v>
      </c>
      <c r="AJ16" s="6" t="str">
        <f t="shared" si="12"/>
        <v>Completed</v>
      </c>
      <c r="AK16" s="9" t="str">
        <f>_xlfn.TEXTJOIN("|",FALSE,A16,TEXT(B16,"mm-dd-yyyy"),TEXT(E16,"mm-dd-yyyy"),I16,J16,L16,N16,P16,R16,T16,V16,X16,Y16,AA16,AB16,AC16,AD16,AE16,AF16,AG16,AI16)</f>
        <v>ORD-2024-10015|12-27-2024|12-28-2024|CUST-4912|Rahul Verma|Consumer|West|Rajasthan|Udaipur|Technology|Copiers|Max Copiers 983|Standard Class|2|2737.83|0.25|4106.74|2666.3|1440.44|Paid|Completed</v>
      </c>
      <c r="AL16" s="27" t="str">
        <f>IF(COUNTIF($AK$2:AK16,AK16)&gt;1,"Remove exact duplicate copy","Keep")</f>
        <v>Keep</v>
      </c>
      <c r="AM16" s="9">
        <f t="shared" si="13"/>
        <v>1</v>
      </c>
      <c r="AN16" s="9" t="str">
        <f t="shared" si="14"/>
        <v>Unique</v>
      </c>
      <c r="AO16" s="9" t="str">
        <f t="shared" si="15"/>
        <v/>
      </c>
      <c r="AP16" s="9">
        <f t="shared" si="16"/>
        <v>0.25</v>
      </c>
      <c r="AQ16" s="10">
        <f t="shared" si="17"/>
        <v>4106.7449999999999</v>
      </c>
      <c r="AR16" s="10">
        <f t="shared" si="18"/>
        <v>1440.4449999999997</v>
      </c>
      <c r="AS16" s="11">
        <f t="shared" si="19"/>
        <v>0.35075102057712365</v>
      </c>
      <c r="AT16" s="9">
        <f t="shared" si="20"/>
        <v>12</v>
      </c>
      <c r="AU16" s="9">
        <f t="shared" si="21"/>
        <v>2024</v>
      </c>
      <c r="AV16" s="9" t="b">
        <f t="shared" si="22"/>
        <v>0</v>
      </c>
      <c r="AW16" s="9" t="b">
        <f t="shared" si="23"/>
        <v>0</v>
      </c>
      <c r="AX16" s="9" t="str">
        <f t="shared" si="24"/>
        <v>Yes</v>
      </c>
      <c r="AY16" s="9" t="str">
        <f t="shared" si="25"/>
        <v/>
      </c>
      <c r="AZ16" s="9" t="str">
        <f>IF(OR(G16="Missing date",G16="Invalid date",G16="Ship date before order date",NOT(ISNUMBER(AP16)),AP16&lt;0,AP16&gt;0.5,AV16=TRUE,AW16=TRUE),"Invalid",IF(OR(O16="Unknown",Z16="Unknown",AC16="",AH16&lt;&gt;"Paid",AJ16&lt;&gt;"Completed",AO16&lt;&gt;""),"Warning","Clean"))</f>
        <v>Clean</v>
      </c>
    </row>
    <row r="17" spans="1:52" ht="14.25">
      <c r="A17" s="6" t="s">
        <v>228</v>
      </c>
      <c r="B17" s="7" t="s">
        <v>229</v>
      </c>
      <c r="C17" s="7" t="str">
        <f t="shared" si="0"/>
        <v>2024-07</v>
      </c>
      <c r="D17" s="7" cm="1">
        <f t="array" ref="D17">_xlfn.LET(_xlpm.x,B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45482</v>
      </c>
      <c r="E17" s="7" t="s">
        <v>230</v>
      </c>
      <c r="F17" s="7" cm="1">
        <f t="array" ref="F17">_xlfn.LET(_xlpm.x,E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45482</v>
      </c>
      <c r="G17" s="8" t="str">
        <f t="shared" si="1"/>
        <v>OK</v>
      </c>
      <c r="H17" s="6">
        <f t="shared" si="2"/>
        <v>0</v>
      </c>
      <c r="I17" s="6" t="s">
        <v>231</v>
      </c>
      <c r="J17" s="6" t="s">
        <v>129</v>
      </c>
      <c r="K17" s="6" t="str">
        <f t="shared" si="3"/>
        <v>Karan Malhotra</v>
      </c>
      <c r="L17" s="6" t="s">
        <v>46</v>
      </c>
      <c r="M17" s="8" t="str">
        <f t="shared" si="4"/>
        <v>Small Business</v>
      </c>
      <c r="N17" s="6" t="s">
        <v>7</v>
      </c>
      <c r="O17" s="6" t="str">
        <f t="shared" si="5"/>
        <v>North</v>
      </c>
      <c r="P17" s="6" t="s">
        <v>232</v>
      </c>
      <c r="Q17" s="6" t="str">
        <f t="shared" si="6"/>
        <v>Punjab</v>
      </c>
      <c r="R17" s="6" t="s">
        <v>233</v>
      </c>
      <c r="S17" s="6" t="str">
        <f t="shared" si="7"/>
        <v>Ludhiana</v>
      </c>
      <c r="T17" s="6" t="s">
        <v>20</v>
      </c>
      <c r="U17" s="8" t="str">
        <f t="shared" si="8"/>
        <v>Office Supplies</v>
      </c>
      <c r="V17" s="6" t="s">
        <v>25</v>
      </c>
      <c r="W17" s="6" t="str">
        <f t="shared" si="9"/>
        <v>Storage</v>
      </c>
      <c r="X17" s="6" t="s">
        <v>234</v>
      </c>
      <c r="Y17" s="6" t="s">
        <v>36</v>
      </c>
      <c r="Z17" s="6" t="str">
        <f t="shared" si="10"/>
        <v>Second Class</v>
      </c>
      <c r="AA17" s="6">
        <v>6</v>
      </c>
      <c r="AB17" s="6">
        <v>3965.76</v>
      </c>
      <c r="AC17" s="6">
        <v>0</v>
      </c>
      <c r="AD17" s="6">
        <v>23794.560000000001</v>
      </c>
      <c r="AE17" s="6">
        <v>15698.47</v>
      </c>
      <c r="AF17" s="6">
        <v>8096.09</v>
      </c>
      <c r="AG17" s="6" t="s">
        <v>52</v>
      </c>
      <c r="AH17" s="6" t="str">
        <f t="shared" si="11"/>
        <v>Paid</v>
      </c>
      <c r="AI17" s="6" t="s">
        <v>134</v>
      </c>
      <c r="AJ17" s="6" t="str">
        <f t="shared" si="12"/>
        <v>Completed</v>
      </c>
      <c r="AK17" s="9" t="str">
        <f>_xlfn.TEXTJOIN("|",FALSE,A17,TEXT(B17,"mm-dd-yyyy"),TEXT(E17,"mm-dd-yyyy"),I17,J17,L17,N17,P17,R17,T17,V17,X17,Y17,AA17,AB17,AC17,AD17,AE17,AF17,AG17,AI17)</f>
        <v>ORD-2024-10016|07-09-2024|07-09-2024|CUST-7656|Karan Malhotra|Small Business|North|Punjab|Ludhiana|Office Supplies|Storage|Classic Storage 198|Second Class|6|3965.76|0|23794.56|15698.47|8096.09|Paid|Completed</v>
      </c>
      <c r="AL17" s="27" t="str">
        <f>IF(COUNTIF($AK$2:AK17,AK17)&gt;1,"Remove exact duplicate copy","Keep")</f>
        <v>Keep</v>
      </c>
      <c r="AM17" s="9">
        <f t="shared" si="13"/>
        <v>1</v>
      </c>
      <c r="AN17" s="9" t="str">
        <f t="shared" si="14"/>
        <v>Unique</v>
      </c>
      <c r="AO17" s="9" t="str">
        <f t="shared" si="15"/>
        <v/>
      </c>
      <c r="AP17" s="9">
        <f t="shared" si="16"/>
        <v>0</v>
      </c>
      <c r="AQ17" s="10">
        <f t="shared" si="17"/>
        <v>23794.560000000001</v>
      </c>
      <c r="AR17" s="10">
        <f t="shared" si="18"/>
        <v>8096.090000000002</v>
      </c>
      <c r="AS17" s="11">
        <f t="shared" si="19"/>
        <v>0.34024962008122872</v>
      </c>
      <c r="AT17" s="9">
        <f t="shared" si="20"/>
        <v>7</v>
      </c>
      <c r="AU17" s="9">
        <f t="shared" si="21"/>
        <v>2024</v>
      </c>
      <c r="AV17" s="9" t="b">
        <f t="shared" si="22"/>
        <v>0</v>
      </c>
      <c r="AW17" s="9" t="b">
        <f t="shared" si="23"/>
        <v>0</v>
      </c>
      <c r="AX17" s="9" t="str">
        <f t="shared" si="24"/>
        <v>Yes</v>
      </c>
      <c r="AY17" s="9" t="str">
        <f t="shared" si="25"/>
        <v/>
      </c>
      <c r="AZ17" s="9" t="str">
        <f>IF(OR(G17="Missing date",G17="Invalid date",G17="Ship date before order date",NOT(ISNUMBER(AP17)),AP17&lt;0,AP17&gt;0.5,AV17=TRUE,AW17=TRUE),"Invalid",IF(OR(O17="Unknown",Z17="Unknown",AC17="",AH17&lt;&gt;"Paid",AJ17&lt;&gt;"Completed",AO17&lt;&gt;""),"Warning","Clean"))</f>
        <v>Clean</v>
      </c>
    </row>
    <row r="18" spans="1:52" ht="14.25">
      <c r="A18" s="6" t="s">
        <v>235</v>
      </c>
      <c r="B18" s="7" t="s">
        <v>236</v>
      </c>
      <c r="C18" s="7" t="str">
        <f t="shared" si="0"/>
        <v>2024-05</v>
      </c>
      <c r="D18" s="7" cm="1">
        <f t="array" ref="D18">_xlfn.LET(_xlpm.x,B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45420</v>
      </c>
      <c r="E18" s="7" t="s">
        <v>237</v>
      </c>
      <c r="F18" s="7" cm="1">
        <f t="array" ref="F18">_xlfn.LET(_xlpm.x,E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45427</v>
      </c>
      <c r="G18" s="8" t="str">
        <f t="shared" si="1"/>
        <v>OK</v>
      </c>
      <c r="H18" s="6">
        <f t="shared" si="2"/>
        <v>7</v>
      </c>
      <c r="I18" s="6" t="s">
        <v>238</v>
      </c>
      <c r="J18" s="6" t="s">
        <v>239</v>
      </c>
      <c r="K18" s="6" t="str">
        <f t="shared" si="3"/>
        <v>Aarav Sharma</v>
      </c>
      <c r="L18" s="6" t="s">
        <v>43</v>
      </c>
      <c r="M18" s="8" t="str">
        <f t="shared" si="4"/>
        <v>Consumer</v>
      </c>
      <c r="N18" s="6" t="s">
        <v>10</v>
      </c>
      <c r="O18" s="6" t="str">
        <f t="shared" si="5"/>
        <v>South</v>
      </c>
      <c r="P18" s="6" t="s">
        <v>154</v>
      </c>
      <c r="Q18" s="6" t="str">
        <f t="shared" si="6"/>
        <v>Telangana</v>
      </c>
      <c r="R18" s="6" t="s">
        <v>155</v>
      </c>
      <c r="S18" s="6" t="str">
        <f t="shared" si="7"/>
        <v>Hyderabad</v>
      </c>
      <c r="T18" s="6" t="s">
        <v>20</v>
      </c>
      <c r="U18" s="8" t="str">
        <f t="shared" si="8"/>
        <v>Office Supplies</v>
      </c>
      <c r="V18" s="6" t="s">
        <v>21</v>
      </c>
      <c r="W18" s="6" t="str">
        <f t="shared" si="9"/>
        <v>Art</v>
      </c>
      <c r="X18" s="6" t="s">
        <v>240</v>
      </c>
      <c r="Y18" s="6" t="s">
        <v>35</v>
      </c>
      <c r="Z18" s="6" t="str">
        <f t="shared" si="10"/>
        <v>First Class</v>
      </c>
      <c r="AA18" s="6">
        <v>4</v>
      </c>
      <c r="AB18" s="6">
        <v>3323.51</v>
      </c>
      <c r="AC18" s="6">
        <v>0.25</v>
      </c>
      <c r="AD18" s="6">
        <v>9970.5300000000007</v>
      </c>
      <c r="AE18" s="6">
        <v>5668.17</v>
      </c>
      <c r="AF18" s="6">
        <v>4302.3599999999997</v>
      </c>
      <c r="AG18" s="6" t="s">
        <v>52</v>
      </c>
      <c r="AH18" s="6" t="str">
        <f t="shared" si="11"/>
        <v>Paid</v>
      </c>
      <c r="AI18" s="6" t="s">
        <v>134</v>
      </c>
      <c r="AJ18" s="6" t="str">
        <f t="shared" si="12"/>
        <v>Completed</v>
      </c>
      <c r="AK18" s="9" t="str">
        <f>_xlfn.TEXTJOIN("|",FALSE,A18,TEXT(B18,"mm-dd-yyyy"),TEXT(E18,"mm-dd-yyyy"),I18,J18,L18,N18,P18,R18,T18,V18,X18,Y18,AA18,AB18,AC18,AD18,AE18,AF18,AG18,AI18)</f>
        <v>ORD-2024-10017|05-08-2024|15-05-2024|CUST-6214|Aarav Sharma|Consumer|South|Telangana|Hyderabad|Office Supplies|Art|Basic Art 204|First Class|4|3323.51|0.25|9970.53|5668.17|4302.36|Paid|Completed</v>
      </c>
      <c r="AL18" s="27" t="str">
        <f>IF(COUNTIF($AK$2:AK18,AK18)&gt;1,"Remove exact duplicate copy","Keep")</f>
        <v>Keep</v>
      </c>
      <c r="AM18" s="9">
        <f t="shared" si="13"/>
        <v>1</v>
      </c>
      <c r="AN18" s="9" t="str">
        <f t="shared" si="14"/>
        <v>Unique</v>
      </c>
      <c r="AO18" s="9" t="str">
        <f t="shared" si="15"/>
        <v/>
      </c>
      <c r="AP18" s="9">
        <f t="shared" si="16"/>
        <v>0.25</v>
      </c>
      <c r="AQ18" s="10">
        <f t="shared" si="17"/>
        <v>9970.5300000000007</v>
      </c>
      <c r="AR18" s="10">
        <f t="shared" si="18"/>
        <v>4302.3600000000006</v>
      </c>
      <c r="AS18" s="11">
        <f t="shared" si="19"/>
        <v>0.43150765305354882</v>
      </c>
      <c r="AT18" s="9">
        <f t="shared" si="20"/>
        <v>5</v>
      </c>
      <c r="AU18" s="9">
        <f t="shared" si="21"/>
        <v>2024</v>
      </c>
      <c r="AV18" s="9" t="b">
        <f t="shared" si="22"/>
        <v>0</v>
      </c>
      <c r="AW18" s="9" t="b">
        <f t="shared" si="23"/>
        <v>0</v>
      </c>
      <c r="AX18" s="9" t="str">
        <f t="shared" si="24"/>
        <v>Yes</v>
      </c>
      <c r="AY18" s="9" t="str">
        <f t="shared" si="25"/>
        <v/>
      </c>
      <c r="AZ18" s="9" t="str">
        <f>IF(OR(G18="Missing date",G18="Invalid date",G18="Ship date before order date",NOT(ISNUMBER(AP18)),AP18&lt;0,AP18&gt;0.5,AV18=TRUE,AW18=TRUE),"Invalid",IF(OR(O18="Unknown",Z18="Unknown",AC18="",AH18&lt;&gt;"Paid",AJ18&lt;&gt;"Completed",AO18&lt;&gt;""),"Warning","Clean"))</f>
        <v>Clean</v>
      </c>
    </row>
    <row r="19" spans="1:52" ht="14.25">
      <c r="A19" s="6" t="s">
        <v>241</v>
      </c>
      <c r="B19" s="7" t="s">
        <v>242</v>
      </c>
      <c r="C19" s="7" t="str">
        <f t="shared" si="0"/>
        <v>2024-01</v>
      </c>
      <c r="D19" s="7" cm="1">
        <f t="array" ref="D19">_xlfn.LET(_xlpm.x,B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45298</v>
      </c>
      <c r="E19" s="7" t="s">
        <v>243</v>
      </c>
      <c r="F19" s="7" cm="1">
        <f t="array" ref="F19">_xlfn.LET(_xlpm.x,E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45299</v>
      </c>
      <c r="G19" s="8" t="str">
        <f t="shared" si="1"/>
        <v>OK</v>
      </c>
      <c r="H19" s="6">
        <f t="shared" si="2"/>
        <v>1</v>
      </c>
      <c r="I19" s="6" t="s">
        <v>244</v>
      </c>
      <c r="J19" s="6" t="s">
        <v>245</v>
      </c>
      <c r="K19" s="6" t="str">
        <f t="shared" si="3"/>
        <v>Sneha Kapoor</v>
      </c>
      <c r="L19" s="6" t="s">
        <v>46</v>
      </c>
      <c r="M19" s="8" t="str">
        <f t="shared" si="4"/>
        <v>Small Business</v>
      </c>
      <c r="N19" s="6" t="s">
        <v>7</v>
      </c>
      <c r="O19" s="6" t="str">
        <f t="shared" si="5"/>
        <v>North</v>
      </c>
      <c r="P19" s="6" t="s">
        <v>131</v>
      </c>
      <c r="Q19" s="6" t="str">
        <f t="shared" si="6"/>
        <v>Rajasthan</v>
      </c>
      <c r="R19" s="6" t="s">
        <v>132</v>
      </c>
      <c r="S19" s="6" t="str">
        <f t="shared" si="7"/>
        <v>Jaipur</v>
      </c>
      <c r="T19" s="6" t="s">
        <v>14</v>
      </c>
      <c r="U19" s="8" t="str">
        <f t="shared" si="8"/>
        <v>Furniture</v>
      </c>
      <c r="V19" s="6" t="s">
        <v>17</v>
      </c>
      <c r="W19" s="6" t="str">
        <f t="shared" si="9"/>
        <v>Furnishings</v>
      </c>
      <c r="X19" s="6" t="s">
        <v>246</v>
      </c>
      <c r="Y19" s="6" t="s">
        <v>37</v>
      </c>
      <c r="Z19" s="6" t="str">
        <f t="shared" si="10"/>
        <v>Same Day</v>
      </c>
      <c r="AA19" s="6">
        <v>5</v>
      </c>
      <c r="AB19" s="6">
        <v>1526.78</v>
      </c>
      <c r="AC19" s="6">
        <v>0</v>
      </c>
      <c r="AD19" s="6">
        <v>7633.9</v>
      </c>
      <c r="AE19" s="6">
        <v>4706.91</v>
      </c>
      <c r="AF19" s="6">
        <v>2926.99</v>
      </c>
      <c r="AG19" s="6" t="s">
        <v>52</v>
      </c>
      <c r="AH19" s="6" t="str">
        <f t="shared" si="11"/>
        <v>Paid</v>
      </c>
      <c r="AI19" s="6" t="s">
        <v>134</v>
      </c>
      <c r="AJ19" s="6" t="str">
        <f t="shared" si="12"/>
        <v>Completed</v>
      </c>
      <c r="AK19" s="9" t="str">
        <f>_xlfn.TEXTJOIN("|",FALSE,A19,TEXT(B19,"mm-dd-yyyy"),TEXT(E19,"mm-dd-yyyy"),I19,J19,L19,N19,P19,R19,T19,V19,X19,Y19,AA19,AB19,AC19,AD19,AE19,AF19,AG19,AI19)</f>
        <v>ORD-2024-10018|01-07-2024|01-08-2024|CUST-1626|Sneha Kapoor|Small Business|North|Rajasthan|Jaipur|Furniture|Furnishings|Basic Furnishings 434|Same Day|5|1526.78|0|7633.9|4706.91|2926.99|Paid|Completed</v>
      </c>
      <c r="AL19" s="27" t="str">
        <f>IF(COUNTIF($AK$2:AK19,AK19)&gt;1,"Remove exact duplicate copy","Keep")</f>
        <v>Keep</v>
      </c>
      <c r="AM19" s="9">
        <f t="shared" si="13"/>
        <v>1</v>
      </c>
      <c r="AN19" s="9" t="str">
        <f t="shared" si="14"/>
        <v>Unique</v>
      </c>
      <c r="AO19" s="9" t="str">
        <f t="shared" si="15"/>
        <v/>
      </c>
      <c r="AP19" s="9">
        <f t="shared" si="16"/>
        <v>0</v>
      </c>
      <c r="AQ19" s="10">
        <f t="shared" si="17"/>
        <v>7633.9</v>
      </c>
      <c r="AR19" s="10">
        <f t="shared" si="18"/>
        <v>2926.99</v>
      </c>
      <c r="AS19" s="11">
        <f t="shared" si="19"/>
        <v>0.38342000812166782</v>
      </c>
      <c r="AT19" s="9">
        <f t="shared" si="20"/>
        <v>1</v>
      </c>
      <c r="AU19" s="9">
        <f t="shared" si="21"/>
        <v>2024</v>
      </c>
      <c r="AV19" s="9" t="b">
        <f t="shared" si="22"/>
        <v>0</v>
      </c>
      <c r="AW19" s="9" t="b">
        <f t="shared" si="23"/>
        <v>0</v>
      </c>
      <c r="AX19" s="9" t="str">
        <f t="shared" si="24"/>
        <v>Yes</v>
      </c>
      <c r="AY19" s="9" t="str">
        <f t="shared" si="25"/>
        <v/>
      </c>
      <c r="AZ19" s="9" t="str">
        <f>IF(OR(G19="Missing date",G19="Invalid date",G19="Ship date before order date",NOT(ISNUMBER(AP19)),AP19&lt;0,AP19&gt;0.5,AV19=TRUE,AW19=TRUE),"Invalid",IF(OR(O19="Unknown",Z19="Unknown",AC19="",AH19&lt;&gt;"Paid",AJ19&lt;&gt;"Completed",AO19&lt;&gt;""),"Warning","Clean"))</f>
        <v>Clean</v>
      </c>
    </row>
    <row r="20" spans="1:52" ht="14.25">
      <c r="A20" s="6" t="s">
        <v>247</v>
      </c>
      <c r="B20" s="7" t="s">
        <v>248</v>
      </c>
      <c r="C20" s="7" t="str">
        <f t="shared" si="0"/>
        <v>2025-07</v>
      </c>
      <c r="D20" s="7" cm="1">
        <f t="array" ref="D20">_xlfn.LET(_xlpm.x,B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45853</v>
      </c>
      <c r="E20" s="7" t="s">
        <v>249</v>
      </c>
      <c r="F20" s="7" cm="1">
        <f t="array" ref="F20">_xlfn.LET(_xlpm.x,E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45855</v>
      </c>
      <c r="G20" s="8" t="str">
        <f t="shared" si="1"/>
        <v>OK</v>
      </c>
      <c r="H20" s="6">
        <f t="shared" si="2"/>
        <v>2</v>
      </c>
      <c r="I20" s="6" t="s">
        <v>250</v>
      </c>
      <c r="J20" s="6" t="s">
        <v>239</v>
      </c>
      <c r="K20" s="6" t="str">
        <f t="shared" si="3"/>
        <v>Aarav Sharma</v>
      </c>
      <c r="L20" s="6" t="s">
        <v>44</v>
      </c>
      <c r="M20" s="8" t="str">
        <f t="shared" si="4"/>
        <v>Home Office</v>
      </c>
      <c r="N20" s="6" t="s">
        <v>7</v>
      </c>
      <c r="O20" s="6" t="str">
        <f t="shared" si="5"/>
        <v>North</v>
      </c>
      <c r="P20" s="6" t="s">
        <v>251</v>
      </c>
      <c r="Q20" s="6" t="str">
        <f t="shared" si="6"/>
        <v>Uttar Pradesh</v>
      </c>
      <c r="R20" s="6" t="s">
        <v>252</v>
      </c>
      <c r="S20" s="6" t="str">
        <f t="shared" si="7"/>
        <v>Noida</v>
      </c>
      <c r="T20" s="6" t="s">
        <v>27</v>
      </c>
      <c r="U20" s="8" t="str">
        <f t="shared" si="8"/>
        <v>Technology</v>
      </c>
      <c r="V20" s="6" t="s">
        <v>29</v>
      </c>
      <c r="W20" s="6" t="str">
        <f t="shared" si="9"/>
        <v>Copiers</v>
      </c>
      <c r="X20" s="6" t="s">
        <v>253</v>
      </c>
      <c r="Y20" s="6" t="s">
        <v>35</v>
      </c>
      <c r="Z20" s="6" t="str">
        <f t="shared" si="10"/>
        <v>First Class</v>
      </c>
      <c r="AA20" s="6">
        <v>2</v>
      </c>
      <c r="AB20" s="6">
        <v>1997.99</v>
      </c>
      <c r="AC20" s="6">
        <v>0</v>
      </c>
      <c r="AD20" s="6">
        <v>3995.98</v>
      </c>
      <c r="AE20" s="6">
        <v>2633.2</v>
      </c>
      <c r="AF20" s="6">
        <v>1362.78</v>
      </c>
      <c r="AG20" s="6" t="s">
        <v>56</v>
      </c>
      <c r="AH20" s="6" t="str">
        <f t="shared" si="11"/>
        <v>Refunded</v>
      </c>
      <c r="AI20" s="6" t="s">
        <v>58</v>
      </c>
      <c r="AJ20" s="6" t="str">
        <f t="shared" si="12"/>
        <v>Cancelled</v>
      </c>
      <c r="AK20" s="9" t="str">
        <f>_xlfn.TEXTJOIN("|",FALSE,A20,TEXT(B20,"mm-dd-yyyy"),TEXT(E20,"mm-dd-yyyy"),I20,J20,L20,N20,P20,R20,T20,V20,X20,Y20,AA20,AB20,AC20,AD20,AE20,AF20,AG20,AI20)</f>
        <v>ORD-2025-10019|07-15-2025|17-07-2025|CUST-2110|Aarav Sharma|Home Office|North|Uttar Pradesh|Noida|Technology|Copiers|Eco Copiers 755|First Class|2|1997.99|0|3995.98|2633.2|1362.78|Refunded|Cancelled</v>
      </c>
      <c r="AL20" s="27" t="str">
        <f>IF(COUNTIF($AK$2:AK20,AK20)&gt;1,"Remove exact duplicate copy","Keep")</f>
        <v>Keep</v>
      </c>
      <c r="AM20" s="9">
        <f t="shared" si="13"/>
        <v>1</v>
      </c>
      <c r="AN20" s="9" t="str">
        <f t="shared" si="14"/>
        <v>Unique</v>
      </c>
      <c r="AO20" s="9" t="str">
        <f t="shared" si="15"/>
        <v/>
      </c>
      <c r="AP20" s="9">
        <f t="shared" si="16"/>
        <v>0</v>
      </c>
      <c r="AQ20" s="10">
        <f t="shared" si="17"/>
        <v>3995.98</v>
      </c>
      <c r="AR20" s="10">
        <f t="shared" si="18"/>
        <v>1362.7800000000002</v>
      </c>
      <c r="AS20" s="11">
        <f t="shared" si="19"/>
        <v>0.34103774293164635</v>
      </c>
      <c r="AT20" s="9">
        <f t="shared" si="20"/>
        <v>7</v>
      </c>
      <c r="AU20" s="9">
        <f t="shared" si="21"/>
        <v>2025</v>
      </c>
      <c r="AV20" s="9" t="b">
        <f t="shared" si="22"/>
        <v>0</v>
      </c>
      <c r="AW20" s="9" t="b">
        <f t="shared" si="23"/>
        <v>0</v>
      </c>
      <c r="AX20" s="9" t="str">
        <f t="shared" si="24"/>
        <v>No</v>
      </c>
      <c r="AY20" s="9" t="str">
        <f t="shared" si="25"/>
        <v>Refunded order summarized separately; Cancelled order excluded</v>
      </c>
      <c r="AZ20" s="9" t="str">
        <f>IF(OR(G20="Missing date",G20="Invalid date",G20="Ship date before order date",NOT(ISNUMBER(AP20)),AP20&lt;0,AP20&gt;0.5,AV20=TRUE,AW20=TRUE),"Invalid",IF(OR(O20="Unknown",Z20="Unknown",AC20="",AH20&lt;&gt;"Paid",AJ20&lt;&gt;"Completed",AO20&lt;&gt;""),"Warning","Clean"))</f>
        <v>Warning</v>
      </c>
    </row>
    <row r="21" spans="1:52" ht="15.75" customHeight="1">
      <c r="A21" s="6" t="s">
        <v>254</v>
      </c>
      <c r="B21" s="7" t="s">
        <v>127</v>
      </c>
      <c r="C21" s="7" t="str">
        <f t="shared" si="0"/>
        <v>2024-07</v>
      </c>
      <c r="D21" s="7" cm="1">
        <f t="array" ref="D21">_xlfn.LET(_xlpm.x,B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45500</v>
      </c>
      <c r="E21" s="7" t="s">
        <v>255</v>
      </c>
      <c r="F21" s="7" cm="1">
        <f t="array" ref="F21">_xlfn.LET(_xlpm.x,E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45504</v>
      </c>
      <c r="G21" s="8" t="str">
        <f t="shared" si="1"/>
        <v>OK</v>
      </c>
      <c r="H21" s="6">
        <f t="shared" si="2"/>
        <v>4</v>
      </c>
      <c r="I21" s="6" t="s">
        <v>256</v>
      </c>
      <c r="J21" s="6" t="s">
        <v>257</v>
      </c>
      <c r="K21" s="6" t="str">
        <f t="shared" si="3"/>
        <v>Rohan Mehta</v>
      </c>
      <c r="L21" s="6" t="s">
        <v>44</v>
      </c>
      <c r="M21" s="8" t="str">
        <f t="shared" si="4"/>
        <v>Home Office</v>
      </c>
      <c r="N21" s="6" t="s">
        <v>9</v>
      </c>
      <c r="O21" s="6" t="str">
        <f t="shared" si="5"/>
        <v>West</v>
      </c>
      <c r="P21" s="6" t="s">
        <v>170</v>
      </c>
      <c r="Q21" s="6" t="str">
        <f t="shared" si="6"/>
        <v>Madhya Pradesh</v>
      </c>
      <c r="R21" s="6" t="s">
        <v>171</v>
      </c>
      <c r="S21" s="6" t="str">
        <f t="shared" si="7"/>
        <v>Indore</v>
      </c>
      <c r="T21" s="6" t="s">
        <v>20</v>
      </c>
      <c r="U21" s="8" t="str">
        <f t="shared" si="8"/>
        <v>Office Supplies</v>
      </c>
      <c r="V21" s="6" t="s">
        <v>25</v>
      </c>
      <c r="W21" s="6" t="str">
        <f t="shared" si="9"/>
        <v>Storage</v>
      </c>
      <c r="X21" s="6" t="s">
        <v>258</v>
      </c>
      <c r="Y21" s="6" t="s">
        <v>36</v>
      </c>
      <c r="Z21" s="6" t="str">
        <f t="shared" si="10"/>
        <v>Second Class</v>
      </c>
      <c r="AA21" s="6">
        <v>3</v>
      </c>
      <c r="AB21" s="6">
        <v>3887.94</v>
      </c>
      <c r="AC21" s="6">
        <v>-0.19</v>
      </c>
      <c r="AD21" s="6">
        <v>9331.06</v>
      </c>
      <c r="AE21" s="6">
        <v>7529.31</v>
      </c>
      <c r="AF21" s="6">
        <v>1801.75</v>
      </c>
      <c r="AG21" s="6" t="s">
        <v>52</v>
      </c>
      <c r="AH21" s="6" t="str">
        <f t="shared" si="11"/>
        <v>Paid</v>
      </c>
      <c r="AI21" s="6" t="s">
        <v>134</v>
      </c>
      <c r="AJ21" s="6" t="str">
        <f t="shared" si="12"/>
        <v>Completed</v>
      </c>
      <c r="AK21" s="9" t="str">
        <f>_xlfn.TEXTJOIN("|",FALSE,A21,TEXT(B21,"mm-dd-yyyy"),TEXT(E21,"mm-dd-yyyy"),I21,J21,L21,N21,P21,R21,T21,V21,X21,Y21,AA21,AB21,AC21,AD21,AE21,AF21,AG21,AI21)</f>
        <v>ORD-2024-10020|07-27-2024|07-31-2024|CUST-3186|Rohan Mehta|Home Office|West|Madhya Pradesh|Indore|Office Supplies|Storage|Prime Storage 121|Second Class|3|3887.94|-0.19|9331.06|7529.31|1801.75|Paid|Completed</v>
      </c>
      <c r="AL21" s="27" t="str">
        <f>IF(COUNTIF($AK$2:AK21,AK21)&gt;1,"Remove exact duplicate copy","Keep")</f>
        <v>Keep</v>
      </c>
      <c r="AM21" s="9">
        <f t="shared" si="13"/>
        <v>1</v>
      </c>
      <c r="AN21" s="9" t="str">
        <f t="shared" si="14"/>
        <v>Unique</v>
      </c>
      <c r="AO21" s="9" t="str">
        <f t="shared" si="15"/>
        <v/>
      </c>
      <c r="AP21" s="9">
        <f t="shared" si="16"/>
        <v>-0.19</v>
      </c>
      <c r="AQ21" s="10">
        <f t="shared" si="17"/>
        <v>13879.9458</v>
      </c>
      <c r="AR21" s="10">
        <f t="shared" si="18"/>
        <v>6350.6357999999991</v>
      </c>
      <c r="AS21" s="11">
        <f t="shared" si="19"/>
        <v>0.45754038895454474</v>
      </c>
      <c r="AT21" s="9">
        <f t="shared" si="20"/>
        <v>7</v>
      </c>
      <c r="AU21" s="9">
        <f t="shared" si="21"/>
        <v>2024</v>
      </c>
      <c r="AV21" s="9" t="b">
        <f t="shared" si="22"/>
        <v>1</v>
      </c>
      <c r="AW21" s="9" t="b">
        <f t="shared" si="23"/>
        <v>1</v>
      </c>
      <c r="AX21" s="9" t="str">
        <f t="shared" si="24"/>
        <v>No</v>
      </c>
      <c r="AY21" s="9" t="str">
        <f t="shared" si="25"/>
        <v>Negative discount; Sales mismatch; Profit mismatch</v>
      </c>
      <c r="AZ21" s="9" t="str">
        <f>IF(OR(G21="Missing date",G21="Invalid date",G21="Ship date before order date",NOT(ISNUMBER(AP21)),AP21&lt;0,AP21&gt;0.5,AV21=TRUE,AW21=TRUE),"Invalid",IF(OR(O21="Unknown",Z21="Unknown",AC21="",AH21&lt;&gt;"Paid",AJ21&lt;&gt;"Completed",AO21&lt;&gt;""),"Warning","Clean"))</f>
        <v>Invalid</v>
      </c>
    </row>
    <row r="22" spans="1:52" ht="15.75" customHeight="1">
      <c r="A22" s="6" t="s">
        <v>259</v>
      </c>
      <c r="B22" s="7" t="s">
        <v>260</v>
      </c>
      <c r="C22" s="7" t="str">
        <f t="shared" si="0"/>
        <v>2025-01</v>
      </c>
      <c r="D22" s="7" cm="1">
        <f t="array" ref="D22">_xlfn.LET(_xlpm.x,B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45678</v>
      </c>
      <c r="E22" s="7" t="s">
        <v>261</v>
      </c>
      <c r="F22" s="7" cm="1">
        <f t="array" ref="F22">_xlfn.LET(_xlpm.x,E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45680</v>
      </c>
      <c r="G22" s="8" t="str">
        <f t="shared" si="1"/>
        <v>OK</v>
      </c>
      <c r="H22" s="6">
        <f t="shared" si="2"/>
        <v>2</v>
      </c>
      <c r="I22" s="6" t="s">
        <v>262</v>
      </c>
      <c r="J22" s="6" t="s">
        <v>190</v>
      </c>
      <c r="K22" s="6" t="str">
        <f t="shared" si="3"/>
        <v>Aditi Sen</v>
      </c>
      <c r="L22" s="6" t="s">
        <v>44</v>
      </c>
      <c r="M22" s="8" t="str">
        <f t="shared" si="4"/>
        <v>Home Office</v>
      </c>
      <c r="N22" s="6" t="s">
        <v>8</v>
      </c>
      <c r="O22" s="6" t="str">
        <f t="shared" si="5"/>
        <v>East</v>
      </c>
      <c r="P22" s="6" t="s">
        <v>263</v>
      </c>
      <c r="Q22" s="6" t="str">
        <f t="shared" si="6"/>
        <v>Bihar</v>
      </c>
      <c r="R22" s="6" t="s">
        <v>264</v>
      </c>
      <c r="S22" s="6" t="str">
        <f t="shared" si="7"/>
        <v>Patna</v>
      </c>
      <c r="T22" s="6" t="s">
        <v>27</v>
      </c>
      <c r="U22" s="8" t="str">
        <f t="shared" si="8"/>
        <v>Technology</v>
      </c>
      <c r="V22" s="6" t="s">
        <v>29</v>
      </c>
      <c r="W22" s="6" t="str">
        <f t="shared" si="9"/>
        <v>Copiers</v>
      </c>
      <c r="X22" s="6" t="s">
        <v>265</v>
      </c>
      <c r="Y22" s="6" t="s">
        <v>35</v>
      </c>
      <c r="Z22" s="6" t="str">
        <f t="shared" si="10"/>
        <v>First Class</v>
      </c>
      <c r="AA22" s="6">
        <v>5</v>
      </c>
      <c r="AB22" s="6">
        <v>4373.0600000000004</v>
      </c>
      <c r="AC22" s="6">
        <v>0.25</v>
      </c>
      <c r="AD22" s="6">
        <v>16398.98</v>
      </c>
      <c r="AE22" s="6">
        <v>9556.52</v>
      </c>
      <c r="AF22" s="6">
        <v>6842.46</v>
      </c>
      <c r="AG22" s="6" t="s">
        <v>52</v>
      </c>
      <c r="AH22" s="6" t="str">
        <f t="shared" si="11"/>
        <v>Paid</v>
      </c>
      <c r="AI22" s="6" t="s">
        <v>134</v>
      </c>
      <c r="AJ22" s="6" t="str">
        <f t="shared" si="12"/>
        <v>Completed</v>
      </c>
      <c r="AK22" s="9" t="str">
        <f>_xlfn.TEXTJOIN("|",FALSE,A22,TEXT(B22,"mm-dd-yyyy"),TEXT(E22,"mm-dd-yyyy"),I22,J22,L22,N22,P22,R22,T22,V22,X22,Y22,AA22,AB22,AC22,AD22,AE22,AF22,AG22,AI22)</f>
        <v>ORD-2025-10021|21-01-2025|01-23-2025|CUST-3190|Aditi Sen|Home Office|East|Bihar|Patna|Technology|Copiers|Elite Copiers 233|First Class|5|4373.06|0.25|16398.98|9556.52|6842.46|Paid|Completed</v>
      </c>
      <c r="AL22" s="27" t="str">
        <f>IF(COUNTIF($AK$2:AK22,AK22)&gt;1,"Remove exact duplicate copy","Keep")</f>
        <v>Keep</v>
      </c>
      <c r="AM22" s="9">
        <f t="shared" si="13"/>
        <v>1</v>
      </c>
      <c r="AN22" s="9" t="str">
        <f t="shared" si="14"/>
        <v>Unique</v>
      </c>
      <c r="AO22" s="9" t="str">
        <f t="shared" si="15"/>
        <v/>
      </c>
      <c r="AP22" s="9">
        <f t="shared" si="16"/>
        <v>0.25</v>
      </c>
      <c r="AQ22" s="10">
        <f t="shared" si="17"/>
        <v>16398.975000000002</v>
      </c>
      <c r="AR22" s="10">
        <f t="shared" si="18"/>
        <v>6842.4550000000017</v>
      </c>
      <c r="AS22" s="11">
        <f t="shared" si="19"/>
        <v>0.4172489439126531</v>
      </c>
      <c r="AT22" s="9">
        <f t="shared" si="20"/>
        <v>1</v>
      </c>
      <c r="AU22" s="9">
        <f t="shared" si="21"/>
        <v>2025</v>
      </c>
      <c r="AV22" s="9" t="b">
        <f t="shared" si="22"/>
        <v>0</v>
      </c>
      <c r="AW22" s="9" t="b">
        <f t="shared" si="23"/>
        <v>0</v>
      </c>
      <c r="AX22" s="9" t="str">
        <f t="shared" si="24"/>
        <v>Yes</v>
      </c>
      <c r="AY22" s="9" t="str">
        <f t="shared" si="25"/>
        <v/>
      </c>
      <c r="AZ22" s="9" t="str">
        <f>IF(OR(G22="Missing date",G22="Invalid date",G22="Ship date before order date",NOT(ISNUMBER(AP22)),AP22&lt;0,AP22&gt;0.5,AV22=TRUE,AW22=TRUE),"Invalid",IF(OR(O22="Unknown",Z22="Unknown",AC22="",AH22&lt;&gt;"Paid",AJ22&lt;&gt;"Completed",AO22&lt;&gt;""),"Warning","Clean"))</f>
        <v>Clean</v>
      </c>
    </row>
    <row r="23" spans="1:52" ht="15.75" customHeight="1">
      <c r="A23" s="6" t="s">
        <v>266</v>
      </c>
      <c r="B23" s="7" t="s">
        <v>267</v>
      </c>
      <c r="C23" s="7" t="str">
        <f t="shared" si="0"/>
        <v>2025-01</v>
      </c>
      <c r="D23" s="7" cm="1">
        <f t="array" ref="D23">_xlfn.LET(_xlpm.x,B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45681</v>
      </c>
      <c r="E23" s="7" t="s">
        <v>268</v>
      </c>
      <c r="F23" s="7" cm="1">
        <f t="array" ref="F23">_xlfn.LET(_xlpm.x,E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45687</v>
      </c>
      <c r="G23" s="8" t="str">
        <f t="shared" si="1"/>
        <v>OK</v>
      </c>
      <c r="H23" s="6">
        <f t="shared" si="2"/>
        <v>6</v>
      </c>
      <c r="I23" s="6" t="s">
        <v>269</v>
      </c>
      <c r="J23" s="6" t="s">
        <v>245</v>
      </c>
      <c r="K23" s="6" t="str">
        <f t="shared" si="3"/>
        <v>Sneha Kapoor</v>
      </c>
      <c r="L23" s="6" t="s">
        <v>43</v>
      </c>
      <c r="M23" s="8" t="str">
        <f t="shared" si="4"/>
        <v>Consumer</v>
      </c>
      <c r="N23" s="6" t="s">
        <v>9</v>
      </c>
      <c r="O23" s="6" t="str">
        <f t="shared" si="5"/>
        <v>West</v>
      </c>
      <c r="P23" s="6" t="s">
        <v>170</v>
      </c>
      <c r="Q23" s="6" t="str">
        <f t="shared" si="6"/>
        <v>Madhya Pradesh</v>
      </c>
      <c r="R23" s="6" t="s">
        <v>171</v>
      </c>
      <c r="S23" s="6" t="str">
        <f t="shared" si="7"/>
        <v>Indore</v>
      </c>
      <c r="T23" s="6" t="s">
        <v>14</v>
      </c>
      <c r="U23" s="8" t="str">
        <f t="shared" si="8"/>
        <v>Furniture</v>
      </c>
      <c r="V23" s="6" t="s">
        <v>17</v>
      </c>
      <c r="W23" s="6" t="str">
        <f t="shared" si="9"/>
        <v>Furnishings</v>
      </c>
      <c r="X23" s="6" t="s">
        <v>270</v>
      </c>
      <c r="Y23" s="6" t="s">
        <v>36</v>
      </c>
      <c r="Z23" s="6" t="str">
        <f t="shared" si="10"/>
        <v>Second Class</v>
      </c>
      <c r="AA23" s="6">
        <v>4</v>
      </c>
      <c r="AB23" s="6">
        <v>697.69</v>
      </c>
      <c r="AC23" s="6">
        <v>-0.23</v>
      </c>
      <c r="AD23" s="6">
        <v>2790.76</v>
      </c>
      <c r="AE23" s="6">
        <v>2037.71</v>
      </c>
      <c r="AF23" s="6">
        <v>753.05</v>
      </c>
      <c r="AG23" s="6" t="s">
        <v>52</v>
      </c>
      <c r="AH23" s="6" t="str">
        <f t="shared" si="11"/>
        <v>Paid</v>
      </c>
      <c r="AI23" s="6" t="s">
        <v>134</v>
      </c>
      <c r="AJ23" s="6" t="str">
        <f t="shared" si="12"/>
        <v>Completed</v>
      </c>
      <c r="AK23" s="9" t="str">
        <f>_xlfn.TEXTJOIN("|",FALSE,A23,TEXT(B23,"mm-dd-yyyy"),TEXT(E23,"mm-dd-yyyy"),I23,J23,L23,N23,P23,R23,T23,V23,X23,Y23,AA23,AB23,AC23,AD23,AE23,AF23,AG23,AI23)</f>
        <v>ORD-2025-10022|24-01-2025|01-30-2025|CUST-3036|Sneha Kapoor|Consumer|West|Madhya Pradesh|Indore|Furniture|Furnishings|Eco Furnishings 897|Second Class|4|697.69|-0.23|2790.76|2037.71|753.05|Paid|Completed</v>
      </c>
      <c r="AL23" s="27" t="str">
        <f>IF(COUNTIF($AK$2:AK23,AK23)&gt;1,"Remove exact duplicate copy","Keep")</f>
        <v>Keep</v>
      </c>
      <c r="AM23" s="9">
        <f t="shared" si="13"/>
        <v>1</v>
      </c>
      <c r="AN23" s="9" t="str">
        <f t="shared" si="14"/>
        <v>Unique</v>
      </c>
      <c r="AO23" s="9" t="str">
        <f t="shared" si="15"/>
        <v/>
      </c>
      <c r="AP23" s="9">
        <f t="shared" si="16"/>
        <v>-0.23</v>
      </c>
      <c r="AQ23" s="10">
        <f t="shared" si="17"/>
        <v>3432.6348000000003</v>
      </c>
      <c r="AR23" s="10">
        <f t="shared" si="18"/>
        <v>1394.9248000000002</v>
      </c>
      <c r="AS23" s="11">
        <f t="shared" si="19"/>
        <v>0.40637145553613807</v>
      </c>
      <c r="AT23" s="9">
        <f t="shared" si="20"/>
        <v>1</v>
      </c>
      <c r="AU23" s="9">
        <f t="shared" si="21"/>
        <v>2025</v>
      </c>
      <c r="AV23" s="9" t="b">
        <f t="shared" si="22"/>
        <v>1</v>
      </c>
      <c r="AW23" s="9" t="b">
        <f t="shared" si="23"/>
        <v>1</v>
      </c>
      <c r="AX23" s="9" t="str">
        <f t="shared" si="24"/>
        <v>No</v>
      </c>
      <c r="AY23" s="9" t="str">
        <f t="shared" si="25"/>
        <v>Negative discount; Sales mismatch; Profit mismatch</v>
      </c>
      <c r="AZ23" s="9" t="str">
        <f>IF(OR(G23="Missing date",G23="Invalid date",G23="Ship date before order date",NOT(ISNUMBER(AP23)),AP23&lt;0,AP23&gt;0.5,AV23=TRUE,AW23=TRUE),"Invalid",IF(OR(O23="Unknown",Z23="Unknown",AC23="",AH23&lt;&gt;"Paid",AJ23&lt;&gt;"Completed",AO23&lt;&gt;""),"Warning","Clean"))</f>
        <v>Invalid</v>
      </c>
    </row>
    <row r="24" spans="1:52" ht="15.75" customHeight="1">
      <c r="A24" s="6" t="s">
        <v>271</v>
      </c>
      <c r="B24" s="7" t="s">
        <v>272</v>
      </c>
      <c r="C24" s="7" t="str">
        <f t="shared" si="0"/>
        <v>2025-01</v>
      </c>
      <c r="D24" s="7" cm="1">
        <f t="array" ref="D24">_xlfn.LET(_xlpm.x,B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45676</v>
      </c>
      <c r="E24" s="7" t="s">
        <v>273</v>
      </c>
      <c r="F24" s="7" cm="1">
        <f t="array" ref="F24">_xlfn.LET(_xlpm.x,E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45678</v>
      </c>
      <c r="G24" s="8" t="str">
        <f t="shared" si="1"/>
        <v>OK</v>
      </c>
      <c r="H24" s="6">
        <f t="shared" si="2"/>
        <v>2</v>
      </c>
      <c r="I24" s="6" t="s">
        <v>274</v>
      </c>
      <c r="J24" s="6" t="s">
        <v>139</v>
      </c>
      <c r="K24" s="6" t="str">
        <f t="shared" si="3"/>
        <v>Mira Das</v>
      </c>
      <c r="L24" s="6" t="s">
        <v>43</v>
      </c>
      <c r="M24" s="8" t="str">
        <f t="shared" si="4"/>
        <v>Consumer</v>
      </c>
      <c r="N24" s="6" t="s">
        <v>10</v>
      </c>
      <c r="O24" s="6" t="str">
        <f t="shared" si="5"/>
        <v>South</v>
      </c>
      <c r="P24" s="6" t="s">
        <v>154</v>
      </c>
      <c r="Q24" s="6" t="str">
        <f t="shared" si="6"/>
        <v>Telangana</v>
      </c>
      <c r="R24" s="6" t="s">
        <v>155</v>
      </c>
      <c r="S24" s="6" t="str">
        <f t="shared" si="7"/>
        <v>Hyderabad</v>
      </c>
      <c r="T24" s="6" t="s">
        <v>20</v>
      </c>
      <c r="U24" s="8" t="str">
        <f t="shared" si="8"/>
        <v>Office Supplies</v>
      </c>
      <c r="V24" s="6" t="s">
        <v>22</v>
      </c>
      <c r="W24" s="6" t="str">
        <f t="shared" si="9"/>
        <v>Binders</v>
      </c>
      <c r="X24" s="6" t="s">
        <v>275</v>
      </c>
      <c r="Y24" s="6" t="s">
        <v>34</v>
      </c>
      <c r="Z24" s="6" t="str">
        <f t="shared" si="10"/>
        <v>Standard Class</v>
      </c>
      <c r="AA24" s="6">
        <v>8</v>
      </c>
      <c r="AB24" s="6">
        <v>1219.3399999999999</v>
      </c>
      <c r="AC24" s="6">
        <v>0.15</v>
      </c>
      <c r="AD24" s="6">
        <v>8291.51</v>
      </c>
      <c r="AE24" s="6">
        <v>6685.03</v>
      </c>
      <c r="AF24" s="6">
        <v>1606.48</v>
      </c>
      <c r="AG24" s="6" t="s">
        <v>50</v>
      </c>
      <c r="AH24" s="6" t="str">
        <f t="shared" si="11"/>
        <v>Failed</v>
      </c>
      <c r="AI24" s="6" t="s">
        <v>59</v>
      </c>
      <c r="AJ24" s="6" t="str">
        <f t="shared" si="12"/>
        <v>Returned</v>
      </c>
      <c r="AK24" s="9" t="str">
        <f>_xlfn.TEXTJOIN("|",FALSE,A24,TEXT(B24,"mm-dd-yyyy"),TEXT(E24,"mm-dd-yyyy"),I24,J24,L24,N24,P24,R24,T24,V24,X24,Y24,AA24,AB24,AC24,AD24,AE24,AF24,AG24,AI24)</f>
        <v>ORD-2025-10023|01-19-2025|01-21-2025|CUST-3588|Mira Das|Consumer|South|Telangana|Hyderabad|Office Supplies|Binders|Max Binders 355|Standard Class|8|1219.34|0.15|8291.51|6685.03|1606.48|Failed|Returned</v>
      </c>
      <c r="AL24" s="27" t="str">
        <f>IF(COUNTIF($AK$2:AK24,AK24)&gt;1,"Remove exact duplicate copy","Keep")</f>
        <v>Keep</v>
      </c>
      <c r="AM24" s="9">
        <f t="shared" si="13"/>
        <v>1</v>
      </c>
      <c r="AN24" s="9" t="str">
        <f t="shared" si="14"/>
        <v>Unique</v>
      </c>
      <c r="AO24" s="9" t="str">
        <f t="shared" si="15"/>
        <v/>
      </c>
      <c r="AP24" s="9">
        <f t="shared" si="16"/>
        <v>0.15</v>
      </c>
      <c r="AQ24" s="10">
        <f t="shared" si="17"/>
        <v>8291.5119999999988</v>
      </c>
      <c r="AR24" s="10">
        <f t="shared" si="18"/>
        <v>1606.4819999999991</v>
      </c>
      <c r="AS24" s="11">
        <f t="shared" si="19"/>
        <v>0.19375018693816029</v>
      </c>
      <c r="AT24" s="9">
        <f t="shared" si="20"/>
        <v>1</v>
      </c>
      <c r="AU24" s="9">
        <f t="shared" si="21"/>
        <v>2025</v>
      </c>
      <c r="AV24" s="9" t="b">
        <f t="shared" si="22"/>
        <v>0</v>
      </c>
      <c r="AW24" s="9" t="b">
        <f t="shared" si="23"/>
        <v>0</v>
      </c>
      <c r="AX24" s="9" t="str">
        <f t="shared" si="24"/>
        <v>No</v>
      </c>
      <c r="AY24" s="9" t="str">
        <f t="shared" si="25"/>
        <v>Failed payment excluded; Returned order excluded</v>
      </c>
      <c r="AZ24" s="9" t="str">
        <f>IF(OR(G24="Missing date",G24="Invalid date",G24="Ship date before order date",NOT(ISNUMBER(AP24)),AP24&lt;0,AP24&gt;0.5,AV24=TRUE,AW24=TRUE),"Invalid",IF(OR(O24="Unknown",Z24="Unknown",AC24="",AH24&lt;&gt;"Paid",AJ24&lt;&gt;"Completed",AO24&lt;&gt;""),"Warning","Clean"))</f>
        <v>Warning</v>
      </c>
    </row>
    <row r="25" spans="1:52" ht="15.75" customHeight="1">
      <c r="A25" s="6" t="s">
        <v>276</v>
      </c>
      <c r="B25" s="7" t="s">
        <v>158</v>
      </c>
      <c r="C25" s="7" t="str">
        <f t="shared" si="0"/>
        <v>2025-08</v>
      </c>
      <c r="D25" s="7" cm="1">
        <f t="array" ref="D25">_xlfn.LET(_xlpm.x,B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45898</v>
      </c>
      <c r="E25" s="7" t="s">
        <v>277</v>
      </c>
      <c r="F25" s="7" cm="1">
        <f t="array" ref="F25">_xlfn.LET(_xlpm.x,E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45900</v>
      </c>
      <c r="G25" s="8" t="str">
        <f t="shared" si="1"/>
        <v>OK</v>
      </c>
      <c r="H25" s="6">
        <f t="shared" si="2"/>
        <v>2</v>
      </c>
      <c r="I25" s="6" t="s">
        <v>278</v>
      </c>
      <c r="J25" s="6" t="s">
        <v>226</v>
      </c>
      <c r="K25" s="6" t="str">
        <f t="shared" si="3"/>
        <v>Rahul Verma</v>
      </c>
      <c r="L25" s="6" t="s">
        <v>44</v>
      </c>
      <c r="M25" s="8" t="str">
        <f t="shared" si="4"/>
        <v>Home Office</v>
      </c>
      <c r="N25" s="6" t="s">
        <v>8</v>
      </c>
      <c r="O25" s="6" t="str">
        <f t="shared" si="5"/>
        <v>East</v>
      </c>
      <c r="P25" s="6" t="s">
        <v>263</v>
      </c>
      <c r="Q25" s="6" t="str">
        <f t="shared" si="6"/>
        <v>Bihar</v>
      </c>
      <c r="R25" s="6" t="s">
        <v>264</v>
      </c>
      <c r="S25" s="6" t="str">
        <f t="shared" si="7"/>
        <v>Patna</v>
      </c>
      <c r="T25" s="6" t="s">
        <v>14</v>
      </c>
      <c r="U25" s="8" t="str">
        <f t="shared" si="8"/>
        <v>Furniture</v>
      </c>
      <c r="V25" s="6" t="s">
        <v>15</v>
      </c>
      <c r="W25" s="6" t="str">
        <f t="shared" si="9"/>
        <v>Bookcases</v>
      </c>
      <c r="X25" s="6" t="s">
        <v>279</v>
      </c>
      <c r="Y25" s="6" t="s">
        <v>35</v>
      </c>
      <c r="Z25" s="6" t="str">
        <f t="shared" si="10"/>
        <v>First Class</v>
      </c>
      <c r="AA25" s="6">
        <v>4</v>
      </c>
      <c r="AB25" s="6">
        <v>1958.01</v>
      </c>
      <c r="AC25" s="6">
        <v>0.2</v>
      </c>
      <c r="AD25" s="6">
        <v>6265.63</v>
      </c>
      <c r="AE25" s="6">
        <v>4321.8599999999997</v>
      </c>
      <c r="AF25" s="6">
        <v>1943.77</v>
      </c>
      <c r="AG25" s="6" t="s">
        <v>52</v>
      </c>
      <c r="AH25" s="6" t="str">
        <f t="shared" si="11"/>
        <v>Paid</v>
      </c>
      <c r="AI25" s="6" t="s">
        <v>134</v>
      </c>
      <c r="AJ25" s="6" t="str">
        <f t="shared" si="12"/>
        <v>Completed</v>
      </c>
      <c r="AK25" s="9" t="str">
        <f>_xlfn.TEXTJOIN("|",FALSE,A25,TEXT(B25,"mm-dd-yyyy"),TEXT(E25,"mm-dd-yyyy"),I25,J25,L25,N25,P25,R25,T25,V25,X25,Y25,AA25,AB25,AC25,AD25,AE25,AF25,AG25,AI25)</f>
        <v>ORD-2025-10024|08-29-2025|31-08-2025|CUST-7098|Rahul Verma|Home Office|East|Bihar|Patna|Furniture|Bookcases|Pro Bookcases 394|First Class|4|1958.01|0.2|6265.63|4321.86|1943.77|Paid|Completed</v>
      </c>
      <c r="AL25" s="27" t="str">
        <f>IF(COUNTIF($AK$2:AK25,AK25)&gt;1,"Remove exact duplicate copy","Keep")</f>
        <v>Keep</v>
      </c>
      <c r="AM25" s="9">
        <f t="shared" si="13"/>
        <v>1</v>
      </c>
      <c r="AN25" s="9" t="str">
        <f t="shared" si="14"/>
        <v>Unique</v>
      </c>
      <c r="AO25" s="9" t="str">
        <f t="shared" si="15"/>
        <v/>
      </c>
      <c r="AP25" s="9">
        <f t="shared" si="16"/>
        <v>0.2</v>
      </c>
      <c r="AQ25" s="10">
        <f t="shared" si="17"/>
        <v>6265.6320000000005</v>
      </c>
      <c r="AR25" s="10">
        <f t="shared" si="18"/>
        <v>1943.7720000000008</v>
      </c>
      <c r="AS25" s="11">
        <f t="shared" si="19"/>
        <v>0.31022760353624351</v>
      </c>
      <c r="AT25" s="9">
        <f t="shared" si="20"/>
        <v>8</v>
      </c>
      <c r="AU25" s="9">
        <f t="shared" si="21"/>
        <v>2025</v>
      </c>
      <c r="AV25" s="9" t="b">
        <f t="shared" si="22"/>
        <v>0</v>
      </c>
      <c r="AW25" s="9" t="b">
        <f t="shared" si="23"/>
        <v>0</v>
      </c>
      <c r="AX25" s="9" t="str">
        <f t="shared" si="24"/>
        <v>Yes</v>
      </c>
      <c r="AY25" s="9" t="str">
        <f t="shared" si="25"/>
        <v/>
      </c>
      <c r="AZ25" s="9" t="str">
        <f>IF(OR(G25="Missing date",G25="Invalid date",G25="Ship date before order date",NOT(ISNUMBER(AP25)),AP25&lt;0,AP25&gt;0.5,AV25=TRUE,AW25=TRUE),"Invalid",IF(OR(O25="Unknown",Z25="Unknown",AC25="",AH25&lt;&gt;"Paid",AJ25&lt;&gt;"Completed",AO25&lt;&gt;""),"Warning","Clean"))</f>
        <v>Clean</v>
      </c>
    </row>
    <row r="26" spans="1:52" ht="15.75" customHeight="1">
      <c r="A26" s="6" t="s">
        <v>280</v>
      </c>
      <c r="B26" s="7" t="s">
        <v>281</v>
      </c>
      <c r="C26" s="7" t="str">
        <f t="shared" si="0"/>
        <v>2024-03</v>
      </c>
      <c r="D26" s="7" cm="1">
        <f t="array" ref="D26">_xlfn.LET(_xlpm.x,B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45355</v>
      </c>
      <c r="E26" s="7" t="s">
        <v>282</v>
      </c>
      <c r="F26" s="7" cm="1">
        <f t="array" ref="F26">_xlfn.LET(_xlpm.x,E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45352</v>
      </c>
      <c r="G26" s="8" t="str">
        <f t="shared" si="1"/>
        <v>Ship date before order date</v>
      </c>
      <c r="H26" s="6">
        <f t="shared" si="2"/>
        <v>-3</v>
      </c>
      <c r="I26" s="6" t="s">
        <v>283</v>
      </c>
      <c r="J26" s="6" t="s">
        <v>284</v>
      </c>
      <c r="K26" s="6" t="str">
        <f t="shared" si="3"/>
        <v>Diya Patel</v>
      </c>
      <c r="L26" s="6" t="s">
        <v>43</v>
      </c>
      <c r="M26" s="8" t="str">
        <f t="shared" si="4"/>
        <v>Consumer</v>
      </c>
      <c r="N26" s="6" t="s">
        <v>7</v>
      </c>
      <c r="O26" s="6" t="str">
        <f t="shared" si="5"/>
        <v>North</v>
      </c>
      <c r="P26" s="6" t="s">
        <v>232</v>
      </c>
      <c r="Q26" s="6" t="str">
        <f t="shared" si="6"/>
        <v>Punjab</v>
      </c>
      <c r="R26" s="6" t="s">
        <v>233</v>
      </c>
      <c r="S26" s="6" t="str">
        <f t="shared" si="7"/>
        <v>Ludhiana</v>
      </c>
      <c r="T26" s="6" t="s">
        <v>20</v>
      </c>
      <c r="U26" s="8" t="str">
        <f t="shared" si="8"/>
        <v>Office Supplies</v>
      </c>
      <c r="V26" s="6" t="s">
        <v>21</v>
      </c>
      <c r="W26" s="6" t="str">
        <f t="shared" si="9"/>
        <v>Art</v>
      </c>
      <c r="X26" s="6" t="s">
        <v>285</v>
      </c>
      <c r="Y26" s="6" t="s">
        <v>34</v>
      </c>
      <c r="Z26" s="6" t="str">
        <f t="shared" si="10"/>
        <v>Standard Class</v>
      </c>
      <c r="AA26" s="6">
        <v>4</v>
      </c>
      <c r="AB26" s="6">
        <v>4492.9399999999996</v>
      </c>
      <c r="AC26" s="6">
        <v>0.25</v>
      </c>
      <c r="AD26" s="6">
        <v>13478.82</v>
      </c>
      <c r="AE26" s="6">
        <v>10937.35</v>
      </c>
      <c r="AF26" s="6">
        <v>2541.4699999999998</v>
      </c>
      <c r="AG26" s="6" t="s">
        <v>54</v>
      </c>
      <c r="AH26" s="6" t="str">
        <f t="shared" si="11"/>
        <v>Pending</v>
      </c>
      <c r="AI26" s="6" t="s">
        <v>58</v>
      </c>
      <c r="AJ26" s="6" t="str">
        <f t="shared" si="12"/>
        <v>Cancelled</v>
      </c>
      <c r="AK26" s="9" t="str">
        <f>_xlfn.TEXTJOIN("|",FALSE,A26,TEXT(B26,"mm-dd-yyyy"),TEXT(E26,"mm-dd-yyyy"),I26,J26,L26,N26,P26,R26,T26,V26,X26,Y26,AA26,AB26,AC26,AD26,AE26,AF26,AG26,AI26)</f>
        <v>ORD-2024-10025|03-04-2024|03-01-2024|CUST-1747|Diya Patel|Consumer|North|Punjab|Ludhiana|Office Supplies|Art|Max Art 215|Standard Class|4|4492.94|0.25|13478.82|10937.35|2541.47|Pending|Cancelled</v>
      </c>
      <c r="AL26" s="27" t="str">
        <f>IF(COUNTIF($AK$2:AK26,AK26)&gt;1,"Remove exact duplicate copy","Keep")</f>
        <v>Keep</v>
      </c>
      <c r="AM26" s="9">
        <f t="shared" si="13"/>
        <v>1</v>
      </c>
      <c r="AN26" s="9" t="str">
        <f t="shared" si="14"/>
        <v>Unique</v>
      </c>
      <c r="AO26" s="9" t="str">
        <f t="shared" si="15"/>
        <v/>
      </c>
      <c r="AP26" s="9">
        <f t="shared" si="16"/>
        <v>0.25</v>
      </c>
      <c r="AQ26" s="10">
        <f t="shared" si="17"/>
        <v>13478.82</v>
      </c>
      <c r="AR26" s="10">
        <f t="shared" si="18"/>
        <v>2541.4699999999993</v>
      </c>
      <c r="AS26" s="11">
        <f t="shared" si="19"/>
        <v>0.18855285551702591</v>
      </c>
      <c r="AT26" s="9">
        <f t="shared" si="20"/>
        <v>3</v>
      </c>
      <c r="AU26" s="9">
        <f t="shared" si="21"/>
        <v>2024</v>
      </c>
      <c r="AV26" s="9" t="b">
        <f t="shared" si="22"/>
        <v>0</v>
      </c>
      <c r="AW26" s="9" t="b">
        <f t="shared" si="23"/>
        <v>0</v>
      </c>
      <c r="AX26" s="9" t="str">
        <f t="shared" si="24"/>
        <v>No</v>
      </c>
      <c r="AY26" s="9" t="str">
        <f t="shared" si="25"/>
        <v>Ship date before order date; Cancelled order excluded</v>
      </c>
      <c r="AZ26" s="9" t="str">
        <f>IF(OR(G26="Missing date",G26="Invalid date",G26="Ship date before order date",NOT(ISNUMBER(AP26)),AP26&lt;0,AP26&gt;0.5,AV26=TRUE,AW26=TRUE),"Invalid",IF(OR(O26="Unknown",Z26="Unknown",AC26="",AH26&lt;&gt;"Paid",AJ26&lt;&gt;"Completed",AO26&lt;&gt;""),"Warning","Clean"))</f>
        <v>Invalid</v>
      </c>
    </row>
    <row r="27" spans="1:52" ht="15.75" customHeight="1">
      <c r="A27" s="6" t="s">
        <v>286</v>
      </c>
      <c r="B27" s="7" t="s">
        <v>287</v>
      </c>
      <c r="C27" s="7" t="str">
        <f t="shared" si="0"/>
        <v>2024-10</v>
      </c>
      <c r="D27" s="7" cm="1">
        <f t="array" ref="D27">_xlfn.LET(_xlpm.x,B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45576</v>
      </c>
      <c r="E27" s="7" t="s">
        <v>288</v>
      </c>
      <c r="F27" s="7" cm="1">
        <f t="array" ref="F27">_xlfn.LET(_xlpm.x,E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45584</v>
      </c>
      <c r="G27" s="8" t="str">
        <f t="shared" si="1"/>
        <v>OK</v>
      </c>
      <c r="H27" s="6">
        <f t="shared" si="2"/>
        <v>8</v>
      </c>
      <c r="I27" s="6" t="s">
        <v>289</v>
      </c>
      <c r="J27" s="6" t="s">
        <v>153</v>
      </c>
      <c r="K27" s="6" t="str">
        <f t="shared" si="3"/>
        <v>Arjun Bose</v>
      </c>
      <c r="L27" s="6" t="s">
        <v>45</v>
      </c>
      <c r="M27" s="8" t="str">
        <f t="shared" si="4"/>
        <v>Corporate</v>
      </c>
      <c r="N27" s="6" t="s">
        <v>8</v>
      </c>
      <c r="O27" s="6" t="str">
        <f t="shared" si="5"/>
        <v>East</v>
      </c>
      <c r="P27" s="6" t="s">
        <v>290</v>
      </c>
      <c r="Q27" s="6" t="str">
        <f t="shared" si="6"/>
        <v>Assam</v>
      </c>
      <c r="R27" s="6" t="s">
        <v>291</v>
      </c>
      <c r="S27" s="6" t="str">
        <f t="shared" si="7"/>
        <v>Guwahati</v>
      </c>
      <c r="T27" s="6" t="s">
        <v>27</v>
      </c>
      <c r="U27" s="8" t="str">
        <f t="shared" si="8"/>
        <v>Technology</v>
      </c>
      <c r="V27" s="6" t="s">
        <v>28</v>
      </c>
      <c r="W27" s="6" t="str">
        <f t="shared" si="9"/>
        <v>Accessories</v>
      </c>
      <c r="X27" s="6" t="s">
        <v>292</v>
      </c>
      <c r="Y27" s="6" t="s">
        <v>35</v>
      </c>
      <c r="Z27" s="6" t="str">
        <f t="shared" si="10"/>
        <v>First Class</v>
      </c>
      <c r="AA27" s="6">
        <v>2</v>
      </c>
      <c r="AB27" s="6">
        <v>4315.2</v>
      </c>
      <c r="AC27" s="6">
        <v>0.15</v>
      </c>
      <c r="AD27" s="6">
        <v>7335.84</v>
      </c>
      <c r="AE27" s="6">
        <v>4968.41</v>
      </c>
      <c r="AF27" s="6">
        <v>2367.4299999999998</v>
      </c>
      <c r="AG27" s="6" t="s">
        <v>52</v>
      </c>
      <c r="AH27" s="6" t="str">
        <f t="shared" si="11"/>
        <v>Paid</v>
      </c>
      <c r="AI27" s="6" t="s">
        <v>134</v>
      </c>
      <c r="AJ27" s="6" t="str">
        <f t="shared" si="12"/>
        <v>Completed</v>
      </c>
      <c r="AK27" s="9" t="str">
        <f>_xlfn.TEXTJOIN("|",FALSE,A27,TEXT(B27,"mm-dd-yyyy"),TEXT(E27,"mm-dd-yyyy"),I27,J27,L27,N27,P27,R27,T27,V27,X27,Y27,AA27,AB27,AC27,AD27,AE27,AF27,AG27,AI27)</f>
        <v>ORD-2024-10026|11-10-2024|10-19-2024|CUST-1731|Arjun Bose|Corporate|East|Assam|Guwahati|Technology|Accessories|Classic Accessories 478|First Class|2|4315.2|0.15|7335.84|4968.41|2367.43|Paid|Completed</v>
      </c>
      <c r="AL27" s="27" t="str">
        <f>IF(COUNTIF($AK$2:AK27,AK27)&gt;1,"Remove exact duplicate copy","Keep")</f>
        <v>Keep</v>
      </c>
      <c r="AM27" s="9">
        <f t="shared" si="13"/>
        <v>1</v>
      </c>
      <c r="AN27" s="9" t="str">
        <f t="shared" si="14"/>
        <v>Unique</v>
      </c>
      <c r="AO27" s="9" t="str">
        <f t="shared" si="15"/>
        <v/>
      </c>
      <c r="AP27" s="9">
        <f t="shared" si="16"/>
        <v>0.15</v>
      </c>
      <c r="AQ27" s="10">
        <f t="shared" si="17"/>
        <v>7335.8399999999992</v>
      </c>
      <c r="AR27" s="10">
        <f t="shared" si="18"/>
        <v>2367.4299999999994</v>
      </c>
      <c r="AS27" s="11">
        <f t="shared" si="19"/>
        <v>0.32272105171323251</v>
      </c>
      <c r="AT27" s="9">
        <f t="shared" si="20"/>
        <v>10</v>
      </c>
      <c r="AU27" s="9">
        <f t="shared" si="21"/>
        <v>2024</v>
      </c>
      <c r="AV27" s="9" t="b">
        <f t="shared" si="22"/>
        <v>0</v>
      </c>
      <c r="AW27" s="9" t="b">
        <f t="shared" si="23"/>
        <v>0</v>
      </c>
      <c r="AX27" s="9" t="str">
        <f t="shared" si="24"/>
        <v>Yes</v>
      </c>
      <c r="AY27" s="9" t="str">
        <f t="shared" si="25"/>
        <v/>
      </c>
      <c r="AZ27" s="9" t="str">
        <f>IF(OR(G27="Missing date",G27="Invalid date",G27="Ship date before order date",NOT(ISNUMBER(AP27)),AP27&lt;0,AP27&gt;0.5,AV27=TRUE,AW27=TRUE),"Invalid",IF(OR(O27="Unknown",Z27="Unknown",AC27="",AH27&lt;&gt;"Paid",AJ27&lt;&gt;"Completed",AO27&lt;&gt;""),"Warning","Clean"))</f>
        <v>Clean</v>
      </c>
    </row>
    <row r="28" spans="1:52" ht="15.75" customHeight="1">
      <c r="A28" s="6" t="s">
        <v>293</v>
      </c>
      <c r="B28" s="7" t="s">
        <v>294</v>
      </c>
      <c r="C28" s="7" t="str">
        <f t="shared" si="0"/>
        <v>2024-11</v>
      </c>
      <c r="D28" s="7" cm="1">
        <f t="array" ref="D28">_xlfn.LET(_xlpm.x,B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45619</v>
      </c>
      <c r="E28" s="7" t="s">
        <v>295</v>
      </c>
      <c r="F28" s="7" cm="1">
        <f t="array" ref="F28">_xlfn.LET(_xlpm.x,E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45619</v>
      </c>
      <c r="G28" s="8" t="str">
        <f t="shared" si="1"/>
        <v>OK</v>
      </c>
      <c r="H28" s="6">
        <f t="shared" si="2"/>
        <v>0</v>
      </c>
      <c r="I28" s="6" t="s">
        <v>296</v>
      </c>
      <c r="J28" s="6" t="s">
        <v>284</v>
      </c>
      <c r="K28" s="6" t="str">
        <f t="shared" si="3"/>
        <v>Diya Patel</v>
      </c>
      <c r="L28" s="6" t="s">
        <v>45</v>
      </c>
      <c r="M28" s="8" t="str">
        <f t="shared" si="4"/>
        <v>Corporate</v>
      </c>
      <c r="N28" s="6" t="s">
        <v>7</v>
      </c>
      <c r="O28" s="6" t="str">
        <f t="shared" si="5"/>
        <v>North</v>
      </c>
      <c r="P28" s="6" t="s">
        <v>251</v>
      </c>
      <c r="Q28" s="6" t="str">
        <f t="shared" si="6"/>
        <v>Uttar Pradesh</v>
      </c>
      <c r="R28" s="6" t="s">
        <v>252</v>
      </c>
      <c r="S28" s="6" t="str">
        <f t="shared" si="7"/>
        <v>Noida</v>
      </c>
      <c r="T28" s="6" t="s">
        <v>27</v>
      </c>
      <c r="U28" s="8" t="str">
        <f t="shared" si="8"/>
        <v>Technology</v>
      </c>
      <c r="V28" s="6" t="s">
        <v>31</v>
      </c>
      <c r="W28" s="6" t="str">
        <f t="shared" si="9"/>
        <v>Phones</v>
      </c>
      <c r="X28" s="6" t="s">
        <v>297</v>
      </c>
      <c r="Y28" s="6" t="s">
        <v>34</v>
      </c>
      <c r="Z28" s="6" t="str">
        <f t="shared" si="10"/>
        <v>Standard Class</v>
      </c>
      <c r="AA28" s="6">
        <v>4</v>
      </c>
      <c r="AB28" s="6">
        <v>716.13</v>
      </c>
      <c r="AC28" s="6">
        <v>0.1</v>
      </c>
      <c r="AD28" s="6">
        <v>2578.0700000000002</v>
      </c>
      <c r="AE28" s="6">
        <v>1527.55</v>
      </c>
      <c r="AF28" s="6">
        <v>1050.52</v>
      </c>
      <c r="AG28" s="6" t="s">
        <v>298</v>
      </c>
      <c r="AH28" s="6" t="str">
        <f t="shared" si="11"/>
        <v>Paid</v>
      </c>
      <c r="AI28" s="6" t="s">
        <v>59</v>
      </c>
      <c r="AJ28" s="6" t="str">
        <f t="shared" si="12"/>
        <v>Returned</v>
      </c>
      <c r="AK28" s="9" t="str">
        <f>_xlfn.TEXTJOIN("|",FALSE,A28,TEXT(B28,"mm-dd-yyyy"),TEXT(E28,"mm-dd-yyyy"),I28,J28,L28,N28,P28,R28,T28,V28,X28,Y28,AA28,AB28,AC28,AD28,AE28,AF28,AG28,AI28)</f>
        <v>ORD-2024-10027|23-11-2024|11-23-2024|CUST-4401|Diya Patel|Corporate|North|Uttar Pradesh|Noida|Technology|Phones|Pro Phones 243|Standard Class|4|716.13|0.1|2578.07|1527.55|1050.52|Paid |Returned</v>
      </c>
      <c r="AL28" s="27" t="str">
        <f>IF(COUNTIF($AK$2:AK28,AK28)&gt;1,"Remove exact duplicate copy","Keep")</f>
        <v>Keep</v>
      </c>
      <c r="AM28" s="9">
        <f t="shared" si="13"/>
        <v>1</v>
      </c>
      <c r="AN28" s="9" t="str">
        <f t="shared" si="14"/>
        <v>Unique</v>
      </c>
      <c r="AO28" s="9" t="str">
        <f t="shared" si="15"/>
        <v/>
      </c>
      <c r="AP28" s="9">
        <f t="shared" si="16"/>
        <v>0.1</v>
      </c>
      <c r="AQ28" s="10">
        <f t="shared" si="17"/>
        <v>2578.0680000000002</v>
      </c>
      <c r="AR28" s="10">
        <f t="shared" si="18"/>
        <v>1050.5180000000003</v>
      </c>
      <c r="AS28" s="11">
        <f t="shared" si="19"/>
        <v>0.40748265755596835</v>
      </c>
      <c r="AT28" s="9">
        <f t="shared" si="20"/>
        <v>11</v>
      </c>
      <c r="AU28" s="9">
        <f t="shared" si="21"/>
        <v>2024</v>
      </c>
      <c r="AV28" s="9" t="b">
        <f t="shared" si="22"/>
        <v>0</v>
      </c>
      <c r="AW28" s="9" t="b">
        <f t="shared" si="23"/>
        <v>0</v>
      </c>
      <c r="AX28" s="9" t="str">
        <f t="shared" si="24"/>
        <v>No</v>
      </c>
      <c r="AY28" s="9" t="str">
        <f t="shared" si="25"/>
        <v>Returned order excluded</v>
      </c>
      <c r="AZ28" s="9" t="str">
        <f>IF(OR(G28="Missing date",G28="Invalid date",G28="Ship date before order date",NOT(ISNUMBER(AP28)),AP28&lt;0,AP28&gt;0.5,AV28=TRUE,AW28=TRUE),"Invalid",IF(OR(O28="Unknown",Z28="Unknown",AC28="",AH28&lt;&gt;"Paid",AJ28&lt;&gt;"Completed",AO28&lt;&gt;""),"Warning","Clean"))</f>
        <v>Warning</v>
      </c>
    </row>
    <row r="29" spans="1:52" ht="15.75" customHeight="1">
      <c r="A29" s="6" t="s">
        <v>299</v>
      </c>
      <c r="B29" s="7" t="s">
        <v>300</v>
      </c>
      <c r="C29" s="7" t="str">
        <f t="shared" si="0"/>
        <v>2025-09</v>
      </c>
      <c r="D29" s="7" cm="1">
        <f t="array" ref="D29">_xlfn.LET(_xlpm.x,B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45929</v>
      </c>
      <c r="E29" s="7" t="s">
        <v>301</v>
      </c>
      <c r="F29" s="7" cm="1">
        <f t="array" ref="F29">_xlfn.LET(_xlpm.x,E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45935</v>
      </c>
      <c r="G29" s="8" t="str">
        <f t="shared" si="1"/>
        <v>OK</v>
      </c>
      <c r="H29" s="6">
        <f t="shared" si="2"/>
        <v>6</v>
      </c>
      <c r="I29" s="6" t="s">
        <v>302</v>
      </c>
      <c r="J29" s="6" t="s">
        <v>153</v>
      </c>
      <c r="K29" s="6" t="str">
        <f t="shared" si="3"/>
        <v>Arjun Bose</v>
      </c>
      <c r="L29" s="6" t="s">
        <v>46</v>
      </c>
      <c r="M29" s="8" t="str">
        <f t="shared" si="4"/>
        <v>Small Business</v>
      </c>
      <c r="N29" s="6" t="s">
        <v>10</v>
      </c>
      <c r="O29" s="6" t="str">
        <f t="shared" si="5"/>
        <v>South</v>
      </c>
      <c r="P29" s="6" t="s">
        <v>303</v>
      </c>
      <c r="Q29" s="6" t="str">
        <f t="shared" si="6"/>
        <v>Karnataka</v>
      </c>
      <c r="R29" s="6" t="s">
        <v>304</v>
      </c>
      <c r="S29" s="6" t="str">
        <f t="shared" si="7"/>
        <v>Bengaluru</v>
      </c>
      <c r="T29" s="6" t="s">
        <v>20</v>
      </c>
      <c r="U29" s="8" t="str">
        <f t="shared" si="8"/>
        <v>Office Supplies</v>
      </c>
      <c r="V29" s="6" t="s">
        <v>24</v>
      </c>
      <c r="W29" s="6" t="str">
        <f t="shared" si="9"/>
        <v>Paper</v>
      </c>
      <c r="X29" s="6" t="s">
        <v>305</v>
      </c>
      <c r="Y29" s="6" t="s">
        <v>36</v>
      </c>
      <c r="Z29" s="6" t="str">
        <f t="shared" si="10"/>
        <v>Second Class</v>
      </c>
      <c r="AA29" s="6">
        <v>5</v>
      </c>
      <c r="AB29" s="6">
        <v>1806.51</v>
      </c>
      <c r="AC29" s="6">
        <v>0.25</v>
      </c>
      <c r="AD29" s="6">
        <v>6774.41</v>
      </c>
      <c r="AE29" s="6">
        <v>4710.3599999999997</v>
      </c>
      <c r="AF29" s="6">
        <v>2064.0500000000002</v>
      </c>
      <c r="AG29" s="6" t="s">
        <v>50</v>
      </c>
      <c r="AH29" s="6" t="str">
        <f t="shared" si="11"/>
        <v>Failed</v>
      </c>
      <c r="AI29" s="6" t="s">
        <v>59</v>
      </c>
      <c r="AJ29" s="6" t="str">
        <f t="shared" si="12"/>
        <v>Returned</v>
      </c>
      <c r="AK29" s="9" t="str">
        <f>_xlfn.TEXTJOIN("|",FALSE,A29,TEXT(B29,"mm-dd-yyyy"),TEXT(E29,"mm-dd-yyyy"),I29,J29,L29,N29,P29,R29,T29,V29,X29,Y29,AA29,AB29,AC29,AD29,AE29,AF29,AG29,AI29)</f>
        <v>ORD-2025-10028|09-29-2025|05-10-2025|CUST-9875|Arjun Bose|Small Business|South|Karnataka|Bengaluru|Office Supplies|Paper|Basic Paper 613|Second Class|5|1806.51|0.25|6774.41|4710.36|2064.05|Failed|Returned</v>
      </c>
      <c r="AL29" s="27" t="str">
        <f>IF(COUNTIF($AK$2:AK29,AK29)&gt;1,"Remove exact duplicate copy","Keep")</f>
        <v>Keep</v>
      </c>
      <c r="AM29" s="9">
        <f t="shared" si="13"/>
        <v>1</v>
      </c>
      <c r="AN29" s="9" t="str">
        <f t="shared" si="14"/>
        <v>Unique</v>
      </c>
      <c r="AO29" s="9" t="str">
        <f t="shared" si="15"/>
        <v/>
      </c>
      <c r="AP29" s="9">
        <f t="shared" si="16"/>
        <v>0.25</v>
      </c>
      <c r="AQ29" s="10">
        <f t="shared" si="17"/>
        <v>6774.4124999999995</v>
      </c>
      <c r="AR29" s="10">
        <f t="shared" si="18"/>
        <v>2064.0524999999998</v>
      </c>
      <c r="AS29" s="11">
        <f t="shared" si="19"/>
        <v>0.30468361647596748</v>
      </c>
      <c r="AT29" s="9">
        <f t="shared" si="20"/>
        <v>9</v>
      </c>
      <c r="AU29" s="9">
        <f t="shared" si="21"/>
        <v>2025</v>
      </c>
      <c r="AV29" s="9" t="b">
        <f t="shared" si="22"/>
        <v>0</v>
      </c>
      <c r="AW29" s="9" t="b">
        <f t="shared" si="23"/>
        <v>0</v>
      </c>
      <c r="AX29" s="9" t="str">
        <f t="shared" si="24"/>
        <v>No</v>
      </c>
      <c r="AY29" s="9" t="str">
        <f t="shared" si="25"/>
        <v>Failed payment excluded; Returned order excluded</v>
      </c>
      <c r="AZ29" s="9" t="str">
        <f>IF(OR(G29="Missing date",G29="Invalid date",G29="Ship date before order date",NOT(ISNUMBER(AP29)),AP29&lt;0,AP29&gt;0.5,AV29=TRUE,AW29=TRUE),"Invalid",IF(OR(O29="Unknown",Z29="Unknown",AC29="",AH29&lt;&gt;"Paid",AJ29&lt;&gt;"Completed",AO29&lt;&gt;""),"Warning","Clean"))</f>
        <v>Warning</v>
      </c>
    </row>
    <row r="30" spans="1:52" ht="15.75" customHeight="1">
      <c r="A30" s="6" t="s">
        <v>306</v>
      </c>
      <c r="B30" s="7" t="s">
        <v>287</v>
      </c>
      <c r="C30" s="7" t="str">
        <f t="shared" si="0"/>
        <v>2024-10</v>
      </c>
      <c r="D30" s="7" cm="1">
        <f t="array" ref="D30">_xlfn.LET(_xlpm.x,B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45576</v>
      </c>
      <c r="E30" s="7" t="s">
        <v>307</v>
      </c>
      <c r="F30" s="7" cm="1">
        <f t="array" ref="F30">_xlfn.LET(_xlpm.x,E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45583</v>
      </c>
      <c r="G30" s="8" t="str">
        <f t="shared" si="1"/>
        <v>OK</v>
      </c>
      <c r="H30" s="6">
        <f t="shared" si="2"/>
        <v>7</v>
      </c>
      <c r="I30" s="6" t="s">
        <v>308</v>
      </c>
      <c r="J30" s="6" t="s">
        <v>161</v>
      </c>
      <c r="K30" s="6" t="str">
        <f t="shared" si="3"/>
        <v>Ananya Rao</v>
      </c>
      <c r="L30" s="6" t="s">
        <v>44</v>
      </c>
      <c r="M30" s="8" t="str">
        <f t="shared" si="4"/>
        <v>Home Office</v>
      </c>
      <c r="N30" s="6" t="s">
        <v>9</v>
      </c>
      <c r="O30" s="6" t="str">
        <f t="shared" si="5"/>
        <v>West</v>
      </c>
      <c r="P30" s="6" t="s">
        <v>309</v>
      </c>
      <c r="Q30" s="6" t="str">
        <f t="shared" si="6"/>
        <v>Gujarat</v>
      </c>
      <c r="R30" s="6" t="s">
        <v>310</v>
      </c>
      <c r="S30" s="6" t="str">
        <f t="shared" si="7"/>
        <v>Ahmedabad</v>
      </c>
      <c r="T30" s="6" t="s">
        <v>27</v>
      </c>
      <c r="U30" s="8" t="str">
        <f t="shared" si="8"/>
        <v>Technology</v>
      </c>
      <c r="V30" s="6" t="s">
        <v>31</v>
      </c>
      <c r="W30" s="6" t="str">
        <f t="shared" si="9"/>
        <v>Phones</v>
      </c>
      <c r="X30" s="6" t="s">
        <v>311</v>
      </c>
      <c r="Y30" s="6" t="s">
        <v>36</v>
      </c>
      <c r="Z30" s="6" t="str">
        <f t="shared" si="10"/>
        <v>Second Class</v>
      </c>
      <c r="AA30" s="6">
        <v>2</v>
      </c>
      <c r="AB30" s="6">
        <v>1942.22</v>
      </c>
      <c r="AC30" s="6">
        <v>0.25</v>
      </c>
      <c r="AD30" s="6">
        <v>2913.33</v>
      </c>
      <c r="AE30" s="6">
        <v>2122.33</v>
      </c>
      <c r="AF30" s="6">
        <v>791</v>
      </c>
      <c r="AG30" s="6" t="s">
        <v>56</v>
      </c>
      <c r="AH30" s="6" t="str">
        <f t="shared" si="11"/>
        <v>Refunded</v>
      </c>
      <c r="AI30" s="6" t="s">
        <v>58</v>
      </c>
      <c r="AJ30" s="6" t="str">
        <f t="shared" si="12"/>
        <v>Cancelled</v>
      </c>
      <c r="AK30" s="9" t="str">
        <f>_xlfn.TEXTJOIN("|",FALSE,A30,TEXT(B30,"mm-dd-yyyy"),TEXT(E30,"mm-dd-yyyy"),I30,J30,L30,N30,P30,R30,T30,V30,X30,Y30,AA30,AB30,AC30,AD30,AE30,AF30,AG30,AI30)</f>
        <v>ORD-2024-10029|11-10-2024|18-10-2024|CUST-1569|Ananya Rao|Home Office|West|Gujarat|Ahmedabad|Technology|Phones|Prime Phones 698|Second Class|2|1942.22|0.25|2913.33|2122.33|791|Refunded|Cancelled</v>
      </c>
      <c r="AL30" s="27" t="str">
        <f>IF(COUNTIF($AK$2:AK30,AK30)&gt;1,"Remove exact duplicate copy","Keep")</f>
        <v>Keep</v>
      </c>
      <c r="AM30" s="9">
        <f t="shared" si="13"/>
        <v>1</v>
      </c>
      <c r="AN30" s="9" t="str">
        <f t="shared" si="14"/>
        <v>Unique</v>
      </c>
      <c r="AO30" s="9" t="str">
        <f t="shared" si="15"/>
        <v/>
      </c>
      <c r="AP30" s="9">
        <f t="shared" si="16"/>
        <v>0.25</v>
      </c>
      <c r="AQ30" s="10">
        <f t="shared" si="17"/>
        <v>2913.33</v>
      </c>
      <c r="AR30" s="10">
        <f t="shared" si="18"/>
        <v>791</v>
      </c>
      <c r="AS30" s="11">
        <f t="shared" si="19"/>
        <v>0.27151060813570727</v>
      </c>
      <c r="AT30" s="9">
        <f t="shared" si="20"/>
        <v>10</v>
      </c>
      <c r="AU30" s="9">
        <f t="shared" si="21"/>
        <v>2024</v>
      </c>
      <c r="AV30" s="9" t="b">
        <f t="shared" si="22"/>
        <v>0</v>
      </c>
      <c r="AW30" s="9" t="b">
        <f t="shared" si="23"/>
        <v>0</v>
      </c>
      <c r="AX30" s="9" t="str">
        <f t="shared" si="24"/>
        <v>No</v>
      </c>
      <c r="AY30" s="9" t="str">
        <f t="shared" si="25"/>
        <v>Refunded order summarized separately; Cancelled order excluded</v>
      </c>
      <c r="AZ30" s="9" t="str">
        <f>IF(OR(G30="Missing date",G30="Invalid date",G30="Ship date before order date",NOT(ISNUMBER(AP30)),AP30&lt;0,AP30&gt;0.5,AV30=TRUE,AW30=TRUE),"Invalid",IF(OR(O30="Unknown",Z30="Unknown",AC30="",AH30&lt;&gt;"Paid",AJ30&lt;&gt;"Completed",AO30&lt;&gt;""),"Warning","Clean"))</f>
        <v>Warning</v>
      </c>
    </row>
    <row r="31" spans="1:52" ht="15.75" customHeight="1">
      <c r="A31" s="6" t="s">
        <v>312</v>
      </c>
      <c r="B31" s="7" t="s">
        <v>313</v>
      </c>
      <c r="C31" s="7" t="str">
        <f t="shared" si="0"/>
        <v>2025-08</v>
      </c>
      <c r="D31" s="7" cm="1">
        <f t="array" ref="D31">_xlfn.LET(_xlpm.x,B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45882</v>
      </c>
      <c r="E31" s="7" t="s">
        <v>314</v>
      </c>
      <c r="F31" s="7" cm="1">
        <f t="array" ref="F31">_xlfn.LET(_xlpm.x,E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45882</v>
      </c>
      <c r="G31" s="8" t="str">
        <f t="shared" si="1"/>
        <v>OK</v>
      </c>
      <c r="H31" s="6">
        <f t="shared" si="2"/>
        <v>0</v>
      </c>
      <c r="I31" s="6" t="s">
        <v>315</v>
      </c>
      <c r="J31" s="6" t="s">
        <v>257</v>
      </c>
      <c r="K31" s="6" t="str">
        <f t="shared" si="3"/>
        <v>Rohan Mehta</v>
      </c>
      <c r="L31" s="6" t="s">
        <v>44</v>
      </c>
      <c r="M31" s="8" t="str">
        <f t="shared" si="4"/>
        <v>Home Office</v>
      </c>
      <c r="N31" s="6" t="s">
        <v>10</v>
      </c>
      <c r="O31" s="6" t="str">
        <f t="shared" si="5"/>
        <v>South</v>
      </c>
      <c r="P31" s="6" t="s">
        <v>316</v>
      </c>
      <c r="Q31" s="6" t="str">
        <f t="shared" si="6"/>
        <v>Kerala</v>
      </c>
      <c r="R31" s="6" t="s">
        <v>317</v>
      </c>
      <c r="S31" s="6" t="str">
        <f t="shared" si="7"/>
        <v>Kochi</v>
      </c>
      <c r="T31" s="6" t="s">
        <v>27</v>
      </c>
      <c r="U31" s="8" t="str">
        <f t="shared" si="8"/>
        <v>Technology</v>
      </c>
      <c r="V31" s="6" t="s">
        <v>31</v>
      </c>
      <c r="W31" s="6" t="str">
        <f t="shared" si="9"/>
        <v>Phones</v>
      </c>
      <c r="X31" s="6" t="s">
        <v>318</v>
      </c>
      <c r="Y31" s="6" t="s">
        <v>34</v>
      </c>
      <c r="Z31" s="6" t="str">
        <f t="shared" si="10"/>
        <v>Standard Class</v>
      </c>
      <c r="AA31" s="6">
        <v>1</v>
      </c>
      <c r="AB31" s="6">
        <v>256.01</v>
      </c>
      <c r="AC31" s="6">
        <v>0.15</v>
      </c>
      <c r="AD31" s="6">
        <v>217.61</v>
      </c>
      <c r="AE31" s="6">
        <v>119.77</v>
      </c>
      <c r="AF31" s="6">
        <v>97.84</v>
      </c>
      <c r="AG31" s="6" t="s">
        <v>52</v>
      </c>
      <c r="AH31" s="6" t="str">
        <f t="shared" si="11"/>
        <v>Paid</v>
      </c>
      <c r="AI31" s="6" t="s">
        <v>134</v>
      </c>
      <c r="AJ31" s="6" t="str">
        <f t="shared" si="12"/>
        <v>Completed</v>
      </c>
      <c r="AK31" s="9" t="str">
        <f>_xlfn.TEXTJOIN("|",FALSE,A31,TEXT(B31,"mm-dd-yyyy"),TEXT(E31,"mm-dd-yyyy"),I31,J31,L31,N31,P31,R31,T31,V31,X31,Y31,AA31,AB31,AC31,AD31,AE31,AF31,AG31,AI31)</f>
        <v>ORD-2025-10030|08-13-2025|13-08-2025|CUST-5936|Rohan Mehta|Home Office|South|Kerala|Kochi|Technology|Phones|Pro Phones 442|Standard Class|1|256.01|0.15|217.61|119.77|97.84|Paid|Completed</v>
      </c>
      <c r="AL31" s="27" t="str">
        <f>IF(COUNTIF($AK$2:AK31,AK31)&gt;1,"Remove exact duplicate copy","Keep")</f>
        <v>Keep</v>
      </c>
      <c r="AM31" s="9">
        <f t="shared" si="13"/>
        <v>1</v>
      </c>
      <c r="AN31" s="9" t="str">
        <f t="shared" si="14"/>
        <v>Unique</v>
      </c>
      <c r="AO31" s="9" t="str">
        <f t="shared" si="15"/>
        <v/>
      </c>
      <c r="AP31" s="9">
        <f t="shared" si="16"/>
        <v>0.15</v>
      </c>
      <c r="AQ31" s="10">
        <f t="shared" si="17"/>
        <v>217.60849999999999</v>
      </c>
      <c r="AR31" s="10">
        <f t="shared" si="18"/>
        <v>97.838499999999996</v>
      </c>
      <c r="AS31" s="11">
        <f t="shared" si="19"/>
        <v>0.44960789675035673</v>
      </c>
      <c r="AT31" s="9">
        <f t="shared" si="20"/>
        <v>8</v>
      </c>
      <c r="AU31" s="9">
        <f t="shared" si="21"/>
        <v>2025</v>
      </c>
      <c r="AV31" s="9" t="b">
        <f t="shared" si="22"/>
        <v>0</v>
      </c>
      <c r="AW31" s="9" t="b">
        <f t="shared" si="23"/>
        <v>0</v>
      </c>
      <c r="AX31" s="9" t="str">
        <f t="shared" si="24"/>
        <v>Yes</v>
      </c>
      <c r="AY31" s="9" t="str">
        <f t="shared" si="25"/>
        <v/>
      </c>
      <c r="AZ31" s="9" t="str">
        <f>IF(OR(G31="Missing date",G31="Invalid date",G31="Ship date before order date",NOT(ISNUMBER(AP31)),AP31&lt;0,AP31&gt;0.5,AV31=TRUE,AW31=TRUE),"Invalid",IF(OR(O31="Unknown",Z31="Unknown",AC31="",AH31&lt;&gt;"Paid",AJ31&lt;&gt;"Completed",AO31&lt;&gt;""),"Warning","Clean"))</f>
        <v>Clean</v>
      </c>
    </row>
    <row r="32" spans="1:52" ht="15.75" customHeight="1">
      <c r="A32" s="6" t="s">
        <v>319</v>
      </c>
      <c r="B32" s="7" t="s">
        <v>320</v>
      </c>
      <c r="C32" s="7" t="str">
        <f t="shared" si="0"/>
        <v>2024-02</v>
      </c>
      <c r="D32" s="7" cm="1">
        <f t="array" ref="D32">_xlfn.LET(_xlpm.x,B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45331</v>
      </c>
      <c r="E32" s="7" t="s">
        <v>321</v>
      </c>
      <c r="F32" s="7" cm="1">
        <f t="array" ref="F32">_xlfn.LET(_xlpm.x,E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45334</v>
      </c>
      <c r="G32" s="8" t="str">
        <f t="shared" si="1"/>
        <v>OK</v>
      </c>
      <c r="H32" s="6">
        <f t="shared" si="2"/>
        <v>3</v>
      </c>
      <c r="I32" s="6" t="s">
        <v>322</v>
      </c>
      <c r="J32" s="6" t="s">
        <v>161</v>
      </c>
      <c r="K32" s="6" t="str">
        <f t="shared" si="3"/>
        <v>Ananya Rao</v>
      </c>
      <c r="L32" s="6" t="s">
        <v>45</v>
      </c>
      <c r="M32" s="8" t="str">
        <f t="shared" si="4"/>
        <v>Corporate</v>
      </c>
      <c r="N32" s="6" t="s">
        <v>9</v>
      </c>
      <c r="O32" s="6" t="str">
        <f t="shared" si="5"/>
        <v>West</v>
      </c>
      <c r="P32" s="6" t="s">
        <v>323</v>
      </c>
      <c r="Q32" s="6" t="str">
        <f t="shared" si="6"/>
        <v>Goa</v>
      </c>
      <c r="R32" s="6" t="s">
        <v>324</v>
      </c>
      <c r="S32" s="6" t="str">
        <f t="shared" si="7"/>
        <v>Panaji</v>
      </c>
      <c r="T32" s="6" t="s">
        <v>20</v>
      </c>
      <c r="U32" s="8" t="str">
        <f t="shared" si="8"/>
        <v>Office Supplies</v>
      </c>
      <c r="V32" s="6" t="s">
        <v>23</v>
      </c>
      <c r="W32" s="6" t="str">
        <f t="shared" si="9"/>
        <v>Labels</v>
      </c>
      <c r="X32" s="6" t="s">
        <v>325</v>
      </c>
      <c r="Y32" s="6" t="s">
        <v>35</v>
      </c>
      <c r="Z32" s="6" t="str">
        <f t="shared" si="10"/>
        <v>First Class</v>
      </c>
      <c r="AA32" s="6">
        <v>1</v>
      </c>
      <c r="AB32" s="6">
        <v>3421.77</v>
      </c>
      <c r="AC32" s="6">
        <v>0.1</v>
      </c>
      <c r="AD32" s="6">
        <v>3079.59</v>
      </c>
      <c r="AE32" s="6">
        <v>2001.89</v>
      </c>
      <c r="AF32" s="6">
        <v>1077.7</v>
      </c>
      <c r="AG32" s="6" t="s">
        <v>52</v>
      </c>
      <c r="AH32" s="6" t="str">
        <f t="shared" si="11"/>
        <v>Paid</v>
      </c>
      <c r="AI32" s="6" t="s">
        <v>134</v>
      </c>
      <c r="AJ32" s="6" t="str">
        <f t="shared" si="12"/>
        <v>Completed</v>
      </c>
      <c r="AK32" s="9" t="str">
        <f>_xlfn.TEXTJOIN("|",FALSE,A32,TEXT(B32,"mm-dd-yyyy"),TEXT(E32,"mm-dd-yyyy"),I32,J32,L32,N32,P32,R32,T32,V32,X32,Y32,AA32,AB32,AC32,AD32,AE32,AF32,AG32,AI32)</f>
        <v>ORD-2024-10031|02-09-2024|02-12-2024|CUST-8759|Ananya Rao|Corporate|West|Goa|Panaji|Office Supplies|Labels|Pro Labels 355|First Class|1|3421.77|0.1|3079.59|2001.89|1077.7|Paid|Completed</v>
      </c>
      <c r="AL32" s="27" t="str">
        <f>IF(COUNTIF($AK$2:AK32,AK32)&gt;1,"Remove exact duplicate copy","Keep")</f>
        <v>Keep</v>
      </c>
      <c r="AM32" s="9">
        <f t="shared" si="13"/>
        <v>1</v>
      </c>
      <c r="AN32" s="9" t="str">
        <f t="shared" si="14"/>
        <v>Unique</v>
      </c>
      <c r="AO32" s="9" t="str">
        <f t="shared" si="15"/>
        <v/>
      </c>
      <c r="AP32" s="9">
        <f t="shared" si="16"/>
        <v>0.1</v>
      </c>
      <c r="AQ32" s="10">
        <f t="shared" si="17"/>
        <v>3079.5929999999998</v>
      </c>
      <c r="AR32" s="10">
        <f t="shared" si="18"/>
        <v>1077.7029999999997</v>
      </c>
      <c r="AS32" s="11">
        <f t="shared" si="19"/>
        <v>0.34994981479695525</v>
      </c>
      <c r="AT32" s="9">
        <f t="shared" si="20"/>
        <v>2</v>
      </c>
      <c r="AU32" s="9">
        <f t="shared" si="21"/>
        <v>2024</v>
      </c>
      <c r="AV32" s="9" t="b">
        <f t="shared" si="22"/>
        <v>0</v>
      </c>
      <c r="AW32" s="9" t="b">
        <f t="shared" si="23"/>
        <v>0</v>
      </c>
      <c r="AX32" s="9" t="str">
        <f t="shared" si="24"/>
        <v>Yes</v>
      </c>
      <c r="AY32" s="9" t="str">
        <f t="shared" si="25"/>
        <v/>
      </c>
      <c r="AZ32" s="9" t="str">
        <f>IF(OR(G32="Missing date",G32="Invalid date",G32="Ship date before order date",NOT(ISNUMBER(AP32)),AP32&lt;0,AP32&gt;0.5,AV32=TRUE,AW32=TRUE),"Invalid",IF(OR(O32="Unknown",Z32="Unknown",AC32="",AH32&lt;&gt;"Paid",AJ32&lt;&gt;"Completed",AO32&lt;&gt;""),"Warning","Clean"))</f>
        <v>Clean</v>
      </c>
    </row>
    <row r="33" spans="1:52" ht="15.75" customHeight="1">
      <c r="A33" s="6" t="s">
        <v>326</v>
      </c>
      <c r="B33" s="7" t="s">
        <v>327</v>
      </c>
      <c r="C33" s="7" t="str">
        <f t="shared" si="0"/>
        <v>2025-06</v>
      </c>
      <c r="D33" s="7" cm="1">
        <f t="array" ref="D33">_xlfn.LET(_xlpm.x,B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45823</v>
      </c>
      <c r="E33" s="7" t="s">
        <v>328</v>
      </c>
      <c r="F33" s="7" cm="1">
        <f t="array" ref="F33">_xlfn.LET(_xlpm.x,E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45827</v>
      </c>
      <c r="G33" s="8" t="str">
        <f t="shared" si="1"/>
        <v>OK</v>
      </c>
      <c r="H33" s="6">
        <f t="shared" si="2"/>
        <v>4</v>
      </c>
      <c r="I33" s="6" t="s">
        <v>329</v>
      </c>
      <c r="J33" s="6" t="s">
        <v>129</v>
      </c>
      <c r="K33" s="6" t="str">
        <f t="shared" si="3"/>
        <v>Karan Malhotra</v>
      </c>
      <c r="L33" s="6" t="s">
        <v>46</v>
      </c>
      <c r="M33" s="8" t="str">
        <f t="shared" si="4"/>
        <v>Small Business</v>
      </c>
      <c r="N33" s="6" t="s">
        <v>9</v>
      </c>
      <c r="O33" s="6" t="str">
        <f t="shared" si="5"/>
        <v>West</v>
      </c>
      <c r="P33" s="6" t="s">
        <v>170</v>
      </c>
      <c r="Q33" s="6" t="str">
        <f t="shared" si="6"/>
        <v>Madhya Pradesh</v>
      </c>
      <c r="R33" s="6" t="s">
        <v>171</v>
      </c>
      <c r="S33" s="6" t="str">
        <f t="shared" si="7"/>
        <v>Indore</v>
      </c>
      <c r="T33" s="6" t="s">
        <v>20</v>
      </c>
      <c r="U33" s="8" t="str">
        <f t="shared" si="8"/>
        <v>Office Supplies</v>
      </c>
      <c r="V33" s="6" t="s">
        <v>24</v>
      </c>
      <c r="W33" s="6" t="str">
        <f t="shared" si="9"/>
        <v>Paper</v>
      </c>
      <c r="X33" s="6" t="s">
        <v>330</v>
      </c>
      <c r="Y33" s="6" t="s">
        <v>36</v>
      </c>
      <c r="Z33" s="6" t="str">
        <f t="shared" si="10"/>
        <v>Second Class</v>
      </c>
      <c r="AA33" s="6">
        <v>9</v>
      </c>
      <c r="AB33" s="6">
        <v>3092.55</v>
      </c>
      <c r="AC33" s="6">
        <v>0</v>
      </c>
      <c r="AD33" s="6">
        <v>27832.95</v>
      </c>
      <c r="AE33" s="6">
        <v>17769.75</v>
      </c>
      <c r="AF33" s="6">
        <v>10063.200000000001</v>
      </c>
      <c r="AG33" s="6" t="s">
        <v>50</v>
      </c>
      <c r="AH33" s="6" t="str">
        <f t="shared" si="11"/>
        <v>Failed</v>
      </c>
      <c r="AI33" s="6" t="s">
        <v>59</v>
      </c>
      <c r="AJ33" s="6" t="str">
        <f t="shared" si="12"/>
        <v>Returned</v>
      </c>
      <c r="AK33" s="9" t="str">
        <f>_xlfn.TEXTJOIN("|",FALSE,A33,TEXT(B33,"mm-dd-yyyy"),TEXT(E33,"mm-dd-yyyy"),I33,J33,L33,N33,P33,R33,T33,V33,X33,Y33,AA33,AB33,AC33,AD33,AE33,AF33,AG33,AI33)</f>
        <v>ORD-2025-10032|15-06-2025|19-06-2025|CUST-7867|Karan Malhotra|Small Business|West|Madhya Pradesh|Indore|Office Supplies|Paper|Pro Paper 959|Second Class|9|3092.55|0|27832.95|17769.75|10063.2|Failed|Returned</v>
      </c>
      <c r="AL33" s="27" t="str">
        <f>IF(COUNTIF($AK$2:AK33,AK33)&gt;1,"Remove exact duplicate copy","Keep")</f>
        <v>Keep</v>
      </c>
      <c r="AM33" s="9">
        <f t="shared" si="13"/>
        <v>1</v>
      </c>
      <c r="AN33" s="9" t="str">
        <f t="shared" si="14"/>
        <v>Unique</v>
      </c>
      <c r="AO33" s="9" t="str">
        <f t="shared" si="15"/>
        <v/>
      </c>
      <c r="AP33" s="9">
        <f t="shared" si="16"/>
        <v>0</v>
      </c>
      <c r="AQ33" s="10">
        <f t="shared" si="17"/>
        <v>27832.95</v>
      </c>
      <c r="AR33" s="10">
        <f t="shared" si="18"/>
        <v>10063.200000000001</v>
      </c>
      <c r="AS33" s="11">
        <f t="shared" si="19"/>
        <v>0.36155707533696574</v>
      </c>
      <c r="AT33" s="9">
        <f t="shared" si="20"/>
        <v>6</v>
      </c>
      <c r="AU33" s="9">
        <f t="shared" si="21"/>
        <v>2025</v>
      </c>
      <c r="AV33" s="9" t="b">
        <f t="shared" si="22"/>
        <v>0</v>
      </c>
      <c r="AW33" s="9" t="b">
        <f t="shared" si="23"/>
        <v>0</v>
      </c>
      <c r="AX33" s="9" t="str">
        <f t="shared" si="24"/>
        <v>No</v>
      </c>
      <c r="AY33" s="9" t="str">
        <f t="shared" si="25"/>
        <v>Failed payment excluded; Returned order excluded</v>
      </c>
      <c r="AZ33" s="9" t="str">
        <f>IF(OR(G33="Missing date",G33="Invalid date",G33="Ship date before order date",NOT(ISNUMBER(AP33)),AP33&lt;0,AP33&gt;0.5,AV33=TRUE,AW33=TRUE),"Invalid",IF(OR(O33="Unknown",Z33="Unknown",AC33="",AH33&lt;&gt;"Paid",AJ33&lt;&gt;"Completed",AO33&lt;&gt;""),"Warning","Clean"))</f>
        <v>Warning</v>
      </c>
    </row>
    <row r="34" spans="1:52" ht="15.75" customHeight="1">
      <c r="A34" s="6" t="s">
        <v>331</v>
      </c>
      <c r="B34" s="7" t="s">
        <v>332</v>
      </c>
      <c r="C34" s="7" t="str">
        <f t="shared" si="0"/>
        <v>2024-11</v>
      </c>
      <c r="D34" s="7" cm="1">
        <f t="array" ref="D34">_xlfn.LET(_xlpm.x,B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45618</v>
      </c>
      <c r="E34" s="7" t="s">
        <v>333</v>
      </c>
      <c r="F34" s="7" cm="1">
        <f t="array" ref="F34">_xlfn.LET(_xlpm.x,E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45622</v>
      </c>
      <c r="G34" s="8" t="str">
        <f t="shared" si="1"/>
        <v>OK</v>
      </c>
      <c r="H34" s="6">
        <f t="shared" si="2"/>
        <v>4</v>
      </c>
      <c r="I34" s="6" t="s">
        <v>334</v>
      </c>
      <c r="J34" s="6" t="s">
        <v>239</v>
      </c>
      <c r="K34" s="6" t="str">
        <f t="shared" si="3"/>
        <v>Aarav Sharma</v>
      </c>
      <c r="L34" s="6" t="s">
        <v>45</v>
      </c>
      <c r="M34" s="8" t="str">
        <f t="shared" si="4"/>
        <v>Corporate</v>
      </c>
      <c r="N34" s="6" t="s">
        <v>10</v>
      </c>
      <c r="O34" s="6" t="str">
        <f t="shared" si="5"/>
        <v>South</v>
      </c>
      <c r="P34" s="6" t="s">
        <v>183</v>
      </c>
      <c r="Q34" s="6" t="str">
        <f t="shared" si="6"/>
        <v>Andhra Pradesh</v>
      </c>
      <c r="R34" s="6" t="s">
        <v>184</v>
      </c>
      <c r="S34" s="6" t="str">
        <f t="shared" si="7"/>
        <v>Vijayawada</v>
      </c>
      <c r="T34" s="6" t="s">
        <v>27</v>
      </c>
      <c r="U34" s="8" t="str">
        <f t="shared" si="8"/>
        <v>Technology</v>
      </c>
      <c r="V34" s="6" t="s">
        <v>31</v>
      </c>
      <c r="W34" s="6" t="str">
        <f t="shared" si="9"/>
        <v>Phones</v>
      </c>
      <c r="X34" s="6" t="s">
        <v>335</v>
      </c>
      <c r="Y34" s="6" t="s">
        <v>36</v>
      </c>
      <c r="Z34" s="6" t="str">
        <f t="shared" si="10"/>
        <v>Second Class</v>
      </c>
      <c r="AA34" s="6">
        <v>3</v>
      </c>
      <c r="AB34" s="6">
        <v>4001.25</v>
      </c>
      <c r="AC34" s="6"/>
      <c r="AD34" s="6">
        <v>9002.81</v>
      </c>
      <c r="AE34" s="6">
        <v>7529.92</v>
      </c>
      <c r="AF34" s="6">
        <v>1472.89</v>
      </c>
      <c r="AG34" s="6" t="s">
        <v>52</v>
      </c>
      <c r="AH34" s="6" t="str">
        <f t="shared" si="11"/>
        <v>Paid</v>
      </c>
      <c r="AI34" s="6" t="s">
        <v>134</v>
      </c>
      <c r="AJ34" s="6" t="str">
        <f t="shared" si="12"/>
        <v>Completed</v>
      </c>
      <c r="AK34" s="9" t="str">
        <f>_xlfn.TEXTJOIN("|",FALSE,A34,TEXT(B34,"mm-dd-yyyy"),TEXT(E34,"mm-dd-yyyy"),I34,J34,L34,N34,P34,R34,T34,V34,X34,Y34,AA34,AB34,AC34,AD34,AE34,AF34,AG34,AI34)</f>
        <v>ORD-2024-10033|22-11-2024|11-26-2024|CUST-6509|Aarav Sharma|Corporate|South|Andhra Pradesh|Vijayawada|Technology|Phones|Basic Phones 242|Second Class|3|4001.25||9002.81|7529.92|1472.89|Paid|Completed</v>
      </c>
      <c r="AL34" s="27" t="str">
        <f>IF(COUNTIF($AK$2:AK34,AK34)&gt;1,"Remove exact duplicate copy","Keep")</f>
        <v>Keep</v>
      </c>
      <c r="AM34" s="9">
        <f t="shared" si="13"/>
        <v>1</v>
      </c>
      <c r="AN34" s="9" t="str">
        <f t="shared" si="14"/>
        <v>Unique</v>
      </c>
      <c r="AO34" s="9" t="str">
        <f t="shared" si="15"/>
        <v/>
      </c>
      <c r="AP34" s="9">
        <f t="shared" si="16"/>
        <v>0</v>
      </c>
      <c r="AQ34" s="10">
        <f t="shared" si="17"/>
        <v>12003.75</v>
      </c>
      <c r="AR34" s="10">
        <f t="shared" si="18"/>
        <v>4473.83</v>
      </c>
      <c r="AS34" s="11">
        <f t="shared" si="19"/>
        <v>0.37270269707383108</v>
      </c>
      <c r="AT34" s="9">
        <f t="shared" si="20"/>
        <v>11</v>
      </c>
      <c r="AU34" s="9">
        <f t="shared" si="21"/>
        <v>2024</v>
      </c>
      <c r="AV34" s="9" t="b">
        <f t="shared" si="22"/>
        <v>1</v>
      </c>
      <c r="AW34" s="9" t="b">
        <f t="shared" si="23"/>
        <v>1</v>
      </c>
      <c r="AX34" s="9" t="str">
        <f t="shared" si="24"/>
        <v>No</v>
      </c>
      <c r="AY34" s="9" t="str">
        <f t="shared" si="25"/>
        <v>Missing discount treated as 0; Sales mismatch; Profit mismatch</v>
      </c>
      <c r="AZ34" s="9" t="str">
        <f>IF(OR(G34="Missing date",G34="Invalid date",G34="Ship date before order date",NOT(ISNUMBER(AP34)),AP34&lt;0,AP34&gt;0.5,AV34=TRUE,AW34=TRUE),"Invalid",IF(OR(O34="Unknown",Z34="Unknown",AC34="",AH34&lt;&gt;"Paid",AJ34&lt;&gt;"Completed",AO34&lt;&gt;""),"Warning","Clean"))</f>
        <v>Invalid</v>
      </c>
    </row>
    <row r="35" spans="1:52" ht="15.75" customHeight="1">
      <c r="A35" s="6" t="s">
        <v>336</v>
      </c>
      <c r="B35" s="7" t="s">
        <v>337</v>
      </c>
      <c r="C35" s="7" t="str">
        <f t="shared" si="0"/>
        <v>2024-07</v>
      </c>
      <c r="D35" s="7" cm="1">
        <f t="array" ref="D35">_xlfn.LET(_xlpm.x,B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45495</v>
      </c>
      <c r="E35" s="7" t="s">
        <v>338</v>
      </c>
      <c r="F35" s="7" cm="1">
        <f t="array" ref="F35">_xlfn.LET(_xlpm.x,E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45500</v>
      </c>
      <c r="G35" s="8" t="str">
        <f t="shared" si="1"/>
        <v>OK</v>
      </c>
      <c r="H35" s="6">
        <f t="shared" si="2"/>
        <v>5</v>
      </c>
      <c r="I35" s="6" t="s">
        <v>339</v>
      </c>
      <c r="J35" s="6" t="s">
        <v>220</v>
      </c>
      <c r="K35" s="6" t="str">
        <f t="shared" si="3"/>
        <v>Priya Menon</v>
      </c>
      <c r="L35" s="6" t="s">
        <v>44</v>
      </c>
      <c r="M35" s="8" t="str">
        <f t="shared" si="4"/>
        <v>Home Office</v>
      </c>
      <c r="N35" s="6" t="s">
        <v>9</v>
      </c>
      <c r="O35" s="6" t="str">
        <f t="shared" si="5"/>
        <v>West</v>
      </c>
      <c r="P35" s="6" t="s">
        <v>323</v>
      </c>
      <c r="Q35" s="6" t="str">
        <f t="shared" si="6"/>
        <v>Goa</v>
      </c>
      <c r="R35" s="6" t="s">
        <v>324</v>
      </c>
      <c r="S35" s="6" t="str">
        <f t="shared" si="7"/>
        <v>Panaji</v>
      </c>
      <c r="T35" s="6" t="s">
        <v>14</v>
      </c>
      <c r="U35" s="8" t="str">
        <f t="shared" si="8"/>
        <v>Furniture</v>
      </c>
      <c r="V35" s="6" t="s">
        <v>18</v>
      </c>
      <c r="W35" s="6" t="str">
        <f t="shared" si="9"/>
        <v>Tables</v>
      </c>
      <c r="X35" s="6" t="s">
        <v>340</v>
      </c>
      <c r="Y35" s="6" t="s">
        <v>37</v>
      </c>
      <c r="Z35" s="6" t="str">
        <f t="shared" si="10"/>
        <v>Same Day</v>
      </c>
      <c r="AA35" s="6">
        <v>7</v>
      </c>
      <c r="AB35" s="6">
        <v>492.41</v>
      </c>
      <c r="AC35" s="6">
        <v>0.25</v>
      </c>
      <c r="AD35" s="6">
        <v>2585.15</v>
      </c>
      <c r="AE35" s="6">
        <v>2070.73</v>
      </c>
      <c r="AF35" s="6">
        <v>514.41999999999996</v>
      </c>
      <c r="AG35" s="6" t="s">
        <v>52</v>
      </c>
      <c r="AH35" s="6" t="str">
        <f t="shared" si="11"/>
        <v>Paid</v>
      </c>
      <c r="AI35" s="6" t="s">
        <v>134</v>
      </c>
      <c r="AJ35" s="6" t="str">
        <f t="shared" si="12"/>
        <v>Completed</v>
      </c>
      <c r="AK35" s="9" t="str">
        <f>_xlfn.TEXTJOIN("|",FALSE,A35,TEXT(B35,"mm-dd-yyyy"),TEXT(E35,"mm-dd-yyyy"),I35,J35,L35,N35,P35,R35,T35,V35,X35,Y35,AA35,AB35,AC35,AD35,AE35,AF35,AG35,AI35)</f>
        <v>ORD-2024-10034|07-22-2024|27-07-2024|CUST-6660|Priya Menon|Home Office|West|Goa|Panaji|Furniture|Tables|Max Tables 836|Same Day|7|492.41|0.25|2585.15|2070.73|514.42|Paid|Completed</v>
      </c>
      <c r="AL35" s="27" t="str">
        <f>IF(COUNTIF($AK$2:AK35,AK35)&gt;1,"Remove exact duplicate copy","Keep")</f>
        <v>Keep</v>
      </c>
      <c r="AM35" s="9">
        <f t="shared" si="13"/>
        <v>1</v>
      </c>
      <c r="AN35" s="9" t="str">
        <f t="shared" si="14"/>
        <v>Unique</v>
      </c>
      <c r="AO35" s="9" t="str">
        <f t="shared" si="15"/>
        <v/>
      </c>
      <c r="AP35" s="9">
        <f t="shared" si="16"/>
        <v>0.25</v>
      </c>
      <c r="AQ35" s="10">
        <f t="shared" si="17"/>
        <v>2585.1525000000001</v>
      </c>
      <c r="AR35" s="10">
        <f t="shared" si="18"/>
        <v>514.42250000000013</v>
      </c>
      <c r="AS35" s="11">
        <f t="shared" si="19"/>
        <v>0.19899116203009304</v>
      </c>
      <c r="AT35" s="9">
        <f t="shared" si="20"/>
        <v>7</v>
      </c>
      <c r="AU35" s="9">
        <f t="shared" si="21"/>
        <v>2024</v>
      </c>
      <c r="AV35" s="9" t="b">
        <f t="shared" si="22"/>
        <v>0</v>
      </c>
      <c r="AW35" s="9" t="b">
        <f t="shared" si="23"/>
        <v>0</v>
      </c>
      <c r="AX35" s="9" t="str">
        <f t="shared" si="24"/>
        <v>Yes</v>
      </c>
      <c r="AY35" s="9" t="str">
        <f t="shared" si="25"/>
        <v/>
      </c>
      <c r="AZ35" s="9" t="str">
        <f>IF(OR(G35="Missing date",G35="Invalid date",G35="Ship date before order date",NOT(ISNUMBER(AP35)),AP35&lt;0,AP35&gt;0.5,AV35=TRUE,AW35=TRUE),"Invalid",IF(OR(O35="Unknown",Z35="Unknown",AC35="",AH35&lt;&gt;"Paid",AJ35&lt;&gt;"Completed",AO35&lt;&gt;""),"Warning","Clean"))</f>
        <v>Clean</v>
      </c>
    </row>
    <row r="36" spans="1:52" ht="15.75" customHeight="1">
      <c r="A36" s="6" t="s">
        <v>341</v>
      </c>
      <c r="B36" s="7" t="s">
        <v>342</v>
      </c>
      <c r="C36" s="7" t="str">
        <f t="shared" si="0"/>
        <v>2025-01</v>
      </c>
      <c r="D36" s="7" cm="1">
        <f t="array" ref="D36">_xlfn.LET(_xlpm.x,B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45688</v>
      </c>
      <c r="E36" s="7" t="s">
        <v>343</v>
      </c>
      <c r="F36" s="7" cm="1">
        <f t="array" ref="F36">_xlfn.LET(_xlpm.x,E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45693</v>
      </c>
      <c r="G36" s="8" t="str">
        <f t="shared" si="1"/>
        <v>OK</v>
      </c>
      <c r="H36" s="6">
        <f t="shared" si="2"/>
        <v>5</v>
      </c>
      <c r="I36" s="6" t="s">
        <v>344</v>
      </c>
      <c r="J36" s="6" t="s">
        <v>220</v>
      </c>
      <c r="K36" s="6" t="str">
        <f t="shared" si="3"/>
        <v>Priya Menon</v>
      </c>
      <c r="L36" s="6" t="s">
        <v>44</v>
      </c>
      <c r="M36" s="8" t="str">
        <f t="shared" si="4"/>
        <v>Home Office</v>
      </c>
      <c r="N36" s="6" t="s">
        <v>8</v>
      </c>
      <c r="O36" s="6" t="str">
        <f t="shared" si="5"/>
        <v>East</v>
      </c>
      <c r="P36" s="6" t="s">
        <v>201</v>
      </c>
      <c r="Q36" s="6" t="str">
        <f t="shared" si="6"/>
        <v>West Bengal</v>
      </c>
      <c r="R36" s="6" t="s">
        <v>202</v>
      </c>
      <c r="S36" s="6" t="str">
        <f t="shared" si="7"/>
        <v>Kolkata</v>
      </c>
      <c r="T36" s="6" t="s">
        <v>14</v>
      </c>
      <c r="U36" s="8" t="str">
        <f t="shared" si="8"/>
        <v>Furniture</v>
      </c>
      <c r="V36" s="6" t="s">
        <v>16</v>
      </c>
      <c r="W36" s="6" t="str">
        <f t="shared" si="9"/>
        <v>Chairs</v>
      </c>
      <c r="X36" s="6" t="s">
        <v>345</v>
      </c>
      <c r="Y36" s="6"/>
      <c r="Z36" s="6" t="str">
        <f t="shared" si="10"/>
        <v>Unknown</v>
      </c>
      <c r="AA36" s="6">
        <v>2</v>
      </c>
      <c r="AB36" s="6">
        <v>4159.6899999999996</v>
      </c>
      <c r="AC36" s="6">
        <v>0.2</v>
      </c>
      <c r="AD36" s="6">
        <v>6655.5</v>
      </c>
      <c r="AE36" s="6">
        <v>4340.21</v>
      </c>
      <c r="AF36" s="6">
        <v>2607.3200000000002</v>
      </c>
      <c r="AG36" s="6" t="s">
        <v>52</v>
      </c>
      <c r="AH36" s="6" t="str">
        <f t="shared" si="11"/>
        <v>Paid</v>
      </c>
      <c r="AI36" s="6" t="s">
        <v>134</v>
      </c>
      <c r="AJ36" s="6" t="str">
        <f t="shared" si="12"/>
        <v>Completed</v>
      </c>
      <c r="AK36" s="9" t="str">
        <f>_xlfn.TEXTJOIN("|",FALSE,A36,TEXT(B36,"mm-dd-yyyy"),TEXT(E36,"mm-dd-yyyy"),I36,J36,L36,N36,P36,R36,T36,V36,X36,Y36,AA36,AB36,AC36,AD36,AE36,AF36,AG36,AI36)</f>
        <v>ORD-2025-10035|01-31-2025|02-05-2025|CUST-2392|Priya Menon|Home Office|East|West Bengal|Kolkata|Furniture|Chairs|Elite Chairs 862||2|4159.69|0.2|6655.5|4340.21|2607.32|Paid|Completed</v>
      </c>
      <c r="AL36" s="27" t="str">
        <f>IF(COUNTIF($AK$2:AK36,AK36)&gt;1,"Remove exact duplicate copy","Keep")</f>
        <v>Keep</v>
      </c>
      <c r="AM36" s="9">
        <f t="shared" si="13"/>
        <v>1</v>
      </c>
      <c r="AN36" s="9" t="str">
        <f t="shared" si="14"/>
        <v>Unique</v>
      </c>
      <c r="AO36" s="9" t="str">
        <f t="shared" si="15"/>
        <v/>
      </c>
      <c r="AP36" s="9">
        <f t="shared" si="16"/>
        <v>0.2</v>
      </c>
      <c r="AQ36" s="10">
        <f t="shared" si="17"/>
        <v>6655.5039999999999</v>
      </c>
      <c r="AR36" s="10">
        <f t="shared" si="18"/>
        <v>2315.2939999999999</v>
      </c>
      <c r="AS36" s="11">
        <f t="shared" si="19"/>
        <v>0.34787658455317583</v>
      </c>
      <c r="AT36" s="9">
        <f t="shared" si="20"/>
        <v>1</v>
      </c>
      <c r="AU36" s="9">
        <f t="shared" si="21"/>
        <v>2025</v>
      </c>
      <c r="AV36" s="9" t="b">
        <f t="shared" si="22"/>
        <v>0</v>
      </c>
      <c r="AW36" s="9" t="b">
        <f t="shared" si="23"/>
        <v>1</v>
      </c>
      <c r="AX36" s="9" t="str">
        <f t="shared" si="24"/>
        <v>No</v>
      </c>
      <c r="AY36" s="9" t="str">
        <f t="shared" si="25"/>
        <v>Missing ship mode filled as Unknown; Profit mismatch</v>
      </c>
      <c r="AZ36" s="9" t="str">
        <f>IF(OR(G36="Missing date",G36="Invalid date",G36="Ship date before order date",NOT(ISNUMBER(AP36)),AP36&lt;0,AP36&gt;0.5,AV36=TRUE,AW36=TRUE),"Invalid",IF(OR(O36="Unknown",Z36="Unknown",AC36="",AH36&lt;&gt;"Paid",AJ36&lt;&gt;"Completed",AO36&lt;&gt;""),"Warning","Clean"))</f>
        <v>Invalid</v>
      </c>
    </row>
    <row r="37" spans="1:52" ht="15.75" customHeight="1">
      <c r="A37" s="6" t="s">
        <v>346</v>
      </c>
      <c r="B37" s="7" t="s">
        <v>347</v>
      </c>
      <c r="C37" s="7" t="str">
        <f t="shared" si="0"/>
        <v>2024-05</v>
      </c>
      <c r="D37" s="7" cm="1">
        <f t="array" ref="D37">_xlfn.LET(_xlpm.x,B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45441</v>
      </c>
      <c r="E37" s="7" t="s">
        <v>348</v>
      </c>
      <c r="F37" s="7" cm="1">
        <f t="array" ref="F37">_xlfn.LET(_xlpm.x,E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45441</v>
      </c>
      <c r="G37" s="8" t="str">
        <f t="shared" si="1"/>
        <v>OK</v>
      </c>
      <c r="H37" s="6">
        <f t="shared" si="2"/>
        <v>0</v>
      </c>
      <c r="I37" s="6" t="s">
        <v>349</v>
      </c>
      <c r="J37" s="6" t="s">
        <v>245</v>
      </c>
      <c r="K37" s="6" t="str">
        <f t="shared" si="3"/>
        <v>Sneha Kapoor</v>
      </c>
      <c r="L37" s="6" t="s">
        <v>46</v>
      </c>
      <c r="M37" s="8" t="str">
        <f t="shared" si="4"/>
        <v>Small Business</v>
      </c>
      <c r="N37" s="6" t="s">
        <v>9</v>
      </c>
      <c r="O37" s="6" t="str">
        <f t="shared" si="5"/>
        <v>West</v>
      </c>
      <c r="P37" s="6" t="s">
        <v>309</v>
      </c>
      <c r="Q37" s="6" t="str">
        <f t="shared" si="6"/>
        <v>Gujarat</v>
      </c>
      <c r="R37" s="6" t="s">
        <v>310</v>
      </c>
      <c r="S37" s="6" t="str">
        <f t="shared" si="7"/>
        <v>Ahmedabad</v>
      </c>
      <c r="T37" s="6" t="s">
        <v>14</v>
      </c>
      <c r="U37" s="8" t="str">
        <f t="shared" si="8"/>
        <v>Furniture</v>
      </c>
      <c r="V37" s="6" t="s">
        <v>15</v>
      </c>
      <c r="W37" s="6" t="str">
        <f t="shared" si="9"/>
        <v>Bookcases</v>
      </c>
      <c r="X37" s="6" t="s">
        <v>350</v>
      </c>
      <c r="Y37" s="6" t="s">
        <v>36</v>
      </c>
      <c r="Z37" s="6" t="str">
        <f t="shared" si="10"/>
        <v>Second Class</v>
      </c>
      <c r="AA37" s="6">
        <v>8</v>
      </c>
      <c r="AB37" s="6">
        <v>2507.12</v>
      </c>
      <c r="AC37" s="6">
        <v>0.05</v>
      </c>
      <c r="AD37" s="6">
        <v>19054.11</v>
      </c>
      <c r="AE37" s="6">
        <v>15313.83</v>
      </c>
      <c r="AF37" s="6">
        <v>3740.28</v>
      </c>
      <c r="AG37" s="6" t="s">
        <v>54</v>
      </c>
      <c r="AH37" s="6" t="str">
        <f t="shared" si="11"/>
        <v>Pending</v>
      </c>
      <c r="AI37" s="6" t="s">
        <v>59</v>
      </c>
      <c r="AJ37" s="6" t="str">
        <f t="shared" si="12"/>
        <v>Returned</v>
      </c>
      <c r="AK37" s="9" t="str">
        <f>_xlfn.TEXTJOIN("|",FALSE,A37,TEXT(B37,"mm-dd-yyyy"),TEXT(E37,"mm-dd-yyyy"),I37,J37,L37,N37,P37,R37,T37,V37,X37,Y37,AA37,AB37,AC37,AD37,AE37,AF37,AG37,AI37)</f>
        <v>ORD-2024-10036|29-05-2024|05-29-2024|CUST-1611|Sneha Kapoor|Small Business|West|Gujarat|Ahmedabad|Furniture|Bookcases|Prime Bookcases 414|Second Class|8|2507.12|0.05|19054.11|15313.83|3740.28|Pending|Returned</v>
      </c>
      <c r="AL37" s="27" t="str">
        <f>IF(COUNTIF($AK$2:AK37,AK37)&gt;1,"Remove exact duplicate copy","Keep")</f>
        <v>Keep</v>
      </c>
      <c r="AM37" s="9">
        <f t="shared" si="13"/>
        <v>1</v>
      </c>
      <c r="AN37" s="9" t="str">
        <f t="shared" si="14"/>
        <v>Unique</v>
      </c>
      <c r="AO37" s="9" t="str">
        <f t="shared" si="15"/>
        <v/>
      </c>
      <c r="AP37" s="9">
        <f t="shared" si="16"/>
        <v>0.05</v>
      </c>
      <c r="AQ37" s="10">
        <f t="shared" si="17"/>
        <v>19054.111999999997</v>
      </c>
      <c r="AR37" s="10">
        <f t="shared" si="18"/>
        <v>3740.2819999999974</v>
      </c>
      <c r="AS37" s="11">
        <f t="shared" si="19"/>
        <v>0.19629789097492437</v>
      </c>
      <c r="AT37" s="9">
        <f t="shared" si="20"/>
        <v>5</v>
      </c>
      <c r="AU37" s="9">
        <f t="shared" si="21"/>
        <v>2024</v>
      </c>
      <c r="AV37" s="9" t="b">
        <f t="shared" si="22"/>
        <v>0</v>
      </c>
      <c r="AW37" s="9" t="b">
        <f t="shared" si="23"/>
        <v>0</v>
      </c>
      <c r="AX37" s="9" t="str">
        <f t="shared" si="24"/>
        <v>No</v>
      </c>
      <c r="AY37" s="9" t="str">
        <f t="shared" si="25"/>
        <v>Returned order excluded</v>
      </c>
      <c r="AZ37" s="9" t="str">
        <f>IF(OR(G37="Missing date",G37="Invalid date",G37="Ship date before order date",NOT(ISNUMBER(AP37)),AP37&lt;0,AP37&gt;0.5,AV37=TRUE,AW37=TRUE),"Invalid",IF(OR(O37="Unknown",Z37="Unknown",AC37="",AH37&lt;&gt;"Paid",AJ37&lt;&gt;"Completed",AO37&lt;&gt;""),"Warning","Clean"))</f>
        <v>Warning</v>
      </c>
    </row>
    <row r="38" spans="1:52" ht="15.75" customHeight="1">
      <c r="A38" s="6" t="s">
        <v>351</v>
      </c>
      <c r="B38" s="7" t="s">
        <v>352</v>
      </c>
      <c r="C38" s="7" t="str">
        <f t="shared" si="0"/>
        <v>2024-10</v>
      </c>
      <c r="D38" s="7" cm="1">
        <f t="array" ref="D38">_xlfn.LET(_xlpm.x,B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45590</v>
      </c>
      <c r="E38" s="7" t="s">
        <v>353</v>
      </c>
      <c r="F38" s="7" cm="1">
        <f t="array" ref="F38">_xlfn.LET(_xlpm.x,E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45593</v>
      </c>
      <c r="G38" s="8" t="str">
        <f t="shared" si="1"/>
        <v>OK</v>
      </c>
      <c r="H38" s="6">
        <f t="shared" si="2"/>
        <v>3</v>
      </c>
      <c r="I38" s="6" t="s">
        <v>354</v>
      </c>
      <c r="J38" s="6" t="s">
        <v>257</v>
      </c>
      <c r="K38" s="6" t="str">
        <f t="shared" si="3"/>
        <v>Rohan Mehta</v>
      </c>
      <c r="L38" s="6" t="s">
        <v>45</v>
      </c>
      <c r="M38" s="8" t="str">
        <f t="shared" si="4"/>
        <v>Corporate</v>
      </c>
      <c r="N38" s="6" t="s">
        <v>9</v>
      </c>
      <c r="O38" s="6" t="str">
        <f t="shared" si="5"/>
        <v>West</v>
      </c>
      <c r="P38" s="6" t="s">
        <v>162</v>
      </c>
      <c r="Q38" s="6" t="str">
        <f t="shared" si="6"/>
        <v>Maharashtra</v>
      </c>
      <c r="R38" s="6" t="s">
        <v>163</v>
      </c>
      <c r="S38" s="6" t="str">
        <f t="shared" si="7"/>
        <v>Mumbai</v>
      </c>
      <c r="T38" s="6" t="s">
        <v>14</v>
      </c>
      <c r="U38" s="8" t="str">
        <f t="shared" si="8"/>
        <v>Furniture</v>
      </c>
      <c r="V38" s="6" t="s">
        <v>15</v>
      </c>
      <c r="W38" s="6" t="str">
        <f t="shared" si="9"/>
        <v>Bookcases</v>
      </c>
      <c r="X38" s="6" t="s">
        <v>355</v>
      </c>
      <c r="Y38" s="6" t="s">
        <v>36</v>
      </c>
      <c r="Z38" s="6" t="str">
        <f t="shared" si="10"/>
        <v>Second Class</v>
      </c>
      <c r="AA38" s="6">
        <v>3</v>
      </c>
      <c r="AB38" s="6">
        <v>3126.47</v>
      </c>
      <c r="AC38" s="6">
        <v>0</v>
      </c>
      <c r="AD38" s="6">
        <v>9379.41</v>
      </c>
      <c r="AE38" s="6">
        <v>6670.85</v>
      </c>
      <c r="AF38" s="6">
        <v>2708.56</v>
      </c>
      <c r="AG38" s="6" t="s">
        <v>52</v>
      </c>
      <c r="AH38" s="6" t="str">
        <f t="shared" si="11"/>
        <v>Paid</v>
      </c>
      <c r="AI38" s="6" t="s">
        <v>59</v>
      </c>
      <c r="AJ38" s="6" t="str">
        <f t="shared" si="12"/>
        <v>Returned</v>
      </c>
      <c r="AK38" s="9" t="str">
        <f>_xlfn.TEXTJOIN("|",FALSE,A38,TEXT(B38,"mm-dd-yyyy"),TEXT(E38,"mm-dd-yyyy"),I38,J38,L38,N38,P38,R38,T38,V38,X38,Y38,AA38,AB38,AC38,AD38,AE38,AF38,AG38,AI38)</f>
        <v>ORD-2024-10037|10-25-2024|10-28-2024|CUST-8296|Rohan Mehta|Corporate|West|Maharashtra|Mumbai|Furniture|Bookcases|Eco Bookcases 220|Second Class|3|3126.47|0|9379.41|6670.85|2708.56|Paid|Returned</v>
      </c>
      <c r="AL38" s="27" t="str">
        <f>IF(COUNTIF($AK$2:AK38,AK38)&gt;1,"Remove exact duplicate copy","Keep")</f>
        <v>Keep</v>
      </c>
      <c r="AM38" s="9">
        <f t="shared" si="13"/>
        <v>1</v>
      </c>
      <c r="AN38" s="9" t="str">
        <f t="shared" si="14"/>
        <v>Unique</v>
      </c>
      <c r="AO38" s="9" t="str">
        <f t="shared" si="15"/>
        <v/>
      </c>
      <c r="AP38" s="9">
        <f t="shared" si="16"/>
        <v>0</v>
      </c>
      <c r="AQ38" s="10">
        <f t="shared" si="17"/>
        <v>9379.41</v>
      </c>
      <c r="AR38" s="10">
        <f t="shared" si="18"/>
        <v>2708.5599999999995</v>
      </c>
      <c r="AS38" s="11">
        <f t="shared" si="19"/>
        <v>0.28877722585962223</v>
      </c>
      <c r="AT38" s="9">
        <f t="shared" si="20"/>
        <v>10</v>
      </c>
      <c r="AU38" s="9">
        <f t="shared" si="21"/>
        <v>2024</v>
      </c>
      <c r="AV38" s="9" t="b">
        <f t="shared" si="22"/>
        <v>0</v>
      </c>
      <c r="AW38" s="9" t="b">
        <f t="shared" si="23"/>
        <v>0</v>
      </c>
      <c r="AX38" s="9" t="str">
        <f t="shared" si="24"/>
        <v>No</v>
      </c>
      <c r="AY38" s="9" t="str">
        <f t="shared" si="25"/>
        <v>Returned order excluded</v>
      </c>
      <c r="AZ38" s="9" t="str">
        <f>IF(OR(G38="Missing date",G38="Invalid date",G38="Ship date before order date",NOT(ISNUMBER(AP38)),AP38&lt;0,AP38&gt;0.5,AV38=TRUE,AW38=TRUE),"Invalid",IF(OR(O38="Unknown",Z38="Unknown",AC38="",AH38&lt;&gt;"Paid",AJ38&lt;&gt;"Completed",AO38&lt;&gt;""),"Warning","Clean"))</f>
        <v>Warning</v>
      </c>
    </row>
    <row r="39" spans="1:52" ht="15.75" customHeight="1">
      <c r="A39" s="6" t="s">
        <v>356</v>
      </c>
      <c r="B39" s="7" t="s">
        <v>357</v>
      </c>
      <c r="C39" s="7" t="str">
        <f t="shared" si="0"/>
        <v>2025-07</v>
      </c>
      <c r="D39" s="7" cm="1">
        <f t="array" ref="D39">_xlfn.LET(_xlpm.x,B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45867</v>
      </c>
      <c r="E39" s="7" t="s">
        <v>357</v>
      </c>
      <c r="F39" s="7" cm="1">
        <f t="array" ref="F39">_xlfn.LET(_xlpm.x,E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45867</v>
      </c>
      <c r="G39" s="8" t="str">
        <f t="shared" si="1"/>
        <v>OK</v>
      </c>
      <c r="H39" s="6">
        <f t="shared" si="2"/>
        <v>0</v>
      </c>
      <c r="I39" s="6" t="s">
        <v>358</v>
      </c>
      <c r="J39" s="6" t="s">
        <v>284</v>
      </c>
      <c r="K39" s="6" t="str">
        <f t="shared" si="3"/>
        <v>Diya Patel</v>
      </c>
      <c r="L39" s="6" t="s">
        <v>43</v>
      </c>
      <c r="M39" s="8" t="str">
        <f t="shared" si="4"/>
        <v>Consumer</v>
      </c>
      <c r="N39" s="6" t="s">
        <v>9</v>
      </c>
      <c r="O39" s="6" t="str">
        <f t="shared" si="5"/>
        <v>West</v>
      </c>
      <c r="P39" s="6" t="s">
        <v>162</v>
      </c>
      <c r="Q39" s="6" t="str">
        <f t="shared" si="6"/>
        <v>Maharashtra</v>
      </c>
      <c r="R39" s="6" t="s">
        <v>163</v>
      </c>
      <c r="S39" s="6" t="str">
        <f t="shared" si="7"/>
        <v>Mumbai</v>
      </c>
      <c r="T39" s="6" t="s">
        <v>27</v>
      </c>
      <c r="U39" s="8" t="str">
        <f t="shared" si="8"/>
        <v>Technology</v>
      </c>
      <c r="V39" s="6" t="s">
        <v>29</v>
      </c>
      <c r="W39" s="6" t="str">
        <f t="shared" si="9"/>
        <v>Copiers</v>
      </c>
      <c r="X39" s="6" t="s">
        <v>359</v>
      </c>
      <c r="Y39" s="6" t="s">
        <v>360</v>
      </c>
      <c r="Z39" s="6" t="str">
        <f t="shared" si="10"/>
        <v>Standard Class</v>
      </c>
      <c r="AA39" s="6">
        <v>4</v>
      </c>
      <c r="AB39" s="6">
        <v>1327.54</v>
      </c>
      <c r="AC39" s="6">
        <v>0.2</v>
      </c>
      <c r="AD39" s="6">
        <v>4248.13</v>
      </c>
      <c r="AE39" s="6">
        <v>3321.09</v>
      </c>
      <c r="AF39" s="6">
        <v>927.04</v>
      </c>
      <c r="AG39" s="6" t="s">
        <v>52</v>
      </c>
      <c r="AH39" s="6" t="str">
        <f t="shared" si="11"/>
        <v>Paid</v>
      </c>
      <c r="AI39" s="6" t="s">
        <v>134</v>
      </c>
      <c r="AJ39" s="6" t="str">
        <f t="shared" si="12"/>
        <v>Completed</v>
      </c>
      <c r="AK39" s="9" t="str">
        <f>_xlfn.TEXTJOIN("|",FALSE,A39,TEXT(B39,"mm-dd-yyyy"),TEXT(E39,"mm-dd-yyyy"),I39,J39,L39,N39,P39,R39,T39,V39,X39,Y39,AA39,AB39,AC39,AD39,AE39,AF39,AG39,AI39)</f>
        <v>ORD-2025-10038|29-07-2025|29-07-2025|CUST-4646|Diya Patel|Consumer|West|Maharashtra|Mumbai|Technology|Copiers|Pro Copiers 830|STANDARD CLASS|4|1327.54|0.2|4248.13|3321.09|927.04|Paid|Completed</v>
      </c>
      <c r="AL39" s="27" t="str">
        <f>IF(COUNTIF($AK$2:AK39,AK39)&gt;1,"Remove exact duplicate copy","Keep")</f>
        <v>Keep</v>
      </c>
      <c r="AM39" s="9">
        <f t="shared" si="13"/>
        <v>1</v>
      </c>
      <c r="AN39" s="9" t="str">
        <f t="shared" si="14"/>
        <v>Unique</v>
      </c>
      <c r="AO39" s="9" t="str">
        <f t="shared" si="15"/>
        <v/>
      </c>
      <c r="AP39" s="9">
        <f t="shared" si="16"/>
        <v>0.2</v>
      </c>
      <c r="AQ39" s="10">
        <f t="shared" si="17"/>
        <v>4248.1279999999997</v>
      </c>
      <c r="AR39" s="10">
        <f t="shared" si="18"/>
        <v>927.03799999999956</v>
      </c>
      <c r="AS39" s="11">
        <f t="shared" si="19"/>
        <v>0.21822270892025844</v>
      </c>
      <c r="AT39" s="9">
        <f t="shared" si="20"/>
        <v>7</v>
      </c>
      <c r="AU39" s="9">
        <f t="shared" si="21"/>
        <v>2025</v>
      </c>
      <c r="AV39" s="9" t="b">
        <f t="shared" si="22"/>
        <v>0</v>
      </c>
      <c r="AW39" s="9" t="b">
        <f t="shared" si="23"/>
        <v>0</v>
      </c>
      <c r="AX39" s="9" t="str">
        <f t="shared" si="24"/>
        <v>Yes</v>
      </c>
      <c r="AY39" s="9" t="str">
        <f t="shared" si="25"/>
        <v/>
      </c>
      <c r="AZ39" s="9" t="str">
        <f>IF(OR(G39="Missing date",G39="Invalid date",G39="Ship date before order date",NOT(ISNUMBER(AP39)),AP39&lt;0,AP39&gt;0.5,AV39=TRUE,AW39=TRUE),"Invalid",IF(OR(O39="Unknown",Z39="Unknown",AC39="",AH39&lt;&gt;"Paid",AJ39&lt;&gt;"Completed",AO39&lt;&gt;""),"Warning","Clean"))</f>
        <v>Clean</v>
      </c>
    </row>
    <row r="40" spans="1:52" ht="15.75" customHeight="1">
      <c r="A40" s="6" t="s">
        <v>361</v>
      </c>
      <c r="B40" s="7" t="s">
        <v>362</v>
      </c>
      <c r="C40" s="7" t="str">
        <f t="shared" si="0"/>
        <v>2024-06</v>
      </c>
      <c r="D40" s="7" cm="1">
        <f t="array" ref="D40">_xlfn.LET(_xlpm.x,B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45460</v>
      </c>
      <c r="E40" s="7" t="s">
        <v>363</v>
      </c>
      <c r="F40" s="7" cm="1">
        <f t="array" ref="F40">_xlfn.LET(_xlpm.x,E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45465</v>
      </c>
      <c r="G40" s="8" t="str">
        <f t="shared" si="1"/>
        <v>OK</v>
      </c>
      <c r="H40" s="6">
        <f t="shared" si="2"/>
        <v>5</v>
      </c>
      <c r="I40" s="6" t="s">
        <v>364</v>
      </c>
      <c r="J40" s="6" t="s">
        <v>239</v>
      </c>
      <c r="K40" s="6" t="str">
        <f t="shared" si="3"/>
        <v>Aarav Sharma</v>
      </c>
      <c r="L40" s="6" t="s">
        <v>45</v>
      </c>
      <c r="M40" s="8" t="str">
        <f t="shared" si="4"/>
        <v>Corporate</v>
      </c>
      <c r="N40" s="6" t="s">
        <v>9</v>
      </c>
      <c r="O40" s="6" t="str">
        <f t="shared" si="5"/>
        <v>West</v>
      </c>
      <c r="P40" s="6" t="s">
        <v>309</v>
      </c>
      <c r="Q40" s="6" t="str">
        <f t="shared" si="6"/>
        <v>Gujarat</v>
      </c>
      <c r="R40" s="6" t="s">
        <v>310</v>
      </c>
      <c r="S40" s="6" t="str">
        <f t="shared" si="7"/>
        <v>Ahmedabad</v>
      </c>
      <c r="T40" s="6" t="s">
        <v>27</v>
      </c>
      <c r="U40" s="8" t="str">
        <f t="shared" si="8"/>
        <v>Technology</v>
      </c>
      <c r="V40" s="6" t="s">
        <v>31</v>
      </c>
      <c r="W40" s="6" t="str">
        <f t="shared" si="9"/>
        <v>Phones</v>
      </c>
      <c r="X40" s="6" t="s">
        <v>365</v>
      </c>
      <c r="Y40" s="6" t="s">
        <v>35</v>
      </c>
      <c r="Z40" s="6" t="str">
        <f t="shared" si="10"/>
        <v>First Class</v>
      </c>
      <c r="AA40" s="6">
        <v>7</v>
      </c>
      <c r="AB40" s="6">
        <v>2210.6799999999998</v>
      </c>
      <c r="AC40" s="6">
        <v>0.1</v>
      </c>
      <c r="AD40" s="6">
        <v>13927.28</v>
      </c>
      <c r="AE40" s="6">
        <v>10504.87</v>
      </c>
      <c r="AF40" s="6">
        <v>3422.41</v>
      </c>
      <c r="AG40" s="6" t="s">
        <v>52</v>
      </c>
      <c r="AH40" s="6" t="str">
        <f t="shared" si="11"/>
        <v>Paid</v>
      </c>
      <c r="AI40" s="6" t="s">
        <v>134</v>
      </c>
      <c r="AJ40" s="6" t="str">
        <f t="shared" si="12"/>
        <v>Completed</v>
      </c>
      <c r="AK40" s="9" t="str">
        <f>_xlfn.TEXTJOIN("|",FALSE,A40,TEXT(B40,"mm-dd-yyyy"),TEXT(E40,"mm-dd-yyyy"),I40,J40,L40,N40,P40,R40,T40,V40,X40,Y40,AA40,AB40,AC40,AD40,AE40,AF40,AG40,AI40)</f>
        <v>ORD-2024-10039|06-17-2024|22-06-2024|CUST-8235|Aarav Sharma|Corporate|West|Gujarat|Ahmedabad|Technology|Phones|Prime Phones 507|First Class|7|2210.68|0.1|13927.28|10504.87|3422.41|Paid|Completed</v>
      </c>
      <c r="AL40" s="27" t="str">
        <f>IF(COUNTIF($AK$2:AK40,AK40)&gt;1,"Remove exact duplicate copy","Keep")</f>
        <v>Keep</v>
      </c>
      <c r="AM40" s="9">
        <f t="shared" si="13"/>
        <v>1</v>
      </c>
      <c r="AN40" s="9" t="str">
        <f t="shared" si="14"/>
        <v>Unique</v>
      </c>
      <c r="AO40" s="9" t="str">
        <f t="shared" si="15"/>
        <v/>
      </c>
      <c r="AP40" s="9">
        <f t="shared" si="16"/>
        <v>0.1</v>
      </c>
      <c r="AQ40" s="10">
        <f t="shared" si="17"/>
        <v>13927.284</v>
      </c>
      <c r="AR40" s="10">
        <f t="shared" si="18"/>
        <v>3422.4139999999989</v>
      </c>
      <c r="AS40" s="11">
        <f t="shared" si="19"/>
        <v>0.24573448778670692</v>
      </c>
      <c r="AT40" s="9">
        <f t="shared" si="20"/>
        <v>6</v>
      </c>
      <c r="AU40" s="9">
        <f t="shared" si="21"/>
        <v>2024</v>
      </c>
      <c r="AV40" s="9" t="b">
        <f t="shared" si="22"/>
        <v>0</v>
      </c>
      <c r="AW40" s="9" t="b">
        <f t="shared" si="23"/>
        <v>0</v>
      </c>
      <c r="AX40" s="9" t="str">
        <f t="shared" si="24"/>
        <v>Yes</v>
      </c>
      <c r="AY40" s="9" t="str">
        <f t="shared" si="25"/>
        <v/>
      </c>
      <c r="AZ40" s="9" t="str">
        <f>IF(OR(G40="Missing date",G40="Invalid date",G40="Ship date before order date",NOT(ISNUMBER(AP40)),AP40&lt;0,AP40&gt;0.5,AV40=TRUE,AW40=TRUE),"Invalid",IF(OR(O40="Unknown",Z40="Unknown",AC40="",AH40&lt;&gt;"Paid",AJ40&lt;&gt;"Completed",AO40&lt;&gt;""),"Warning","Clean"))</f>
        <v>Clean</v>
      </c>
    </row>
    <row r="41" spans="1:52" ht="15.75" customHeight="1">
      <c r="A41" s="6" t="s">
        <v>366</v>
      </c>
      <c r="B41" s="7" t="s">
        <v>367</v>
      </c>
      <c r="C41" s="7" t="str">
        <f t="shared" si="0"/>
        <v>2024-12</v>
      </c>
      <c r="D41" s="7" cm="1">
        <f t="array" ref="D41">_xlfn.LET(_xlpm.x,B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45637</v>
      </c>
      <c r="E41" s="7" t="s">
        <v>368</v>
      </c>
      <c r="F41" s="7" cm="1">
        <f t="array" ref="F41">_xlfn.LET(_xlpm.x,E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45637</v>
      </c>
      <c r="G41" s="8" t="str">
        <f t="shared" si="1"/>
        <v>OK</v>
      </c>
      <c r="H41" s="6">
        <f t="shared" si="2"/>
        <v>0</v>
      </c>
      <c r="I41" s="6" t="s">
        <v>369</v>
      </c>
      <c r="J41" s="6" t="s">
        <v>139</v>
      </c>
      <c r="K41" s="6" t="str">
        <f t="shared" si="3"/>
        <v>Mira Das</v>
      </c>
      <c r="L41" s="6" t="s">
        <v>46</v>
      </c>
      <c r="M41" s="8" t="str">
        <f t="shared" si="4"/>
        <v>Small Business</v>
      </c>
      <c r="N41" s="6" t="s">
        <v>9</v>
      </c>
      <c r="O41" s="6" t="str">
        <f t="shared" si="5"/>
        <v>West</v>
      </c>
      <c r="P41" s="6" t="s">
        <v>170</v>
      </c>
      <c r="Q41" s="6" t="str">
        <f t="shared" si="6"/>
        <v>Madhya Pradesh</v>
      </c>
      <c r="R41" s="6" t="s">
        <v>171</v>
      </c>
      <c r="S41" s="6" t="str">
        <f t="shared" si="7"/>
        <v>Indore</v>
      </c>
      <c r="T41" s="6" t="s">
        <v>27</v>
      </c>
      <c r="U41" s="8" t="str">
        <f t="shared" si="8"/>
        <v>Technology</v>
      </c>
      <c r="V41" s="6" t="s">
        <v>29</v>
      </c>
      <c r="W41" s="6" t="str">
        <f t="shared" si="9"/>
        <v>Copiers</v>
      </c>
      <c r="X41" s="6" t="s">
        <v>370</v>
      </c>
      <c r="Y41" s="6" t="s">
        <v>35</v>
      </c>
      <c r="Z41" s="6" t="str">
        <f t="shared" si="10"/>
        <v>First Class</v>
      </c>
      <c r="AA41" s="6">
        <v>4</v>
      </c>
      <c r="AB41" s="6">
        <v>1370.92</v>
      </c>
      <c r="AC41" s="6">
        <v>0.1</v>
      </c>
      <c r="AD41" s="6">
        <v>4935.3100000000004</v>
      </c>
      <c r="AE41" s="6">
        <v>3374.77</v>
      </c>
      <c r="AF41" s="6">
        <v>1560.54</v>
      </c>
      <c r="AG41" s="6" t="s">
        <v>54</v>
      </c>
      <c r="AH41" s="6" t="str">
        <f t="shared" si="11"/>
        <v>Pending</v>
      </c>
      <c r="AI41" s="6" t="s">
        <v>59</v>
      </c>
      <c r="AJ41" s="6" t="str">
        <f t="shared" si="12"/>
        <v>Returned</v>
      </c>
      <c r="AK41" s="9" t="str">
        <f>_xlfn.TEXTJOIN("|",FALSE,A41,TEXT(B41,"mm-dd-yyyy"),TEXT(E41,"mm-dd-yyyy"),I41,J41,L41,N41,P41,R41,T41,V41,X41,Y41,AA41,AB41,AC41,AD41,AE41,AF41,AG41,AI41)</f>
        <v>ORD-2024-10040|12-11-2024|12-11-2024|CUST-5830|Mira Das|Small Business|West|Madhya Pradesh|Indore|Technology|Copiers|Classic Copiers 590|First Class|4|1370.92|0.1|4935.31|3374.77|1560.54|Pending|Returned</v>
      </c>
      <c r="AL41" s="27" t="str">
        <f>IF(COUNTIF($AK$2:AK41,AK41)&gt;1,"Remove exact duplicate copy","Keep")</f>
        <v>Keep</v>
      </c>
      <c r="AM41" s="9">
        <f t="shared" si="13"/>
        <v>1</v>
      </c>
      <c r="AN41" s="9" t="str">
        <f t="shared" si="14"/>
        <v>Unique</v>
      </c>
      <c r="AO41" s="9" t="str">
        <f t="shared" si="15"/>
        <v/>
      </c>
      <c r="AP41" s="9">
        <f t="shared" si="16"/>
        <v>0.1</v>
      </c>
      <c r="AQ41" s="10">
        <f t="shared" si="17"/>
        <v>4935.3120000000008</v>
      </c>
      <c r="AR41" s="10">
        <f t="shared" si="18"/>
        <v>1560.5420000000008</v>
      </c>
      <c r="AS41" s="11">
        <f t="shared" si="19"/>
        <v>0.31619925954022776</v>
      </c>
      <c r="AT41" s="9">
        <f t="shared" si="20"/>
        <v>12</v>
      </c>
      <c r="AU41" s="9">
        <f t="shared" si="21"/>
        <v>2024</v>
      </c>
      <c r="AV41" s="9" t="b">
        <f t="shared" si="22"/>
        <v>0</v>
      </c>
      <c r="AW41" s="9" t="b">
        <f t="shared" si="23"/>
        <v>0</v>
      </c>
      <c r="AX41" s="9" t="str">
        <f t="shared" si="24"/>
        <v>No</v>
      </c>
      <c r="AY41" s="9" t="str">
        <f t="shared" si="25"/>
        <v>Returned order excluded</v>
      </c>
      <c r="AZ41" s="9" t="str">
        <f>IF(OR(G41="Missing date",G41="Invalid date",G41="Ship date before order date",NOT(ISNUMBER(AP41)),AP41&lt;0,AP41&gt;0.5,AV41=TRUE,AW41=TRUE),"Invalid",IF(OR(O41="Unknown",Z41="Unknown",AC41="",AH41&lt;&gt;"Paid",AJ41&lt;&gt;"Completed",AO41&lt;&gt;""),"Warning","Clean"))</f>
        <v>Warning</v>
      </c>
    </row>
    <row r="42" spans="1:52" ht="15.75" customHeight="1">
      <c r="A42" s="6" t="s">
        <v>371</v>
      </c>
      <c r="B42" s="7" t="s">
        <v>372</v>
      </c>
      <c r="C42" s="7" t="str">
        <f t="shared" si="0"/>
        <v>2024-10</v>
      </c>
      <c r="D42" s="7" cm="1">
        <f t="array" ref="D42">_xlfn.LET(_xlpm.x,B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45575</v>
      </c>
      <c r="E42" s="7" t="s">
        <v>373</v>
      </c>
      <c r="F42" s="7" cm="1">
        <f t="array" ref="F42">_xlfn.LET(_xlpm.x,E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45581</v>
      </c>
      <c r="G42" s="8" t="str">
        <f t="shared" si="1"/>
        <v>OK</v>
      </c>
      <c r="H42" s="6">
        <f t="shared" si="2"/>
        <v>6</v>
      </c>
      <c r="I42" s="6" t="s">
        <v>374</v>
      </c>
      <c r="J42" s="6" t="s">
        <v>147</v>
      </c>
      <c r="K42" s="6" t="str">
        <f t="shared" si="3"/>
        <v>Isha Nair</v>
      </c>
      <c r="L42" s="6" t="s">
        <v>44</v>
      </c>
      <c r="M42" s="8" t="str">
        <f t="shared" si="4"/>
        <v>Home Office</v>
      </c>
      <c r="N42" s="6" t="s">
        <v>9</v>
      </c>
      <c r="O42" s="6" t="str">
        <f t="shared" si="5"/>
        <v>West</v>
      </c>
      <c r="P42" s="6" t="s">
        <v>131</v>
      </c>
      <c r="Q42" s="6" t="str">
        <f t="shared" si="6"/>
        <v>Rajasthan</v>
      </c>
      <c r="R42" s="6" t="s">
        <v>214</v>
      </c>
      <c r="S42" s="6" t="str">
        <f t="shared" si="7"/>
        <v>Udaipur</v>
      </c>
      <c r="T42" s="6" t="s">
        <v>27</v>
      </c>
      <c r="U42" s="8" t="str">
        <f t="shared" si="8"/>
        <v>Technology</v>
      </c>
      <c r="V42" s="6" t="s">
        <v>29</v>
      </c>
      <c r="W42" s="6" t="str">
        <f t="shared" si="9"/>
        <v>Copiers</v>
      </c>
      <c r="X42" s="6" t="s">
        <v>375</v>
      </c>
      <c r="Y42" s="6" t="s">
        <v>34</v>
      </c>
      <c r="Z42" s="6" t="str">
        <f t="shared" si="10"/>
        <v>Standard Class</v>
      </c>
      <c r="AA42" s="6">
        <v>7</v>
      </c>
      <c r="AB42" s="6">
        <v>2509.27</v>
      </c>
      <c r="AC42" s="6">
        <v>0.2</v>
      </c>
      <c r="AD42" s="6">
        <v>14051.91</v>
      </c>
      <c r="AE42" s="6">
        <v>11990.37</v>
      </c>
      <c r="AF42" s="6">
        <v>2061.54</v>
      </c>
      <c r="AG42" s="6" t="s">
        <v>52</v>
      </c>
      <c r="AH42" s="6" t="str">
        <f t="shared" si="11"/>
        <v>Paid</v>
      </c>
      <c r="AI42" s="6" t="s">
        <v>134</v>
      </c>
      <c r="AJ42" s="6" t="str">
        <f t="shared" si="12"/>
        <v>Completed</v>
      </c>
      <c r="AK42" s="9" t="str">
        <f>_xlfn.TEXTJOIN("|",FALSE,A42,TEXT(B42,"mm-dd-yyyy"),TEXT(E42,"mm-dd-yyyy"),I42,J42,L42,N42,P42,R42,T42,V42,X42,Y42,AA42,AB42,AC42,AD42,AE42,AF42,AG42,AI42)</f>
        <v>ORD-2024-10041|10-10-2024|10-16-2024|CUST-7178|Isha Nair|Home Office|West|Rajasthan|Udaipur|Technology|Copiers|Eco Copiers 865|Standard Class|7|2509.27|0.2|14051.91|11990.37|2061.54|Paid|Completed</v>
      </c>
      <c r="AL42" s="27" t="str">
        <f>IF(COUNTIF($AK$2:AK42,AK42)&gt;1,"Remove exact duplicate copy","Keep")</f>
        <v>Keep</v>
      </c>
      <c r="AM42" s="9">
        <f t="shared" si="13"/>
        <v>1</v>
      </c>
      <c r="AN42" s="9" t="str">
        <f t="shared" si="14"/>
        <v>Unique</v>
      </c>
      <c r="AO42" s="9" t="str">
        <f t="shared" si="15"/>
        <v/>
      </c>
      <c r="AP42" s="9">
        <f t="shared" si="16"/>
        <v>0.2</v>
      </c>
      <c r="AQ42" s="10">
        <f t="shared" si="17"/>
        <v>14051.912</v>
      </c>
      <c r="AR42" s="10">
        <f t="shared" si="18"/>
        <v>2061.5419999999995</v>
      </c>
      <c r="AS42" s="11">
        <f t="shared" si="19"/>
        <v>0.14670900301681361</v>
      </c>
      <c r="AT42" s="9">
        <f t="shared" si="20"/>
        <v>10</v>
      </c>
      <c r="AU42" s="9">
        <f t="shared" si="21"/>
        <v>2024</v>
      </c>
      <c r="AV42" s="9" t="b">
        <f t="shared" si="22"/>
        <v>0</v>
      </c>
      <c r="AW42" s="9" t="b">
        <f t="shared" si="23"/>
        <v>0</v>
      </c>
      <c r="AX42" s="9" t="str">
        <f t="shared" si="24"/>
        <v>Yes</v>
      </c>
      <c r="AY42" s="9" t="str">
        <f t="shared" si="25"/>
        <v/>
      </c>
      <c r="AZ42" s="9" t="str">
        <f>IF(OR(G42="Missing date",G42="Invalid date",G42="Ship date before order date",NOT(ISNUMBER(AP42)),AP42&lt;0,AP42&gt;0.5,AV42=TRUE,AW42=TRUE),"Invalid",IF(OR(O42="Unknown",Z42="Unknown",AC42="",AH42&lt;&gt;"Paid",AJ42&lt;&gt;"Completed",AO42&lt;&gt;""),"Warning","Clean"))</f>
        <v>Clean</v>
      </c>
    </row>
    <row r="43" spans="1:52" ht="15.75" customHeight="1">
      <c r="A43" s="6" t="s">
        <v>376</v>
      </c>
      <c r="B43" s="7" t="s">
        <v>377</v>
      </c>
      <c r="C43" s="7" t="str">
        <f t="shared" si="0"/>
        <v>2024-03</v>
      </c>
      <c r="D43" s="7" cm="1">
        <f t="array" ref="D43">_xlfn.LET(_xlpm.x,B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45363</v>
      </c>
      <c r="E43" s="7" t="s">
        <v>378</v>
      </c>
      <c r="F43" s="7" cm="1">
        <f t="array" ref="F43">_xlfn.LET(_xlpm.x,E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45368</v>
      </c>
      <c r="G43" s="8" t="str">
        <f t="shared" si="1"/>
        <v>OK</v>
      </c>
      <c r="H43" s="6">
        <f t="shared" si="2"/>
        <v>5</v>
      </c>
      <c r="I43" s="6" t="s">
        <v>379</v>
      </c>
      <c r="J43" s="6" t="s">
        <v>239</v>
      </c>
      <c r="K43" s="6" t="str">
        <f t="shared" si="3"/>
        <v>Aarav Sharma</v>
      </c>
      <c r="L43" s="6" t="s">
        <v>46</v>
      </c>
      <c r="M43" s="8" t="str">
        <f t="shared" si="4"/>
        <v>Small Business</v>
      </c>
      <c r="N43" s="6" t="s">
        <v>8</v>
      </c>
      <c r="O43" s="6" t="str">
        <f t="shared" si="5"/>
        <v>East</v>
      </c>
      <c r="P43" s="6" t="s">
        <v>140</v>
      </c>
      <c r="Q43" s="6" t="str">
        <f t="shared" si="6"/>
        <v>Odisha</v>
      </c>
      <c r="R43" s="6" t="s">
        <v>141</v>
      </c>
      <c r="S43" s="6" t="str">
        <f t="shared" si="7"/>
        <v>Bhubaneswar</v>
      </c>
      <c r="T43" s="6" t="s">
        <v>14</v>
      </c>
      <c r="U43" s="8" t="str">
        <f t="shared" si="8"/>
        <v>Furniture</v>
      </c>
      <c r="V43" s="6" t="s">
        <v>15</v>
      </c>
      <c r="W43" s="6" t="str">
        <f t="shared" si="9"/>
        <v>Bookcases</v>
      </c>
      <c r="X43" s="6" t="s">
        <v>380</v>
      </c>
      <c r="Y43" s="6" t="s">
        <v>37</v>
      </c>
      <c r="Z43" s="6" t="str">
        <f t="shared" si="10"/>
        <v>Same Day</v>
      </c>
      <c r="AA43" s="6">
        <v>8</v>
      </c>
      <c r="AB43" s="6">
        <v>855.81</v>
      </c>
      <c r="AC43" s="6">
        <v>0</v>
      </c>
      <c r="AD43" s="6">
        <v>6846.48</v>
      </c>
      <c r="AE43" s="6">
        <v>4239.8900000000003</v>
      </c>
      <c r="AF43" s="6">
        <v>2606.59</v>
      </c>
      <c r="AG43" s="6" t="s">
        <v>54</v>
      </c>
      <c r="AH43" s="6" t="str">
        <f t="shared" si="11"/>
        <v>Pending</v>
      </c>
      <c r="AI43" s="6" t="s">
        <v>58</v>
      </c>
      <c r="AJ43" s="6" t="str">
        <f t="shared" si="12"/>
        <v>Cancelled</v>
      </c>
      <c r="AK43" s="9" t="str">
        <f>_xlfn.TEXTJOIN("|",FALSE,A43,TEXT(B43,"mm-dd-yyyy"),TEXT(E43,"mm-dd-yyyy"),I43,J43,L43,N43,P43,R43,T43,V43,X43,Y43,AA43,AB43,AC43,AD43,AE43,AF43,AG43,AI43)</f>
        <v>ORD-2024-10042|03-12-2024|17-03-2024|CUST-3829|Aarav Sharma|Small Business|East|Odisha|Bhubaneswar|Furniture|Bookcases|Classic Bookcases 835|Same Day|8|855.81|0|6846.48|4239.89|2606.59|Pending|Cancelled</v>
      </c>
      <c r="AL43" s="27" t="str">
        <f>IF(COUNTIF($AK$2:AK43,AK43)&gt;1,"Remove exact duplicate copy","Keep")</f>
        <v>Keep</v>
      </c>
      <c r="AM43" s="9">
        <f t="shared" si="13"/>
        <v>1</v>
      </c>
      <c r="AN43" s="9" t="str">
        <f t="shared" si="14"/>
        <v>Unique</v>
      </c>
      <c r="AO43" s="9" t="str">
        <f t="shared" si="15"/>
        <v/>
      </c>
      <c r="AP43" s="9">
        <f t="shared" si="16"/>
        <v>0</v>
      </c>
      <c r="AQ43" s="10">
        <f t="shared" si="17"/>
        <v>6846.48</v>
      </c>
      <c r="AR43" s="10">
        <f t="shared" si="18"/>
        <v>2606.5899999999992</v>
      </c>
      <c r="AS43" s="11">
        <f t="shared" si="19"/>
        <v>0.38071972750961069</v>
      </c>
      <c r="AT43" s="9">
        <f t="shared" si="20"/>
        <v>3</v>
      </c>
      <c r="AU43" s="9">
        <f t="shared" si="21"/>
        <v>2024</v>
      </c>
      <c r="AV43" s="9" t="b">
        <f t="shared" si="22"/>
        <v>0</v>
      </c>
      <c r="AW43" s="9" t="b">
        <f t="shared" si="23"/>
        <v>0</v>
      </c>
      <c r="AX43" s="9" t="str">
        <f t="shared" si="24"/>
        <v>No</v>
      </c>
      <c r="AY43" s="9" t="str">
        <f t="shared" si="25"/>
        <v>Cancelled order excluded</v>
      </c>
      <c r="AZ43" s="9" t="str">
        <f>IF(OR(G43="Missing date",G43="Invalid date",G43="Ship date before order date",NOT(ISNUMBER(AP43)),AP43&lt;0,AP43&gt;0.5,AV43=TRUE,AW43=TRUE),"Invalid",IF(OR(O43="Unknown",Z43="Unknown",AC43="",AH43&lt;&gt;"Paid",AJ43&lt;&gt;"Completed",AO43&lt;&gt;""),"Warning","Clean"))</f>
        <v>Warning</v>
      </c>
    </row>
    <row r="44" spans="1:52" ht="15.75" customHeight="1">
      <c r="A44" s="6" t="s">
        <v>381</v>
      </c>
      <c r="B44" s="7" t="s">
        <v>382</v>
      </c>
      <c r="C44" s="7" t="str">
        <f t="shared" si="0"/>
        <v>2025-10</v>
      </c>
      <c r="D44" s="7" cm="1">
        <f t="array" ref="D44">_xlfn.LET(_xlpm.x,B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45940</v>
      </c>
      <c r="E44" s="7" t="s">
        <v>383</v>
      </c>
      <c r="F44" s="7" cm="1">
        <f t="array" ref="F44">_xlfn.LET(_xlpm.x,E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45945</v>
      </c>
      <c r="G44" s="8" t="str">
        <f t="shared" si="1"/>
        <v>OK</v>
      </c>
      <c r="H44" s="6">
        <f t="shared" si="2"/>
        <v>5</v>
      </c>
      <c r="I44" s="6" t="s">
        <v>384</v>
      </c>
      <c r="J44" s="6" t="s">
        <v>153</v>
      </c>
      <c r="K44" s="6" t="str">
        <f t="shared" si="3"/>
        <v>Arjun Bose</v>
      </c>
      <c r="L44" s="6" t="s">
        <v>45</v>
      </c>
      <c r="M44" s="8" t="str">
        <f t="shared" si="4"/>
        <v>Corporate</v>
      </c>
      <c r="N44" s="6" t="s">
        <v>8</v>
      </c>
      <c r="O44" s="6" t="str">
        <f t="shared" si="5"/>
        <v>East</v>
      </c>
      <c r="P44" s="6" t="s">
        <v>385</v>
      </c>
      <c r="Q44" s="6" t="str">
        <f t="shared" si="6"/>
        <v>Jharkhand</v>
      </c>
      <c r="R44" s="6" t="s">
        <v>386</v>
      </c>
      <c r="S44" s="6" t="str">
        <f t="shared" si="7"/>
        <v>Ranchi</v>
      </c>
      <c r="T44" s="6" t="s">
        <v>27</v>
      </c>
      <c r="U44" s="8" t="str">
        <f t="shared" si="8"/>
        <v>Technology</v>
      </c>
      <c r="V44" s="6" t="s">
        <v>31</v>
      </c>
      <c r="W44" s="6" t="str">
        <f t="shared" si="9"/>
        <v>Phones</v>
      </c>
      <c r="X44" s="6" t="s">
        <v>387</v>
      </c>
      <c r="Y44" s="6" t="s">
        <v>34</v>
      </c>
      <c r="Z44" s="6" t="str">
        <f t="shared" si="10"/>
        <v>Standard Class</v>
      </c>
      <c r="AA44" s="6">
        <v>8</v>
      </c>
      <c r="AB44" s="6">
        <v>979.87</v>
      </c>
      <c r="AC44" s="6">
        <v>0.05</v>
      </c>
      <c r="AD44" s="6">
        <v>7447.01</v>
      </c>
      <c r="AE44" s="6">
        <v>4496.22</v>
      </c>
      <c r="AF44" s="6">
        <v>2950.79</v>
      </c>
      <c r="AG44" s="6" t="s">
        <v>52</v>
      </c>
      <c r="AH44" s="6" t="str">
        <f t="shared" si="11"/>
        <v>Paid</v>
      </c>
      <c r="AI44" s="6" t="s">
        <v>134</v>
      </c>
      <c r="AJ44" s="6" t="str">
        <f t="shared" si="12"/>
        <v>Completed</v>
      </c>
      <c r="AK44" s="9" t="str">
        <f>_xlfn.TEXTJOIN("|",FALSE,A44,TEXT(B44,"mm-dd-yyyy"),TEXT(E44,"mm-dd-yyyy"),I44,J44,L44,N44,P44,R44,T44,V44,X44,Y44,AA44,AB44,AC44,AD44,AE44,AF44,AG44,AI44)</f>
        <v>ORD-2025-10043|10-10-2025|10-15-2025|CUST-6708|Arjun Bose|Corporate|East|Jharkhand|Ranchi|Technology|Phones|Eco Phones 702|Standard Class|8|979.87|0.05|7447.01|4496.22|2950.79|Paid|Completed</v>
      </c>
      <c r="AL44" s="27" t="str">
        <f>IF(COUNTIF($AK$2:AK44,AK44)&gt;1,"Remove exact duplicate copy","Keep")</f>
        <v>Keep</v>
      </c>
      <c r="AM44" s="9">
        <f t="shared" si="13"/>
        <v>1</v>
      </c>
      <c r="AN44" s="9" t="str">
        <f t="shared" si="14"/>
        <v>Unique</v>
      </c>
      <c r="AO44" s="9" t="str">
        <f t="shared" si="15"/>
        <v/>
      </c>
      <c r="AP44" s="9">
        <f t="shared" si="16"/>
        <v>0.05</v>
      </c>
      <c r="AQ44" s="10">
        <f t="shared" si="17"/>
        <v>7447.0119999999997</v>
      </c>
      <c r="AR44" s="10">
        <f t="shared" si="18"/>
        <v>2950.7919999999995</v>
      </c>
      <c r="AS44" s="11">
        <f t="shared" si="19"/>
        <v>0.39623838393170302</v>
      </c>
      <c r="AT44" s="9">
        <f t="shared" si="20"/>
        <v>10</v>
      </c>
      <c r="AU44" s="9">
        <f t="shared" si="21"/>
        <v>2025</v>
      </c>
      <c r="AV44" s="9" t="b">
        <f t="shared" si="22"/>
        <v>0</v>
      </c>
      <c r="AW44" s="9" t="b">
        <f t="shared" si="23"/>
        <v>0</v>
      </c>
      <c r="AX44" s="9" t="str">
        <f t="shared" si="24"/>
        <v>Yes</v>
      </c>
      <c r="AY44" s="9" t="str">
        <f t="shared" si="25"/>
        <v/>
      </c>
      <c r="AZ44" s="9" t="str">
        <f>IF(OR(G44="Missing date",G44="Invalid date",G44="Ship date before order date",NOT(ISNUMBER(AP44)),AP44&lt;0,AP44&gt;0.5,AV44=TRUE,AW44=TRUE),"Invalid",IF(OR(O44="Unknown",Z44="Unknown",AC44="",AH44&lt;&gt;"Paid",AJ44&lt;&gt;"Completed",AO44&lt;&gt;""),"Warning","Clean"))</f>
        <v>Clean</v>
      </c>
    </row>
    <row r="45" spans="1:52" ht="15.75" customHeight="1">
      <c r="A45" s="6" t="s">
        <v>388</v>
      </c>
      <c r="B45" s="7" t="s">
        <v>389</v>
      </c>
      <c r="C45" s="7" t="str">
        <f t="shared" si="0"/>
        <v>2024-07</v>
      </c>
      <c r="D45" s="7" cm="1">
        <f t="array" ref="D45">_xlfn.LET(_xlpm.x,B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45481</v>
      </c>
      <c r="E45" s="7" t="s">
        <v>390</v>
      </c>
      <c r="F45" s="7" cm="1">
        <f t="array" ref="F45">_xlfn.LET(_xlpm.x,E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45487</v>
      </c>
      <c r="G45" s="8" t="str">
        <f t="shared" si="1"/>
        <v>OK</v>
      </c>
      <c r="H45" s="6">
        <f t="shared" si="2"/>
        <v>6</v>
      </c>
      <c r="I45" s="6" t="s">
        <v>391</v>
      </c>
      <c r="J45" s="6" t="s">
        <v>220</v>
      </c>
      <c r="K45" s="6" t="str">
        <f t="shared" si="3"/>
        <v>Priya Menon</v>
      </c>
      <c r="L45" s="6" t="s">
        <v>46</v>
      </c>
      <c r="M45" s="8" t="str">
        <f t="shared" si="4"/>
        <v>Small Business</v>
      </c>
      <c r="N45" s="6" t="s">
        <v>8</v>
      </c>
      <c r="O45" s="6" t="str">
        <f t="shared" si="5"/>
        <v>East</v>
      </c>
      <c r="P45" s="6" t="s">
        <v>140</v>
      </c>
      <c r="Q45" s="6" t="str">
        <f t="shared" si="6"/>
        <v>Odisha</v>
      </c>
      <c r="R45" s="6" t="s">
        <v>141</v>
      </c>
      <c r="S45" s="6" t="str">
        <f t="shared" si="7"/>
        <v>Bhubaneswar</v>
      </c>
      <c r="T45" s="6" t="s">
        <v>14</v>
      </c>
      <c r="U45" s="8" t="str">
        <f t="shared" si="8"/>
        <v>Furniture</v>
      </c>
      <c r="V45" s="6" t="s">
        <v>17</v>
      </c>
      <c r="W45" s="6" t="str">
        <f t="shared" si="9"/>
        <v>Furnishings</v>
      </c>
      <c r="X45" s="6" t="s">
        <v>392</v>
      </c>
      <c r="Y45" s="6" t="s">
        <v>37</v>
      </c>
      <c r="Z45" s="6" t="str">
        <f t="shared" si="10"/>
        <v>Same Day</v>
      </c>
      <c r="AA45" s="6">
        <v>3</v>
      </c>
      <c r="AB45" s="6">
        <v>1010.23</v>
      </c>
      <c r="AC45" s="6">
        <v>0</v>
      </c>
      <c r="AD45" s="6">
        <v>3030.69</v>
      </c>
      <c r="AE45" s="6">
        <v>1721.08</v>
      </c>
      <c r="AF45" s="6">
        <v>1309.6099999999999</v>
      </c>
      <c r="AG45" s="6" t="s">
        <v>52</v>
      </c>
      <c r="AH45" s="6" t="str">
        <f t="shared" si="11"/>
        <v>Paid</v>
      </c>
      <c r="AI45" s="6" t="s">
        <v>134</v>
      </c>
      <c r="AJ45" s="6" t="str">
        <f t="shared" si="12"/>
        <v>Completed</v>
      </c>
      <c r="AK45" s="9" t="str">
        <f>_xlfn.TEXTJOIN("|",FALSE,A45,TEXT(B45,"mm-dd-yyyy"),TEXT(E45,"mm-dd-yyyy"),I45,J45,L45,N45,P45,R45,T45,V45,X45,Y45,AA45,AB45,AC45,AD45,AE45,AF45,AG45,AI45)</f>
        <v>ORD-2024-10044|07-08-2024|07-14-2024|CUST-7119|Priya Menon|Small Business|East|Odisha|Bhubaneswar|Furniture|Furnishings|Smart Furnishings 956|Same Day|3|1010.23|0|3030.69|1721.08|1309.61|Paid|Completed</v>
      </c>
      <c r="AL45" s="27" t="str">
        <f>IF(COUNTIF($AK$2:AK45,AK45)&gt;1,"Remove exact duplicate copy","Keep")</f>
        <v>Keep</v>
      </c>
      <c r="AM45" s="9">
        <f t="shared" si="13"/>
        <v>1</v>
      </c>
      <c r="AN45" s="9" t="str">
        <f t="shared" si="14"/>
        <v>Unique</v>
      </c>
      <c r="AO45" s="9" t="str">
        <f t="shared" si="15"/>
        <v/>
      </c>
      <c r="AP45" s="9">
        <f t="shared" si="16"/>
        <v>0</v>
      </c>
      <c r="AQ45" s="10">
        <f t="shared" si="17"/>
        <v>3030.69</v>
      </c>
      <c r="AR45" s="10">
        <f t="shared" si="18"/>
        <v>1309.6100000000001</v>
      </c>
      <c r="AS45" s="11">
        <f t="shared" si="19"/>
        <v>0.43211611877163292</v>
      </c>
      <c r="AT45" s="9">
        <f t="shared" si="20"/>
        <v>7</v>
      </c>
      <c r="AU45" s="9">
        <f t="shared" si="21"/>
        <v>2024</v>
      </c>
      <c r="AV45" s="9" t="b">
        <f t="shared" si="22"/>
        <v>0</v>
      </c>
      <c r="AW45" s="9" t="b">
        <f t="shared" si="23"/>
        <v>0</v>
      </c>
      <c r="AX45" s="9" t="str">
        <f t="shared" si="24"/>
        <v>Yes</v>
      </c>
      <c r="AY45" s="9" t="str">
        <f t="shared" si="25"/>
        <v/>
      </c>
      <c r="AZ45" s="9" t="str">
        <f>IF(OR(G45="Missing date",G45="Invalid date",G45="Ship date before order date",NOT(ISNUMBER(AP45)),AP45&lt;0,AP45&gt;0.5,AV45=TRUE,AW45=TRUE),"Invalid",IF(OR(O45="Unknown",Z45="Unknown",AC45="",AH45&lt;&gt;"Paid",AJ45&lt;&gt;"Completed",AO45&lt;&gt;""),"Warning","Clean"))</f>
        <v>Clean</v>
      </c>
    </row>
    <row r="46" spans="1:52" ht="15.75" customHeight="1">
      <c r="A46" s="6" t="s">
        <v>393</v>
      </c>
      <c r="B46" s="7" t="s">
        <v>394</v>
      </c>
      <c r="C46" s="7" t="str">
        <f t="shared" si="0"/>
        <v>2024-06</v>
      </c>
      <c r="D46" s="7" cm="1">
        <f t="array" ref="D46">_xlfn.LET(_xlpm.x,B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45465</v>
      </c>
      <c r="E46" s="7" t="s">
        <v>395</v>
      </c>
      <c r="F46" s="7" cm="1">
        <f t="array" ref="F46">_xlfn.LET(_xlpm.x,E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45468</v>
      </c>
      <c r="G46" s="8" t="str">
        <f t="shared" si="1"/>
        <v>OK</v>
      </c>
      <c r="H46" s="6">
        <f t="shared" si="2"/>
        <v>3</v>
      </c>
      <c r="I46" s="6" t="s">
        <v>396</v>
      </c>
      <c r="J46" s="6" t="s">
        <v>257</v>
      </c>
      <c r="K46" s="6" t="str">
        <f t="shared" si="3"/>
        <v>Rohan Mehta</v>
      </c>
      <c r="L46" s="6" t="s">
        <v>46</v>
      </c>
      <c r="M46" s="8" t="str">
        <f t="shared" si="4"/>
        <v>Small Business</v>
      </c>
      <c r="N46" s="6" t="s">
        <v>7</v>
      </c>
      <c r="O46" s="6" t="str">
        <f t="shared" si="5"/>
        <v>North</v>
      </c>
      <c r="P46" s="6" t="s">
        <v>397</v>
      </c>
      <c r="Q46" s="6" t="str">
        <f t="shared" si="6"/>
        <v>Haryana</v>
      </c>
      <c r="R46" s="6" t="s">
        <v>398</v>
      </c>
      <c r="S46" s="6" t="str">
        <f t="shared" si="7"/>
        <v>Gurugram</v>
      </c>
      <c r="T46" s="6" t="s">
        <v>14</v>
      </c>
      <c r="U46" s="8" t="str">
        <f t="shared" si="8"/>
        <v>Furniture</v>
      </c>
      <c r="V46" s="6" t="s">
        <v>16</v>
      </c>
      <c r="W46" s="6" t="str">
        <f t="shared" si="9"/>
        <v>Chairs</v>
      </c>
      <c r="X46" s="6" t="s">
        <v>399</v>
      </c>
      <c r="Y46" s="6" t="s">
        <v>34</v>
      </c>
      <c r="Z46" s="6" t="str">
        <f t="shared" si="10"/>
        <v>Standard Class</v>
      </c>
      <c r="AA46" s="6">
        <v>9</v>
      </c>
      <c r="AB46" s="6">
        <v>3329.77</v>
      </c>
      <c r="AC46" s="6">
        <v>0.1</v>
      </c>
      <c r="AD46" s="6">
        <v>26971.14</v>
      </c>
      <c r="AE46" s="6">
        <v>17376.2</v>
      </c>
      <c r="AF46" s="6">
        <v>9594.94</v>
      </c>
      <c r="AG46" s="6" t="s">
        <v>52</v>
      </c>
      <c r="AH46" s="6" t="str">
        <f t="shared" si="11"/>
        <v>Paid</v>
      </c>
      <c r="AI46" s="6" t="s">
        <v>134</v>
      </c>
      <c r="AJ46" s="6" t="str">
        <f t="shared" si="12"/>
        <v>Completed</v>
      </c>
      <c r="AK46" s="9" t="str">
        <f>_xlfn.TEXTJOIN("|",FALSE,A46,TEXT(B46,"mm-dd-yyyy"),TEXT(E46,"mm-dd-yyyy"),I46,J46,L46,N46,P46,R46,T46,V46,X46,Y46,AA46,AB46,AC46,AD46,AE46,AF46,AG46,AI46)</f>
        <v>ORD-2024-10045|06-22-2024|25-06-2024|CUST-3373|Rohan Mehta|Small Business|North|Haryana|Gurugram|Furniture|Chairs|Max Chairs 393|Standard Class|9|3329.77|0.1|26971.14|17376.2|9594.94|Paid|Completed</v>
      </c>
      <c r="AL46" s="27" t="str">
        <f>IF(COUNTIF($AK$2:AK46,AK46)&gt;1,"Remove exact duplicate copy","Keep")</f>
        <v>Keep</v>
      </c>
      <c r="AM46" s="9">
        <f t="shared" si="13"/>
        <v>1</v>
      </c>
      <c r="AN46" s="9" t="str">
        <f t="shared" si="14"/>
        <v>Unique</v>
      </c>
      <c r="AO46" s="9" t="str">
        <f t="shared" si="15"/>
        <v/>
      </c>
      <c r="AP46" s="9">
        <f t="shared" si="16"/>
        <v>0.1</v>
      </c>
      <c r="AQ46" s="10">
        <f t="shared" si="17"/>
        <v>26971.137000000002</v>
      </c>
      <c r="AR46" s="10">
        <f t="shared" si="18"/>
        <v>9594.9370000000017</v>
      </c>
      <c r="AS46" s="11">
        <f t="shared" si="19"/>
        <v>0.35574833200394929</v>
      </c>
      <c r="AT46" s="9">
        <f t="shared" si="20"/>
        <v>6</v>
      </c>
      <c r="AU46" s="9">
        <f t="shared" si="21"/>
        <v>2024</v>
      </c>
      <c r="AV46" s="9" t="b">
        <f t="shared" si="22"/>
        <v>0</v>
      </c>
      <c r="AW46" s="9" t="b">
        <f t="shared" si="23"/>
        <v>0</v>
      </c>
      <c r="AX46" s="9" t="str">
        <f t="shared" si="24"/>
        <v>Yes</v>
      </c>
      <c r="AY46" s="9" t="str">
        <f t="shared" si="25"/>
        <v/>
      </c>
      <c r="AZ46" s="9" t="str">
        <f>IF(OR(G46="Missing date",G46="Invalid date",G46="Ship date before order date",NOT(ISNUMBER(AP46)),AP46&lt;0,AP46&gt;0.5,AV46=TRUE,AW46=TRUE),"Invalid",IF(OR(O46="Unknown",Z46="Unknown",AC46="",AH46&lt;&gt;"Paid",AJ46&lt;&gt;"Completed",AO46&lt;&gt;""),"Warning","Clean"))</f>
        <v>Clean</v>
      </c>
    </row>
    <row r="47" spans="1:52" ht="15.75" customHeight="1">
      <c r="A47" s="6" t="s">
        <v>400</v>
      </c>
      <c r="B47" s="7" t="s">
        <v>401</v>
      </c>
      <c r="C47" s="7" t="str">
        <f t="shared" si="0"/>
        <v>2024-01</v>
      </c>
      <c r="D47" s="7" cm="1">
        <f t="array" ref="D47">_xlfn.LET(_xlpm.x,B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45309</v>
      </c>
      <c r="E47" s="7" t="s">
        <v>402</v>
      </c>
      <c r="F47" s="7" cm="1">
        <f t="array" ref="F47">_xlfn.LET(_xlpm.x,E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45315</v>
      </c>
      <c r="G47" s="8" t="str">
        <f t="shared" si="1"/>
        <v>OK</v>
      </c>
      <c r="H47" s="6">
        <f t="shared" si="2"/>
        <v>6</v>
      </c>
      <c r="I47" s="6" t="s">
        <v>403</v>
      </c>
      <c r="J47" s="6" t="s">
        <v>147</v>
      </c>
      <c r="K47" s="6" t="str">
        <f t="shared" si="3"/>
        <v>Isha Nair</v>
      </c>
      <c r="L47" s="6" t="s">
        <v>44</v>
      </c>
      <c r="M47" s="8" t="str">
        <f t="shared" si="4"/>
        <v>Home Office</v>
      </c>
      <c r="N47" s="6" t="s">
        <v>8</v>
      </c>
      <c r="O47" s="6" t="str">
        <f t="shared" si="5"/>
        <v>East</v>
      </c>
      <c r="P47" s="6" t="s">
        <v>263</v>
      </c>
      <c r="Q47" s="6" t="str">
        <f t="shared" si="6"/>
        <v>Bihar</v>
      </c>
      <c r="R47" s="6" t="s">
        <v>264</v>
      </c>
      <c r="S47" s="6" t="str">
        <f t="shared" si="7"/>
        <v>Patna</v>
      </c>
      <c r="T47" s="6" t="s">
        <v>20</v>
      </c>
      <c r="U47" s="8" t="str">
        <f t="shared" si="8"/>
        <v>Office Supplies</v>
      </c>
      <c r="V47" s="6" t="s">
        <v>21</v>
      </c>
      <c r="W47" s="6" t="str">
        <f t="shared" si="9"/>
        <v>Art</v>
      </c>
      <c r="X47" s="6" t="s">
        <v>404</v>
      </c>
      <c r="Y47" s="6" t="s">
        <v>36</v>
      </c>
      <c r="Z47" s="6" t="str">
        <f t="shared" si="10"/>
        <v>Second Class</v>
      </c>
      <c r="AA47" s="6">
        <v>8</v>
      </c>
      <c r="AB47" s="6">
        <v>3927.82</v>
      </c>
      <c r="AC47" s="6">
        <v>0.05</v>
      </c>
      <c r="AD47" s="6">
        <v>29851.43</v>
      </c>
      <c r="AE47" s="6">
        <v>17487.48</v>
      </c>
      <c r="AF47" s="6">
        <v>12363.95</v>
      </c>
      <c r="AG47" s="6" t="s">
        <v>54</v>
      </c>
      <c r="AH47" s="6" t="str">
        <f t="shared" si="11"/>
        <v>Pending</v>
      </c>
      <c r="AI47" s="6" t="s">
        <v>59</v>
      </c>
      <c r="AJ47" s="6" t="str">
        <f t="shared" si="12"/>
        <v>Returned</v>
      </c>
      <c r="AK47" s="9" t="str">
        <f>_xlfn.TEXTJOIN("|",FALSE,A47,TEXT(B47,"mm-dd-yyyy"),TEXT(E47,"mm-dd-yyyy"),I47,J47,L47,N47,P47,R47,T47,V47,X47,Y47,AA47,AB47,AC47,AD47,AE47,AF47,AG47,AI47)</f>
        <v>ORD-2024-10046|01-18-2024|24-01-2024|CUST-8896|Isha Nair|Home Office|East|Bihar|Patna|Office Supplies|Art|Prime Art 221|Second Class|8|3927.82|0.05|29851.43|17487.48|12363.95|Pending|Returned</v>
      </c>
      <c r="AL47" s="27" t="str">
        <f>IF(COUNTIF($AK$2:AK47,AK47)&gt;1,"Remove exact duplicate copy","Keep")</f>
        <v>Keep</v>
      </c>
      <c r="AM47" s="9">
        <f t="shared" si="13"/>
        <v>1</v>
      </c>
      <c r="AN47" s="9" t="str">
        <f t="shared" si="14"/>
        <v>Unique</v>
      </c>
      <c r="AO47" s="9" t="str">
        <f t="shared" si="15"/>
        <v/>
      </c>
      <c r="AP47" s="9">
        <f t="shared" si="16"/>
        <v>0.05</v>
      </c>
      <c r="AQ47" s="10">
        <f t="shared" si="17"/>
        <v>29851.432000000001</v>
      </c>
      <c r="AR47" s="10">
        <f t="shared" si="18"/>
        <v>12363.952000000001</v>
      </c>
      <c r="AS47" s="11">
        <f t="shared" si="19"/>
        <v>0.41418287739094062</v>
      </c>
      <c r="AT47" s="9">
        <f t="shared" si="20"/>
        <v>1</v>
      </c>
      <c r="AU47" s="9">
        <f t="shared" si="21"/>
        <v>2024</v>
      </c>
      <c r="AV47" s="9" t="b">
        <f t="shared" si="22"/>
        <v>0</v>
      </c>
      <c r="AW47" s="9" t="b">
        <f t="shared" si="23"/>
        <v>0</v>
      </c>
      <c r="AX47" s="9" t="str">
        <f t="shared" si="24"/>
        <v>No</v>
      </c>
      <c r="AY47" s="9" t="str">
        <f t="shared" si="25"/>
        <v>Returned order excluded</v>
      </c>
      <c r="AZ47" s="9" t="str">
        <f>IF(OR(G47="Missing date",G47="Invalid date",G47="Ship date before order date",NOT(ISNUMBER(AP47)),AP47&lt;0,AP47&gt;0.5,AV47=TRUE,AW47=TRUE),"Invalid",IF(OR(O47="Unknown",Z47="Unknown",AC47="",AH47&lt;&gt;"Paid",AJ47&lt;&gt;"Completed",AO47&lt;&gt;""),"Warning","Clean"))</f>
        <v>Warning</v>
      </c>
    </row>
    <row r="48" spans="1:52" ht="15.75" customHeight="1">
      <c r="A48" s="6" t="s">
        <v>405</v>
      </c>
      <c r="B48" s="7" t="s">
        <v>406</v>
      </c>
      <c r="C48" s="7" t="str">
        <f t="shared" si="0"/>
        <v>2024-07</v>
      </c>
      <c r="D48" s="7" cm="1">
        <f t="array" ref="D48">_xlfn.LET(_xlpm.x,B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45492</v>
      </c>
      <c r="E48" s="7" t="s">
        <v>406</v>
      </c>
      <c r="F48" s="7" cm="1">
        <f t="array" ref="F48">_xlfn.LET(_xlpm.x,E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45492</v>
      </c>
      <c r="G48" s="8" t="str">
        <f t="shared" si="1"/>
        <v>OK</v>
      </c>
      <c r="H48" s="6">
        <f t="shared" si="2"/>
        <v>0</v>
      </c>
      <c r="I48" s="6" t="s">
        <v>407</v>
      </c>
      <c r="J48" s="6" t="s">
        <v>161</v>
      </c>
      <c r="K48" s="6" t="str">
        <f t="shared" si="3"/>
        <v>Ananya Rao</v>
      </c>
      <c r="L48" s="6" t="s">
        <v>46</v>
      </c>
      <c r="M48" s="8" t="str">
        <f t="shared" si="4"/>
        <v>Small Business</v>
      </c>
      <c r="N48" s="6" t="s">
        <v>10</v>
      </c>
      <c r="O48" s="6" t="str">
        <f t="shared" si="5"/>
        <v>South</v>
      </c>
      <c r="P48" s="6" t="s">
        <v>316</v>
      </c>
      <c r="Q48" s="6" t="str">
        <f t="shared" si="6"/>
        <v>Kerala</v>
      </c>
      <c r="R48" s="6" t="s">
        <v>317</v>
      </c>
      <c r="S48" s="6" t="str">
        <f t="shared" si="7"/>
        <v>Kochi</v>
      </c>
      <c r="T48" s="6" t="s">
        <v>14</v>
      </c>
      <c r="U48" s="8" t="str">
        <f t="shared" si="8"/>
        <v>Furniture</v>
      </c>
      <c r="V48" s="6" t="s">
        <v>15</v>
      </c>
      <c r="W48" s="6" t="str">
        <f t="shared" si="9"/>
        <v>Bookcases</v>
      </c>
      <c r="X48" s="6" t="s">
        <v>408</v>
      </c>
      <c r="Y48" s="6" t="s">
        <v>34</v>
      </c>
      <c r="Z48" s="6" t="str">
        <f t="shared" si="10"/>
        <v>Standard Class</v>
      </c>
      <c r="AA48" s="6">
        <v>9</v>
      </c>
      <c r="AB48" s="6">
        <v>2386.79</v>
      </c>
      <c r="AC48" s="6">
        <v>0.25</v>
      </c>
      <c r="AD48" s="6">
        <v>16110.83</v>
      </c>
      <c r="AE48" s="6">
        <v>10680.03</v>
      </c>
      <c r="AF48" s="6">
        <v>5430.8</v>
      </c>
      <c r="AG48" s="6" t="s">
        <v>56</v>
      </c>
      <c r="AH48" s="6" t="str">
        <f t="shared" si="11"/>
        <v>Refunded</v>
      </c>
      <c r="AI48" s="6" t="s">
        <v>59</v>
      </c>
      <c r="AJ48" s="6" t="str">
        <f t="shared" si="12"/>
        <v>Returned</v>
      </c>
      <c r="AK48" s="9" t="str">
        <f>_xlfn.TEXTJOIN("|",FALSE,A48,TEXT(B48,"mm-dd-yyyy"),TEXT(E48,"mm-dd-yyyy"),I48,J48,L48,N48,P48,R48,T48,V48,X48,Y48,AA48,AB48,AC48,AD48,AE48,AF48,AG48,AI48)</f>
        <v>ORD-2024-10047|19-07-2024|19-07-2024|CUST-8517|Ananya Rao|Small Business|South|Kerala|Kochi|Furniture|Bookcases|Elite Bookcases 671|Standard Class|9|2386.79|0.25|16110.83|10680.03|5430.8|Refunded|Returned</v>
      </c>
      <c r="AL48" s="27" t="str">
        <f>IF(COUNTIF($AK$2:AK48,AK48)&gt;1,"Remove exact duplicate copy","Keep")</f>
        <v>Keep</v>
      </c>
      <c r="AM48" s="9">
        <f t="shared" si="13"/>
        <v>1</v>
      </c>
      <c r="AN48" s="9" t="str">
        <f t="shared" si="14"/>
        <v>Unique</v>
      </c>
      <c r="AO48" s="9" t="str">
        <f t="shared" si="15"/>
        <v/>
      </c>
      <c r="AP48" s="9">
        <f t="shared" si="16"/>
        <v>0.25</v>
      </c>
      <c r="AQ48" s="10">
        <f t="shared" si="17"/>
        <v>16110.8325</v>
      </c>
      <c r="AR48" s="10">
        <f t="shared" si="18"/>
        <v>5430.8024999999998</v>
      </c>
      <c r="AS48" s="11">
        <f t="shared" si="19"/>
        <v>0.33709012243780695</v>
      </c>
      <c r="AT48" s="9">
        <f t="shared" si="20"/>
        <v>7</v>
      </c>
      <c r="AU48" s="9">
        <f t="shared" si="21"/>
        <v>2024</v>
      </c>
      <c r="AV48" s="9" t="b">
        <f t="shared" si="22"/>
        <v>0</v>
      </c>
      <c r="AW48" s="9" t="b">
        <f t="shared" si="23"/>
        <v>0</v>
      </c>
      <c r="AX48" s="9" t="str">
        <f t="shared" si="24"/>
        <v>No</v>
      </c>
      <c r="AY48" s="9" t="str">
        <f t="shared" si="25"/>
        <v>Refunded order summarized separately; Returned order excluded</v>
      </c>
      <c r="AZ48" s="9" t="str">
        <f>IF(OR(G48="Missing date",G48="Invalid date",G48="Ship date before order date",NOT(ISNUMBER(AP48)),AP48&lt;0,AP48&gt;0.5,AV48=TRUE,AW48=TRUE),"Invalid",IF(OR(O48="Unknown",Z48="Unknown",AC48="",AH48&lt;&gt;"Paid",AJ48&lt;&gt;"Completed",AO48&lt;&gt;""),"Warning","Clean"))</f>
        <v>Warning</v>
      </c>
    </row>
    <row r="49" spans="1:52" ht="15.75" customHeight="1">
      <c r="A49" s="6" t="s">
        <v>409</v>
      </c>
      <c r="B49" s="7" t="s">
        <v>410</v>
      </c>
      <c r="C49" s="7" t="str">
        <f t="shared" si="0"/>
        <v>2024-08</v>
      </c>
      <c r="D49" s="7" cm="1">
        <f t="array" ref="D49">_xlfn.LET(_xlpm.x,B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45516</v>
      </c>
      <c r="E49" s="7" t="s">
        <v>411</v>
      </c>
      <c r="F49" s="7" cm="1">
        <f t="array" ref="F49">_xlfn.LET(_xlpm.x,E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45516</v>
      </c>
      <c r="G49" s="8" t="str">
        <f t="shared" si="1"/>
        <v>OK</v>
      </c>
      <c r="H49" s="6">
        <f t="shared" si="2"/>
        <v>0</v>
      </c>
      <c r="I49" s="6" t="s">
        <v>412</v>
      </c>
      <c r="J49" s="6" t="s">
        <v>226</v>
      </c>
      <c r="K49" s="6" t="str">
        <f t="shared" si="3"/>
        <v>Rahul Verma</v>
      </c>
      <c r="L49" s="6" t="s">
        <v>45</v>
      </c>
      <c r="M49" s="8" t="str">
        <f t="shared" si="4"/>
        <v>Corporate</v>
      </c>
      <c r="N49" s="6" t="s">
        <v>10</v>
      </c>
      <c r="O49" s="6" t="str">
        <f t="shared" si="5"/>
        <v>South</v>
      </c>
      <c r="P49" s="6" t="s">
        <v>413</v>
      </c>
      <c r="Q49" s="6" t="str">
        <f t="shared" si="6"/>
        <v>Tamil Nadu</v>
      </c>
      <c r="R49" s="6" t="s">
        <v>414</v>
      </c>
      <c r="S49" s="6" t="str">
        <f t="shared" si="7"/>
        <v>Chennai</v>
      </c>
      <c r="T49" s="6" t="s">
        <v>20</v>
      </c>
      <c r="U49" s="8" t="str">
        <f t="shared" si="8"/>
        <v>Office Supplies</v>
      </c>
      <c r="V49" s="6" t="s">
        <v>25</v>
      </c>
      <c r="W49" s="6" t="str">
        <f t="shared" si="9"/>
        <v>Storage</v>
      </c>
      <c r="X49" s="6" t="s">
        <v>415</v>
      </c>
      <c r="Y49" s="6" t="s">
        <v>34</v>
      </c>
      <c r="Z49" s="6" t="str">
        <f t="shared" si="10"/>
        <v>Standard Class</v>
      </c>
      <c r="AA49" s="6">
        <v>8</v>
      </c>
      <c r="AB49" s="6">
        <v>2445.31</v>
      </c>
      <c r="AC49" s="6">
        <v>0.1</v>
      </c>
      <c r="AD49" s="6">
        <v>17606.23</v>
      </c>
      <c r="AE49" s="6">
        <v>12438.96</v>
      </c>
      <c r="AF49" s="6">
        <v>5167.2700000000004</v>
      </c>
      <c r="AG49" s="6" t="s">
        <v>52</v>
      </c>
      <c r="AH49" s="6" t="str">
        <f t="shared" si="11"/>
        <v>Paid</v>
      </c>
      <c r="AI49" s="6" t="s">
        <v>134</v>
      </c>
      <c r="AJ49" s="6" t="str">
        <f t="shared" si="12"/>
        <v>Completed</v>
      </c>
      <c r="AK49" s="9" t="str">
        <f>_xlfn.TEXTJOIN("|",FALSE,A49,TEXT(B49,"mm-dd-yyyy"),TEXT(E49,"mm-dd-yyyy"),I49,J49,L49,N49,P49,R49,T49,V49,X49,Y49,AA49,AB49,AC49,AD49,AE49,AF49,AG49,AI49)</f>
        <v>ORD-2024-10048|12-08-2024|08-12-2024|CUST-1987|Rahul Verma|Corporate|South|Tamil Nadu|Chennai|Office Supplies|Storage|Max Storage 432|Standard Class|8|2445.31|0.1|17606.23|12438.96|5167.27|Paid|Completed</v>
      </c>
      <c r="AL49" s="27" t="str">
        <f>IF(COUNTIF($AK$2:AK49,AK49)&gt;1,"Remove exact duplicate copy","Keep")</f>
        <v>Keep</v>
      </c>
      <c r="AM49" s="9">
        <f t="shared" si="13"/>
        <v>1</v>
      </c>
      <c r="AN49" s="9" t="str">
        <f t="shared" si="14"/>
        <v>Unique</v>
      </c>
      <c r="AO49" s="9" t="str">
        <f t="shared" si="15"/>
        <v/>
      </c>
      <c r="AP49" s="9">
        <f t="shared" si="16"/>
        <v>0.1</v>
      </c>
      <c r="AQ49" s="10">
        <f t="shared" si="17"/>
        <v>17606.232</v>
      </c>
      <c r="AR49" s="10">
        <f t="shared" si="18"/>
        <v>5167.2720000000008</v>
      </c>
      <c r="AS49" s="11">
        <f t="shared" si="19"/>
        <v>0.29349107747756592</v>
      </c>
      <c r="AT49" s="9">
        <f t="shared" si="20"/>
        <v>8</v>
      </c>
      <c r="AU49" s="9">
        <f t="shared" si="21"/>
        <v>2024</v>
      </c>
      <c r="AV49" s="9" t="b">
        <f t="shared" si="22"/>
        <v>0</v>
      </c>
      <c r="AW49" s="9" t="b">
        <f t="shared" si="23"/>
        <v>0</v>
      </c>
      <c r="AX49" s="9" t="str">
        <f t="shared" si="24"/>
        <v>Yes</v>
      </c>
      <c r="AY49" s="9" t="str">
        <f t="shared" si="25"/>
        <v/>
      </c>
      <c r="AZ49" s="9" t="str">
        <f>IF(OR(G49="Missing date",G49="Invalid date",G49="Ship date before order date",NOT(ISNUMBER(AP49)),AP49&lt;0,AP49&gt;0.5,AV49=TRUE,AW49=TRUE),"Invalid",IF(OR(O49="Unknown",Z49="Unknown",AC49="",AH49&lt;&gt;"Paid",AJ49&lt;&gt;"Completed",AO49&lt;&gt;""),"Warning","Clean"))</f>
        <v>Clean</v>
      </c>
    </row>
    <row r="50" spans="1:52" ht="15.75" customHeight="1">
      <c r="A50" s="6" t="s">
        <v>416</v>
      </c>
      <c r="B50" s="7" t="s">
        <v>417</v>
      </c>
      <c r="C50" s="7" t="str">
        <f t="shared" si="0"/>
        <v>2025-01</v>
      </c>
      <c r="D50" s="7" cm="1">
        <f t="array" ref="D50">_xlfn.LET(_xlpm.x,B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45687</v>
      </c>
      <c r="E50" s="7" t="s">
        <v>418</v>
      </c>
      <c r="F50" s="7" cm="1">
        <f t="array" ref="F50">_xlfn.LET(_xlpm.x,E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45693</v>
      </c>
      <c r="G50" s="8" t="str">
        <f t="shared" si="1"/>
        <v>OK</v>
      </c>
      <c r="H50" s="6">
        <f t="shared" si="2"/>
        <v>6</v>
      </c>
      <c r="I50" s="6" t="s">
        <v>419</v>
      </c>
      <c r="J50" s="6" t="s">
        <v>177</v>
      </c>
      <c r="K50" s="6" t="str">
        <f t="shared" si="3"/>
        <v>Neha Gupta</v>
      </c>
      <c r="L50" s="6" t="s">
        <v>45</v>
      </c>
      <c r="M50" s="8" t="str">
        <f t="shared" si="4"/>
        <v>Corporate</v>
      </c>
      <c r="N50" s="6" t="s">
        <v>9</v>
      </c>
      <c r="O50" s="6" t="str">
        <f t="shared" si="5"/>
        <v>West</v>
      </c>
      <c r="P50" s="6" t="s">
        <v>162</v>
      </c>
      <c r="Q50" s="6" t="str">
        <f t="shared" si="6"/>
        <v>Maharashtra</v>
      </c>
      <c r="R50" s="6" t="s">
        <v>163</v>
      </c>
      <c r="S50" s="6" t="str">
        <f t="shared" si="7"/>
        <v>Mumbai</v>
      </c>
      <c r="T50" s="6" t="s">
        <v>14</v>
      </c>
      <c r="U50" s="8" t="str">
        <f t="shared" si="8"/>
        <v>Furniture</v>
      </c>
      <c r="V50" s="6" t="s">
        <v>16</v>
      </c>
      <c r="W50" s="6" t="str">
        <f t="shared" si="9"/>
        <v>Chairs</v>
      </c>
      <c r="X50" s="6" t="s">
        <v>420</v>
      </c>
      <c r="Y50" s="6" t="s">
        <v>421</v>
      </c>
      <c r="Z50" s="6" t="str">
        <f t="shared" si="10"/>
        <v>Second Class</v>
      </c>
      <c r="AA50" s="6">
        <v>7</v>
      </c>
      <c r="AB50" s="6">
        <v>4063.66</v>
      </c>
      <c r="AC50" s="6">
        <v>0</v>
      </c>
      <c r="AD50" s="6">
        <v>28445.62</v>
      </c>
      <c r="AE50" s="6">
        <v>20938.59</v>
      </c>
      <c r="AF50" s="6">
        <v>7507.03</v>
      </c>
      <c r="AG50" s="6" t="s">
        <v>52</v>
      </c>
      <c r="AH50" s="6" t="str">
        <f t="shared" si="11"/>
        <v>Paid</v>
      </c>
      <c r="AI50" s="6" t="s">
        <v>134</v>
      </c>
      <c r="AJ50" s="6" t="str">
        <f t="shared" si="12"/>
        <v>Completed</v>
      </c>
      <c r="AK50" s="9" t="str">
        <f>_xlfn.TEXTJOIN("|",FALSE,A50,TEXT(B50,"mm-dd-yyyy"),TEXT(E50,"mm-dd-yyyy"),I50,J50,L50,N50,P50,R50,T50,V50,X50,Y50,AA50,AB50,AC50,AD50,AE50,AF50,AG50,AI50)</f>
        <v>ORD-2025-10049|01-30-2025|02-05-2025|CUST-8183|Neha Gupta|Corporate|West|Maharashtra|Mumbai|Furniture|Chairs|Basic Chairs 837|Second Class |7|4063.66|0|28445.62|20938.59|7507.03|Paid|Completed</v>
      </c>
      <c r="AL50" s="27" t="str">
        <f>IF(COUNTIF($AK$2:AK50,AK50)&gt;1,"Remove exact duplicate copy","Keep")</f>
        <v>Keep</v>
      </c>
      <c r="AM50" s="9">
        <f t="shared" si="13"/>
        <v>1</v>
      </c>
      <c r="AN50" s="9" t="str">
        <f t="shared" si="14"/>
        <v>Unique</v>
      </c>
      <c r="AO50" s="9" t="str">
        <f t="shared" si="15"/>
        <v/>
      </c>
      <c r="AP50" s="9">
        <f t="shared" si="16"/>
        <v>0</v>
      </c>
      <c r="AQ50" s="10">
        <f t="shared" si="17"/>
        <v>28445.62</v>
      </c>
      <c r="AR50" s="10">
        <f t="shared" si="18"/>
        <v>7507.0299999999988</v>
      </c>
      <c r="AS50" s="11">
        <f t="shared" si="19"/>
        <v>0.26390811660986818</v>
      </c>
      <c r="AT50" s="9">
        <f t="shared" si="20"/>
        <v>1</v>
      </c>
      <c r="AU50" s="9">
        <f t="shared" si="21"/>
        <v>2025</v>
      </c>
      <c r="AV50" s="9" t="b">
        <f t="shared" si="22"/>
        <v>0</v>
      </c>
      <c r="AW50" s="9" t="b">
        <f t="shared" si="23"/>
        <v>0</v>
      </c>
      <c r="AX50" s="9" t="str">
        <f t="shared" si="24"/>
        <v>Yes</v>
      </c>
      <c r="AY50" s="9" t="str">
        <f t="shared" si="25"/>
        <v/>
      </c>
      <c r="AZ50" s="9" t="str">
        <f>IF(OR(G50="Missing date",G50="Invalid date",G50="Ship date before order date",NOT(ISNUMBER(AP50)),AP50&lt;0,AP50&gt;0.5,AV50=TRUE,AW50=TRUE),"Invalid",IF(OR(O50="Unknown",Z50="Unknown",AC50="",AH50&lt;&gt;"Paid",AJ50&lt;&gt;"Completed",AO50&lt;&gt;""),"Warning","Clean"))</f>
        <v>Clean</v>
      </c>
    </row>
    <row r="51" spans="1:52" ht="15.75" customHeight="1">
      <c r="A51" s="6" t="s">
        <v>422</v>
      </c>
      <c r="B51" s="7" t="s">
        <v>423</v>
      </c>
      <c r="C51" s="7" t="str">
        <f t="shared" si="0"/>
        <v>2024-04</v>
      </c>
      <c r="D51" s="7" cm="1">
        <f t="array" ref="D51">_xlfn.LET(_xlpm.x,B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45388</v>
      </c>
      <c r="E51" s="7" t="s">
        <v>424</v>
      </c>
      <c r="F51" s="7" cm="1">
        <f t="array" ref="F51">_xlfn.LET(_xlpm.x,E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45395</v>
      </c>
      <c r="G51" s="8" t="str">
        <f t="shared" si="1"/>
        <v>OK</v>
      </c>
      <c r="H51" s="6">
        <f t="shared" si="2"/>
        <v>7</v>
      </c>
      <c r="I51" s="6" t="s">
        <v>425</v>
      </c>
      <c r="J51" s="6" t="s">
        <v>239</v>
      </c>
      <c r="K51" s="6" t="str">
        <f t="shared" si="3"/>
        <v>Aarav Sharma</v>
      </c>
      <c r="L51" s="6" t="s">
        <v>44</v>
      </c>
      <c r="M51" s="8" t="str">
        <f t="shared" si="4"/>
        <v>Home Office</v>
      </c>
      <c r="N51" s="6" t="s">
        <v>7</v>
      </c>
      <c r="O51" s="6" t="str">
        <f t="shared" si="5"/>
        <v>North</v>
      </c>
      <c r="P51" s="6" t="s">
        <v>251</v>
      </c>
      <c r="Q51" s="6" t="str">
        <f t="shared" si="6"/>
        <v>Uttar Pradesh</v>
      </c>
      <c r="R51" s="6" t="s">
        <v>252</v>
      </c>
      <c r="S51" s="6" t="str">
        <f t="shared" si="7"/>
        <v>Noida</v>
      </c>
      <c r="T51" s="6" t="s">
        <v>27</v>
      </c>
      <c r="U51" s="8" t="str">
        <f t="shared" si="8"/>
        <v>Technology</v>
      </c>
      <c r="V51" s="6" t="s">
        <v>29</v>
      </c>
      <c r="W51" s="6" t="str">
        <f t="shared" si="9"/>
        <v>Copiers</v>
      </c>
      <c r="X51" s="6" t="s">
        <v>426</v>
      </c>
      <c r="Y51" s="6" t="s">
        <v>36</v>
      </c>
      <c r="Z51" s="6" t="str">
        <f t="shared" si="10"/>
        <v>Second Class</v>
      </c>
      <c r="AA51" s="6">
        <v>9</v>
      </c>
      <c r="AB51" s="6">
        <v>792.11</v>
      </c>
      <c r="AC51" s="6">
        <v>0.05</v>
      </c>
      <c r="AD51" s="6">
        <v>6772.54</v>
      </c>
      <c r="AE51" s="6">
        <v>5755.46</v>
      </c>
      <c r="AF51" s="6">
        <v>1017.08</v>
      </c>
      <c r="AG51" s="6" t="s">
        <v>52</v>
      </c>
      <c r="AH51" s="6" t="str">
        <f t="shared" si="11"/>
        <v>Paid</v>
      </c>
      <c r="AI51" s="6" t="s">
        <v>134</v>
      </c>
      <c r="AJ51" s="6" t="str">
        <f t="shared" si="12"/>
        <v>Completed</v>
      </c>
      <c r="AK51" s="9" t="str">
        <f>_xlfn.TEXTJOIN("|",FALSE,A51,TEXT(B51,"mm-dd-yyyy"),TEXT(E51,"mm-dd-yyyy"),I51,J51,L51,N51,P51,R51,T51,V51,X51,Y51,AA51,AB51,AC51,AD51,AE51,AF51,AG51,AI51)</f>
        <v>ORD-2024-10050|04-06-2024|04-13-2024|CUST-2380|Aarav Sharma|Home Office|North|Uttar Pradesh|Noida|Technology|Copiers|Classic Copiers 295|Second Class|9|792.11|0.05|6772.54|5755.46|1017.08|Paid|Completed</v>
      </c>
      <c r="AL51" s="27" t="str">
        <f>IF(COUNTIF($AK$2:AK51,AK51)&gt;1,"Remove exact duplicate copy","Keep")</f>
        <v>Keep</v>
      </c>
      <c r="AM51" s="9">
        <f t="shared" si="13"/>
        <v>1</v>
      </c>
      <c r="AN51" s="9" t="str">
        <f t="shared" si="14"/>
        <v>Unique</v>
      </c>
      <c r="AO51" s="9" t="str">
        <f t="shared" si="15"/>
        <v/>
      </c>
      <c r="AP51" s="9">
        <f t="shared" si="16"/>
        <v>0.05</v>
      </c>
      <c r="AQ51" s="10">
        <f t="shared" si="17"/>
        <v>6772.5404999999992</v>
      </c>
      <c r="AR51" s="10">
        <f t="shared" si="18"/>
        <v>1017.0804999999991</v>
      </c>
      <c r="AS51" s="11">
        <f t="shared" si="19"/>
        <v>0.15017710119267641</v>
      </c>
      <c r="AT51" s="9">
        <f t="shared" si="20"/>
        <v>4</v>
      </c>
      <c r="AU51" s="9">
        <f t="shared" si="21"/>
        <v>2024</v>
      </c>
      <c r="AV51" s="9" t="b">
        <f t="shared" si="22"/>
        <v>0</v>
      </c>
      <c r="AW51" s="9" t="b">
        <f t="shared" si="23"/>
        <v>0</v>
      </c>
      <c r="AX51" s="9" t="str">
        <f t="shared" si="24"/>
        <v>Yes</v>
      </c>
      <c r="AY51" s="9" t="str">
        <f t="shared" si="25"/>
        <v/>
      </c>
      <c r="AZ51" s="9" t="str">
        <f>IF(OR(G51="Missing date",G51="Invalid date",G51="Ship date before order date",NOT(ISNUMBER(AP51)),AP51&lt;0,AP51&gt;0.5,AV51=TRUE,AW51=TRUE),"Invalid",IF(OR(O51="Unknown",Z51="Unknown",AC51="",AH51&lt;&gt;"Paid",AJ51&lt;&gt;"Completed",AO51&lt;&gt;""),"Warning","Clean"))</f>
        <v>Clean</v>
      </c>
    </row>
    <row r="52" spans="1:52" ht="15.75" customHeight="1">
      <c r="A52" s="6" t="s">
        <v>427</v>
      </c>
      <c r="B52" s="7" t="s">
        <v>428</v>
      </c>
      <c r="C52" s="7" t="str">
        <f t="shared" si="0"/>
        <v>2025-05</v>
      </c>
      <c r="D52" s="7" cm="1">
        <f t="array" ref="D52">_xlfn.LET(_xlpm.x,B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45788</v>
      </c>
      <c r="E52" s="7" t="s">
        <v>429</v>
      </c>
      <c r="F52" s="7" cm="1">
        <f t="array" ref="F52">_xlfn.LET(_xlpm.x,E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45796</v>
      </c>
      <c r="G52" s="8" t="str">
        <f t="shared" si="1"/>
        <v>OK</v>
      </c>
      <c r="H52" s="6">
        <f t="shared" si="2"/>
        <v>8</v>
      </c>
      <c r="I52" s="6" t="s">
        <v>430</v>
      </c>
      <c r="J52" s="6" t="s">
        <v>245</v>
      </c>
      <c r="K52" s="6" t="str">
        <f t="shared" si="3"/>
        <v>Sneha Kapoor</v>
      </c>
      <c r="L52" s="6" t="s">
        <v>43</v>
      </c>
      <c r="M52" s="8" t="str">
        <f t="shared" si="4"/>
        <v>Consumer</v>
      </c>
      <c r="N52" s="6" t="s">
        <v>8</v>
      </c>
      <c r="O52" s="6" t="str">
        <f t="shared" si="5"/>
        <v>East</v>
      </c>
      <c r="P52" s="6" t="s">
        <v>201</v>
      </c>
      <c r="Q52" s="6" t="str">
        <f t="shared" si="6"/>
        <v>West Bengal</v>
      </c>
      <c r="R52" s="6" t="s">
        <v>202</v>
      </c>
      <c r="S52" s="6" t="str">
        <f t="shared" si="7"/>
        <v>Kolkata</v>
      </c>
      <c r="T52" s="6" t="s">
        <v>27</v>
      </c>
      <c r="U52" s="8" t="str">
        <f t="shared" si="8"/>
        <v>Technology</v>
      </c>
      <c r="V52" s="6" t="s">
        <v>29</v>
      </c>
      <c r="W52" s="6" t="str">
        <f t="shared" si="9"/>
        <v>Copiers</v>
      </c>
      <c r="X52" s="6" t="s">
        <v>431</v>
      </c>
      <c r="Y52" s="6" t="s">
        <v>34</v>
      </c>
      <c r="Z52" s="6" t="str">
        <f t="shared" si="10"/>
        <v>Standard Class</v>
      </c>
      <c r="AA52" s="6">
        <v>1</v>
      </c>
      <c r="AB52" s="6">
        <v>2382.8000000000002</v>
      </c>
      <c r="AC52" s="6">
        <v>0.15</v>
      </c>
      <c r="AD52" s="6">
        <v>2025.38</v>
      </c>
      <c r="AE52" s="6">
        <v>1140.6500000000001</v>
      </c>
      <c r="AF52" s="6">
        <v>884.73</v>
      </c>
      <c r="AG52" s="6" t="s">
        <v>52</v>
      </c>
      <c r="AH52" s="6" t="str">
        <f t="shared" si="11"/>
        <v>Paid</v>
      </c>
      <c r="AI52" s="6" t="s">
        <v>134</v>
      </c>
      <c r="AJ52" s="6" t="str">
        <f t="shared" si="12"/>
        <v>Completed</v>
      </c>
      <c r="AK52" s="9" t="str">
        <f>_xlfn.TEXTJOIN("|",FALSE,A52,TEXT(B52,"mm-dd-yyyy"),TEXT(E52,"mm-dd-yyyy"),I52,J52,L52,N52,P52,R52,T52,V52,X52,Y52,AA52,AB52,AC52,AD52,AE52,AF52,AG52,AI52)</f>
        <v>ORD-2025-10051|05-11-2025|05-19-2025|CUST-8787|Sneha Kapoor|Consumer|East|West Bengal|Kolkata|Technology|Copiers|Pro Copiers 963|Standard Class|1|2382.8|0.15|2025.38|1140.65|884.73|Paid|Completed</v>
      </c>
      <c r="AL52" s="27" t="str">
        <f>IF(COUNTIF($AK$2:AK52,AK52)&gt;1,"Remove exact duplicate copy","Keep")</f>
        <v>Keep</v>
      </c>
      <c r="AM52" s="9">
        <f t="shared" si="13"/>
        <v>1</v>
      </c>
      <c r="AN52" s="9" t="str">
        <f t="shared" si="14"/>
        <v>Unique</v>
      </c>
      <c r="AO52" s="9" t="str">
        <f t="shared" si="15"/>
        <v/>
      </c>
      <c r="AP52" s="9">
        <f t="shared" si="16"/>
        <v>0.15</v>
      </c>
      <c r="AQ52" s="10">
        <f t="shared" si="17"/>
        <v>2025.38</v>
      </c>
      <c r="AR52" s="10">
        <f t="shared" si="18"/>
        <v>884.73</v>
      </c>
      <c r="AS52" s="11">
        <f t="shared" si="19"/>
        <v>0.43682173221815163</v>
      </c>
      <c r="AT52" s="9">
        <f t="shared" si="20"/>
        <v>5</v>
      </c>
      <c r="AU52" s="9">
        <f t="shared" si="21"/>
        <v>2025</v>
      </c>
      <c r="AV52" s="9" t="b">
        <f t="shared" si="22"/>
        <v>0</v>
      </c>
      <c r="AW52" s="9" t="b">
        <f t="shared" si="23"/>
        <v>0</v>
      </c>
      <c r="AX52" s="9" t="str">
        <f t="shared" si="24"/>
        <v>Yes</v>
      </c>
      <c r="AY52" s="9" t="str">
        <f t="shared" si="25"/>
        <v/>
      </c>
      <c r="AZ52" s="9" t="str">
        <f>IF(OR(G52="Missing date",G52="Invalid date",G52="Ship date before order date",NOT(ISNUMBER(AP52)),AP52&lt;0,AP52&gt;0.5,AV52=TRUE,AW52=TRUE),"Invalid",IF(OR(O52="Unknown",Z52="Unknown",AC52="",AH52&lt;&gt;"Paid",AJ52&lt;&gt;"Completed",AO52&lt;&gt;""),"Warning","Clean"))</f>
        <v>Clean</v>
      </c>
    </row>
    <row r="53" spans="1:52" ht="15.75" customHeight="1">
      <c r="A53" s="6" t="s">
        <v>432</v>
      </c>
      <c r="B53" s="7" t="s">
        <v>433</v>
      </c>
      <c r="C53" s="7" t="str">
        <f t="shared" si="0"/>
        <v>2024-04</v>
      </c>
      <c r="D53" s="7" cm="1">
        <f t="array" ref="D53">_xlfn.LET(_xlpm.x,B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45406</v>
      </c>
      <c r="E53" s="7" t="s">
        <v>434</v>
      </c>
      <c r="F53" s="7" cm="1">
        <f t="array" ref="F53">_xlfn.LET(_xlpm.x,E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45411</v>
      </c>
      <c r="G53" s="8" t="str">
        <f t="shared" si="1"/>
        <v>OK</v>
      </c>
      <c r="H53" s="6">
        <f t="shared" si="2"/>
        <v>5</v>
      </c>
      <c r="I53" s="6" t="s">
        <v>435</v>
      </c>
      <c r="J53" s="6" t="s">
        <v>436</v>
      </c>
      <c r="K53" s="6" t="str">
        <f t="shared" si="3"/>
        <v>Ananya Rao</v>
      </c>
      <c r="L53" s="6" t="s">
        <v>45</v>
      </c>
      <c r="M53" s="8" t="str">
        <f t="shared" si="4"/>
        <v>Corporate</v>
      </c>
      <c r="N53" s="6" t="s">
        <v>10</v>
      </c>
      <c r="O53" s="6" t="str">
        <f t="shared" si="5"/>
        <v>South</v>
      </c>
      <c r="P53" s="6" t="s">
        <v>154</v>
      </c>
      <c r="Q53" s="6" t="str">
        <f t="shared" si="6"/>
        <v>Telangana</v>
      </c>
      <c r="R53" s="6" t="s">
        <v>155</v>
      </c>
      <c r="S53" s="6" t="str">
        <f t="shared" si="7"/>
        <v>Hyderabad</v>
      </c>
      <c r="T53" s="6" t="s">
        <v>20</v>
      </c>
      <c r="U53" s="8" t="str">
        <f t="shared" si="8"/>
        <v>Office Supplies</v>
      </c>
      <c r="V53" s="6" t="s">
        <v>21</v>
      </c>
      <c r="W53" s="6" t="str">
        <f t="shared" si="9"/>
        <v>Art</v>
      </c>
      <c r="X53" s="6" t="s">
        <v>437</v>
      </c>
      <c r="Y53" s="6" t="s">
        <v>34</v>
      </c>
      <c r="Z53" s="6" t="str">
        <f t="shared" si="10"/>
        <v>Standard Class</v>
      </c>
      <c r="AA53" s="6">
        <v>6</v>
      </c>
      <c r="AB53" s="6">
        <v>1528.08</v>
      </c>
      <c r="AC53" s="6">
        <v>0</v>
      </c>
      <c r="AD53" s="6">
        <v>9168.48</v>
      </c>
      <c r="AE53" s="6">
        <v>7439.77</v>
      </c>
      <c r="AF53" s="6">
        <v>1728.71</v>
      </c>
      <c r="AG53" s="6" t="s">
        <v>52</v>
      </c>
      <c r="AH53" s="6" t="str">
        <f t="shared" si="11"/>
        <v>Paid</v>
      </c>
      <c r="AI53" s="6" t="s">
        <v>134</v>
      </c>
      <c r="AJ53" s="6" t="str">
        <f t="shared" si="12"/>
        <v>Completed</v>
      </c>
      <c r="AK53" s="9" t="str">
        <f>_xlfn.TEXTJOIN("|",FALSE,A53,TEXT(B53,"mm-dd-yyyy"),TEXT(E53,"mm-dd-yyyy"),I53,J53,L53,N53,P53,R53,T53,V53,X53,Y53,AA53,AB53,AC53,AD53,AE53,AF53,AG53,AI53)</f>
        <v>ORD-2024-10052|04-24-2024|04-29-2024|CUST-3557|Ananya Rao |Corporate|South|Telangana|Hyderabad|Office Supplies|Art|Pro Art 907|Standard Class|6|1528.08|0|9168.48|7439.77|1728.71|Paid|Completed</v>
      </c>
      <c r="AL53" s="27" t="str">
        <f>IF(COUNTIF($AK$2:AK53,AK53)&gt;1,"Remove exact duplicate copy","Keep")</f>
        <v>Keep</v>
      </c>
      <c r="AM53" s="9">
        <f t="shared" si="13"/>
        <v>1</v>
      </c>
      <c r="AN53" s="9" t="str">
        <f t="shared" si="14"/>
        <v>Unique</v>
      </c>
      <c r="AO53" s="9" t="str">
        <f t="shared" si="15"/>
        <v/>
      </c>
      <c r="AP53" s="9">
        <f t="shared" si="16"/>
        <v>0</v>
      </c>
      <c r="AQ53" s="10">
        <f t="shared" si="17"/>
        <v>9168.48</v>
      </c>
      <c r="AR53" s="10">
        <f t="shared" si="18"/>
        <v>1728.7099999999991</v>
      </c>
      <c r="AS53" s="11">
        <f t="shared" si="19"/>
        <v>0.18854924698532355</v>
      </c>
      <c r="AT53" s="9">
        <f t="shared" si="20"/>
        <v>4</v>
      </c>
      <c r="AU53" s="9">
        <f t="shared" si="21"/>
        <v>2024</v>
      </c>
      <c r="AV53" s="9" t="b">
        <f t="shared" si="22"/>
        <v>0</v>
      </c>
      <c r="AW53" s="9" t="b">
        <f t="shared" si="23"/>
        <v>0</v>
      </c>
      <c r="AX53" s="9" t="str">
        <f t="shared" si="24"/>
        <v>Yes</v>
      </c>
      <c r="AY53" s="9" t="str">
        <f t="shared" si="25"/>
        <v/>
      </c>
      <c r="AZ53" s="9" t="str">
        <f>IF(OR(G53="Missing date",G53="Invalid date",G53="Ship date before order date",NOT(ISNUMBER(AP53)),AP53&lt;0,AP53&gt;0.5,AV53=TRUE,AW53=TRUE),"Invalid",IF(OR(O53="Unknown",Z53="Unknown",AC53="",AH53&lt;&gt;"Paid",AJ53&lt;&gt;"Completed",AO53&lt;&gt;""),"Warning","Clean"))</f>
        <v>Clean</v>
      </c>
    </row>
    <row r="54" spans="1:52" ht="15.75" customHeight="1">
      <c r="A54" s="6" t="s">
        <v>438</v>
      </c>
      <c r="B54" s="7" t="s">
        <v>439</v>
      </c>
      <c r="C54" s="7" t="str">
        <f t="shared" si="0"/>
        <v>2024-10</v>
      </c>
      <c r="D54" s="7" cm="1">
        <f t="array" ref="D54">_xlfn.LET(_xlpm.x,B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45591</v>
      </c>
      <c r="E54" s="7" t="s">
        <v>440</v>
      </c>
      <c r="F54" s="7" cm="1">
        <f t="array" ref="F54">_xlfn.LET(_xlpm.x,E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45593</v>
      </c>
      <c r="G54" s="8" t="str">
        <f t="shared" si="1"/>
        <v>OK</v>
      </c>
      <c r="H54" s="6">
        <f t="shared" si="2"/>
        <v>2</v>
      </c>
      <c r="I54" s="6" t="s">
        <v>441</v>
      </c>
      <c r="J54" s="6" t="s">
        <v>442</v>
      </c>
      <c r="K54" s="6" t="str">
        <f t="shared" si="3"/>
        <v>Kabir Singh</v>
      </c>
      <c r="L54" s="6" t="s">
        <v>46</v>
      </c>
      <c r="M54" s="8" t="str">
        <f t="shared" si="4"/>
        <v>Small Business</v>
      </c>
      <c r="N54" s="6" t="s">
        <v>7</v>
      </c>
      <c r="O54" s="6" t="str">
        <f t="shared" si="5"/>
        <v>North</v>
      </c>
      <c r="P54" s="6" t="s">
        <v>131</v>
      </c>
      <c r="Q54" s="6" t="str">
        <f t="shared" si="6"/>
        <v>Rajasthan</v>
      </c>
      <c r="R54" s="6" t="s">
        <v>132</v>
      </c>
      <c r="S54" s="6" t="str">
        <f t="shared" si="7"/>
        <v>Jaipur</v>
      </c>
      <c r="T54" s="6" t="s">
        <v>14</v>
      </c>
      <c r="U54" s="8" t="str">
        <f t="shared" si="8"/>
        <v>Furniture</v>
      </c>
      <c r="V54" s="6" t="s">
        <v>16</v>
      </c>
      <c r="W54" s="6" t="str">
        <f t="shared" si="9"/>
        <v>Chairs</v>
      </c>
      <c r="X54" s="6" t="s">
        <v>443</v>
      </c>
      <c r="Y54" s="6" t="s">
        <v>35</v>
      </c>
      <c r="Z54" s="6" t="str">
        <f t="shared" si="10"/>
        <v>First Class</v>
      </c>
      <c r="AA54" s="6">
        <v>9</v>
      </c>
      <c r="AB54" s="6">
        <v>1399.63</v>
      </c>
      <c r="AC54" s="6">
        <v>0</v>
      </c>
      <c r="AD54" s="6">
        <v>12596.67</v>
      </c>
      <c r="AE54" s="6">
        <v>10603.29</v>
      </c>
      <c r="AF54" s="6">
        <v>1993.38</v>
      </c>
      <c r="AG54" s="6" t="s">
        <v>50</v>
      </c>
      <c r="AH54" s="6" t="str">
        <f t="shared" si="11"/>
        <v>Failed</v>
      </c>
      <c r="AI54" s="6" t="s">
        <v>58</v>
      </c>
      <c r="AJ54" s="6" t="str">
        <f t="shared" si="12"/>
        <v>Cancelled</v>
      </c>
      <c r="AK54" s="9" t="str">
        <f>_xlfn.TEXTJOIN("|",FALSE,A54,TEXT(B54,"mm-dd-yyyy"),TEXT(E54,"mm-dd-yyyy"),I54,J54,L54,N54,P54,R54,T54,V54,X54,Y54,AA54,AB54,AC54,AD54,AE54,AF54,AG54,AI54)</f>
        <v>ORD-2024-10053|26-10-2024|10-28-2024|CUST-2778|Kabir Singh|Small Business|North|Rajasthan|Jaipur|Furniture|Chairs|Pro Chairs 526|First Class|9|1399.63|0|12596.67|10603.29|1993.38|Failed|Cancelled</v>
      </c>
      <c r="AL54" s="27" t="str">
        <f>IF(COUNTIF($AK$2:AK54,AK54)&gt;1,"Remove exact duplicate copy","Keep")</f>
        <v>Keep</v>
      </c>
      <c r="AM54" s="9">
        <f t="shared" si="13"/>
        <v>1</v>
      </c>
      <c r="AN54" s="9" t="str">
        <f t="shared" si="14"/>
        <v>Unique</v>
      </c>
      <c r="AO54" s="9" t="str">
        <f t="shared" si="15"/>
        <v/>
      </c>
      <c r="AP54" s="9">
        <f t="shared" si="16"/>
        <v>0</v>
      </c>
      <c r="AQ54" s="10">
        <f t="shared" si="17"/>
        <v>12596.670000000002</v>
      </c>
      <c r="AR54" s="10">
        <f t="shared" si="18"/>
        <v>1993.380000000001</v>
      </c>
      <c r="AS54" s="11">
        <f t="shared" si="19"/>
        <v>0.15824658421630483</v>
      </c>
      <c r="AT54" s="9">
        <f t="shared" si="20"/>
        <v>10</v>
      </c>
      <c r="AU54" s="9">
        <f t="shared" si="21"/>
        <v>2024</v>
      </c>
      <c r="AV54" s="9" t="b">
        <f t="shared" si="22"/>
        <v>0</v>
      </c>
      <c r="AW54" s="9" t="b">
        <f t="shared" si="23"/>
        <v>0</v>
      </c>
      <c r="AX54" s="9" t="str">
        <f t="shared" si="24"/>
        <v>No</v>
      </c>
      <c r="AY54" s="9" t="str">
        <f t="shared" si="25"/>
        <v>Failed payment excluded; Cancelled order excluded</v>
      </c>
      <c r="AZ54" s="9" t="str">
        <f>IF(OR(G54="Missing date",G54="Invalid date",G54="Ship date before order date",NOT(ISNUMBER(AP54)),AP54&lt;0,AP54&gt;0.5,AV54=TRUE,AW54=TRUE),"Invalid",IF(OR(O54="Unknown",Z54="Unknown",AC54="",AH54&lt;&gt;"Paid",AJ54&lt;&gt;"Completed",AO54&lt;&gt;""),"Warning","Clean"))</f>
        <v>Warning</v>
      </c>
    </row>
    <row r="55" spans="1:52" ht="15.75" customHeight="1">
      <c r="A55" s="6" t="s">
        <v>444</v>
      </c>
      <c r="B55" s="7" t="s">
        <v>445</v>
      </c>
      <c r="C55" s="7" t="str">
        <f t="shared" si="0"/>
        <v>2025-03</v>
      </c>
      <c r="D55" s="7" cm="1">
        <f t="array" ref="D55">_xlfn.LET(_xlpm.x,B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45747</v>
      </c>
      <c r="E55" s="7" t="s">
        <v>446</v>
      </c>
      <c r="F55" s="7" cm="1">
        <f t="array" ref="F55">_xlfn.LET(_xlpm.x,E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45747</v>
      </c>
      <c r="G55" s="8" t="str">
        <f t="shared" si="1"/>
        <v>OK</v>
      </c>
      <c r="H55" s="6">
        <f t="shared" si="2"/>
        <v>0</v>
      </c>
      <c r="I55" s="6" t="s">
        <v>447</v>
      </c>
      <c r="J55" s="6" t="s">
        <v>442</v>
      </c>
      <c r="K55" s="6" t="str">
        <f t="shared" si="3"/>
        <v>Kabir Singh</v>
      </c>
      <c r="L55" s="6" t="s">
        <v>44</v>
      </c>
      <c r="M55" s="8" t="str">
        <f t="shared" si="4"/>
        <v>Home Office</v>
      </c>
      <c r="N55" s="6" t="s">
        <v>9</v>
      </c>
      <c r="O55" s="6" t="str">
        <f t="shared" si="5"/>
        <v>West</v>
      </c>
      <c r="P55" s="6" t="s">
        <v>309</v>
      </c>
      <c r="Q55" s="6" t="str">
        <f t="shared" si="6"/>
        <v>Gujarat</v>
      </c>
      <c r="R55" s="6" t="s">
        <v>310</v>
      </c>
      <c r="S55" s="6" t="str">
        <f t="shared" si="7"/>
        <v>Ahmedabad</v>
      </c>
      <c r="T55" s="6" t="s">
        <v>20</v>
      </c>
      <c r="U55" s="8" t="str">
        <f t="shared" si="8"/>
        <v>Office Supplies</v>
      </c>
      <c r="V55" s="6" t="s">
        <v>25</v>
      </c>
      <c r="W55" s="6" t="str">
        <f t="shared" si="9"/>
        <v>Storage</v>
      </c>
      <c r="X55" s="6" t="s">
        <v>448</v>
      </c>
      <c r="Y55" s="6" t="s">
        <v>35</v>
      </c>
      <c r="Z55" s="6" t="str">
        <f t="shared" si="10"/>
        <v>First Class</v>
      </c>
      <c r="AA55" s="6">
        <v>5</v>
      </c>
      <c r="AB55" s="6">
        <v>1207.47</v>
      </c>
      <c r="AC55" s="6">
        <v>0.15</v>
      </c>
      <c r="AD55" s="6">
        <v>5131.75</v>
      </c>
      <c r="AE55" s="6">
        <v>2838.68</v>
      </c>
      <c r="AF55" s="6">
        <v>2293.0700000000002</v>
      </c>
      <c r="AG55" s="6" t="s">
        <v>52</v>
      </c>
      <c r="AH55" s="6" t="str">
        <f t="shared" si="11"/>
        <v>Paid</v>
      </c>
      <c r="AI55" s="6" t="s">
        <v>134</v>
      </c>
      <c r="AJ55" s="6" t="str">
        <f t="shared" si="12"/>
        <v>Completed</v>
      </c>
      <c r="AK55" s="9" t="str">
        <f>_xlfn.TEXTJOIN("|",FALSE,A55,TEXT(B55,"mm-dd-yyyy"),TEXT(E55,"mm-dd-yyyy"),I55,J55,L55,N55,P55,R55,T55,V55,X55,Y55,AA55,AB55,AC55,AD55,AE55,AF55,AG55,AI55)</f>
        <v>ORD-2025-10054|03-31-2025|03-31-2025|CUST-7195|Kabir Singh|Home Office|West|Gujarat|Ahmedabad|Office Supplies|Storage|Elite Storage 924|First Class|5|1207.47|0.15|5131.75|2838.68|2293.07|Paid|Completed</v>
      </c>
      <c r="AL55" s="27" t="str">
        <f>IF(COUNTIF($AK$2:AK55,AK55)&gt;1,"Remove exact duplicate copy","Keep")</f>
        <v>Keep</v>
      </c>
      <c r="AM55" s="9">
        <f t="shared" si="13"/>
        <v>1</v>
      </c>
      <c r="AN55" s="9" t="str">
        <f t="shared" si="14"/>
        <v>Unique</v>
      </c>
      <c r="AO55" s="9" t="str">
        <f t="shared" si="15"/>
        <v/>
      </c>
      <c r="AP55" s="9">
        <f t="shared" si="16"/>
        <v>0.15</v>
      </c>
      <c r="AQ55" s="10">
        <f t="shared" si="17"/>
        <v>5131.7475000000004</v>
      </c>
      <c r="AR55" s="10">
        <f t="shared" si="18"/>
        <v>2293.0675000000006</v>
      </c>
      <c r="AS55" s="11">
        <f t="shared" si="19"/>
        <v>0.44683950252813498</v>
      </c>
      <c r="AT55" s="9">
        <f t="shared" si="20"/>
        <v>3</v>
      </c>
      <c r="AU55" s="9">
        <f t="shared" si="21"/>
        <v>2025</v>
      </c>
      <c r="AV55" s="9" t="b">
        <f t="shared" si="22"/>
        <v>0</v>
      </c>
      <c r="AW55" s="9" t="b">
        <f t="shared" si="23"/>
        <v>0</v>
      </c>
      <c r="AX55" s="9" t="str">
        <f t="shared" si="24"/>
        <v>Yes</v>
      </c>
      <c r="AY55" s="9" t="str">
        <f t="shared" si="25"/>
        <v/>
      </c>
      <c r="AZ55" s="9" t="str">
        <f>IF(OR(G55="Missing date",G55="Invalid date",G55="Ship date before order date",NOT(ISNUMBER(AP55)),AP55&lt;0,AP55&gt;0.5,AV55=TRUE,AW55=TRUE),"Invalid",IF(OR(O55="Unknown",Z55="Unknown",AC55="",AH55&lt;&gt;"Paid",AJ55&lt;&gt;"Completed",AO55&lt;&gt;""),"Warning","Clean"))</f>
        <v>Clean</v>
      </c>
    </row>
    <row r="56" spans="1:52" ht="15.75" customHeight="1">
      <c r="A56" s="6" t="s">
        <v>449</v>
      </c>
      <c r="B56" s="7" t="s">
        <v>450</v>
      </c>
      <c r="C56" s="7" t="str">
        <f t="shared" si="0"/>
        <v>2025-05</v>
      </c>
      <c r="D56" s="7" cm="1">
        <f t="array" ref="D56">_xlfn.LET(_xlpm.x,B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45807</v>
      </c>
      <c r="E56" s="7" t="s">
        <v>451</v>
      </c>
      <c r="F56" s="7" cm="1">
        <f t="array" ref="F56">_xlfn.LET(_xlpm.x,E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45810</v>
      </c>
      <c r="G56" s="8" t="str">
        <f t="shared" si="1"/>
        <v>OK</v>
      </c>
      <c r="H56" s="6">
        <f t="shared" si="2"/>
        <v>3</v>
      </c>
      <c r="I56" s="6" t="s">
        <v>452</v>
      </c>
      <c r="J56" s="6" t="s">
        <v>153</v>
      </c>
      <c r="K56" s="6" t="str">
        <f t="shared" si="3"/>
        <v>Arjun Bose</v>
      </c>
      <c r="L56" s="6" t="s">
        <v>45</v>
      </c>
      <c r="M56" s="8" t="str">
        <f t="shared" si="4"/>
        <v>Corporate</v>
      </c>
      <c r="N56" s="6" t="s">
        <v>10</v>
      </c>
      <c r="O56" s="6" t="str">
        <f t="shared" si="5"/>
        <v>South</v>
      </c>
      <c r="P56" s="6" t="s">
        <v>413</v>
      </c>
      <c r="Q56" s="6" t="str">
        <f t="shared" si="6"/>
        <v>Tamil Nadu</v>
      </c>
      <c r="R56" s="6" t="s">
        <v>414</v>
      </c>
      <c r="S56" s="6" t="str">
        <f t="shared" si="7"/>
        <v>Chennai</v>
      </c>
      <c r="T56" s="6" t="s">
        <v>20</v>
      </c>
      <c r="U56" s="8" t="str">
        <f t="shared" si="8"/>
        <v>Office Supplies</v>
      </c>
      <c r="V56" s="6" t="s">
        <v>23</v>
      </c>
      <c r="W56" s="6" t="str">
        <f t="shared" si="9"/>
        <v>Labels</v>
      </c>
      <c r="X56" s="6" t="s">
        <v>453</v>
      </c>
      <c r="Y56" s="6" t="s">
        <v>37</v>
      </c>
      <c r="Z56" s="6" t="str">
        <f t="shared" si="10"/>
        <v>Same Day</v>
      </c>
      <c r="AA56" s="6">
        <v>8</v>
      </c>
      <c r="AB56" s="6">
        <v>474.37</v>
      </c>
      <c r="AC56" s="6">
        <v>0.1</v>
      </c>
      <c r="AD56" s="6">
        <v>3415.46</v>
      </c>
      <c r="AE56" s="6">
        <v>1993.23</v>
      </c>
      <c r="AF56" s="6">
        <v>1422.23</v>
      </c>
      <c r="AG56" s="6" t="s">
        <v>50</v>
      </c>
      <c r="AH56" s="6" t="str">
        <f t="shared" si="11"/>
        <v>Failed</v>
      </c>
      <c r="AI56" s="6" t="s">
        <v>58</v>
      </c>
      <c r="AJ56" s="6" t="str">
        <f t="shared" si="12"/>
        <v>Cancelled</v>
      </c>
      <c r="AK56" s="9" t="str">
        <f>_xlfn.TEXTJOIN("|",FALSE,A56,TEXT(B56,"mm-dd-yyyy"),TEXT(E56,"mm-dd-yyyy"),I56,J56,L56,N56,P56,R56,T56,V56,X56,Y56,AA56,AB56,AC56,AD56,AE56,AF56,AG56,AI56)</f>
        <v>ORD-2025-10055|05-30-2025|06-02-2025|CUST-9039|Arjun Bose|Corporate|South|Tamil Nadu|Chennai|Office Supplies|Labels|Pro Labels 957|Same Day|8|474.37|0.1|3415.46|1993.23|1422.23|Failed|Cancelled</v>
      </c>
      <c r="AL56" s="27" t="str">
        <f>IF(COUNTIF($AK$2:AK56,AK56)&gt;1,"Remove exact duplicate copy","Keep")</f>
        <v>Keep</v>
      </c>
      <c r="AM56" s="9">
        <f t="shared" si="13"/>
        <v>1</v>
      </c>
      <c r="AN56" s="9" t="str">
        <f t="shared" si="14"/>
        <v>Unique</v>
      </c>
      <c r="AO56" s="9" t="str">
        <f t="shared" si="15"/>
        <v/>
      </c>
      <c r="AP56" s="9">
        <f t="shared" si="16"/>
        <v>0.1</v>
      </c>
      <c r="AQ56" s="10">
        <f t="shared" si="17"/>
        <v>3415.4639999999999</v>
      </c>
      <c r="AR56" s="10">
        <f t="shared" si="18"/>
        <v>1422.2339999999999</v>
      </c>
      <c r="AS56" s="11">
        <f t="shared" si="19"/>
        <v>0.4164101861416194</v>
      </c>
      <c r="AT56" s="9">
        <f t="shared" si="20"/>
        <v>5</v>
      </c>
      <c r="AU56" s="9">
        <f t="shared" si="21"/>
        <v>2025</v>
      </c>
      <c r="AV56" s="9" t="b">
        <f t="shared" si="22"/>
        <v>0</v>
      </c>
      <c r="AW56" s="9" t="b">
        <f t="shared" si="23"/>
        <v>0</v>
      </c>
      <c r="AX56" s="9" t="str">
        <f t="shared" si="24"/>
        <v>No</v>
      </c>
      <c r="AY56" s="9" t="str">
        <f t="shared" si="25"/>
        <v>Failed payment excluded; Cancelled order excluded</v>
      </c>
      <c r="AZ56" s="9" t="str">
        <f>IF(OR(G56="Missing date",G56="Invalid date",G56="Ship date before order date",NOT(ISNUMBER(AP56)),AP56&lt;0,AP56&gt;0.5,AV56=TRUE,AW56=TRUE),"Invalid",IF(OR(O56="Unknown",Z56="Unknown",AC56="",AH56&lt;&gt;"Paid",AJ56&lt;&gt;"Completed",AO56&lt;&gt;""),"Warning","Clean"))</f>
        <v>Warning</v>
      </c>
    </row>
    <row r="57" spans="1:52" ht="15.75" customHeight="1">
      <c r="A57" s="6" t="s">
        <v>454</v>
      </c>
      <c r="B57" s="7" t="s">
        <v>455</v>
      </c>
      <c r="C57" s="7" t="str">
        <f t="shared" si="0"/>
        <v>2025-07</v>
      </c>
      <c r="D57" s="7" cm="1">
        <f t="array" ref="D57">_xlfn.LET(_xlpm.x,B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45839</v>
      </c>
      <c r="E57" s="7" t="s">
        <v>456</v>
      </c>
      <c r="F57" s="7" cm="1">
        <f t="array" ref="F57">_xlfn.LET(_xlpm.x,E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45841</v>
      </c>
      <c r="G57" s="8" t="str">
        <f t="shared" si="1"/>
        <v>OK</v>
      </c>
      <c r="H57" s="6">
        <f t="shared" si="2"/>
        <v>2</v>
      </c>
      <c r="I57" s="6" t="s">
        <v>457</v>
      </c>
      <c r="J57" s="6" t="s">
        <v>139</v>
      </c>
      <c r="K57" s="6" t="str">
        <f t="shared" si="3"/>
        <v>Mira Das</v>
      </c>
      <c r="L57" s="6" t="s">
        <v>46</v>
      </c>
      <c r="M57" s="8" t="str">
        <f t="shared" si="4"/>
        <v>Small Business</v>
      </c>
      <c r="N57" s="6" t="s">
        <v>10</v>
      </c>
      <c r="O57" s="6" t="str">
        <f t="shared" si="5"/>
        <v>South</v>
      </c>
      <c r="P57" s="6" t="s">
        <v>183</v>
      </c>
      <c r="Q57" s="6" t="str">
        <f t="shared" si="6"/>
        <v>Andhra Pradesh</v>
      </c>
      <c r="R57" s="6" t="s">
        <v>184</v>
      </c>
      <c r="S57" s="6" t="str">
        <f t="shared" si="7"/>
        <v>Vijayawada</v>
      </c>
      <c r="T57" s="6" t="s">
        <v>27</v>
      </c>
      <c r="U57" s="8" t="str">
        <f t="shared" si="8"/>
        <v>Technology</v>
      </c>
      <c r="V57" s="6" t="s">
        <v>30</v>
      </c>
      <c r="W57" s="6" t="str">
        <f t="shared" si="9"/>
        <v>Machines</v>
      </c>
      <c r="X57" s="6" t="s">
        <v>458</v>
      </c>
      <c r="Y57" s="6" t="s">
        <v>37</v>
      </c>
      <c r="Z57" s="6" t="str">
        <f t="shared" si="10"/>
        <v>Same Day</v>
      </c>
      <c r="AA57" s="6">
        <v>3</v>
      </c>
      <c r="AB57" s="6">
        <v>1516.24</v>
      </c>
      <c r="AC57" s="6">
        <v>0.25</v>
      </c>
      <c r="AD57" s="6">
        <v>3411.54</v>
      </c>
      <c r="AE57" s="6">
        <v>2803.13</v>
      </c>
      <c r="AF57" s="6">
        <v>608.41</v>
      </c>
      <c r="AG57" s="6" t="s">
        <v>52</v>
      </c>
      <c r="AH57" s="6" t="str">
        <f t="shared" si="11"/>
        <v>Paid</v>
      </c>
      <c r="AI57" s="6" t="s">
        <v>134</v>
      </c>
      <c r="AJ57" s="6" t="str">
        <f t="shared" si="12"/>
        <v>Completed</v>
      </c>
      <c r="AK57" s="9" t="str">
        <f>_xlfn.TEXTJOIN("|",FALSE,A57,TEXT(B57,"mm-dd-yyyy"),TEXT(E57,"mm-dd-yyyy"),I57,J57,L57,N57,P57,R57,T57,V57,X57,Y57,AA57,AB57,AC57,AD57,AE57,AF57,AG57,AI57)</f>
        <v>ORD-2025-10056|01-07-2025|03-07-2025|CUST-9821|Mira Das|Small Business|South|Andhra Pradesh|Vijayawada|Technology|Machines|Classic Machines 310|Same Day|3|1516.24|0.25|3411.54|2803.13|608.41|Paid|Completed</v>
      </c>
      <c r="AL57" s="27" t="str">
        <f>IF(COUNTIF($AK$2:AK57,AK57)&gt;1,"Remove exact duplicate copy","Keep")</f>
        <v>Keep</v>
      </c>
      <c r="AM57" s="9">
        <f t="shared" si="13"/>
        <v>1</v>
      </c>
      <c r="AN57" s="9" t="str">
        <f t="shared" si="14"/>
        <v>Unique</v>
      </c>
      <c r="AO57" s="9" t="str">
        <f t="shared" si="15"/>
        <v/>
      </c>
      <c r="AP57" s="9">
        <f t="shared" si="16"/>
        <v>0.25</v>
      </c>
      <c r="AQ57" s="10">
        <f t="shared" si="17"/>
        <v>3411.54</v>
      </c>
      <c r="AR57" s="10">
        <f t="shared" si="18"/>
        <v>608.40999999999985</v>
      </c>
      <c r="AS57" s="11">
        <f t="shared" si="19"/>
        <v>0.17833881472883209</v>
      </c>
      <c r="AT57" s="9">
        <f t="shared" si="20"/>
        <v>7</v>
      </c>
      <c r="AU57" s="9">
        <f t="shared" si="21"/>
        <v>2025</v>
      </c>
      <c r="AV57" s="9" t="b">
        <f t="shared" si="22"/>
        <v>0</v>
      </c>
      <c r="AW57" s="9" t="b">
        <f t="shared" si="23"/>
        <v>0</v>
      </c>
      <c r="AX57" s="9" t="str">
        <f t="shared" si="24"/>
        <v>Yes</v>
      </c>
      <c r="AY57" s="9" t="str">
        <f t="shared" si="25"/>
        <v/>
      </c>
      <c r="AZ57" s="9" t="str">
        <f>IF(OR(G57="Missing date",G57="Invalid date",G57="Ship date before order date",NOT(ISNUMBER(AP57)),AP57&lt;0,AP57&gt;0.5,AV57=TRUE,AW57=TRUE),"Invalid",IF(OR(O57="Unknown",Z57="Unknown",AC57="",AH57&lt;&gt;"Paid",AJ57&lt;&gt;"Completed",AO57&lt;&gt;""),"Warning","Clean"))</f>
        <v>Clean</v>
      </c>
    </row>
    <row r="58" spans="1:52" ht="15.75" customHeight="1">
      <c r="A58" s="6" t="s">
        <v>459</v>
      </c>
      <c r="B58" s="7" t="s">
        <v>460</v>
      </c>
      <c r="C58" s="7" t="str">
        <f t="shared" si="0"/>
        <v>2025-01</v>
      </c>
      <c r="D58" s="7" cm="1">
        <f t="array" ref="D58">_xlfn.LET(_xlpm.x,B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45662</v>
      </c>
      <c r="E58" s="7" t="s">
        <v>461</v>
      </c>
      <c r="F58" s="7" cm="1">
        <f t="array" ref="F58">_xlfn.LET(_xlpm.x,E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45663</v>
      </c>
      <c r="G58" s="8" t="str">
        <f t="shared" si="1"/>
        <v>OK</v>
      </c>
      <c r="H58" s="6">
        <f t="shared" si="2"/>
        <v>1</v>
      </c>
      <c r="I58" s="6" t="s">
        <v>462</v>
      </c>
      <c r="J58" s="6" t="s">
        <v>129</v>
      </c>
      <c r="K58" s="6" t="str">
        <f t="shared" si="3"/>
        <v>Karan Malhotra</v>
      </c>
      <c r="L58" s="6" t="s">
        <v>43</v>
      </c>
      <c r="M58" s="8" t="str">
        <f t="shared" si="4"/>
        <v>Consumer</v>
      </c>
      <c r="N58" s="6" t="s">
        <v>10</v>
      </c>
      <c r="O58" s="6" t="str">
        <f t="shared" si="5"/>
        <v>South</v>
      </c>
      <c r="P58" s="6" t="s">
        <v>303</v>
      </c>
      <c r="Q58" s="6" t="str">
        <f t="shared" si="6"/>
        <v>Karnataka</v>
      </c>
      <c r="R58" s="6" t="s">
        <v>304</v>
      </c>
      <c r="S58" s="6" t="str">
        <f t="shared" si="7"/>
        <v>Bengaluru</v>
      </c>
      <c r="T58" s="6" t="s">
        <v>20</v>
      </c>
      <c r="U58" s="8" t="str">
        <f t="shared" si="8"/>
        <v>Office Supplies</v>
      </c>
      <c r="V58" s="6" t="s">
        <v>22</v>
      </c>
      <c r="W58" s="6" t="str">
        <f t="shared" si="9"/>
        <v>Binders</v>
      </c>
      <c r="X58" s="6" t="s">
        <v>463</v>
      </c>
      <c r="Y58" s="6" t="s">
        <v>36</v>
      </c>
      <c r="Z58" s="6" t="str">
        <f t="shared" si="10"/>
        <v>Second Class</v>
      </c>
      <c r="AA58" s="6">
        <v>3</v>
      </c>
      <c r="AB58" s="6">
        <v>3155.61</v>
      </c>
      <c r="AC58" s="6">
        <v>0</v>
      </c>
      <c r="AD58" s="6">
        <v>9466.83</v>
      </c>
      <c r="AE58" s="6">
        <v>6557.83</v>
      </c>
      <c r="AF58" s="6">
        <v>2909</v>
      </c>
      <c r="AG58" s="6" t="s">
        <v>56</v>
      </c>
      <c r="AH58" s="6" t="str">
        <f t="shared" si="11"/>
        <v>Refunded</v>
      </c>
      <c r="AI58" s="6" t="s">
        <v>58</v>
      </c>
      <c r="AJ58" s="6" t="str">
        <f t="shared" si="12"/>
        <v>Cancelled</v>
      </c>
      <c r="AK58" s="9" t="str">
        <f>_xlfn.TEXTJOIN("|",FALSE,A58,TEXT(B58,"mm-dd-yyyy"),TEXT(E58,"mm-dd-yyyy"),I58,J58,L58,N58,P58,R58,T58,V58,X58,Y58,AA58,AB58,AC58,AD58,AE58,AF58,AG58,AI58)</f>
        <v>ORD-2025-10057|01-05-2025|06-01-2025|CUST-8701|Karan Malhotra|Consumer|South|Karnataka|Bengaluru|Office Supplies|Binders|Smart Binders 393|Second Class|3|3155.61|0|9466.83|6557.83|2909|Refunded|Cancelled</v>
      </c>
      <c r="AL58" s="27" t="str">
        <f>IF(COUNTIF($AK$2:AK58,AK58)&gt;1,"Remove exact duplicate copy","Keep")</f>
        <v>Keep</v>
      </c>
      <c r="AM58" s="9">
        <f t="shared" si="13"/>
        <v>1</v>
      </c>
      <c r="AN58" s="9" t="str">
        <f t="shared" si="14"/>
        <v>Unique</v>
      </c>
      <c r="AO58" s="9" t="str">
        <f t="shared" si="15"/>
        <v/>
      </c>
      <c r="AP58" s="9">
        <f t="shared" si="16"/>
        <v>0</v>
      </c>
      <c r="AQ58" s="10">
        <f t="shared" si="17"/>
        <v>9466.83</v>
      </c>
      <c r="AR58" s="10">
        <f t="shared" si="18"/>
        <v>2909</v>
      </c>
      <c r="AS58" s="11">
        <f t="shared" si="19"/>
        <v>0.30728343067320318</v>
      </c>
      <c r="AT58" s="9">
        <f t="shared" si="20"/>
        <v>1</v>
      </c>
      <c r="AU58" s="9">
        <f t="shared" si="21"/>
        <v>2025</v>
      </c>
      <c r="AV58" s="9" t="b">
        <f t="shared" si="22"/>
        <v>0</v>
      </c>
      <c r="AW58" s="9" t="b">
        <f t="shared" si="23"/>
        <v>0</v>
      </c>
      <c r="AX58" s="9" t="str">
        <f t="shared" si="24"/>
        <v>No</v>
      </c>
      <c r="AY58" s="9" t="str">
        <f t="shared" si="25"/>
        <v>Refunded order summarized separately; Cancelled order excluded</v>
      </c>
      <c r="AZ58" s="9" t="str">
        <f>IF(OR(G58="Missing date",G58="Invalid date",G58="Ship date before order date",NOT(ISNUMBER(AP58)),AP58&lt;0,AP58&gt;0.5,AV58=TRUE,AW58=TRUE),"Invalid",IF(OR(O58="Unknown",Z58="Unknown",AC58="",AH58&lt;&gt;"Paid",AJ58&lt;&gt;"Completed",AO58&lt;&gt;""),"Warning","Clean"))</f>
        <v>Warning</v>
      </c>
    </row>
    <row r="59" spans="1:52" ht="15.75" customHeight="1">
      <c r="A59" s="6" t="s">
        <v>464</v>
      </c>
      <c r="B59" s="7" t="s">
        <v>465</v>
      </c>
      <c r="C59" s="7" t="str">
        <f t="shared" si="0"/>
        <v>2024-02</v>
      </c>
      <c r="D59" s="7" cm="1">
        <f t="array" ref="D59">_xlfn.LET(_xlpm.x,B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45329</v>
      </c>
      <c r="E59" s="7" t="s">
        <v>466</v>
      </c>
      <c r="F59" s="7" cm="1">
        <f t="array" ref="F59">_xlfn.LET(_xlpm.x,E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45337</v>
      </c>
      <c r="G59" s="8" t="str">
        <f t="shared" si="1"/>
        <v>OK</v>
      </c>
      <c r="H59" s="6">
        <f t="shared" si="2"/>
        <v>8</v>
      </c>
      <c r="I59" s="6" t="s">
        <v>467</v>
      </c>
      <c r="J59" s="6" t="s">
        <v>220</v>
      </c>
      <c r="K59" s="6" t="str">
        <f t="shared" si="3"/>
        <v>Priya Menon</v>
      </c>
      <c r="L59" s="6" t="s">
        <v>43</v>
      </c>
      <c r="M59" s="8" t="str">
        <f t="shared" si="4"/>
        <v>Consumer</v>
      </c>
      <c r="N59" s="6" t="s">
        <v>9</v>
      </c>
      <c r="O59" s="6" t="str">
        <f t="shared" si="5"/>
        <v>West</v>
      </c>
      <c r="P59" s="6" t="s">
        <v>323</v>
      </c>
      <c r="Q59" s="6" t="str">
        <f t="shared" si="6"/>
        <v>Goa</v>
      </c>
      <c r="R59" s="6" t="s">
        <v>324</v>
      </c>
      <c r="S59" s="6" t="str">
        <f t="shared" si="7"/>
        <v>Panaji</v>
      </c>
      <c r="T59" s="6" t="s">
        <v>14</v>
      </c>
      <c r="U59" s="8" t="str">
        <f t="shared" si="8"/>
        <v>Furniture</v>
      </c>
      <c r="V59" s="6" t="s">
        <v>16</v>
      </c>
      <c r="W59" s="6" t="str">
        <f t="shared" si="9"/>
        <v>Chairs</v>
      </c>
      <c r="X59" s="6" t="s">
        <v>468</v>
      </c>
      <c r="Y59" s="6" t="s">
        <v>37</v>
      </c>
      <c r="Z59" s="6" t="str">
        <f t="shared" si="10"/>
        <v>Same Day</v>
      </c>
      <c r="AA59" s="6">
        <v>5</v>
      </c>
      <c r="AB59" s="6">
        <v>255.87</v>
      </c>
      <c r="AC59" s="6">
        <v>0</v>
      </c>
      <c r="AD59" s="6">
        <v>1279.3499999999999</v>
      </c>
      <c r="AE59" s="6">
        <v>1091.54</v>
      </c>
      <c r="AF59" s="6">
        <v>187.81</v>
      </c>
      <c r="AG59" s="6" t="s">
        <v>52</v>
      </c>
      <c r="AH59" s="6" t="str">
        <f t="shared" si="11"/>
        <v>Paid</v>
      </c>
      <c r="AI59" s="6" t="s">
        <v>134</v>
      </c>
      <c r="AJ59" s="6" t="str">
        <f t="shared" si="12"/>
        <v>Completed</v>
      </c>
      <c r="AK59" s="9" t="str">
        <f>_xlfn.TEXTJOIN("|",FALSE,A59,TEXT(B59,"mm-dd-yyyy"),TEXT(E59,"mm-dd-yyyy"),I59,J59,L59,N59,P59,R59,T59,V59,X59,Y59,AA59,AB59,AC59,AD59,AE59,AF59,AG59,AI59)</f>
        <v>ORD-2024-10058|02-07-2024|02-15-2024|CUST-9941|Priya Menon|Consumer|West|Goa|Panaji|Furniture|Chairs|Max Chairs 813|Same Day|5|255.87|0|1279.35|1091.54|187.81|Paid|Completed</v>
      </c>
      <c r="AL59" s="27" t="str">
        <f>IF(COUNTIF($AK$2:AK59,AK59)&gt;1,"Remove exact duplicate copy","Keep")</f>
        <v>Keep</v>
      </c>
      <c r="AM59" s="9">
        <f t="shared" si="13"/>
        <v>1</v>
      </c>
      <c r="AN59" s="9" t="str">
        <f t="shared" si="14"/>
        <v>Unique</v>
      </c>
      <c r="AO59" s="9" t="str">
        <f t="shared" si="15"/>
        <v/>
      </c>
      <c r="AP59" s="9">
        <f t="shared" si="16"/>
        <v>0</v>
      </c>
      <c r="AQ59" s="10">
        <f t="shared" si="17"/>
        <v>1279.3499999999999</v>
      </c>
      <c r="AR59" s="10">
        <f t="shared" si="18"/>
        <v>187.80999999999995</v>
      </c>
      <c r="AS59" s="11">
        <f t="shared" si="19"/>
        <v>0.14680110993864068</v>
      </c>
      <c r="AT59" s="9">
        <f t="shared" si="20"/>
        <v>2</v>
      </c>
      <c r="AU59" s="9">
        <f t="shared" si="21"/>
        <v>2024</v>
      </c>
      <c r="AV59" s="9" t="b">
        <f t="shared" si="22"/>
        <v>0</v>
      </c>
      <c r="AW59" s="9" t="b">
        <f t="shared" si="23"/>
        <v>0</v>
      </c>
      <c r="AX59" s="9" t="str">
        <f t="shared" si="24"/>
        <v>Yes</v>
      </c>
      <c r="AY59" s="9" t="str">
        <f t="shared" si="25"/>
        <v/>
      </c>
      <c r="AZ59" s="9" t="str">
        <f>IF(OR(G59="Missing date",G59="Invalid date",G59="Ship date before order date",NOT(ISNUMBER(AP59)),AP59&lt;0,AP59&gt;0.5,AV59=TRUE,AW59=TRUE),"Invalid",IF(OR(O59="Unknown",Z59="Unknown",AC59="",AH59&lt;&gt;"Paid",AJ59&lt;&gt;"Completed",AO59&lt;&gt;""),"Warning","Clean"))</f>
        <v>Clean</v>
      </c>
    </row>
    <row r="60" spans="1:52" ht="15.75" customHeight="1">
      <c r="A60" s="6" t="s">
        <v>469</v>
      </c>
      <c r="B60" s="7" t="s">
        <v>470</v>
      </c>
      <c r="C60" s="7" t="str">
        <f t="shared" si="0"/>
        <v>2024-09</v>
      </c>
      <c r="D60" s="7" cm="1">
        <f t="array" ref="D60">_xlfn.LET(_xlpm.x,B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45536</v>
      </c>
      <c r="E60" s="7" t="s">
        <v>471</v>
      </c>
      <c r="F60" s="7" cm="1">
        <f t="array" ref="F60">_xlfn.LET(_xlpm.x,E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45542</v>
      </c>
      <c r="G60" s="8" t="str">
        <f t="shared" si="1"/>
        <v>OK</v>
      </c>
      <c r="H60" s="6">
        <f t="shared" si="2"/>
        <v>6</v>
      </c>
      <c r="I60" s="6" t="s">
        <v>472</v>
      </c>
      <c r="J60" s="6" t="s">
        <v>147</v>
      </c>
      <c r="K60" s="6" t="str">
        <f t="shared" si="3"/>
        <v>Isha Nair</v>
      </c>
      <c r="L60" s="6" t="s">
        <v>44</v>
      </c>
      <c r="M60" s="8" t="str">
        <f t="shared" si="4"/>
        <v>Home Office</v>
      </c>
      <c r="N60" s="6" t="s">
        <v>7</v>
      </c>
      <c r="O60" s="6" t="str">
        <f t="shared" si="5"/>
        <v>North</v>
      </c>
      <c r="P60" s="6" t="s">
        <v>131</v>
      </c>
      <c r="Q60" s="6" t="str">
        <f t="shared" si="6"/>
        <v>Rajasthan</v>
      </c>
      <c r="R60" s="6" t="s">
        <v>132</v>
      </c>
      <c r="S60" s="6" t="str">
        <f t="shared" si="7"/>
        <v>Jaipur</v>
      </c>
      <c r="T60" s="6" t="s">
        <v>20</v>
      </c>
      <c r="U60" s="8" t="str">
        <f t="shared" si="8"/>
        <v>Office Supplies</v>
      </c>
      <c r="V60" s="6" t="s">
        <v>25</v>
      </c>
      <c r="W60" s="6" t="str">
        <f t="shared" si="9"/>
        <v>Storage</v>
      </c>
      <c r="X60" s="6" t="s">
        <v>473</v>
      </c>
      <c r="Y60" s="6"/>
      <c r="Z60" s="6" t="str">
        <f t="shared" si="10"/>
        <v>Unknown</v>
      </c>
      <c r="AA60" s="6">
        <v>9</v>
      </c>
      <c r="AB60" s="6">
        <v>1389.48</v>
      </c>
      <c r="AC60" s="6">
        <v>0.1</v>
      </c>
      <c r="AD60" s="6">
        <v>11254.79</v>
      </c>
      <c r="AE60" s="6">
        <v>6578.06</v>
      </c>
      <c r="AF60" s="6">
        <v>4676.7299999999996</v>
      </c>
      <c r="AG60" s="6" t="s">
        <v>54</v>
      </c>
      <c r="AH60" s="6" t="str">
        <f t="shared" si="11"/>
        <v>Pending</v>
      </c>
      <c r="AI60" s="6" t="s">
        <v>59</v>
      </c>
      <c r="AJ60" s="6" t="str">
        <f t="shared" si="12"/>
        <v>Returned</v>
      </c>
      <c r="AK60" s="9" t="str">
        <f>_xlfn.TEXTJOIN("|",FALSE,A60,TEXT(B60,"mm-dd-yyyy"),TEXT(E60,"mm-dd-yyyy"),I60,J60,L60,N60,P60,R60,T60,V60,X60,Y60,AA60,AB60,AC60,AD60,AE60,AF60,AG60,AI60)</f>
        <v>ORD-2024-10059|09-01-2024|09-07-2024|CUST-3983|Isha Nair|Home Office|North|Rajasthan|Jaipur|Office Supplies|Storage|Basic Storage 872||9|1389.48|0.1|11254.79|6578.06|4676.73|Pending|Returned</v>
      </c>
      <c r="AL60" s="27" t="str">
        <f>IF(COUNTIF($AK$2:AK60,AK60)&gt;1,"Remove exact duplicate copy","Keep")</f>
        <v>Keep</v>
      </c>
      <c r="AM60" s="9">
        <f t="shared" si="13"/>
        <v>1</v>
      </c>
      <c r="AN60" s="9" t="str">
        <f t="shared" si="14"/>
        <v>Unique</v>
      </c>
      <c r="AO60" s="9" t="str">
        <f t="shared" si="15"/>
        <v/>
      </c>
      <c r="AP60" s="9">
        <f t="shared" si="16"/>
        <v>0.1</v>
      </c>
      <c r="AQ60" s="10">
        <f t="shared" si="17"/>
        <v>11254.788</v>
      </c>
      <c r="AR60" s="10">
        <f t="shared" si="18"/>
        <v>4676.7280000000001</v>
      </c>
      <c r="AS60" s="11">
        <f t="shared" si="19"/>
        <v>0.41553230500654476</v>
      </c>
      <c r="AT60" s="9">
        <f t="shared" si="20"/>
        <v>9</v>
      </c>
      <c r="AU60" s="9">
        <f t="shared" si="21"/>
        <v>2024</v>
      </c>
      <c r="AV60" s="9" t="b">
        <f t="shared" si="22"/>
        <v>0</v>
      </c>
      <c r="AW60" s="9" t="b">
        <f t="shared" si="23"/>
        <v>0</v>
      </c>
      <c r="AX60" s="9" t="str">
        <f t="shared" si="24"/>
        <v>No</v>
      </c>
      <c r="AY60" s="9" t="str">
        <f t="shared" si="25"/>
        <v>Missing ship mode filled as Unknown; Returned order excluded</v>
      </c>
      <c r="AZ60" s="9" t="str">
        <f>IF(OR(G60="Missing date",G60="Invalid date",G60="Ship date before order date",NOT(ISNUMBER(AP60)),AP60&lt;0,AP60&gt;0.5,AV60=TRUE,AW60=TRUE),"Invalid",IF(OR(O60="Unknown",Z60="Unknown",AC60="",AH60&lt;&gt;"Paid",AJ60&lt;&gt;"Completed",AO60&lt;&gt;""),"Warning","Clean"))</f>
        <v>Warning</v>
      </c>
    </row>
    <row r="61" spans="1:52" ht="15.75" customHeight="1">
      <c r="A61" s="6" t="s">
        <v>474</v>
      </c>
      <c r="B61" s="7" t="s">
        <v>475</v>
      </c>
      <c r="C61" s="7" t="str">
        <f t="shared" si="0"/>
        <v>2024-07</v>
      </c>
      <c r="D61" s="7" cm="1">
        <f t="array" ref="D61">_xlfn.LET(_xlpm.x,B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45493</v>
      </c>
      <c r="E61" s="7" t="s">
        <v>476</v>
      </c>
      <c r="F61" s="7" cm="1">
        <f t="array" ref="F61">_xlfn.LET(_xlpm.x,E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45498</v>
      </c>
      <c r="G61" s="8" t="str">
        <f t="shared" si="1"/>
        <v>OK</v>
      </c>
      <c r="H61" s="6">
        <f t="shared" si="2"/>
        <v>5</v>
      </c>
      <c r="I61" s="6" t="s">
        <v>477</v>
      </c>
      <c r="J61" s="6" t="s">
        <v>220</v>
      </c>
      <c r="K61" s="6" t="str">
        <f t="shared" si="3"/>
        <v>Priya Menon</v>
      </c>
      <c r="L61" s="6" t="s">
        <v>45</v>
      </c>
      <c r="M61" s="8" t="str">
        <f t="shared" si="4"/>
        <v>Corporate</v>
      </c>
      <c r="N61" s="6" t="s">
        <v>8</v>
      </c>
      <c r="O61" s="6" t="str">
        <f t="shared" si="5"/>
        <v>East</v>
      </c>
      <c r="P61" s="6" t="s">
        <v>290</v>
      </c>
      <c r="Q61" s="6" t="str">
        <f t="shared" si="6"/>
        <v>Assam</v>
      </c>
      <c r="R61" s="6" t="s">
        <v>291</v>
      </c>
      <c r="S61" s="6" t="str">
        <f t="shared" si="7"/>
        <v>Guwahati</v>
      </c>
      <c r="T61" s="6" t="s">
        <v>20</v>
      </c>
      <c r="U61" s="8" t="str">
        <f t="shared" si="8"/>
        <v>Office Supplies</v>
      </c>
      <c r="V61" s="6" t="s">
        <v>23</v>
      </c>
      <c r="W61" s="6" t="str">
        <f t="shared" si="9"/>
        <v>Labels</v>
      </c>
      <c r="X61" s="6" t="s">
        <v>478</v>
      </c>
      <c r="Y61" s="6" t="s">
        <v>37</v>
      </c>
      <c r="Z61" s="6" t="str">
        <f t="shared" si="10"/>
        <v>Same Day</v>
      </c>
      <c r="AA61" s="6">
        <v>5</v>
      </c>
      <c r="AB61" s="6">
        <v>4133.8500000000004</v>
      </c>
      <c r="AC61" s="6">
        <v>0.2</v>
      </c>
      <c r="AD61" s="6">
        <v>16535.400000000001</v>
      </c>
      <c r="AE61" s="6">
        <v>12990.21</v>
      </c>
      <c r="AF61" s="6">
        <v>3545.19</v>
      </c>
      <c r="AG61" s="6" t="s">
        <v>52</v>
      </c>
      <c r="AH61" s="6" t="str">
        <f t="shared" si="11"/>
        <v>Paid</v>
      </c>
      <c r="AI61" s="6" t="s">
        <v>58</v>
      </c>
      <c r="AJ61" s="6" t="str">
        <f t="shared" si="12"/>
        <v>Cancelled</v>
      </c>
      <c r="AK61" s="9" t="str">
        <f>_xlfn.TEXTJOIN("|",FALSE,A61,TEXT(B61,"mm-dd-yyyy"),TEXT(E61,"mm-dd-yyyy"),I61,J61,L61,N61,P61,R61,T61,V61,X61,Y61,AA61,AB61,AC61,AD61,AE61,AF61,AG61,AI61)</f>
        <v>ORD-2024-10060|20-07-2024|07-25-2024|CUST-2418|Priya Menon|Corporate|East|Assam|Guwahati|Office Supplies|Labels|Smart Labels 655|Same Day|5|4133.85|0.2|16535.4|12990.21|3545.19|Paid|Cancelled</v>
      </c>
      <c r="AL61" s="27" t="str">
        <f>IF(COUNTIF($AK$2:AK61,AK61)&gt;1,"Remove exact duplicate copy","Keep")</f>
        <v>Keep</v>
      </c>
      <c r="AM61" s="9">
        <f t="shared" si="13"/>
        <v>1</v>
      </c>
      <c r="AN61" s="9" t="str">
        <f t="shared" si="14"/>
        <v>Unique</v>
      </c>
      <c r="AO61" s="9" t="str">
        <f t="shared" si="15"/>
        <v/>
      </c>
      <c r="AP61" s="9">
        <f t="shared" si="16"/>
        <v>0.2</v>
      </c>
      <c r="AQ61" s="10">
        <f t="shared" si="17"/>
        <v>16535.400000000001</v>
      </c>
      <c r="AR61" s="10">
        <f t="shared" si="18"/>
        <v>3545.1900000000023</v>
      </c>
      <c r="AS61" s="11">
        <f t="shared" si="19"/>
        <v>0.21440001451431487</v>
      </c>
      <c r="AT61" s="9">
        <f t="shared" si="20"/>
        <v>7</v>
      </c>
      <c r="AU61" s="9">
        <f t="shared" si="21"/>
        <v>2024</v>
      </c>
      <c r="AV61" s="9" t="b">
        <f t="shared" si="22"/>
        <v>0</v>
      </c>
      <c r="AW61" s="9" t="b">
        <f t="shared" si="23"/>
        <v>0</v>
      </c>
      <c r="AX61" s="9" t="str">
        <f t="shared" si="24"/>
        <v>No</v>
      </c>
      <c r="AY61" s="9" t="str">
        <f t="shared" si="25"/>
        <v>Cancelled order excluded</v>
      </c>
      <c r="AZ61" s="9" t="str">
        <f>IF(OR(G61="Missing date",G61="Invalid date",G61="Ship date before order date",NOT(ISNUMBER(AP61)),AP61&lt;0,AP61&gt;0.5,AV61=TRUE,AW61=TRUE),"Invalid",IF(OR(O61="Unknown",Z61="Unknown",AC61="",AH61&lt;&gt;"Paid",AJ61&lt;&gt;"Completed",AO61&lt;&gt;""),"Warning","Clean"))</f>
        <v>Warning</v>
      </c>
    </row>
    <row r="62" spans="1:52" ht="15.75" customHeight="1">
      <c r="A62" s="6" t="s">
        <v>479</v>
      </c>
      <c r="B62" s="7" t="s">
        <v>480</v>
      </c>
      <c r="C62" s="7" t="str">
        <f t="shared" si="0"/>
        <v>2024-07</v>
      </c>
      <c r="D62" s="7" cm="1">
        <f t="array" ref="D62">_xlfn.LET(_xlpm.x,B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45486</v>
      </c>
      <c r="E62" s="7" t="s">
        <v>481</v>
      </c>
      <c r="F62" s="7" cm="1">
        <f t="array" ref="F62">_xlfn.LET(_xlpm.x,E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45492</v>
      </c>
      <c r="G62" s="8" t="str">
        <f t="shared" si="1"/>
        <v>OK</v>
      </c>
      <c r="H62" s="6">
        <f t="shared" si="2"/>
        <v>6</v>
      </c>
      <c r="I62" s="6" t="s">
        <v>482</v>
      </c>
      <c r="J62" s="6" t="s">
        <v>161</v>
      </c>
      <c r="K62" s="6" t="str">
        <f t="shared" si="3"/>
        <v>Ananya Rao</v>
      </c>
      <c r="L62" s="6" t="s">
        <v>45</v>
      </c>
      <c r="M62" s="8" t="str">
        <f t="shared" si="4"/>
        <v>Corporate</v>
      </c>
      <c r="N62" s="6" t="s">
        <v>8</v>
      </c>
      <c r="O62" s="6" t="str">
        <f t="shared" si="5"/>
        <v>East</v>
      </c>
      <c r="P62" s="6" t="s">
        <v>290</v>
      </c>
      <c r="Q62" s="6" t="str">
        <f t="shared" si="6"/>
        <v>Assam</v>
      </c>
      <c r="R62" s="6" t="s">
        <v>291</v>
      </c>
      <c r="S62" s="6" t="str">
        <f t="shared" si="7"/>
        <v>Guwahati</v>
      </c>
      <c r="T62" s="6" t="s">
        <v>20</v>
      </c>
      <c r="U62" s="8" t="str">
        <f t="shared" si="8"/>
        <v>Office Supplies</v>
      </c>
      <c r="V62" s="6" t="s">
        <v>23</v>
      </c>
      <c r="W62" s="6" t="str">
        <f t="shared" si="9"/>
        <v>Labels</v>
      </c>
      <c r="X62" s="6" t="s">
        <v>483</v>
      </c>
      <c r="Y62" s="6" t="s">
        <v>37</v>
      </c>
      <c r="Z62" s="6" t="str">
        <f t="shared" si="10"/>
        <v>Same Day</v>
      </c>
      <c r="AA62" s="6">
        <v>3</v>
      </c>
      <c r="AB62" s="6">
        <v>275.76</v>
      </c>
      <c r="AC62" s="6">
        <v>0.2</v>
      </c>
      <c r="AD62" s="6">
        <v>661.82</v>
      </c>
      <c r="AE62" s="6">
        <v>481.47</v>
      </c>
      <c r="AF62" s="6">
        <v>180.35</v>
      </c>
      <c r="AG62" s="6" t="s">
        <v>56</v>
      </c>
      <c r="AH62" s="6" t="str">
        <f t="shared" si="11"/>
        <v>Refunded</v>
      </c>
      <c r="AI62" s="6" t="s">
        <v>58</v>
      </c>
      <c r="AJ62" s="6" t="str">
        <f t="shared" si="12"/>
        <v>Cancelled</v>
      </c>
      <c r="AK62" s="9" t="str">
        <f>_xlfn.TEXTJOIN("|",FALSE,A62,TEXT(B62,"mm-dd-yyyy"),TEXT(E62,"mm-dd-yyyy"),I62,J62,L62,N62,P62,R62,T62,V62,X62,Y62,AA62,AB62,AC62,AD62,AE62,AF62,AG62,AI62)</f>
        <v>ORD-2024-10061|07-13-2024|07-19-2024|CUST-2892|Ananya Rao|Corporate|East|Assam|Guwahati|Office Supplies|Labels|Eco Labels 210|Same Day|3|275.76|0.2|661.82|481.47|180.35|Refunded|Cancelled</v>
      </c>
      <c r="AL62" s="27" t="str">
        <f>IF(COUNTIF($AK$2:AK62,AK62)&gt;1,"Remove exact duplicate copy","Keep")</f>
        <v>Keep</v>
      </c>
      <c r="AM62" s="9">
        <f t="shared" si="13"/>
        <v>1</v>
      </c>
      <c r="AN62" s="9" t="str">
        <f t="shared" si="14"/>
        <v>Unique</v>
      </c>
      <c r="AO62" s="9" t="str">
        <f t="shared" si="15"/>
        <v/>
      </c>
      <c r="AP62" s="9">
        <f t="shared" si="16"/>
        <v>0.2</v>
      </c>
      <c r="AQ62" s="10">
        <f t="shared" si="17"/>
        <v>661.82400000000007</v>
      </c>
      <c r="AR62" s="10">
        <f t="shared" si="18"/>
        <v>180.35400000000004</v>
      </c>
      <c r="AS62" s="11">
        <f t="shared" si="19"/>
        <v>0.27251051639106472</v>
      </c>
      <c r="AT62" s="9">
        <f t="shared" si="20"/>
        <v>7</v>
      </c>
      <c r="AU62" s="9">
        <f t="shared" si="21"/>
        <v>2024</v>
      </c>
      <c r="AV62" s="9" t="b">
        <f t="shared" si="22"/>
        <v>0</v>
      </c>
      <c r="AW62" s="9" t="b">
        <f t="shared" si="23"/>
        <v>0</v>
      </c>
      <c r="AX62" s="9" t="str">
        <f t="shared" si="24"/>
        <v>No</v>
      </c>
      <c r="AY62" s="9" t="str">
        <f t="shared" si="25"/>
        <v>Refunded order summarized separately; Cancelled order excluded</v>
      </c>
      <c r="AZ62" s="9" t="str">
        <f>IF(OR(G62="Missing date",G62="Invalid date",G62="Ship date before order date",NOT(ISNUMBER(AP62)),AP62&lt;0,AP62&gt;0.5,AV62=TRUE,AW62=TRUE),"Invalid",IF(OR(O62="Unknown",Z62="Unknown",AC62="",AH62&lt;&gt;"Paid",AJ62&lt;&gt;"Completed",AO62&lt;&gt;""),"Warning","Clean"))</f>
        <v>Warning</v>
      </c>
    </row>
    <row r="63" spans="1:52" ht="15.75" customHeight="1">
      <c r="A63" s="6" t="s">
        <v>484</v>
      </c>
      <c r="B63" s="7" t="s">
        <v>485</v>
      </c>
      <c r="C63" s="7" t="str">
        <f t="shared" si="0"/>
        <v>2024-04</v>
      </c>
      <c r="D63" s="7" cm="1">
        <f t="array" ref="D63">_xlfn.LET(_xlpm.x,B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45398</v>
      </c>
      <c r="E63" s="7" t="s">
        <v>486</v>
      </c>
      <c r="F63" s="7" cm="1">
        <f t="array" ref="F63">_xlfn.LET(_xlpm.x,E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45398</v>
      </c>
      <c r="G63" s="8" t="str">
        <f t="shared" si="1"/>
        <v>OK</v>
      </c>
      <c r="H63" s="6">
        <f t="shared" si="2"/>
        <v>0</v>
      </c>
      <c r="I63" s="6" t="s">
        <v>487</v>
      </c>
      <c r="J63" s="6" t="s">
        <v>169</v>
      </c>
      <c r="K63" s="6" t="str">
        <f t="shared" si="3"/>
        <v>Vikram Iyer</v>
      </c>
      <c r="L63" s="6" t="s">
        <v>44</v>
      </c>
      <c r="M63" s="8" t="str">
        <f t="shared" si="4"/>
        <v>Home Office</v>
      </c>
      <c r="N63" s="6" t="s">
        <v>8</v>
      </c>
      <c r="O63" s="6" t="str">
        <f t="shared" si="5"/>
        <v>East</v>
      </c>
      <c r="P63" s="6" t="s">
        <v>263</v>
      </c>
      <c r="Q63" s="6" t="str">
        <f t="shared" si="6"/>
        <v>Bihar</v>
      </c>
      <c r="R63" s="6" t="s">
        <v>264</v>
      </c>
      <c r="S63" s="6" t="str">
        <f t="shared" si="7"/>
        <v>Patna</v>
      </c>
      <c r="T63" s="6" t="s">
        <v>14</v>
      </c>
      <c r="U63" s="8" t="str">
        <f t="shared" si="8"/>
        <v>Furniture</v>
      </c>
      <c r="V63" s="6" t="s">
        <v>15</v>
      </c>
      <c r="W63" s="6" t="str">
        <f t="shared" si="9"/>
        <v>Bookcases</v>
      </c>
      <c r="X63" s="6" t="s">
        <v>488</v>
      </c>
      <c r="Y63" s="6" t="s">
        <v>34</v>
      </c>
      <c r="Z63" s="6" t="str">
        <f t="shared" si="10"/>
        <v>Standard Class</v>
      </c>
      <c r="AA63" s="6">
        <v>1</v>
      </c>
      <c r="AB63" s="6">
        <v>949.59</v>
      </c>
      <c r="AC63" s="6">
        <v>0</v>
      </c>
      <c r="AD63" s="6">
        <v>949.59</v>
      </c>
      <c r="AE63" s="6">
        <v>751.25</v>
      </c>
      <c r="AF63" s="6">
        <v>198.34</v>
      </c>
      <c r="AG63" s="6" t="s">
        <v>52</v>
      </c>
      <c r="AH63" s="6" t="str">
        <f t="shared" si="11"/>
        <v>Paid</v>
      </c>
      <c r="AI63" s="6" t="s">
        <v>134</v>
      </c>
      <c r="AJ63" s="6" t="str">
        <f t="shared" si="12"/>
        <v>Completed</v>
      </c>
      <c r="AK63" s="9" t="str">
        <f>_xlfn.TEXTJOIN("|",FALSE,A63,TEXT(B63,"mm-dd-yyyy"),TEXT(E63,"mm-dd-yyyy"),I63,J63,L63,N63,P63,R63,T63,V63,X63,Y63,AA63,AB63,AC63,AD63,AE63,AF63,AG63,AI63)</f>
        <v>ORD-2024-10062|04-16-2024|04-16-2024|CUST-7008|Vikram Iyer|Home Office|East|Bihar|Patna|Furniture|Bookcases|Classic Bookcases 296|Standard Class|1|949.59|0|949.59|751.25|198.34|Paid|Completed</v>
      </c>
      <c r="AL63" s="27" t="str">
        <f>IF(COUNTIF($AK$2:AK63,AK63)&gt;1,"Remove exact duplicate copy","Keep")</f>
        <v>Keep</v>
      </c>
      <c r="AM63" s="9">
        <f t="shared" si="13"/>
        <v>1</v>
      </c>
      <c r="AN63" s="9" t="str">
        <f t="shared" si="14"/>
        <v>Unique</v>
      </c>
      <c r="AO63" s="9" t="str">
        <f t="shared" si="15"/>
        <v/>
      </c>
      <c r="AP63" s="9">
        <f t="shared" si="16"/>
        <v>0</v>
      </c>
      <c r="AQ63" s="10">
        <f t="shared" si="17"/>
        <v>949.59</v>
      </c>
      <c r="AR63" s="10">
        <f t="shared" si="18"/>
        <v>198.34000000000003</v>
      </c>
      <c r="AS63" s="11">
        <f t="shared" si="19"/>
        <v>0.20886909087079689</v>
      </c>
      <c r="AT63" s="9">
        <f t="shared" si="20"/>
        <v>4</v>
      </c>
      <c r="AU63" s="9">
        <f t="shared" si="21"/>
        <v>2024</v>
      </c>
      <c r="AV63" s="9" t="b">
        <f t="shared" si="22"/>
        <v>0</v>
      </c>
      <c r="AW63" s="9" t="b">
        <f t="shared" si="23"/>
        <v>0</v>
      </c>
      <c r="AX63" s="9" t="str">
        <f t="shared" si="24"/>
        <v>Yes</v>
      </c>
      <c r="AY63" s="9" t="str">
        <f t="shared" si="25"/>
        <v/>
      </c>
      <c r="AZ63" s="9" t="str">
        <f>IF(OR(G63="Missing date",G63="Invalid date",G63="Ship date before order date",NOT(ISNUMBER(AP63)),AP63&lt;0,AP63&gt;0.5,AV63=TRUE,AW63=TRUE),"Invalid",IF(OR(O63="Unknown",Z63="Unknown",AC63="",AH63&lt;&gt;"Paid",AJ63&lt;&gt;"Completed",AO63&lt;&gt;""),"Warning","Clean"))</f>
        <v>Clean</v>
      </c>
    </row>
    <row r="64" spans="1:52" ht="15.75" customHeight="1">
      <c r="A64" s="6" t="s">
        <v>489</v>
      </c>
      <c r="B64" s="7" t="s">
        <v>490</v>
      </c>
      <c r="C64" s="7" t="str">
        <f t="shared" si="0"/>
        <v>2024-10</v>
      </c>
      <c r="D64" s="7" cm="1">
        <f t="array" ref="D64">_xlfn.LET(_xlpm.x,B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45595</v>
      </c>
      <c r="E64" s="7" t="s">
        <v>491</v>
      </c>
      <c r="F64" s="7" cm="1">
        <f t="array" ref="F64">_xlfn.LET(_xlpm.x,E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45598</v>
      </c>
      <c r="G64" s="8" t="str">
        <f t="shared" si="1"/>
        <v>OK</v>
      </c>
      <c r="H64" s="6">
        <f t="shared" si="2"/>
        <v>3</v>
      </c>
      <c r="I64" s="6" t="s">
        <v>492</v>
      </c>
      <c r="J64" s="6" t="s">
        <v>245</v>
      </c>
      <c r="K64" s="6" t="str">
        <f t="shared" si="3"/>
        <v>Sneha Kapoor</v>
      </c>
      <c r="L64" s="6" t="s">
        <v>44</v>
      </c>
      <c r="M64" s="8" t="str">
        <f t="shared" si="4"/>
        <v>Home Office</v>
      </c>
      <c r="N64" s="6" t="s">
        <v>7</v>
      </c>
      <c r="O64" s="6" t="str">
        <f t="shared" si="5"/>
        <v>North</v>
      </c>
      <c r="P64" s="6" t="s">
        <v>131</v>
      </c>
      <c r="Q64" s="6" t="str">
        <f t="shared" si="6"/>
        <v>Rajasthan</v>
      </c>
      <c r="R64" s="6" t="s">
        <v>132</v>
      </c>
      <c r="S64" s="6" t="str">
        <f t="shared" si="7"/>
        <v>Jaipur</v>
      </c>
      <c r="T64" s="6" t="s">
        <v>27</v>
      </c>
      <c r="U64" s="8" t="str">
        <f t="shared" si="8"/>
        <v>Technology</v>
      </c>
      <c r="V64" s="6" t="s">
        <v>31</v>
      </c>
      <c r="W64" s="6" t="str">
        <f t="shared" si="9"/>
        <v>Phones</v>
      </c>
      <c r="X64" s="6" t="s">
        <v>493</v>
      </c>
      <c r="Y64" s="6" t="s">
        <v>34</v>
      </c>
      <c r="Z64" s="6" t="str">
        <f t="shared" si="10"/>
        <v>Standard Class</v>
      </c>
      <c r="AA64" s="6">
        <v>9</v>
      </c>
      <c r="AB64" s="6">
        <v>3042.29</v>
      </c>
      <c r="AC64" s="6">
        <v>0.2</v>
      </c>
      <c r="AD64" s="6">
        <v>21904.49</v>
      </c>
      <c r="AE64" s="6">
        <v>13570.55</v>
      </c>
      <c r="AF64" s="6">
        <v>8333.94</v>
      </c>
      <c r="AG64" s="6" t="s">
        <v>52</v>
      </c>
      <c r="AH64" s="6" t="str">
        <f t="shared" si="11"/>
        <v>Paid</v>
      </c>
      <c r="AI64" s="6" t="s">
        <v>134</v>
      </c>
      <c r="AJ64" s="6" t="str">
        <f t="shared" si="12"/>
        <v>Completed</v>
      </c>
      <c r="AK64" s="9" t="str">
        <f>_xlfn.TEXTJOIN("|",FALSE,A64,TEXT(B64,"mm-dd-yyyy"),TEXT(E64,"mm-dd-yyyy"),I64,J64,L64,N64,P64,R64,T64,V64,X64,Y64,AA64,AB64,AC64,AD64,AE64,AF64,AG64,AI64)</f>
        <v>ORD-2024-10063|10-30-2024|02-11-2024|CUST-4900|Sneha Kapoor|Home Office|North|Rajasthan|Jaipur|Technology|Phones|Basic Phones 230|Standard Class|9|3042.29|0.2|21904.49|13570.55|8333.94|Paid|Completed</v>
      </c>
      <c r="AL64" s="27" t="str">
        <f>IF(COUNTIF($AK$2:AK64,AK64)&gt;1,"Remove exact duplicate copy","Keep")</f>
        <v>Keep</v>
      </c>
      <c r="AM64" s="9">
        <f t="shared" si="13"/>
        <v>1</v>
      </c>
      <c r="AN64" s="9" t="str">
        <f t="shared" si="14"/>
        <v>Unique</v>
      </c>
      <c r="AO64" s="9" t="str">
        <f t="shared" si="15"/>
        <v/>
      </c>
      <c r="AP64" s="9">
        <f t="shared" si="16"/>
        <v>0.2</v>
      </c>
      <c r="AQ64" s="10">
        <f t="shared" si="17"/>
        <v>21904.488000000001</v>
      </c>
      <c r="AR64" s="10">
        <f t="shared" si="18"/>
        <v>8333.9380000000019</v>
      </c>
      <c r="AS64" s="11">
        <f t="shared" si="19"/>
        <v>0.38046714445003244</v>
      </c>
      <c r="AT64" s="9">
        <f t="shared" si="20"/>
        <v>10</v>
      </c>
      <c r="AU64" s="9">
        <f t="shared" si="21"/>
        <v>2024</v>
      </c>
      <c r="AV64" s="9" t="b">
        <f t="shared" si="22"/>
        <v>0</v>
      </c>
      <c r="AW64" s="9" t="b">
        <f t="shared" si="23"/>
        <v>0</v>
      </c>
      <c r="AX64" s="9" t="str">
        <f t="shared" si="24"/>
        <v>Yes</v>
      </c>
      <c r="AY64" s="9" t="str">
        <f t="shared" si="25"/>
        <v/>
      </c>
      <c r="AZ64" s="9" t="str">
        <f>IF(OR(G64="Missing date",G64="Invalid date",G64="Ship date before order date",NOT(ISNUMBER(AP64)),AP64&lt;0,AP64&gt;0.5,AV64=TRUE,AW64=TRUE),"Invalid",IF(OR(O64="Unknown",Z64="Unknown",AC64="",AH64&lt;&gt;"Paid",AJ64&lt;&gt;"Completed",AO64&lt;&gt;""),"Warning","Clean"))</f>
        <v>Clean</v>
      </c>
    </row>
    <row r="65" spans="1:52" ht="15.75" customHeight="1">
      <c r="A65" s="6" t="s">
        <v>494</v>
      </c>
      <c r="B65" s="7" t="s">
        <v>495</v>
      </c>
      <c r="C65" s="7" t="str">
        <f t="shared" si="0"/>
        <v>2024-01</v>
      </c>
      <c r="D65" s="7" cm="1">
        <f t="array" ref="D65">_xlfn.LET(_xlpm.x,B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45316</v>
      </c>
      <c r="E65" s="7" t="s">
        <v>496</v>
      </c>
      <c r="F65" s="7" cm="1">
        <f t="array" ref="F65">_xlfn.LET(_xlpm.x,E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45323</v>
      </c>
      <c r="G65" s="8" t="str">
        <f t="shared" si="1"/>
        <v>OK</v>
      </c>
      <c r="H65" s="6">
        <f t="shared" si="2"/>
        <v>7</v>
      </c>
      <c r="I65" s="6" t="s">
        <v>497</v>
      </c>
      <c r="J65" s="6" t="s">
        <v>245</v>
      </c>
      <c r="K65" s="6" t="str">
        <f t="shared" si="3"/>
        <v>Sneha Kapoor</v>
      </c>
      <c r="L65" s="6" t="s">
        <v>44</v>
      </c>
      <c r="M65" s="8" t="str">
        <f t="shared" si="4"/>
        <v>Home Office</v>
      </c>
      <c r="N65" s="6" t="s">
        <v>7</v>
      </c>
      <c r="O65" s="6" t="str">
        <f t="shared" si="5"/>
        <v>North</v>
      </c>
      <c r="P65" s="6" t="s">
        <v>397</v>
      </c>
      <c r="Q65" s="6" t="str">
        <f t="shared" si="6"/>
        <v>Haryana</v>
      </c>
      <c r="R65" s="6" t="s">
        <v>398</v>
      </c>
      <c r="S65" s="6" t="str">
        <f t="shared" si="7"/>
        <v>Gurugram</v>
      </c>
      <c r="T65" s="6" t="s">
        <v>20</v>
      </c>
      <c r="U65" s="8" t="str">
        <f t="shared" si="8"/>
        <v>Office Supplies</v>
      </c>
      <c r="V65" s="6" t="s">
        <v>22</v>
      </c>
      <c r="W65" s="6" t="str">
        <f t="shared" si="9"/>
        <v>Binders</v>
      </c>
      <c r="X65" s="6" t="s">
        <v>498</v>
      </c>
      <c r="Y65" s="6" t="s">
        <v>37</v>
      </c>
      <c r="Z65" s="6" t="str">
        <f t="shared" si="10"/>
        <v>Same Day</v>
      </c>
      <c r="AA65" s="6">
        <v>2</v>
      </c>
      <c r="AB65" s="6">
        <v>2832.77</v>
      </c>
      <c r="AC65" s="6">
        <v>0.15</v>
      </c>
      <c r="AD65" s="6">
        <v>4815.71</v>
      </c>
      <c r="AE65" s="6">
        <v>3027.75</v>
      </c>
      <c r="AF65" s="6">
        <v>1917.47</v>
      </c>
      <c r="AG65" s="6" t="s">
        <v>298</v>
      </c>
      <c r="AH65" s="6" t="str">
        <f t="shared" si="11"/>
        <v>Paid</v>
      </c>
      <c r="AI65" s="6" t="s">
        <v>134</v>
      </c>
      <c r="AJ65" s="6" t="str">
        <f t="shared" si="12"/>
        <v>Completed</v>
      </c>
      <c r="AK65" s="9" t="str">
        <f>_xlfn.TEXTJOIN("|",FALSE,A65,TEXT(B65,"mm-dd-yyyy"),TEXT(E65,"mm-dd-yyyy"),I65,J65,L65,N65,P65,R65,T65,V65,X65,Y65,AA65,AB65,AC65,AD65,AE65,AF65,AG65,AI65)</f>
        <v>ORD-2024-10064|01-25-2024|01-02-2024|CUST-5382|Sneha Kapoor|Home Office|North|Haryana|Gurugram|Office Supplies|Binders|Pro Binders 690|Same Day|2|2832.77|0.15|4815.71|3027.75|1917.47|Paid |Completed</v>
      </c>
      <c r="AL65" s="27" t="str">
        <f>IF(COUNTIF($AK$2:AK65,AK65)&gt;1,"Remove exact duplicate copy","Keep")</f>
        <v>Keep</v>
      </c>
      <c r="AM65" s="9">
        <f t="shared" si="13"/>
        <v>1</v>
      </c>
      <c r="AN65" s="9" t="str">
        <f t="shared" si="14"/>
        <v>Unique</v>
      </c>
      <c r="AO65" s="9" t="str">
        <f t="shared" si="15"/>
        <v/>
      </c>
      <c r="AP65" s="9">
        <f t="shared" si="16"/>
        <v>0.15</v>
      </c>
      <c r="AQ65" s="10">
        <f t="shared" si="17"/>
        <v>4815.7089999999998</v>
      </c>
      <c r="AR65" s="10">
        <f t="shared" si="18"/>
        <v>1787.9589999999998</v>
      </c>
      <c r="AS65" s="11">
        <f t="shared" si="19"/>
        <v>0.37127637903369992</v>
      </c>
      <c r="AT65" s="9">
        <f t="shared" si="20"/>
        <v>1</v>
      </c>
      <c r="AU65" s="9">
        <f t="shared" si="21"/>
        <v>2024</v>
      </c>
      <c r="AV65" s="9" t="b">
        <f t="shared" si="22"/>
        <v>0</v>
      </c>
      <c r="AW65" s="9" t="b">
        <f t="shared" si="23"/>
        <v>1</v>
      </c>
      <c r="AX65" s="9" t="str">
        <f t="shared" si="24"/>
        <v>No</v>
      </c>
      <c r="AY65" s="9" t="str">
        <f t="shared" si="25"/>
        <v>Profit mismatch</v>
      </c>
      <c r="AZ65" s="9" t="str">
        <f>IF(OR(G65="Missing date",G65="Invalid date",G65="Ship date before order date",NOT(ISNUMBER(AP65)),AP65&lt;0,AP65&gt;0.5,AV65=TRUE,AW65=TRUE),"Invalid",IF(OR(O65="Unknown",Z65="Unknown",AC65="",AH65&lt;&gt;"Paid",AJ65&lt;&gt;"Completed",AO65&lt;&gt;""),"Warning","Clean"))</f>
        <v>Invalid</v>
      </c>
    </row>
    <row r="66" spans="1:52" ht="15.75" customHeight="1">
      <c r="A66" s="6" t="s">
        <v>499</v>
      </c>
      <c r="B66" s="7" t="s">
        <v>500</v>
      </c>
      <c r="C66" s="7" t="str">
        <f t="shared" ref="C66:C129" si="26">TEXT(D66, "yyyy-mm")</f>
        <v>2024-12</v>
      </c>
      <c r="D66" s="7" cm="1">
        <f t="array" ref="D66">_xlfn.LET(_xlpm.x,B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45649</v>
      </c>
      <c r="E66" s="7" t="s">
        <v>501</v>
      </c>
      <c r="F66" s="7" cm="1">
        <f t="array" ref="F66">_xlfn.LET(_xlpm.x,E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45655</v>
      </c>
      <c r="G66" s="8" t="str">
        <f t="shared" si="1"/>
        <v>OK</v>
      </c>
      <c r="H66" s="6">
        <f t="shared" si="2"/>
        <v>6</v>
      </c>
      <c r="I66" s="6" t="s">
        <v>502</v>
      </c>
      <c r="J66" s="6" t="s">
        <v>239</v>
      </c>
      <c r="K66" s="6" t="str">
        <f t="shared" si="3"/>
        <v>Aarav Sharma</v>
      </c>
      <c r="L66" s="6" t="s">
        <v>45</v>
      </c>
      <c r="M66" s="8" t="str">
        <f t="shared" si="4"/>
        <v>Corporate</v>
      </c>
      <c r="N66" s="6" t="s">
        <v>8</v>
      </c>
      <c r="O66" s="6" t="str">
        <f t="shared" si="5"/>
        <v>East</v>
      </c>
      <c r="P66" s="6" t="s">
        <v>385</v>
      </c>
      <c r="Q66" s="6" t="str">
        <f t="shared" si="6"/>
        <v>Jharkhand</v>
      </c>
      <c r="R66" s="6" t="s">
        <v>386</v>
      </c>
      <c r="S66" s="6" t="str">
        <f t="shared" si="7"/>
        <v>Ranchi</v>
      </c>
      <c r="T66" s="6" t="s">
        <v>20</v>
      </c>
      <c r="U66" s="8" t="str">
        <f t="shared" si="8"/>
        <v>Office Supplies</v>
      </c>
      <c r="V66" s="6" t="s">
        <v>24</v>
      </c>
      <c r="W66" s="6" t="str">
        <f t="shared" si="9"/>
        <v>Paper</v>
      </c>
      <c r="X66" s="6" t="s">
        <v>503</v>
      </c>
      <c r="Y66" s="6" t="s">
        <v>35</v>
      </c>
      <c r="Z66" s="6" t="str">
        <f t="shared" si="10"/>
        <v>First Class</v>
      </c>
      <c r="AA66" s="6">
        <v>7</v>
      </c>
      <c r="AB66" s="6">
        <v>447.84</v>
      </c>
      <c r="AC66" s="6">
        <v>0</v>
      </c>
      <c r="AD66" s="6">
        <v>3134.88</v>
      </c>
      <c r="AE66" s="6">
        <v>2367.63</v>
      </c>
      <c r="AF66" s="6">
        <v>767.25</v>
      </c>
      <c r="AG66" s="6" t="s">
        <v>56</v>
      </c>
      <c r="AH66" s="6" t="str">
        <f t="shared" si="11"/>
        <v>Refunded</v>
      </c>
      <c r="AI66" s="6" t="s">
        <v>59</v>
      </c>
      <c r="AJ66" s="6" t="str">
        <f t="shared" si="12"/>
        <v>Returned</v>
      </c>
      <c r="AK66" s="9" t="str">
        <f>_xlfn.TEXTJOIN("|",FALSE,A66,TEXT(B66,"mm-dd-yyyy"),TEXT(E66,"mm-dd-yyyy"),I66,J66,L66,N66,P66,R66,T66,V66,X66,Y66,AA66,AB66,AC66,AD66,AE66,AF66,AG66,AI66)</f>
        <v>ORD-2024-10065|12-23-2024|12-29-2024|CUST-2749|Aarav Sharma|Corporate|East|Jharkhand|Ranchi|Office Supplies|Paper|Classic Paper 458|First Class|7|447.84|0|3134.88|2367.63|767.25|Refunded|Returned</v>
      </c>
      <c r="AL66" s="27" t="str">
        <f>IF(COUNTIF($AK$2:AK66,AK66)&gt;1,"Remove exact duplicate copy","Keep")</f>
        <v>Keep</v>
      </c>
      <c r="AM66" s="9">
        <f t="shared" si="13"/>
        <v>1</v>
      </c>
      <c r="AN66" s="9" t="str">
        <f t="shared" si="14"/>
        <v>Unique</v>
      </c>
      <c r="AO66" s="9" t="str">
        <f t="shared" si="15"/>
        <v/>
      </c>
      <c r="AP66" s="9">
        <f t="shared" si="16"/>
        <v>0</v>
      </c>
      <c r="AQ66" s="10">
        <f t="shared" si="17"/>
        <v>3134.8799999999997</v>
      </c>
      <c r="AR66" s="10">
        <f t="shared" si="18"/>
        <v>767.24999999999955</v>
      </c>
      <c r="AS66" s="11">
        <f t="shared" si="19"/>
        <v>0.24474621038125849</v>
      </c>
      <c r="AT66" s="9">
        <f t="shared" si="20"/>
        <v>12</v>
      </c>
      <c r="AU66" s="9">
        <f t="shared" si="21"/>
        <v>2024</v>
      </c>
      <c r="AV66" s="9" t="b">
        <f t="shared" si="22"/>
        <v>0</v>
      </c>
      <c r="AW66" s="9" t="b">
        <f t="shared" si="23"/>
        <v>0</v>
      </c>
      <c r="AX66" s="9" t="str">
        <f t="shared" si="24"/>
        <v>No</v>
      </c>
      <c r="AY66" s="9" t="str">
        <f t="shared" si="25"/>
        <v>Refunded order summarized separately; Returned order excluded</v>
      </c>
      <c r="AZ66" s="9" t="str">
        <f>IF(OR(G66="Missing date",G66="Invalid date",G66="Ship date before order date",NOT(ISNUMBER(AP66)),AP66&lt;0,AP66&gt;0.5,AV66=TRUE,AW66=TRUE),"Invalid",IF(OR(O66="Unknown",Z66="Unknown",AC66="",AH66&lt;&gt;"Paid",AJ66&lt;&gt;"Completed",AO66&lt;&gt;""),"Warning","Clean"))</f>
        <v>Warning</v>
      </c>
    </row>
    <row r="67" spans="1:52" ht="15.75" customHeight="1">
      <c r="A67" s="6" t="s">
        <v>504</v>
      </c>
      <c r="B67" s="7" t="s">
        <v>505</v>
      </c>
      <c r="C67" s="7" t="str">
        <f t="shared" si="26"/>
        <v>2024-04</v>
      </c>
      <c r="D67" s="7" cm="1">
        <f t="array" ref="D67">_xlfn.LET(_xlpm.x,B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45404</v>
      </c>
      <c r="E67" s="7" t="s">
        <v>506</v>
      </c>
      <c r="F67" s="7" cm="1">
        <f t="array" ref="F67">_xlfn.LET(_xlpm.x,E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45409</v>
      </c>
      <c r="G67" s="8" t="str">
        <f t="shared" si="1"/>
        <v>OK</v>
      </c>
      <c r="H67" s="6">
        <f t="shared" si="2"/>
        <v>5</v>
      </c>
      <c r="I67" s="6" t="s">
        <v>507</v>
      </c>
      <c r="J67" s="6" t="s">
        <v>139</v>
      </c>
      <c r="K67" s="6" t="str">
        <f t="shared" si="3"/>
        <v>Mira Das</v>
      </c>
      <c r="L67" s="6" t="s">
        <v>44</v>
      </c>
      <c r="M67" s="8" t="str">
        <f t="shared" si="4"/>
        <v>Home Office</v>
      </c>
      <c r="N67" s="6" t="s">
        <v>9</v>
      </c>
      <c r="O67" s="6" t="str">
        <f t="shared" si="5"/>
        <v>West</v>
      </c>
      <c r="P67" s="6" t="s">
        <v>162</v>
      </c>
      <c r="Q67" s="6" t="str">
        <f t="shared" si="6"/>
        <v>Maharashtra</v>
      </c>
      <c r="R67" s="6" t="s">
        <v>163</v>
      </c>
      <c r="S67" s="6" t="str">
        <f t="shared" si="7"/>
        <v>Mumbai</v>
      </c>
      <c r="T67" s="6" t="s">
        <v>20</v>
      </c>
      <c r="U67" s="8" t="str">
        <f t="shared" si="8"/>
        <v>Office Supplies</v>
      </c>
      <c r="V67" s="6" t="s">
        <v>24</v>
      </c>
      <c r="W67" s="6" t="str">
        <f t="shared" si="9"/>
        <v>Paper</v>
      </c>
      <c r="X67" s="6" t="s">
        <v>508</v>
      </c>
      <c r="Y67" s="6" t="s">
        <v>36</v>
      </c>
      <c r="Z67" s="6" t="str">
        <f t="shared" si="10"/>
        <v>Second Class</v>
      </c>
      <c r="AA67" s="6">
        <v>1</v>
      </c>
      <c r="AB67" s="6">
        <v>4280.1899999999996</v>
      </c>
      <c r="AC67" s="6">
        <v>0.05</v>
      </c>
      <c r="AD67" s="6">
        <v>4066.18</v>
      </c>
      <c r="AE67" s="6">
        <v>2628.92</v>
      </c>
      <c r="AF67" s="6">
        <v>1437.26</v>
      </c>
      <c r="AG67" s="6" t="s">
        <v>52</v>
      </c>
      <c r="AH67" s="6" t="str">
        <f t="shared" si="11"/>
        <v>Paid</v>
      </c>
      <c r="AI67" s="6" t="s">
        <v>134</v>
      </c>
      <c r="AJ67" s="6" t="str">
        <f t="shared" si="12"/>
        <v>Completed</v>
      </c>
      <c r="AK67" s="9" t="str">
        <f>_xlfn.TEXTJOIN("|",FALSE,A67,TEXT(B67,"mm-dd-yyyy"),TEXT(E67,"mm-dd-yyyy"),I67,J67,L67,N67,P67,R67,T67,V67,X67,Y67,AA67,AB67,AC67,AD67,AE67,AF67,AG67,AI67)</f>
        <v>ORD-2024-10066|04-22-2024|04-27-2024|CUST-2463|Mira Das|Home Office|West|Maharashtra|Mumbai|Office Supplies|Paper|Pro Paper 552|Second Class|1|4280.19|0.05|4066.18|2628.92|1437.26|Paid|Completed</v>
      </c>
      <c r="AL67" s="27" t="str">
        <f>IF(COUNTIF($AK$2:AK67,AK67)&gt;1,"Remove exact duplicate copy","Keep")</f>
        <v>Keep</v>
      </c>
      <c r="AM67" s="9">
        <f t="shared" si="13"/>
        <v>1</v>
      </c>
      <c r="AN67" s="9" t="str">
        <f t="shared" si="14"/>
        <v>Unique</v>
      </c>
      <c r="AO67" s="9" t="str">
        <f t="shared" si="15"/>
        <v/>
      </c>
      <c r="AP67" s="9">
        <f t="shared" si="16"/>
        <v>0.05</v>
      </c>
      <c r="AQ67" s="10">
        <f t="shared" si="17"/>
        <v>4066.1804999999995</v>
      </c>
      <c r="AR67" s="10">
        <f t="shared" si="18"/>
        <v>1437.2604999999994</v>
      </c>
      <c r="AS67" s="11">
        <f t="shared" si="19"/>
        <v>0.35346696980126674</v>
      </c>
      <c r="AT67" s="9">
        <f t="shared" si="20"/>
        <v>4</v>
      </c>
      <c r="AU67" s="9">
        <f t="shared" si="21"/>
        <v>2024</v>
      </c>
      <c r="AV67" s="9" t="b">
        <f t="shared" si="22"/>
        <v>0</v>
      </c>
      <c r="AW67" s="9" t="b">
        <f t="shared" si="23"/>
        <v>0</v>
      </c>
      <c r="AX67" s="9" t="str">
        <f t="shared" si="24"/>
        <v>Yes</v>
      </c>
      <c r="AY67" s="9" t="str">
        <f t="shared" ref="AY67:AY130" si="27">_xlfn.TEXTJOIN("; ",TRUE,IF(O67="Unknown","Missing region filled as Unknown",""),IF(Z67="Unknown","Missing ship mode filled as Unknown",""),IF(AND(AC67="",AP67=0),"Missing discount treated as 0",""),IF(AP67&lt;0,"Negative discount",""),IF(AP67&gt;0.5,"Discount above 50%",""),IF(G67="Ship date before order date","Ship date before order date",""),IF(AH67="Failed","Failed payment excluded",""),IF(AH67="Refunded","Refunded order summarized separately",""),IF(AJ67="Cancelled","Cancelled order excluded",""),IF(AJ67="Returned","Returned order excluded",""),IF(AO67&lt;&gt;"","Duplicate order ID conflict",""),IF(AV67=TRUE,"Sales mismatch",""),IF(AW67=TRUE,"Profit mismatch",""))</f>
        <v/>
      </c>
      <c r="AZ67" s="9" t="str">
        <f>IF(OR(G67="Missing date",G67="Invalid date",G67="Ship date before order date",NOT(ISNUMBER(AP67)),AP67&lt;0,AP67&gt;0.5,AV67=TRUE,AW67=TRUE),"Invalid",IF(OR(O67="Unknown",Z67="Unknown",AC67="",AH67&lt;&gt;"Paid",AJ67&lt;&gt;"Completed",AO67&lt;&gt;""),"Warning","Clean"))</f>
        <v>Clean</v>
      </c>
    </row>
    <row r="68" spans="1:52" ht="15.75" customHeight="1">
      <c r="A68" s="6" t="s">
        <v>509</v>
      </c>
      <c r="B68" s="7" t="s">
        <v>510</v>
      </c>
      <c r="C68" s="7" t="str">
        <f t="shared" si="26"/>
        <v>2025-08</v>
      </c>
      <c r="D68" s="7" cm="1">
        <f t="array" ref="D68">_xlfn.LET(_xlpm.x,B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45897</v>
      </c>
      <c r="E68" s="7" t="s">
        <v>511</v>
      </c>
      <c r="F68" s="7" cm="1">
        <f t="array" ref="F68">_xlfn.LET(_xlpm.x,E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45901</v>
      </c>
      <c r="G68" s="8" t="str">
        <f t="shared" si="1"/>
        <v>OK</v>
      </c>
      <c r="H68" s="6">
        <f t="shared" si="2"/>
        <v>4</v>
      </c>
      <c r="I68" s="6" t="s">
        <v>512</v>
      </c>
      <c r="J68" s="6" t="s">
        <v>129</v>
      </c>
      <c r="K68" s="6" t="str">
        <f t="shared" si="3"/>
        <v>Karan Malhotra</v>
      </c>
      <c r="L68" s="6" t="s">
        <v>46</v>
      </c>
      <c r="M68" s="8" t="str">
        <f t="shared" si="4"/>
        <v>Small Business</v>
      </c>
      <c r="N68" s="6" t="s">
        <v>10</v>
      </c>
      <c r="O68" s="6" t="str">
        <f t="shared" si="5"/>
        <v>South</v>
      </c>
      <c r="P68" s="6" t="s">
        <v>413</v>
      </c>
      <c r="Q68" s="6" t="str">
        <f t="shared" si="6"/>
        <v>Tamil Nadu</v>
      </c>
      <c r="R68" s="6" t="s">
        <v>414</v>
      </c>
      <c r="S68" s="6" t="str">
        <f t="shared" si="7"/>
        <v>Chennai</v>
      </c>
      <c r="T68" s="6" t="s">
        <v>27</v>
      </c>
      <c r="U68" s="8" t="str">
        <f t="shared" si="8"/>
        <v>Technology</v>
      </c>
      <c r="V68" s="6" t="s">
        <v>28</v>
      </c>
      <c r="W68" s="6" t="str">
        <f t="shared" si="9"/>
        <v>Accessories</v>
      </c>
      <c r="X68" s="6" t="s">
        <v>513</v>
      </c>
      <c r="Y68" s="6" t="s">
        <v>37</v>
      </c>
      <c r="Z68" s="6" t="str">
        <f t="shared" si="10"/>
        <v>Same Day</v>
      </c>
      <c r="AA68" s="6">
        <v>7</v>
      </c>
      <c r="AB68" s="6">
        <v>1057.46</v>
      </c>
      <c r="AC68" s="6">
        <v>0.05</v>
      </c>
      <c r="AD68" s="6">
        <v>7032.11</v>
      </c>
      <c r="AE68" s="6">
        <v>4610.34</v>
      </c>
      <c r="AF68" s="6">
        <v>2421.77</v>
      </c>
      <c r="AG68" s="6" t="s">
        <v>52</v>
      </c>
      <c r="AH68" s="6" t="str">
        <f t="shared" si="11"/>
        <v>Paid</v>
      </c>
      <c r="AI68" s="6" t="s">
        <v>134</v>
      </c>
      <c r="AJ68" s="6" t="str">
        <f t="shared" si="12"/>
        <v>Completed</v>
      </c>
      <c r="AK68" s="9" t="str">
        <f>_xlfn.TEXTJOIN("|",FALSE,A68,TEXT(B68,"mm-dd-yyyy"),TEXT(E68,"mm-dd-yyyy"),I68,J68,L68,N68,P68,R68,T68,V68,X68,Y68,AA68,AB68,AC68,AD68,AE68,AF68,AG68,AI68)</f>
        <v>ORD-2025-10067|08-28-2025|09-01-2025|CUST-1504|Karan Malhotra|Small Business|South|Tamil Nadu|Chennai|Technology|Accessories|Elite Accessories 187|Same Day|7|1057.46|0.05|7032.11|4610.34|2421.77|Paid|Completed</v>
      </c>
      <c r="AL68" s="27" t="str">
        <f>IF(COUNTIF($AK$2:AK68,AK68)&gt;1,"Remove exact duplicate copy","Keep")</f>
        <v>Keep</v>
      </c>
      <c r="AM68" s="9">
        <f t="shared" si="13"/>
        <v>1</v>
      </c>
      <c r="AN68" s="9" t="str">
        <f t="shared" si="14"/>
        <v>Unique</v>
      </c>
      <c r="AO68" s="9" t="str">
        <f t="shared" si="15"/>
        <v/>
      </c>
      <c r="AP68" s="9">
        <f t="shared" si="16"/>
        <v>0.05</v>
      </c>
      <c r="AQ68" s="10">
        <f t="shared" si="17"/>
        <v>7032.1089999999995</v>
      </c>
      <c r="AR68" s="10">
        <f t="shared" si="18"/>
        <v>2421.7689999999993</v>
      </c>
      <c r="AS68" s="11">
        <f t="shared" si="19"/>
        <v>0.34438729547565311</v>
      </c>
      <c r="AT68" s="9">
        <f t="shared" si="20"/>
        <v>8</v>
      </c>
      <c r="AU68" s="9">
        <f t="shared" si="21"/>
        <v>2025</v>
      </c>
      <c r="AV68" s="9" t="b">
        <f t="shared" si="22"/>
        <v>0</v>
      </c>
      <c r="AW68" s="9" t="b">
        <f t="shared" si="23"/>
        <v>0</v>
      </c>
      <c r="AX68" s="9" t="str">
        <f t="shared" si="24"/>
        <v>Yes</v>
      </c>
      <c r="AY68" s="9" t="str">
        <f t="shared" si="27"/>
        <v/>
      </c>
      <c r="AZ68" s="9" t="str">
        <f>IF(OR(G68="Missing date",G68="Invalid date",G68="Ship date before order date",NOT(ISNUMBER(AP68)),AP68&lt;0,AP68&gt;0.5,AV68=TRUE,AW68=TRUE),"Invalid",IF(OR(O68="Unknown",Z68="Unknown",AC68="",AH68&lt;&gt;"Paid",AJ68&lt;&gt;"Completed",AO68&lt;&gt;""),"Warning","Clean"))</f>
        <v>Clean</v>
      </c>
    </row>
    <row r="69" spans="1:52" ht="15.75" customHeight="1">
      <c r="A69" s="6" t="s">
        <v>514</v>
      </c>
      <c r="B69" s="7" t="s">
        <v>515</v>
      </c>
      <c r="C69" s="7" t="str">
        <f t="shared" si="26"/>
        <v>2025-02</v>
      </c>
      <c r="D69" s="7" cm="1">
        <f t="array" ref="D69">_xlfn.LET(_xlpm.x,B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45691</v>
      </c>
      <c r="E69" s="7" t="s">
        <v>516</v>
      </c>
      <c r="F69" s="7" cm="1">
        <f t="array" ref="F69">_xlfn.LET(_xlpm.x,E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45695</v>
      </c>
      <c r="G69" s="8" t="str">
        <f t="shared" si="1"/>
        <v>OK</v>
      </c>
      <c r="H69" s="6">
        <f t="shared" si="2"/>
        <v>4</v>
      </c>
      <c r="I69" s="6" t="s">
        <v>517</v>
      </c>
      <c r="J69" s="6" t="s">
        <v>442</v>
      </c>
      <c r="K69" s="6" t="str">
        <f t="shared" si="3"/>
        <v>Kabir Singh</v>
      </c>
      <c r="L69" s="6" t="s">
        <v>43</v>
      </c>
      <c r="M69" s="8" t="str">
        <f t="shared" si="4"/>
        <v>Consumer</v>
      </c>
      <c r="N69" s="6" t="s">
        <v>7</v>
      </c>
      <c r="O69" s="6" t="str">
        <f t="shared" si="5"/>
        <v>North</v>
      </c>
      <c r="P69" s="6" t="s">
        <v>397</v>
      </c>
      <c r="Q69" s="6" t="str">
        <f t="shared" si="6"/>
        <v>Haryana</v>
      </c>
      <c r="R69" s="6" t="s">
        <v>398</v>
      </c>
      <c r="S69" s="6" t="str">
        <f t="shared" si="7"/>
        <v>Gurugram</v>
      </c>
      <c r="T69" s="6" t="s">
        <v>20</v>
      </c>
      <c r="U69" s="8" t="str">
        <f t="shared" si="8"/>
        <v>Office Supplies</v>
      </c>
      <c r="V69" s="6" t="s">
        <v>24</v>
      </c>
      <c r="W69" s="6" t="str">
        <f t="shared" si="9"/>
        <v>Paper</v>
      </c>
      <c r="X69" s="6" t="s">
        <v>518</v>
      </c>
      <c r="Y69" s="6" t="s">
        <v>35</v>
      </c>
      <c r="Z69" s="6" t="str">
        <f t="shared" si="10"/>
        <v>First Class</v>
      </c>
      <c r="AA69" s="6">
        <v>7</v>
      </c>
      <c r="AB69" s="6">
        <v>3609.34</v>
      </c>
      <c r="AC69" s="6">
        <v>0.05</v>
      </c>
      <c r="AD69" s="6">
        <v>24002.11</v>
      </c>
      <c r="AE69" s="6">
        <v>18707.57</v>
      </c>
      <c r="AF69" s="6">
        <v>5294.54</v>
      </c>
      <c r="AG69" s="6" t="s">
        <v>52</v>
      </c>
      <c r="AH69" s="6" t="str">
        <f t="shared" si="11"/>
        <v>Paid</v>
      </c>
      <c r="AI69" s="6" t="s">
        <v>134</v>
      </c>
      <c r="AJ69" s="6" t="str">
        <f t="shared" si="12"/>
        <v>Completed</v>
      </c>
      <c r="AK69" s="9" t="str">
        <f>_xlfn.TEXTJOIN("|",FALSE,A69,TEXT(B69,"mm-dd-yyyy"),TEXT(E69,"mm-dd-yyyy"),I69,J69,L69,N69,P69,R69,T69,V69,X69,Y69,AA69,AB69,AC69,AD69,AE69,AF69,AG69,AI69)</f>
        <v>ORD-2025-10068|02-03-2025|07-02-2025|CUST-8282|Kabir Singh|Consumer|North|Haryana|Gurugram|Office Supplies|Paper|Eco Paper 922|First Class|7|3609.34|0.05|24002.11|18707.57|5294.54|Paid|Completed</v>
      </c>
      <c r="AL69" s="27" t="str">
        <f>IF(COUNTIF($AK$2:AK69,AK69)&gt;1,"Remove exact duplicate copy","Keep")</f>
        <v>Keep</v>
      </c>
      <c r="AM69" s="9">
        <f t="shared" si="13"/>
        <v>1</v>
      </c>
      <c r="AN69" s="9" t="str">
        <f t="shared" si="14"/>
        <v>Unique</v>
      </c>
      <c r="AO69" s="9" t="str">
        <f t="shared" si="15"/>
        <v/>
      </c>
      <c r="AP69" s="9">
        <f t="shared" si="16"/>
        <v>0.05</v>
      </c>
      <c r="AQ69" s="10">
        <f t="shared" si="17"/>
        <v>24002.111000000001</v>
      </c>
      <c r="AR69" s="10">
        <f t="shared" si="18"/>
        <v>5294.5410000000011</v>
      </c>
      <c r="AS69" s="11">
        <f t="shared" si="19"/>
        <v>0.2205864725815159</v>
      </c>
      <c r="AT69" s="9">
        <f t="shared" si="20"/>
        <v>2</v>
      </c>
      <c r="AU69" s="9">
        <f t="shared" si="21"/>
        <v>2025</v>
      </c>
      <c r="AV69" s="9" t="b">
        <f t="shared" si="22"/>
        <v>0</v>
      </c>
      <c r="AW69" s="9" t="b">
        <f t="shared" si="23"/>
        <v>0</v>
      </c>
      <c r="AX69" s="9" t="str">
        <f t="shared" si="24"/>
        <v>Yes</v>
      </c>
      <c r="AY69" s="9" t="str">
        <f t="shared" si="27"/>
        <v/>
      </c>
      <c r="AZ69" s="9" t="str">
        <f>IF(OR(G69="Missing date",G69="Invalid date",G69="Ship date before order date",NOT(ISNUMBER(AP69)),AP69&lt;0,AP69&gt;0.5,AV69=TRUE,AW69=TRUE),"Invalid",IF(OR(O69="Unknown",Z69="Unknown",AC69="",AH69&lt;&gt;"Paid",AJ69&lt;&gt;"Completed",AO69&lt;&gt;""),"Warning","Clean"))</f>
        <v>Clean</v>
      </c>
    </row>
    <row r="70" spans="1:52" ht="15.75" customHeight="1">
      <c r="A70" s="6" t="s">
        <v>519</v>
      </c>
      <c r="B70" s="7" t="s">
        <v>188</v>
      </c>
      <c r="C70" s="7" t="str">
        <f t="shared" si="26"/>
        <v>2024-11</v>
      </c>
      <c r="D70" s="7" cm="1">
        <f t="array" ref="D70">_xlfn.LET(_xlpm.x,B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45606</v>
      </c>
      <c r="E70" s="7" t="s">
        <v>520</v>
      </c>
      <c r="F70" s="7" cm="1">
        <f t="array" ref="F70">_xlfn.LET(_xlpm.x,E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45609</v>
      </c>
      <c r="G70" s="8" t="str">
        <f t="shared" si="1"/>
        <v>OK</v>
      </c>
      <c r="H70" s="6">
        <f t="shared" si="2"/>
        <v>3</v>
      </c>
      <c r="I70" s="6" t="s">
        <v>521</v>
      </c>
      <c r="J70" s="6" t="s">
        <v>147</v>
      </c>
      <c r="K70" s="6" t="str">
        <f t="shared" si="3"/>
        <v>Isha Nair</v>
      </c>
      <c r="L70" s="6" t="s">
        <v>45</v>
      </c>
      <c r="M70" s="8" t="str">
        <f t="shared" si="4"/>
        <v>Corporate</v>
      </c>
      <c r="N70" s="6" t="s">
        <v>8</v>
      </c>
      <c r="O70" s="6" t="str">
        <f t="shared" si="5"/>
        <v>East</v>
      </c>
      <c r="P70" s="6" t="s">
        <v>385</v>
      </c>
      <c r="Q70" s="6" t="str">
        <f t="shared" si="6"/>
        <v>Jharkhand</v>
      </c>
      <c r="R70" s="6" t="s">
        <v>386</v>
      </c>
      <c r="S70" s="6" t="str">
        <f t="shared" si="7"/>
        <v>Ranchi</v>
      </c>
      <c r="T70" s="6" t="s">
        <v>20</v>
      </c>
      <c r="U70" s="8" t="str">
        <f t="shared" si="8"/>
        <v>Office Supplies</v>
      </c>
      <c r="V70" s="6" t="s">
        <v>25</v>
      </c>
      <c r="W70" s="6" t="str">
        <f t="shared" si="9"/>
        <v>Storage</v>
      </c>
      <c r="X70" s="6" t="s">
        <v>522</v>
      </c>
      <c r="Y70" s="6" t="s">
        <v>36</v>
      </c>
      <c r="Z70" s="6" t="str">
        <f t="shared" si="10"/>
        <v>Second Class</v>
      </c>
      <c r="AA70" s="6">
        <v>9</v>
      </c>
      <c r="AB70" s="6">
        <v>2211.12</v>
      </c>
      <c r="AC70" s="6">
        <v>0</v>
      </c>
      <c r="AD70" s="6">
        <v>19900.080000000002</v>
      </c>
      <c r="AE70" s="6">
        <v>10962.66</v>
      </c>
      <c r="AF70" s="6">
        <v>8937.42</v>
      </c>
      <c r="AG70" s="6" t="s">
        <v>50</v>
      </c>
      <c r="AH70" s="6" t="str">
        <f t="shared" si="11"/>
        <v>Failed</v>
      </c>
      <c r="AI70" s="6" t="s">
        <v>59</v>
      </c>
      <c r="AJ70" s="6" t="str">
        <f t="shared" si="12"/>
        <v>Returned</v>
      </c>
      <c r="AK70" s="9" t="str">
        <f>_xlfn.TEXTJOIN("|",FALSE,A70,TEXT(B70,"mm-dd-yyyy"),TEXT(E70,"mm-dd-yyyy"),I70,J70,L70,N70,P70,R70,T70,V70,X70,Y70,AA70,AB70,AC70,AD70,AE70,AF70,AG70,AI70)</f>
        <v>ORD-2024-10069|11-10-2024|11-13-2024|CUST-6054|Isha Nair|Corporate|East|Jharkhand|Ranchi|Office Supplies|Storage|Pro Storage 975|Second Class|9|2211.12|0|19900.08|10962.66|8937.42|Failed|Returned</v>
      </c>
      <c r="AL70" s="27" t="str">
        <f>IF(COUNTIF($AK$2:AK70,AK70)&gt;1,"Remove exact duplicate copy","Keep")</f>
        <v>Keep</v>
      </c>
      <c r="AM70" s="9">
        <f t="shared" si="13"/>
        <v>1</v>
      </c>
      <c r="AN70" s="9" t="str">
        <f t="shared" si="14"/>
        <v>Unique</v>
      </c>
      <c r="AO70" s="9" t="str">
        <f t="shared" si="15"/>
        <v/>
      </c>
      <c r="AP70" s="9">
        <f t="shared" si="16"/>
        <v>0</v>
      </c>
      <c r="AQ70" s="10">
        <f t="shared" si="17"/>
        <v>19900.079999999998</v>
      </c>
      <c r="AR70" s="10">
        <f t="shared" si="18"/>
        <v>8937.4199999999983</v>
      </c>
      <c r="AS70" s="11">
        <f t="shared" si="19"/>
        <v>0.44911477742803041</v>
      </c>
      <c r="AT70" s="9">
        <f t="shared" si="20"/>
        <v>11</v>
      </c>
      <c r="AU70" s="9">
        <f t="shared" si="21"/>
        <v>2024</v>
      </c>
      <c r="AV70" s="9" t="b">
        <f t="shared" si="22"/>
        <v>0</v>
      </c>
      <c r="AW70" s="9" t="b">
        <f t="shared" si="23"/>
        <v>0</v>
      </c>
      <c r="AX70" s="9" t="str">
        <f t="shared" si="24"/>
        <v>No</v>
      </c>
      <c r="AY70" s="9" t="str">
        <f t="shared" si="27"/>
        <v>Failed payment excluded; Returned order excluded</v>
      </c>
      <c r="AZ70" s="9" t="str">
        <f>IF(OR(G70="Missing date",G70="Invalid date",G70="Ship date before order date",NOT(ISNUMBER(AP70)),AP70&lt;0,AP70&gt;0.5,AV70=TRUE,AW70=TRUE),"Invalid",IF(OR(O70="Unknown",Z70="Unknown",AC70="",AH70&lt;&gt;"Paid",AJ70&lt;&gt;"Completed",AO70&lt;&gt;""),"Warning","Clean"))</f>
        <v>Warning</v>
      </c>
    </row>
    <row r="71" spans="1:52" ht="15.75" customHeight="1">
      <c r="A71" s="6" t="s">
        <v>523</v>
      </c>
      <c r="B71" s="7" t="s">
        <v>524</v>
      </c>
      <c r="C71" s="7" t="str">
        <f t="shared" si="26"/>
        <v>2024-04</v>
      </c>
      <c r="D71" s="7" cm="1">
        <f t="array" ref="D71">_xlfn.LET(_xlpm.x,B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45391</v>
      </c>
      <c r="E71" s="7" t="s">
        <v>525</v>
      </c>
      <c r="F71" s="7" cm="1">
        <f t="array" ref="F71">_xlfn.LET(_xlpm.x,E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45396</v>
      </c>
      <c r="G71" s="8" t="str">
        <f t="shared" si="1"/>
        <v>OK</v>
      </c>
      <c r="H71" s="6">
        <f t="shared" si="2"/>
        <v>5</v>
      </c>
      <c r="I71" s="6" t="s">
        <v>526</v>
      </c>
      <c r="J71" s="6" t="s">
        <v>177</v>
      </c>
      <c r="K71" s="6" t="str">
        <f t="shared" si="3"/>
        <v>Neha Gupta</v>
      </c>
      <c r="L71" s="6" t="s">
        <v>46</v>
      </c>
      <c r="M71" s="8" t="str">
        <f t="shared" si="4"/>
        <v>Small Business</v>
      </c>
      <c r="N71" s="6" t="s">
        <v>9</v>
      </c>
      <c r="O71" s="6" t="str">
        <f t="shared" si="5"/>
        <v>West</v>
      </c>
      <c r="P71" s="6" t="s">
        <v>309</v>
      </c>
      <c r="Q71" s="6" t="str">
        <f t="shared" si="6"/>
        <v>Gujarat</v>
      </c>
      <c r="R71" s="6" t="s">
        <v>310</v>
      </c>
      <c r="S71" s="6" t="str">
        <f t="shared" si="7"/>
        <v>Ahmedabad</v>
      </c>
      <c r="T71" s="6" t="s">
        <v>27</v>
      </c>
      <c r="U71" s="8" t="str">
        <f t="shared" si="8"/>
        <v>Technology</v>
      </c>
      <c r="V71" s="6" t="s">
        <v>30</v>
      </c>
      <c r="W71" s="6" t="str">
        <f t="shared" si="9"/>
        <v>Machines</v>
      </c>
      <c r="X71" s="6" t="s">
        <v>527</v>
      </c>
      <c r="Y71" s="6" t="s">
        <v>37</v>
      </c>
      <c r="Z71" s="6" t="str">
        <f t="shared" si="10"/>
        <v>Same Day</v>
      </c>
      <c r="AA71" s="6">
        <v>7</v>
      </c>
      <c r="AB71" s="6">
        <v>3417.09</v>
      </c>
      <c r="AC71" s="6">
        <v>0.1</v>
      </c>
      <c r="AD71" s="6">
        <v>21527.67</v>
      </c>
      <c r="AE71" s="6">
        <v>18287.580000000002</v>
      </c>
      <c r="AF71" s="6">
        <v>3240.09</v>
      </c>
      <c r="AG71" s="6" t="s">
        <v>56</v>
      </c>
      <c r="AH71" s="6" t="str">
        <f t="shared" si="11"/>
        <v>Refunded</v>
      </c>
      <c r="AI71" s="6" t="s">
        <v>59</v>
      </c>
      <c r="AJ71" s="6" t="str">
        <f t="shared" si="12"/>
        <v>Returned</v>
      </c>
      <c r="AK71" s="9" t="str">
        <f>_xlfn.TEXTJOIN("|",FALSE,A71,TEXT(B71,"mm-dd-yyyy"),TEXT(E71,"mm-dd-yyyy"),I71,J71,L71,N71,P71,R71,T71,V71,X71,Y71,AA71,AB71,AC71,AD71,AE71,AF71,AG71,AI71)</f>
        <v>ORD-2024-10070|04-09-2024|04-14-2024|CUST-5979|Neha Gupta|Small Business|West|Gujarat|Ahmedabad|Technology|Machines|Prime Machines 782|Same Day|7|3417.09|0.1|21527.67|18287.58|3240.09|Refunded|Returned</v>
      </c>
      <c r="AL71" s="27" t="str">
        <f>IF(COUNTIF($AK$2:AK71,AK71)&gt;1,"Remove exact duplicate copy","Keep")</f>
        <v>Keep</v>
      </c>
      <c r="AM71" s="9">
        <f t="shared" si="13"/>
        <v>1</v>
      </c>
      <c r="AN71" s="9" t="str">
        <f t="shared" si="14"/>
        <v>Unique</v>
      </c>
      <c r="AO71" s="9" t="str">
        <f t="shared" si="15"/>
        <v/>
      </c>
      <c r="AP71" s="9">
        <f t="shared" si="16"/>
        <v>0.1</v>
      </c>
      <c r="AQ71" s="10">
        <f t="shared" si="17"/>
        <v>21527.667000000001</v>
      </c>
      <c r="AR71" s="10">
        <f t="shared" si="18"/>
        <v>3240.0869999999995</v>
      </c>
      <c r="AS71" s="11">
        <f t="shared" si="19"/>
        <v>0.15050804158202555</v>
      </c>
      <c r="AT71" s="9">
        <f t="shared" si="20"/>
        <v>4</v>
      </c>
      <c r="AU71" s="9">
        <f t="shared" si="21"/>
        <v>2024</v>
      </c>
      <c r="AV71" s="9" t="b">
        <f t="shared" si="22"/>
        <v>0</v>
      </c>
      <c r="AW71" s="9" t="b">
        <f t="shared" si="23"/>
        <v>0</v>
      </c>
      <c r="AX71" s="9" t="str">
        <f t="shared" si="24"/>
        <v>No</v>
      </c>
      <c r="AY71" s="9" t="str">
        <f t="shared" si="27"/>
        <v>Refunded order summarized separately; Returned order excluded</v>
      </c>
      <c r="AZ71" s="9" t="str">
        <f>IF(OR(G71="Missing date",G71="Invalid date",G71="Ship date before order date",NOT(ISNUMBER(AP71)),AP71&lt;0,AP71&gt;0.5,AV71=TRUE,AW71=TRUE),"Invalid",IF(OR(O71="Unknown",Z71="Unknown",AC71="",AH71&lt;&gt;"Paid",AJ71&lt;&gt;"Completed",AO71&lt;&gt;""),"Warning","Clean"))</f>
        <v>Warning</v>
      </c>
    </row>
    <row r="72" spans="1:52" ht="15.75" customHeight="1">
      <c r="A72" s="6" t="s">
        <v>528</v>
      </c>
      <c r="B72" s="7" t="s">
        <v>529</v>
      </c>
      <c r="C72" s="7" t="str">
        <f t="shared" si="26"/>
        <v>2025-08</v>
      </c>
      <c r="D72" s="7" cm="1">
        <f t="array" ref="D72">_xlfn.LET(_xlpm.x,B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45891</v>
      </c>
      <c r="E72" s="7" t="s">
        <v>530</v>
      </c>
      <c r="F72" s="7" cm="1">
        <f t="array" ref="F72">_xlfn.LET(_xlpm.x,E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45896</v>
      </c>
      <c r="G72" s="8" t="str">
        <f t="shared" si="1"/>
        <v>OK</v>
      </c>
      <c r="H72" s="6">
        <f t="shared" si="2"/>
        <v>5</v>
      </c>
      <c r="I72" s="6" t="s">
        <v>531</v>
      </c>
      <c r="J72" s="6" t="s">
        <v>129</v>
      </c>
      <c r="K72" s="6" t="str">
        <f t="shared" si="3"/>
        <v>Karan Malhotra</v>
      </c>
      <c r="L72" s="6" t="s">
        <v>45</v>
      </c>
      <c r="M72" s="8" t="str">
        <f t="shared" si="4"/>
        <v>Corporate</v>
      </c>
      <c r="N72" s="6" t="s">
        <v>10</v>
      </c>
      <c r="O72" s="6" t="str">
        <f t="shared" si="5"/>
        <v>South</v>
      </c>
      <c r="P72" s="6" t="s">
        <v>183</v>
      </c>
      <c r="Q72" s="6" t="str">
        <f t="shared" si="6"/>
        <v>Andhra Pradesh</v>
      </c>
      <c r="R72" s="6" t="s">
        <v>184</v>
      </c>
      <c r="S72" s="6" t="str">
        <f t="shared" si="7"/>
        <v>Vijayawada</v>
      </c>
      <c r="T72" s="6" t="s">
        <v>27</v>
      </c>
      <c r="U72" s="8" t="str">
        <f t="shared" si="8"/>
        <v>Technology</v>
      </c>
      <c r="V72" s="6" t="s">
        <v>31</v>
      </c>
      <c r="W72" s="6" t="str">
        <f t="shared" si="9"/>
        <v>Phones</v>
      </c>
      <c r="X72" s="6" t="s">
        <v>532</v>
      </c>
      <c r="Y72" s="6" t="s">
        <v>35</v>
      </c>
      <c r="Z72" s="6" t="str">
        <f t="shared" si="10"/>
        <v>First Class</v>
      </c>
      <c r="AA72" s="6">
        <v>2</v>
      </c>
      <c r="AB72" s="6">
        <v>905.87</v>
      </c>
      <c r="AC72" s="6">
        <v>0.15</v>
      </c>
      <c r="AD72" s="6">
        <v>1539.98</v>
      </c>
      <c r="AE72" s="6">
        <v>1070.2</v>
      </c>
      <c r="AF72" s="6">
        <v>469.78</v>
      </c>
      <c r="AG72" s="6" t="s">
        <v>52</v>
      </c>
      <c r="AH72" s="6" t="str">
        <f t="shared" si="11"/>
        <v>Paid</v>
      </c>
      <c r="AI72" s="6" t="s">
        <v>134</v>
      </c>
      <c r="AJ72" s="6" t="str">
        <f t="shared" si="12"/>
        <v>Completed</v>
      </c>
      <c r="AK72" s="9" t="str">
        <f>_xlfn.TEXTJOIN("|",FALSE,A72,TEXT(B72,"mm-dd-yyyy"),TEXT(E72,"mm-dd-yyyy"),I72,J72,L72,N72,P72,R72,T72,V72,X72,Y72,AA72,AB72,AC72,AD72,AE72,AF72,AG72,AI72)</f>
        <v>ORD-2025-10071|08-22-2025|08-27-2025|CUST-5582|Karan Malhotra|Corporate|South|Andhra Pradesh|Vijayawada|Technology|Phones|Max Phones 661|First Class|2|905.87|0.15|1539.98|1070.2|469.78|Paid|Completed</v>
      </c>
      <c r="AL72" s="27" t="str">
        <f>IF(COUNTIF($AK$2:AK72,AK72)&gt;1,"Remove exact duplicate copy","Keep")</f>
        <v>Keep</v>
      </c>
      <c r="AM72" s="9">
        <f t="shared" si="13"/>
        <v>1</v>
      </c>
      <c r="AN72" s="9" t="str">
        <f t="shared" si="14"/>
        <v>Unique</v>
      </c>
      <c r="AO72" s="9" t="str">
        <f t="shared" si="15"/>
        <v/>
      </c>
      <c r="AP72" s="9">
        <f t="shared" si="16"/>
        <v>0.15</v>
      </c>
      <c r="AQ72" s="10">
        <f t="shared" si="17"/>
        <v>1539.979</v>
      </c>
      <c r="AR72" s="10">
        <f t="shared" si="18"/>
        <v>469.779</v>
      </c>
      <c r="AS72" s="11">
        <f t="shared" si="19"/>
        <v>0.30505545854846072</v>
      </c>
      <c r="AT72" s="9">
        <f t="shared" si="20"/>
        <v>8</v>
      </c>
      <c r="AU72" s="9">
        <f t="shared" si="21"/>
        <v>2025</v>
      </c>
      <c r="AV72" s="9" t="b">
        <f t="shared" si="22"/>
        <v>0</v>
      </c>
      <c r="AW72" s="9" t="b">
        <f t="shared" si="23"/>
        <v>0</v>
      </c>
      <c r="AX72" s="9" t="str">
        <f t="shared" si="24"/>
        <v>Yes</v>
      </c>
      <c r="AY72" s="9" t="str">
        <f t="shared" si="27"/>
        <v/>
      </c>
      <c r="AZ72" s="9" t="str">
        <f>IF(OR(G72="Missing date",G72="Invalid date",G72="Ship date before order date",NOT(ISNUMBER(AP72)),AP72&lt;0,AP72&gt;0.5,AV72=TRUE,AW72=TRUE),"Invalid",IF(OR(O72="Unknown",Z72="Unknown",AC72="",AH72&lt;&gt;"Paid",AJ72&lt;&gt;"Completed",AO72&lt;&gt;""),"Warning","Clean"))</f>
        <v>Clean</v>
      </c>
    </row>
    <row r="73" spans="1:52" ht="15.75" customHeight="1">
      <c r="A73" s="6" t="s">
        <v>533</v>
      </c>
      <c r="B73" s="7" t="s">
        <v>175</v>
      </c>
      <c r="C73" s="7" t="str">
        <f t="shared" si="26"/>
        <v>2025-04</v>
      </c>
      <c r="D73" s="7" cm="1">
        <f t="array" ref="D73">_xlfn.LET(_xlpm.x,B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45763</v>
      </c>
      <c r="E73" s="7" t="s">
        <v>534</v>
      </c>
      <c r="F73" s="7" cm="1">
        <f t="array" ref="F73">_xlfn.LET(_xlpm.x,E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45770</v>
      </c>
      <c r="G73" s="8" t="str">
        <f t="shared" si="1"/>
        <v>OK</v>
      </c>
      <c r="H73" s="6">
        <f t="shared" si="2"/>
        <v>7</v>
      </c>
      <c r="I73" s="6" t="s">
        <v>535</v>
      </c>
      <c r="J73" s="6" t="s">
        <v>139</v>
      </c>
      <c r="K73" s="6" t="str">
        <f t="shared" si="3"/>
        <v>Mira Das</v>
      </c>
      <c r="L73" s="6" t="s">
        <v>536</v>
      </c>
      <c r="M73" s="8" t="str">
        <f t="shared" si="4"/>
        <v>Small Business</v>
      </c>
      <c r="N73" s="6" t="s">
        <v>9</v>
      </c>
      <c r="O73" s="6" t="str">
        <f t="shared" si="5"/>
        <v>West</v>
      </c>
      <c r="P73" s="6" t="s">
        <v>323</v>
      </c>
      <c r="Q73" s="6" t="str">
        <f t="shared" si="6"/>
        <v>Goa</v>
      </c>
      <c r="R73" s="6" t="s">
        <v>324</v>
      </c>
      <c r="S73" s="6" t="str">
        <f t="shared" si="7"/>
        <v>Panaji</v>
      </c>
      <c r="T73" s="6" t="s">
        <v>27</v>
      </c>
      <c r="U73" s="8" t="str">
        <f t="shared" si="8"/>
        <v>Technology</v>
      </c>
      <c r="V73" s="6" t="s">
        <v>30</v>
      </c>
      <c r="W73" s="6" t="str">
        <f t="shared" si="9"/>
        <v>Machines</v>
      </c>
      <c r="X73" s="6" t="s">
        <v>537</v>
      </c>
      <c r="Y73" s="6" t="s">
        <v>34</v>
      </c>
      <c r="Z73" s="6" t="str">
        <f t="shared" si="10"/>
        <v>Standard Class</v>
      </c>
      <c r="AA73" s="6">
        <v>6</v>
      </c>
      <c r="AB73" s="6">
        <v>2027.32</v>
      </c>
      <c r="AC73" s="6">
        <v>0.1</v>
      </c>
      <c r="AD73" s="6">
        <v>10947.53</v>
      </c>
      <c r="AE73" s="6">
        <v>6447.36</v>
      </c>
      <c r="AF73" s="6">
        <v>4500.17</v>
      </c>
      <c r="AG73" s="6" t="s">
        <v>52</v>
      </c>
      <c r="AH73" s="6" t="str">
        <f t="shared" si="11"/>
        <v>Paid</v>
      </c>
      <c r="AI73" s="6" t="s">
        <v>134</v>
      </c>
      <c r="AJ73" s="6" t="str">
        <f t="shared" si="12"/>
        <v>Completed</v>
      </c>
      <c r="AK73" s="9" t="str">
        <f>_xlfn.TEXTJOIN("|",FALSE,A73,TEXT(B73,"mm-dd-yyyy"),TEXT(E73,"mm-dd-yyyy"),I73,J73,L73,N73,P73,R73,T73,V73,X73,Y73,AA73,AB73,AC73,AD73,AE73,AF73,AG73,AI73)</f>
        <v>ORD-2025-10072|04-16-2025|04-23-2025|CUST-3308|Mira Das|  Small Business |West|Goa|Panaji|Technology|Machines|Elite Machines 836|Standard Class|6|2027.32|0.1|10947.53|6447.36|4500.17|Paid|Completed</v>
      </c>
      <c r="AL73" s="27" t="str">
        <f>IF(COUNTIF($AK$2:AK73,AK73)&gt;1,"Remove exact duplicate copy","Keep")</f>
        <v>Keep</v>
      </c>
      <c r="AM73" s="9">
        <f t="shared" si="13"/>
        <v>1</v>
      </c>
      <c r="AN73" s="9" t="str">
        <f t="shared" si="14"/>
        <v>Unique</v>
      </c>
      <c r="AO73" s="9" t="str">
        <f t="shared" si="15"/>
        <v/>
      </c>
      <c r="AP73" s="9">
        <f t="shared" si="16"/>
        <v>0.1</v>
      </c>
      <c r="AQ73" s="10">
        <f t="shared" si="17"/>
        <v>10947.528</v>
      </c>
      <c r="AR73" s="10">
        <f t="shared" si="18"/>
        <v>4500.1680000000006</v>
      </c>
      <c r="AS73" s="11">
        <f t="shared" si="19"/>
        <v>0.41106704636882413</v>
      </c>
      <c r="AT73" s="9">
        <f t="shared" si="20"/>
        <v>4</v>
      </c>
      <c r="AU73" s="9">
        <f t="shared" si="21"/>
        <v>2025</v>
      </c>
      <c r="AV73" s="9" t="b">
        <f t="shared" si="22"/>
        <v>0</v>
      </c>
      <c r="AW73" s="9" t="b">
        <f t="shared" si="23"/>
        <v>0</v>
      </c>
      <c r="AX73" s="9" t="str">
        <f t="shared" si="24"/>
        <v>Yes</v>
      </c>
      <c r="AY73" s="9" t="str">
        <f t="shared" si="27"/>
        <v/>
      </c>
      <c r="AZ73" s="9" t="str">
        <f>IF(OR(G73="Missing date",G73="Invalid date",G73="Ship date before order date",NOT(ISNUMBER(AP73)),AP73&lt;0,AP73&gt;0.5,AV73=TRUE,AW73=TRUE),"Invalid",IF(OR(O73="Unknown",Z73="Unknown",AC73="",AH73&lt;&gt;"Paid",AJ73&lt;&gt;"Completed",AO73&lt;&gt;""),"Warning","Clean"))</f>
        <v>Clean</v>
      </c>
    </row>
    <row r="74" spans="1:52" ht="15.75" customHeight="1">
      <c r="A74" s="6" t="s">
        <v>538</v>
      </c>
      <c r="B74" s="7" t="s">
        <v>539</v>
      </c>
      <c r="C74" s="7" t="str">
        <f t="shared" si="26"/>
        <v>2024-02</v>
      </c>
      <c r="D74" s="7" cm="1">
        <f t="array" ref="D74">_xlfn.LET(_xlpm.x,B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45333</v>
      </c>
      <c r="E74" s="7" t="s">
        <v>540</v>
      </c>
      <c r="F74" s="7" cm="1">
        <f t="array" ref="F74">_xlfn.LET(_xlpm.x,E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45329</v>
      </c>
      <c r="G74" s="8" t="str">
        <f t="shared" si="1"/>
        <v>Ship date before order date</v>
      </c>
      <c r="H74" s="6">
        <f t="shared" si="2"/>
        <v>-4</v>
      </c>
      <c r="I74" s="6" t="s">
        <v>541</v>
      </c>
      <c r="J74" s="6" t="s">
        <v>129</v>
      </c>
      <c r="K74" s="6" t="str">
        <f t="shared" si="3"/>
        <v>Karan Malhotra</v>
      </c>
      <c r="L74" s="6" t="s">
        <v>44</v>
      </c>
      <c r="M74" s="8" t="str">
        <f t="shared" si="4"/>
        <v>Home Office</v>
      </c>
      <c r="N74" s="6" t="s">
        <v>10</v>
      </c>
      <c r="O74" s="6" t="str">
        <f t="shared" si="5"/>
        <v>South</v>
      </c>
      <c r="P74" s="6" t="s">
        <v>413</v>
      </c>
      <c r="Q74" s="6" t="str">
        <f t="shared" si="6"/>
        <v>Tamil Nadu</v>
      </c>
      <c r="R74" s="6" t="s">
        <v>414</v>
      </c>
      <c r="S74" s="6" t="str">
        <f t="shared" si="7"/>
        <v>Chennai</v>
      </c>
      <c r="T74" s="6" t="s">
        <v>14</v>
      </c>
      <c r="U74" s="8" t="str">
        <f t="shared" si="8"/>
        <v>Furniture</v>
      </c>
      <c r="V74" s="6" t="s">
        <v>18</v>
      </c>
      <c r="W74" s="6" t="str">
        <f t="shared" si="9"/>
        <v>Tables</v>
      </c>
      <c r="X74" s="6" t="s">
        <v>542</v>
      </c>
      <c r="Y74" s="6" t="s">
        <v>35</v>
      </c>
      <c r="Z74" s="6" t="str">
        <f t="shared" si="10"/>
        <v>First Class</v>
      </c>
      <c r="AA74" s="6">
        <v>7</v>
      </c>
      <c r="AB74" s="6">
        <v>2287.4699999999998</v>
      </c>
      <c r="AC74" s="6">
        <v>0.15</v>
      </c>
      <c r="AD74" s="6">
        <v>13610.45</v>
      </c>
      <c r="AE74" s="6">
        <v>10039.049999999999</v>
      </c>
      <c r="AF74" s="6">
        <v>3571.4</v>
      </c>
      <c r="AG74" s="6" t="s">
        <v>52</v>
      </c>
      <c r="AH74" s="6" t="str">
        <f t="shared" si="11"/>
        <v>Paid</v>
      </c>
      <c r="AI74" s="6" t="s">
        <v>134</v>
      </c>
      <c r="AJ74" s="6" t="str">
        <f t="shared" si="12"/>
        <v>Completed</v>
      </c>
      <c r="AK74" s="9" t="str">
        <f>_xlfn.TEXTJOIN("|",FALSE,A74,TEXT(B74,"mm-dd-yyyy"),TEXT(E74,"mm-dd-yyyy"),I74,J74,L74,N74,P74,R74,T74,V74,X74,Y74,AA74,AB74,AC74,AD74,AE74,AF74,AG74,AI74)</f>
        <v>ORD-2024-10073|02-11-2024|02-07-2024|CUST-5018|Karan Malhotra|Home Office|South|Tamil Nadu|Chennai|Furniture|Tables|Prime Tables 902|First Class|7|2287.47|0.15|13610.45|10039.05|3571.4|Paid|Completed</v>
      </c>
      <c r="AL74" s="27" t="str">
        <f>IF(COUNTIF($AK$2:AK74,AK74)&gt;1,"Remove exact duplicate copy","Keep")</f>
        <v>Keep</v>
      </c>
      <c r="AM74" s="9">
        <f t="shared" si="13"/>
        <v>1</v>
      </c>
      <c r="AN74" s="9" t="str">
        <f t="shared" si="14"/>
        <v>Unique</v>
      </c>
      <c r="AO74" s="9" t="str">
        <f t="shared" si="15"/>
        <v/>
      </c>
      <c r="AP74" s="9">
        <f t="shared" si="16"/>
        <v>0.15</v>
      </c>
      <c r="AQ74" s="10">
        <f t="shared" si="17"/>
        <v>13610.446499999998</v>
      </c>
      <c r="AR74" s="10">
        <f t="shared" si="18"/>
        <v>3571.3964999999989</v>
      </c>
      <c r="AS74" s="11">
        <f t="shared" si="19"/>
        <v>0.26240112695788487</v>
      </c>
      <c r="AT74" s="9">
        <f t="shared" si="20"/>
        <v>2</v>
      </c>
      <c r="AU74" s="9">
        <f t="shared" si="21"/>
        <v>2024</v>
      </c>
      <c r="AV74" s="9" t="b">
        <f t="shared" si="22"/>
        <v>0</v>
      </c>
      <c r="AW74" s="9" t="b">
        <f t="shared" si="23"/>
        <v>0</v>
      </c>
      <c r="AX74" s="9" t="str">
        <f t="shared" si="24"/>
        <v>No</v>
      </c>
      <c r="AY74" s="9" t="str">
        <f t="shared" si="27"/>
        <v>Ship date before order date</v>
      </c>
      <c r="AZ74" s="9" t="str">
        <f>IF(OR(G74="Missing date",G74="Invalid date",G74="Ship date before order date",NOT(ISNUMBER(AP74)),AP74&lt;0,AP74&gt;0.5,AV74=TRUE,AW74=TRUE),"Invalid",IF(OR(O74="Unknown",Z74="Unknown",AC74="",AH74&lt;&gt;"Paid",AJ74&lt;&gt;"Completed",AO74&lt;&gt;""),"Warning","Clean"))</f>
        <v>Invalid</v>
      </c>
    </row>
    <row r="75" spans="1:52" ht="15.75" customHeight="1">
      <c r="A75" s="6" t="s">
        <v>543</v>
      </c>
      <c r="B75" s="7" t="s">
        <v>544</v>
      </c>
      <c r="C75" s="7" t="str">
        <f t="shared" si="26"/>
        <v>2025-03</v>
      </c>
      <c r="D75" s="7" cm="1">
        <f t="array" ref="D75">_xlfn.LET(_xlpm.x,B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45745</v>
      </c>
      <c r="E75" s="7" t="s">
        <v>545</v>
      </c>
      <c r="F75" s="7" cm="1">
        <f t="array" ref="F75">_xlfn.LET(_xlpm.x,E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45750</v>
      </c>
      <c r="G75" s="8" t="str">
        <f t="shared" si="1"/>
        <v>OK</v>
      </c>
      <c r="H75" s="6">
        <f t="shared" si="2"/>
        <v>5</v>
      </c>
      <c r="I75" s="6" t="s">
        <v>546</v>
      </c>
      <c r="J75" s="6" t="s">
        <v>245</v>
      </c>
      <c r="K75" s="6" t="str">
        <f t="shared" si="3"/>
        <v>Sneha Kapoor</v>
      </c>
      <c r="L75" s="6" t="s">
        <v>45</v>
      </c>
      <c r="M75" s="8" t="str">
        <f t="shared" si="4"/>
        <v>Corporate</v>
      </c>
      <c r="N75" s="6" t="s">
        <v>8</v>
      </c>
      <c r="O75" s="6" t="str">
        <f t="shared" si="5"/>
        <v>East</v>
      </c>
      <c r="P75" s="6" t="s">
        <v>201</v>
      </c>
      <c r="Q75" s="6" t="str">
        <f t="shared" si="6"/>
        <v>West Bengal</v>
      </c>
      <c r="R75" s="6" t="s">
        <v>202</v>
      </c>
      <c r="S75" s="6" t="str">
        <f t="shared" si="7"/>
        <v>Kolkata</v>
      </c>
      <c r="T75" s="6" t="s">
        <v>14</v>
      </c>
      <c r="U75" s="8" t="str">
        <f t="shared" si="8"/>
        <v>Furniture</v>
      </c>
      <c r="V75" s="6" t="s">
        <v>15</v>
      </c>
      <c r="W75" s="6" t="str">
        <f t="shared" si="9"/>
        <v>Bookcases</v>
      </c>
      <c r="X75" s="6" t="s">
        <v>547</v>
      </c>
      <c r="Y75" s="6" t="s">
        <v>35</v>
      </c>
      <c r="Z75" s="6" t="str">
        <f t="shared" si="10"/>
        <v>First Class</v>
      </c>
      <c r="AA75" s="6">
        <v>5</v>
      </c>
      <c r="AB75" s="6">
        <v>1425.74</v>
      </c>
      <c r="AC75" s="6">
        <v>0</v>
      </c>
      <c r="AD75" s="6">
        <v>7128.7</v>
      </c>
      <c r="AE75" s="6">
        <v>4382.1499999999996</v>
      </c>
      <c r="AF75" s="6">
        <v>2746.55</v>
      </c>
      <c r="AG75" s="6" t="s">
        <v>52</v>
      </c>
      <c r="AH75" s="6" t="str">
        <f t="shared" si="11"/>
        <v>Paid</v>
      </c>
      <c r="AI75" s="6" t="s">
        <v>134</v>
      </c>
      <c r="AJ75" s="6" t="str">
        <f t="shared" si="12"/>
        <v>Completed</v>
      </c>
      <c r="AK75" s="9" t="str">
        <f>_xlfn.TEXTJOIN("|",FALSE,A75,TEXT(B75,"mm-dd-yyyy"),TEXT(E75,"mm-dd-yyyy"),I75,J75,L75,N75,P75,R75,T75,V75,X75,Y75,AA75,AB75,AC75,AD75,AE75,AF75,AG75,AI75)</f>
        <v>ORD-2025-10074|29-03-2025|04-03-2025|CUST-2342|Sneha Kapoor|Corporate|East|West Bengal|Kolkata|Furniture|Bookcases|Smart Bookcases 167|First Class|5|1425.74|0|7128.7|4382.15|2746.55|Paid|Completed</v>
      </c>
      <c r="AL75" s="27" t="str">
        <f>IF(COUNTIF($AK$2:AK75,AK75)&gt;1,"Remove exact duplicate copy","Keep")</f>
        <v>Keep</v>
      </c>
      <c r="AM75" s="9">
        <f t="shared" si="13"/>
        <v>1</v>
      </c>
      <c r="AN75" s="9" t="str">
        <f t="shared" si="14"/>
        <v>Unique</v>
      </c>
      <c r="AO75" s="9" t="str">
        <f t="shared" si="15"/>
        <v/>
      </c>
      <c r="AP75" s="9">
        <f t="shared" si="16"/>
        <v>0</v>
      </c>
      <c r="AQ75" s="10">
        <f t="shared" si="17"/>
        <v>7128.7</v>
      </c>
      <c r="AR75" s="10">
        <f t="shared" si="18"/>
        <v>2746.55</v>
      </c>
      <c r="AS75" s="11">
        <f t="shared" si="19"/>
        <v>0.38528062620113068</v>
      </c>
      <c r="AT75" s="9">
        <f t="shared" si="20"/>
        <v>3</v>
      </c>
      <c r="AU75" s="9">
        <f t="shared" si="21"/>
        <v>2025</v>
      </c>
      <c r="AV75" s="9" t="b">
        <f t="shared" si="22"/>
        <v>0</v>
      </c>
      <c r="AW75" s="9" t="b">
        <f t="shared" si="23"/>
        <v>0</v>
      </c>
      <c r="AX75" s="9" t="str">
        <f t="shared" si="24"/>
        <v>Yes</v>
      </c>
      <c r="AY75" s="9" t="str">
        <f t="shared" si="27"/>
        <v/>
      </c>
      <c r="AZ75" s="9" t="str">
        <f>IF(OR(G75="Missing date",G75="Invalid date",G75="Ship date before order date",NOT(ISNUMBER(AP75)),AP75&lt;0,AP75&gt;0.5,AV75=TRUE,AW75=TRUE),"Invalid",IF(OR(O75="Unknown",Z75="Unknown",AC75="",AH75&lt;&gt;"Paid",AJ75&lt;&gt;"Completed",AO75&lt;&gt;""),"Warning","Clean"))</f>
        <v>Clean</v>
      </c>
    </row>
    <row r="76" spans="1:52" ht="15.75" customHeight="1">
      <c r="A76" s="6" t="s">
        <v>548</v>
      </c>
      <c r="B76" s="7" t="s">
        <v>549</v>
      </c>
      <c r="C76" s="7" t="str">
        <f t="shared" si="26"/>
        <v>2025-02</v>
      </c>
      <c r="D76" s="7" cm="1">
        <f t="array" ref="D76">_xlfn.LET(_xlpm.x,B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45715</v>
      </c>
      <c r="E76" s="7" t="s">
        <v>550</v>
      </c>
      <c r="F76" s="7" cm="1">
        <f t="array" ref="F76">_xlfn.LET(_xlpm.x,E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45717</v>
      </c>
      <c r="G76" s="8" t="str">
        <f t="shared" si="1"/>
        <v>OK</v>
      </c>
      <c r="H76" s="6">
        <f t="shared" si="2"/>
        <v>2</v>
      </c>
      <c r="I76" s="6" t="s">
        <v>551</v>
      </c>
      <c r="J76" s="6" t="s">
        <v>169</v>
      </c>
      <c r="K76" s="6" t="str">
        <f t="shared" si="3"/>
        <v>Vikram Iyer</v>
      </c>
      <c r="L76" s="6" t="s">
        <v>46</v>
      </c>
      <c r="M76" s="8" t="str">
        <f t="shared" si="4"/>
        <v>Small Business</v>
      </c>
      <c r="N76" s="6" t="s">
        <v>8</v>
      </c>
      <c r="O76" s="6" t="str">
        <f t="shared" si="5"/>
        <v>East</v>
      </c>
      <c r="P76" s="6" t="s">
        <v>201</v>
      </c>
      <c r="Q76" s="6" t="str">
        <f t="shared" si="6"/>
        <v>West Bengal</v>
      </c>
      <c r="R76" s="6" t="s">
        <v>202</v>
      </c>
      <c r="S76" s="6" t="str">
        <f t="shared" si="7"/>
        <v>Kolkata</v>
      </c>
      <c r="T76" s="6" t="s">
        <v>14</v>
      </c>
      <c r="U76" s="8" t="str">
        <f t="shared" si="8"/>
        <v>Furniture</v>
      </c>
      <c r="V76" s="6" t="s">
        <v>16</v>
      </c>
      <c r="W76" s="6" t="str">
        <f t="shared" si="9"/>
        <v>Chairs</v>
      </c>
      <c r="X76" s="6" t="s">
        <v>552</v>
      </c>
      <c r="Y76" s="6" t="s">
        <v>34</v>
      </c>
      <c r="Z76" s="6" t="str">
        <f t="shared" si="10"/>
        <v>Standard Class</v>
      </c>
      <c r="AA76" s="6">
        <v>6</v>
      </c>
      <c r="AB76" s="6">
        <v>551.64</v>
      </c>
      <c r="AC76" s="6">
        <v>0</v>
      </c>
      <c r="AD76" s="6">
        <v>3309.84</v>
      </c>
      <c r="AE76" s="6">
        <v>2671.08</v>
      </c>
      <c r="AF76" s="6">
        <v>638.76</v>
      </c>
      <c r="AG76" s="6" t="s">
        <v>52</v>
      </c>
      <c r="AH76" s="6" t="str">
        <f t="shared" si="11"/>
        <v>Paid</v>
      </c>
      <c r="AI76" s="6" t="s">
        <v>134</v>
      </c>
      <c r="AJ76" s="6" t="str">
        <f t="shared" si="12"/>
        <v>Completed</v>
      </c>
      <c r="AK76" s="9" t="str">
        <f>_xlfn.TEXTJOIN("|",FALSE,A76,TEXT(B76,"mm-dd-yyyy"),TEXT(E76,"mm-dd-yyyy"),I76,J76,L76,N76,P76,R76,T76,V76,X76,Y76,AA76,AB76,AC76,AD76,AE76,AF76,AG76,AI76)</f>
        <v>ORD-2025-10075|02-27-2025|03-01-2025|CUST-6201|Vikram Iyer|Small Business|East|West Bengal|Kolkata|Furniture|Chairs|Max Chairs 244|Standard Class|6|551.64|0|3309.84|2671.08|638.76|Paid|Completed</v>
      </c>
      <c r="AL76" s="27" t="str">
        <f>IF(COUNTIF($AK$2:AK76,AK76)&gt;1,"Remove exact duplicate copy","Keep")</f>
        <v>Keep</v>
      </c>
      <c r="AM76" s="9">
        <f t="shared" si="13"/>
        <v>1</v>
      </c>
      <c r="AN76" s="9" t="str">
        <f t="shared" si="14"/>
        <v>Unique</v>
      </c>
      <c r="AO76" s="9" t="str">
        <f t="shared" si="15"/>
        <v/>
      </c>
      <c r="AP76" s="9">
        <f t="shared" si="16"/>
        <v>0</v>
      </c>
      <c r="AQ76" s="10">
        <f t="shared" si="17"/>
        <v>3309.84</v>
      </c>
      <c r="AR76" s="10">
        <f t="shared" si="18"/>
        <v>638.76000000000022</v>
      </c>
      <c r="AS76" s="11">
        <f t="shared" si="19"/>
        <v>0.19298818069755644</v>
      </c>
      <c r="AT76" s="9">
        <f t="shared" si="20"/>
        <v>2</v>
      </c>
      <c r="AU76" s="9">
        <f t="shared" si="21"/>
        <v>2025</v>
      </c>
      <c r="AV76" s="9" t="b">
        <f t="shared" si="22"/>
        <v>0</v>
      </c>
      <c r="AW76" s="9" t="b">
        <f t="shared" si="23"/>
        <v>0</v>
      </c>
      <c r="AX76" s="9" t="str">
        <f t="shared" si="24"/>
        <v>Yes</v>
      </c>
      <c r="AY76" s="9" t="str">
        <f t="shared" si="27"/>
        <v/>
      </c>
      <c r="AZ76" s="9" t="str">
        <f>IF(OR(G76="Missing date",G76="Invalid date",G76="Ship date before order date",NOT(ISNUMBER(AP76)),AP76&lt;0,AP76&gt;0.5,AV76=TRUE,AW76=TRUE),"Invalid",IF(OR(O76="Unknown",Z76="Unknown",AC76="",AH76&lt;&gt;"Paid",AJ76&lt;&gt;"Completed",AO76&lt;&gt;""),"Warning","Clean"))</f>
        <v>Clean</v>
      </c>
    </row>
    <row r="77" spans="1:52" ht="15.75" customHeight="1">
      <c r="A77" s="6" t="s">
        <v>553</v>
      </c>
      <c r="B77" s="7" t="s">
        <v>554</v>
      </c>
      <c r="C77" s="7" t="str">
        <f t="shared" si="26"/>
        <v>2025-08</v>
      </c>
      <c r="D77" s="7" cm="1">
        <f t="array" ref="D77">_xlfn.LET(_xlpm.x,B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45891</v>
      </c>
      <c r="E77" s="7" t="s">
        <v>555</v>
      </c>
      <c r="F77" s="7" cm="1">
        <f t="array" ref="F77">_xlfn.LET(_xlpm.x,E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45896</v>
      </c>
      <c r="G77" s="8" t="str">
        <f t="shared" si="1"/>
        <v>OK</v>
      </c>
      <c r="H77" s="6">
        <f t="shared" si="2"/>
        <v>5</v>
      </c>
      <c r="I77" s="6" t="s">
        <v>556</v>
      </c>
      <c r="J77" s="6" t="s">
        <v>220</v>
      </c>
      <c r="K77" s="6" t="str">
        <f t="shared" si="3"/>
        <v>Priya Menon</v>
      </c>
      <c r="L77" s="6" t="s">
        <v>46</v>
      </c>
      <c r="M77" s="8" t="str">
        <f t="shared" si="4"/>
        <v>Small Business</v>
      </c>
      <c r="N77" s="6" t="s">
        <v>8</v>
      </c>
      <c r="O77" s="6" t="str">
        <f t="shared" si="5"/>
        <v>East</v>
      </c>
      <c r="P77" s="6" t="s">
        <v>140</v>
      </c>
      <c r="Q77" s="6" t="str">
        <f t="shared" si="6"/>
        <v>Odisha</v>
      </c>
      <c r="R77" s="6" t="s">
        <v>141</v>
      </c>
      <c r="S77" s="6" t="str">
        <f t="shared" si="7"/>
        <v>Bhubaneswar</v>
      </c>
      <c r="T77" s="6" t="s">
        <v>20</v>
      </c>
      <c r="U77" s="8" t="str">
        <f t="shared" si="8"/>
        <v>Office Supplies</v>
      </c>
      <c r="V77" s="6" t="s">
        <v>23</v>
      </c>
      <c r="W77" s="6" t="str">
        <f t="shared" si="9"/>
        <v>Labels</v>
      </c>
      <c r="X77" s="6" t="s">
        <v>557</v>
      </c>
      <c r="Y77" s="6" t="s">
        <v>35</v>
      </c>
      <c r="Z77" s="6" t="str">
        <f t="shared" si="10"/>
        <v>First Class</v>
      </c>
      <c r="AA77" s="6">
        <v>3</v>
      </c>
      <c r="AB77" s="6">
        <v>3294.82</v>
      </c>
      <c r="AC77" s="6">
        <v>0.2</v>
      </c>
      <c r="AD77" s="6">
        <v>7907.57</v>
      </c>
      <c r="AE77" s="6">
        <v>5391.18</v>
      </c>
      <c r="AF77" s="6">
        <v>2516.39</v>
      </c>
      <c r="AG77" s="6" t="s">
        <v>52</v>
      </c>
      <c r="AH77" s="6" t="str">
        <f t="shared" si="11"/>
        <v>Paid</v>
      </c>
      <c r="AI77" s="6" t="s">
        <v>134</v>
      </c>
      <c r="AJ77" s="6" t="str">
        <f t="shared" si="12"/>
        <v>Completed</v>
      </c>
      <c r="AK77" s="9" t="str">
        <f>_xlfn.TEXTJOIN("|",FALSE,A77,TEXT(B77,"mm-dd-yyyy"),TEXT(E77,"mm-dd-yyyy"),I77,J77,L77,N77,P77,R77,T77,V77,X77,Y77,AA77,AB77,AC77,AD77,AE77,AF77,AG77,AI77)</f>
        <v>ORD-2025-10076|22-08-2025|08-27-2025|CUST-5808|Priya Menon|Small Business|East|Odisha|Bhubaneswar|Office Supplies|Labels|Eco Labels 653|First Class|3|3294.82|0.2|7907.57|5391.18|2516.39|Paid|Completed</v>
      </c>
      <c r="AL77" s="27" t="str">
        <f>IF(COUNTIF($AK$2:AK77,AK77)&gt;1,"Remove exact duplicate copy","Keep")</f>
        <v>Keep</v>
      </c>
      <c r="AM77" s="9">
        <f t="shared" si="13"/>
        <v>1</v>
      </c>
      <c r="AN77" s="9" t="str">
        <f t="shared" si="14"/>
        <v>Unique</v>
      </c>
      <c r="AO77" s="9" t="str">
        <f t="shared" si="15"/>
        <v/>
      </c>
      <c r="AP77" s="9">
        <f t="shared" si="16"/>
        <v>0.2</v>
      </c>
      <c r="AQ77" s="10">
        <f t="shared" si="17"/>
        <v>7907.5680000000011</v>
      </c>
      <c r="AR77" s="10">
        <f t="shared" si="18"/>
        <v>2516.3880000000008</v>
      </c>
      <c r="AS77" s="11">
        <f t="shared" si="19"/>
        <v>0.31822527482533197</v>
      </c>
      <c r="AT77" s="9">
        <f t="shared" si="20"/>
        <v>8</v>
      </c>
      <c r="AU77" s="9">
        <f t="shared" si="21"/>
        <v>2025</v>
      </c>
      <c r="AV77" s="9" t="b">
        <f t="shared" si="22"/>
        <v>0</v>
      </c>
      <c r="AW77" s="9" t="b">
        <f t="shared" si="23"/>
        <v>0</v>
      </c>
      <c r="AX77" s="9" t="str">
        <f t="shared" si="24"/>
        <v>Yes</v>
      </c>
      <c r="AY77" s="9" t="str">
        <f t="shared" si="27"/>
        <v/>
      </c>
      <c r="AZ77" s="9" t="str">
        <f>IF(OR(G77="Missing date",G77="Invalid date",G77="Ship date before order date",NOT(ISNUMBER(AP77)),AP77&lt;0,AP77&gt;0.5,AV77=TRUE,AW77=TRUE),"Invalid",IF(OR(O77="Unknown",Z77="Unknown",AC77="",AH77&lt;&gt;"Paid",AJ77&lt;&gt;"Completed",AO77&lt;&gt;""),"Warning","Clean"))</f>
        <v>Clean</v>
      </c>
    </row>
    <row r="78" spans="1:52" ht="15.75" customHeight="1">
      <c r="A78" s="6" t="s">
        <v>558</v>
      </c>
      <c r="B78" s="7" t="s">
        <v>559</v>
      </c>
      <c r="C78" s="7" t="str">
        <f t="shared" si="26"/>
        <v>2024-11</v>
      </c>
      <c r="D78" s="7" cm="1">
        <f t="array" ref="D78">_xlfn.LET(_xlpm.x,B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45599</v>
      </c>
      <c r="E78" s="7" t="s">
        <v>560</v>
      </c>
      <c r="F78" s="7" cm="1">
        <f t="array" ref="F78">_xlfn.LET(_xlpm.x,E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45607</v>
      </c>
      <c r="G78" s="8" t="str">
        <f t="shared" si="1"/>
        <v>OK</v>
      </c>
      <c r="H78" s="6">
        <f t="shared" si="2"/>
        <v>8</v>
      </c>
      <c r="I78" s="6" t="s">
        <v>561</v>
      </c>
      <c r="J78" s="6" t="s">
        <v>161</v>
      </c>
      <c r="K78" s="6" t="str">
        <f t="shared" si="3"/>
        <v>Ananya Rao</v>
      </c>
      <c r="L78" s="6" t="s">
        <v>45</v>
      </c>
      <c r="M78" s="8" t="str">
        <f t="shared" si="4"/>
        <v>Corporate</v>
      </c>
      <c r="N78" s="6" t="s">
        <v>8</v>
      </c>
      <c r="O78" s="6" t="str">
        <f t="shared" si="5"/>
        <v>East</v>
      </c>
      <c r="P78" s="6" t="s">
        <v>385</v>
      </c>
      <c r="Q78" s="6" t="str">
        <f t="shared" si="6"/>
        <v>Jharkhand</v>
      </c>
      <c r="R78" s="6" t="s">
        <v>386</v>
      </c>
      <c r="S78" s="6" t="str">
        <f t="shared" si="7"/>
        <v>Ranchi</v>
      </c>
      <c r="T78" s="6" t="s">
        <v>20</v>
      </c>
      <c r="U78" s="8" t="str">
        <f t="shared" si="8"/>
        <v>Office Supplies</v>
      </c>
      <c r="V78" s="6" t="s">
        <v>23</v>
      </c>
      <c r="W78" s="6" t="str">
        <f t="shared" si="9"/>
        <v>Labels</v>
      </c>
      <c r="X78" s="6" t="s">
        <v>562</v>
      </c>
      <c r="Y78" s="6" t="s">
        <v>36</v>
      </c>
      <c r="Z78" s="6" t="str">
        <f t="shared" si="10"/>
        <v>Second Class</v>
      </c>
      <c r="AA78" s="6">
        <v>3</v>
      </c>
      <c r="AB78" s="6">
        <v>3406.27</v>
      </c>
      <c r="AC78" s="6">
        <v>0</v>
      </c>
      <c r="AD78" s="6">
        <v>10218.81</v>
      </c>
      <c r="AE78" s="6">
        <v>7616.97</v>
      </c>
      <c r="AF78" s="6">
        <v>2601.84</v>
      </c>
      <c r="AG78" s="6" t="s">
        <v>52</v>
      </c>
      <c r="AH78" s="6" t="str">
        <f t="shared" si="11"/>
        <v>Paid</v>
      </c>
      <c r="AI78" s="6" t="s">
        <v>134</v>
      </c>
      <c r="AJ78" s="6" t="str">
        <f t="shared" si="12"/>
        <v>Completed</v>
      </c>
      <c r="AK78" s="9" t="str">
        <f>_xlfn.TEXTJOIN("|",FALSE,A78,TEXT(B78,"mm-dd-yyyy"),TEXT(E78,"mm-dd-yyyy"),I78,J78,L78,N78,P78,R78,T78,V78,X78,Y78,AA78,AB78,AC78,AD78,AE78,AF78,AG78,AI78)</f>
        <v>ORD-2024-10077|11-03-2024|11-11-2024|CUST-2642|Ananya Rao|Corporate|East|Jharkhand|Ranchi|Office Supplies|Labels|Max Labels 617|Second Class|3|3406.27|0|10218.81|7616.97|2601.84|Paid|Completed</v>
      </c>
      <c r="AL78" s="27" t="str">
        <f>IF(COUNTIF($AK$2:AK78,AK78)&gt;1,"Remove exact duplicate copy","Keep")</f>
        <v>Keep</v>
      </c>
      <c r="AM78" s="9">
        <f t="shared" si="13"/>
        <v>1</v>
      </c>
      <c r="AN78" s="9" t="str">
        <f t="shared" si="14"/>
        <v>Unique</v>
      </c>
      <c r="AO78" s="9" t="str">
        <f t="shared" si="15"/>
        <v/>
      </c>
      <c r="AP78" s="9">
        <f t="shared" si="16"/>
        <v>0</v>
      </c>
      <c r="AQ78" s="10">
        <f t="shared" si="17"/>
        <v>10218.81</v>
      </c>
      <c r="AR78" s="10">
        <f t="shared" si="18"/>
        <v>2601.8399999999992</v>
      </c>
      <c r="AS78" s="11">
        <f t="shared" si="19"/>
        <v>0.2546128169522674</v>
      </c>
      <c r="AT78" s="9">
        <f t="shared" si="20"/>
        <v>11</v>
      </c>
      <c r="AU78" s="9">
        <f t="shared" si="21"/>
        <v>2024</v>
      </c>
      <c r="AV78" s="9" t="b">
        <f t="shared" si="22"/>
        <v>0</v>
      </c>
      <c r="AW78" s="9" t="b">
        <f t="shared" si="23"/>
        <v>0</v>
      </c>
      <c r="AX78" s="9" t="str">
        <f t="shared" si="24"/>
        <v>Yes</v>
      </c>
      <c r="AY78" s="9" t="str">
        <f t="shared" si="27"/>
        <v/>
      </c>
      <c r="AZ78" s="9" t="str">
        <f>IF(OR(G78="Missing date",G78="Invalid date",G78="Ship date before order date",NOT(ISNUMBER(AP78)),AP78&lt;0,AP78&gt;0.5,AV78=TRUE,AW78=TRUE),"Invalid",IF(OR(O78="Unknown",Z78="Unknown",AC78="",AH78&lt;&gt;"Paid",AJ78&lt;&gt;"Completed",AO78&lt;&gt;""),"Warning","Clean"))</f>
        <v>Clean</v>
      </c>
    </row>
    <row r="79" spans="1:52" ht="15.75" customHeight="1">
      <c r="A79" s="6" t="s">
        <v>563</v>
      </c>
      <c r="B79" s="7" t="s">
        <v>564</v>
      </c>
      <c r="C79" s="7" t="str">
        <f t="shared" si="26"/>
        <v>2025-07</v>
      </c>
      <c r="D79" s="7" cm="1">
        <f t="array" ref="D79">_xlfn.LET(_xlpm.x,B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45846</v>
      </c>
      <c r="E79" s="7" t="s">
        <v>565</v>
      </c>
      <c r="F79" s="7" cm="1">
        <f t="array" ref="F79">_xlfn.LET(_xlpm.x,E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45850</v>
      </c>
      <c r="G79" s="8" t="str">
        <f t="shared" si="1"/>
        <v>OK</v>
      </c>
      <c r="H79" s="6">
        <f t="shared" si="2"/>
        <v>4</v>
      </c>
      <c r="I79" s="6" t="s">
        <v>566</v>
      </c>
      <c r="J79" s="6" t="s">
        <v>257</v>
      </c>
      <c r="K79" s="6" t="str">
        <f t="shared" si="3"/>
        <v>Rohan Mehta</v>
      </c>
      <c r="L79" s="6" t="s">
        <v>44</v>
      </c>
      <c r="M79" s="8" t="str">
        <f t="shared" si="4"/>
        <v>Home Office</v>
      </c>
      <c r="N79" s="6" t="s">
        <v>7</v>
      </c>
      <c r="O79" s="6" t="str">
        <f t="shared" si="5"/>
        <v>North</v>
      </c>
      <c r="P79" s="6" t="s">
        <v>251</v>
      </c>
      <c r="Q79" s="6" t="str">
        <f t="shared" si="6"/>
        <v>Uttar Pradesh</v>
      </c>
      <c r="R79" s="6" t="s">
        <v>252</v>
      </c>
      <c r="S79" s="6" t="str">
        <f t="shared" si="7"/>
        <v>Noida</v>
      </c>
      <c r="T79" s="6" t="s">
        <v>14</v>
      </c>
      <c r="U79" s="8" t="str">
        <f t="shared" si="8"/>
        <v>Furniture</v>
      </c>
      <c r="V79" s="6" t="s">
        <v>17</v>
      </c>
      <c r="W79" s="6" t="str">
        <f t="shared" si="9"/>
        <v>Furnishings</v>
      </c>
      <c r="X79" s="6" t="s">
        <v>567</v>
      </c>
      <c r="Y79" s="6" t="s">
        <v>34</v>
      </c>
      <c r="Z79" s="6" t="str">
        <f t="shared" si="10"/>
        <v>Standard Class</v>
      </c>
      <c r="AA79" s="6">
        <v>1</v>
      </c>
      <c r="AB79" s="6">
        <v>2582.1999999999998</v>
      </c>
      <c r="AC79" s="6">
        <v>0.15</v>
      </c>
      <c r="AD79" s="6">
        <v>2194.87</v>
      </c>
      <c r="AE79" s="6">
        <v>1223.17</v>
      </c>
      <c r="AF79" s="6">
        <v>971.7</v>
      </c>
      <c r="AG79" s="6" t="s">
        <v>56</v>
      </c>
      <c r="AH79" s="6" t="str">
        <f t="shared" si="11"/>
        <v>Refunded</v>
      </c>
      <c r="AI79" s="6" t="s">
        <v>58</v>
      </c>
      <c r="AJ79" s="6" t="str">
        <f t="shared" si="12"/>
        <v>Cancelled</v>
      </c>
      <c r="AK79" s="9" t="str">
        <f>_xlfn.TEXTJOIN("|",FALSE,A79,TEXT(B79,"mm-dd-yyyy"),TEXT(E79,"mm-dd-yyyy"),I79,J79,L79,N79,P79,R79,T79,V79,X79,Y79,AA79,AB79,AC79,AD79,AE79,AF79,AG79,AI79)</f>
        <v>ORD-2025-10078|07-08-2025|12-07-2025|CUST-4385|Rohan Mehta|Home Office|North|Uttar Pradesh|Noida|Furniture|Furnishings|Pro Furnishings 529|Standard Class|1|2582.2|0.15|2194.87|1223.17|971.7|Refunded|Cancelled</v>
      </c>
      <c r="AL79" s="27" t="str">
        <f>IF(COUNTIF($AK$2:AK79,AK79)&gt;1,"Remove exact duplicate copy","Keep")</f>
        <v>Keep</v>
      </c>
      <c r="AM79" s="9">
        <f t="shared" si="13"/>
        <v>1</v>
      </c>
      <c r="AN79" s="9" t="str">
        <f t="shared" si="14"/>
        <v>Unique</v>
      </c>
      <c r="AO79" s="9" t="str">
        <f t="shared" si="15"/>
        <v/>
      </c>
      <c r="AP79" s="9">
        <f t="shared" si="16"/>
        <v>0.15</v>
      </c>
      <c r="AQ79" s="10">
        <f t="shared" si="17"/>
        <v>2194.87</v>
      </c>
      <c r="AR79" s="10">
        <f t="shared" si="18"/>
        <v>971.69999999999982</v>
      </c>
      <c r="AS79" s="11">
        <f t="shared" si="19"/>
        <v>0.44271414707932583</v>
      </c>
      <c r="AT79" s="9">
        <f t="shared" si="20"/>
        <v>7</v>
      </c>
      <c r="AU79" s="9">
        <f t="shared" si="21"/>
        <v>2025</v>
      </c>
      <c r="AV79" s="9" t="b">
        <f t="shared" si="22"/>
        <v>0</v>
      </c>
      <c r="AW79" s="9" t="b">
        <f t="shared" si="23"/>
        <v>0</v>
      </c>
      <c r="AX79" s="9" t="str">
        <f t="shared" si="24"/>
        <v>No</v>
      </c>
      <c r="AY79" s="9" t="str">
        <f t="shared" si="27"/>
        <v>Refunded order summarized separately; Cancelled order excluded</v>
      </c>
      <c r="AZ79" s="9" t="str">
        <f>IF(OR(G79="Missing date",G79="Invalid date",G79="Ship date before order date",NOT(ISNUMBER(AP79)),AP79&lt;0,AP79&gt;0.5,AV79=TRUE,AW79=TRUE),"Invalid",IF(OR(O79="Unknown",Z79="Unknown",AC79="",AH79&lt;&gt;"Paid",AJ79&lt;&gt;"Completed",AO79&lt;&gt;""),"Warning","Clean"))</f>
        <v>Warning</v>
      </c>
    </row>
    <row r="80" spans="1:52" ht="15.75" customHeight="1">
      <c r="A80" s="6" t="s">
        <v>568</v>
      </c>
      <c r="B80" s="7" t="s">
        <v>569</v>
      </c>
      <c r="C80" s="7" t="str">
        <f t="shared" si="26"/>
        <v>2025-07</v>
      </c>
      <c r="D80" s="7" cm="1">
        <f t="array" ref="D80">_xlfn.LET(_xlpm.x,B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45854</v>
      </c>
      <c r="E80" s="7" t="s">
        <v>570</v>
      </c>
      <c r="F80" s="7" cm="1">
        <f t="array" ref="F80">_xlfn.LET(_xlpm.x,E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45859</v>
      </c>
      <c r="G80" s="8" t="str">
        <f t="shared" si="1"/>
        <v>OK</v>
      </c>
      <c r="H80" s="6">
        <f t="shared" si="2"/>
        <v>5</v>
      </c>
      <c r="I80" s="6" t="s">
        <v>571</v>
      </c>
      <c r="J80" s="6" t="s">
        <v>245</v>
      </c>
      <c r="K80" s="6" t="str">
        <f t="shared" si="3"/>
        <v>Sneha Kapoor</v>
      </c>
      <c r="L80" s="6" t="s">
        <v>45</v>
      </c>
      <c r="M80" s="8" t="str">
        <f t="shared" si="4"/>
        <v>Corporate</v>
      </c>
      <c r="N80" s="6" t="s">
        <v>8</v>
      </c>
      <c r="O80" s="6" t="str">
        <f t="shared" si="5"/>
        <v>East</v>
      </c>
      <c r="P80" s="6" t="s">
        <v>201</v>
      </c>
      <c r="Q80" s="6" t="str">
        <f t="shared" si="6"/>
        <v>West Bengal</v>
      </c>
      <c r="R80" s="6" t="s">
        <v>202</v>
      </c>
      <c r="S80" s="6" t="str">
        <f t="shared" si="7"/>
        <v>Kolkata</v>
      </c>
      <c r="T80" s="6" t="s">
        <v>14</v>
      </c>
      <c r="U80" s="8" t="str">
        <f t="shared" si="8"/>
        <v>Furniture</v>
      </c>
      <c r="V80" s="6" t="s">
        <v>18</v>
      </c>
      <c r="W80" s="6" t="str">
        <f t="shared" si="9"/>
        <v>Tables</v>
      </c>
      <c r="X80" s="6" t="s">
        <v>572</v>
      </c>
      <c r="Y80" s="6" t="s">
        <v>35</v>
      </c>
      <c r="Z80" s="6" t="str">
        <f t="shared" si="10"/>
        <v>First Class</v>
      </c>
      <c r="AA80" s="6">
        <v>5</v>
      </c>
      <c r="AB80" s="6">
        <v>2129.5100000000002</v>
      </c>
      <c r="AC80" s="6">
        <v>0.15</v>
      </c>
      <c r="AD80" s="6">
        <v>9050.42</v>
      </c>
      <c r="AE80" s="6">
        <v>6778.85</v>
      </c>
      <c r="AF80" s="6">
        <v>2271.5700000000002</v>
      </c>
      <c r="AG80" s="6" t="s">
        <v>52</v>
      </c>
      <c r="AH80" s="6" t="str">
        <f t="shared" si="11"/>
        <v>Paid</v>
      </c>
      <c r="AI80" s="6" t="s">
        <v>134</v>
      </c>
      <c r="AJ80" s="6" t="str">
        <f t="shared" si="12"/>
        <v>Completed</v>
      </c>
      <c r="AK80" s="9" t="str">
        <f>_xlfn.TEXTJOIN("|",FALSE,A80,TEXT(B80,"mm-dd-yyyy"),TEXT(E80,"mm-dd-yyyy"),I80,J80,L80,N80,P80,R80,T80,V80,X80,Y80,AA80,AB80,AC80,AD80,AE80,AF80,AG80,AI80)</f>
        <v>ORD-2025-10079|07-16-2025|21-07-2025|CUST-8043|Sneha Kapoor|Corporate|East|West Bengal|Kolkata|Furniture|Tables|Smart Tables 561|First Class|5|2129.51|0.15|9050.42|6778.85|2271.57|Paid|Completed</v>
      </c>
      <c r="AL80" s="27" t="str">
        <f>IF(COUNTIF($AK$2:AK80,AK80)&gt;1,"Remove exact duplicate copy","Keep")</f>
        <v>Keep</v>
      </c>
      <c r="AM80" s="9">
        <f t="shared" si="13"/>
        <v>1</v>
      </c>
      <c r="AN80" s="9" t="str">
        <f t="shared" si="14"/>
        <v>Unique</v>
      </c>
      <c r="AO80" s="9" t="str">
        <f t="shared" si="15"/>
        <v/>
      </c>
      <c r="AP80" s="9">
        <f t="shared" si="16"/>
        <v>0.15</v>
      </c>
      <c r="AQ80" s="10">
        <f t="shared" si="17"/>
        <v>9050.4175000000014</v>
      </c>
      <c r="AR80" s="10">
        <f t="shared" si="18"/>
        <v>2271.567500000001</v>
      </c>
      <c r="AS80" s="11">
        <f t="shared" si="19"/>
        <v>0.25099035486484472</v>
      </c>
      <c r="AT80" s="9">
        <f t="shared" si="20"/>
        <v>7</v>
      </c>
      <c r="AU80" s="9">
        <f t="shared" si="21"/>
        <v>2025</v>
      </c>
      <c r="AV80" s="9" t="b">
        <f t="shared" si="22"/>
        <v>0</v>
      </c>
      <c r="AW80" s="9" t="b">
        <f t="shared" si="23"/>
        <v>0</v>
      </c>
      <c r="AX80" s="9" t="str">
        <f t="shared" si="24"/>
        <v>Yes</v>
      </c>
      <c r="AY80" s="9" t="str">
        <f t="shared" si="27"/>
        <v/>
      </c>
      <c r="AZ80" s="9" t="str">
        <f>IF(OR(G80="Missing date",G80="Invalid date",G80="Ship date before order date",NOT(ISNUMBER(AP80)),AP80&lt;0,AP80&gt;0.5,AV80=TRUE,AW80=TRUE),"Invalid",IF(OR(O80="Unknown",Z80="Unknown",AC80="",AH80&lt;&gt;"Paid",AJ80&lt;&gt;"Completed",AO80&lt;&gt;""),"Warning","Clean"))</f>
        <v>Clean</v>
      </c>
    </row>
    <row r="81" spans="1:52" ht="15.75" customHeight="1">
      <c r="A81" s="6" t="s">
        <v>573</v>
      </c>
      <c r="B81" s="7" t="s">
        <v>574</v>
      </c>
      <c r="C81" s="7" t="str">
        <f t="shared" si="26"/>
        <v>2025-09</v>
      </c>
      <c r="D81" s="7" cm="1">
        <f t="array" ref="D81">_xlfn.LET(_xlpm.x,B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45927</v>
      </c>
      <c r="E81" s="7" t="s">
        <v>575</v>
      </c>
      <c r="F81" s="7" cm="1">
        <f t="array" ref="F81">_xlfn.LET(_xlpm.x,E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45933</v>
      </c>
      <c r="G81" s="8" t="str">
        <f t="shared" si="1"/>
        <v>OK</v>
      </c>
      <c r="H81" s="6">
        <f t="shared" si="2"/>
        <v>6</v>
      </c>
      <c r="I81" s="6" t="s">
        <v>576</v>
      </c>
      <c r="J81" s="6" t="s">
        <v>284</v>
      </c>
      <c r="K81" s="6" t="str">
        <f t="shared" si="3"/>
        <v>Diya Patel</v>
      </c>
      <c r="L81" s="6" t="s">
        <v>44</v>
      </c>
      <c r="M81" s="8" t="str">
        <f t="shared" si="4"/>
        <v>Home Office</v>
      </c>
      <c r="N81" s="6" t="s">
        <v>10</v>
      </c>
      <c r="O81" s="6" t="str">
        <f t="shared" si="5"/>
        <v>South</v>
      </c>
      <c r="P81" s="6" t="s">
        <v>413</v>
      </c>
      <c r="Q81" s="6" t="str">
        <f t="shared" si="6"/>
        <v>Tamil Nadu</v>
      </c>
      <c r="R81" s="6" t="s">
        <v>414</v>
      </c>
      <c r="S81" s="6" t="str">
        <f t="shared" si="7"/>
        <v>Chennai</v>
      </c>
      <c r="T81" s="6" t="s">
        <v>577</v>
      </c>
      <c r="U81" s="8" t="str">
        <f t="shared" si="8"/>
        <v>Furniture</v>
      </c>
      <c r="V81" s="6" t="s">
        <v>16</v>
      </c>
      <c r="W81" s="6" t="str">
        <f t="shared" si="9"/>
        <v>Chairs</v>
      </c>
      <c r="X81" s="6" t="s">
        <v>578</v>
      </c>
      <c r="Y81" s="6" t="s">
        <v>37</v>
      </c>
      <c r="Z81" s="6" t="str">
        <f t="shared" si="10"/>
        <v>Same Day</v>
      </c>
      <c r="AA81" s="6">
        <v>9</v>
      </c>
      <c r="AB81" s="6">
        <v>4131.5200000000004</v>
      </c>
      <c r="AC81" s="6">
        <v>0.1</v>
      </c>
      <c r="AD81" s="6">
        <v>33465.31</v>
      </c>
      <c r="AE81" s="6">
        <v>24781.26</v>
      </c>
      <c r="AF81" s="6">
        <v>8684.0499999999993</v>
      </c>
      <c r="AG81" s="6" t="s">
        <v>52</v>
      </c>
      <c r="AH81" s="6" t="str">
        <f t="shared" si="11"/>
        <v>Paid</v>
      </c>
      <c r="AI81" s="6" t="s">
        <v>134</v>
      </c>
      <c r="AJ81" s="6" t="str">
        <f t="shared" si="12"/>
        <v>Completed</v>
      </c>
      <c r="AK81" s="9" t="str">
        <f>_xlfn.TEXTJOIN("|",FALSE,A81,TEXT(B81,"mm-dd-yyyy"),TEXT(E81,"mm-dd-yyyy"),I81,J81,L81,N81,P81,R81,T81,V81,X81,Y81,AA81,AB81,AC81,AD81,AE81,AF81,AG81,AI81)</f>
        <v>ORD-2025-10080|09-27-2025|10-03-2025|CUST-9978|Diya Patel|Home Office|South|Tamil Nadu|Chennai|  Furniture |Chairs|Prime Chairs 838|Same Day|9|4131.52|0.1|33465.31|24781.26|8684.05|Paid|Completed</v>
      </c>
      <c r="AL81" s="27" t="str">
        <f>IF(COUNTIF($AK$2:AK81,AK81)&gt;1,"Remove exact duplicate copy","Keep")</f>
        <v>Keep</v>
      </c>
      <c r="AM81" s="9">
        <f t="shared" si="13"/>
        <v>1</v>
      </c>
      <c r="AN81" s="9" t="str">
        <f t="shared" si="14"/>
        <v>Unique</v>
      </c>
      <c r="AO81" s="9" t="str">
        <f t="shared" si="15"/>
        <v/>
      </c>
      <c r="AP81" s="9">
        <f t="shared" si="16"/>
        <v>0.1</v>
      </c>
      <c r="AQ81" s="10">
        <f t="shared" si="17"/>
        <v>33465.312000000005</v>
      </c>
      <c r="AR81" s="10">
        <f t="shared" si="18"/>
        <v>8684.052000000007</v>
      </c>
      <c r="AS81" s="11">
        <f t="shared" si="19"/>
        <v>0.25949412932411942</v>
      </c>
      <c r="AT81" s="9">
        <f t="shared" si="20"/>
        <v>9</v>
      </c>
      <c r="AU81" s="9">
        <f t="shared" si="21"/>
        <v>2025</v>
      </c>
      <c r="AV81" s="9" t="b">
        <f t="shared" si="22"/>
        <v>0</v>
      </c>
      <c r="AW81" s="9" t="b">
        <f t="shared" si="23"/>
        <v>0</v>
      </c>
      <c r="AX81" s="9" t="str">
        <f t="shared" si="24"/>
        <v>Yes</v>
      </c>
      <c r="AY81" s="9" t="str">
        <f t="shared" si="27"/>
        <v/>
      </c>
      <c r="AZ81" s="9" t="str">
        <f>IF(OR(G81="Missing date",G81="Invalid date",G81="Ship date before order date",NOT(ISNUMBER(AP81)),AP81&lt;0,AP81&gt;0.5,AV81=TRUE,AW81=TRUE),"Invalid",IF(OR(O81="Unknown",Z81="Unknown",AC81="",AH81&lt;&gt;"Paid",AJ81&lt;&gt;"Completed",AO81&lt;&gt;""),"Warning","Clean"))</f>
        <v>Clean</v>
      </c>
    </row>
    <row r="82" spans="1:52" ht="15.75" customHeight="1">
      <c r="A82" s="6" t="s">
        <v>579</v>
      </c>
      <c r="B82" s="7" t="s">
        <v>580</v>
      </c>
      <c r="C82" s="7" t="str">
        <f t="shared" si="26"/>
        <v>2024-08</v>
      </c>
      <c r="D82" s="7" cm="1">
        <f t="array" ref="D82">_xlfn.LET(_xlpm.x,B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45514</v>
      </c>
      <c r="E82" s="7" t="s">
        <v>581</v>
      </c>
      <c r="F82" s="7" cm="1">
        <f t="array" ref="F82">_xlfn.LET(_xlpm.x,E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45518</v>
      </c>
      <c r="G82" s="8" t="str">
        <f t="shared" si="1"/>
        <v>OK</v>
      </c>
      <c r="H82" s="6">
        <f t="shared" si="2"/>
        <v>4</v>
      </c>
      <c r="I82" s="6" t="s">
        <v>582</v>
      </c>
      <c r="J82" s="6" t="s">
        <v>239</v>
      </c>
      <c r="K82" s="6" t="str">
        <f t="shared" si="3"/>
        <v>Aarav Sharma</v>
      </c>
      <c r="L82" s="6" t="s">
        <v>46</v>
      </c>
      <c r="M82" s="8" t="str">
        <f t="shared" si="4"/>
        <v>Small Business</v>
      </c>
      <c r="N82" s="6" t="s">
        <v>7</v>
      </c>
      <c r="O82" s="6" t="str">
        <f t="shared" si="5"/>
        <v>North</v>
      </c>
      <c r="P82" s="6" t="s">
        <v>583</v>
      </c>
      <c r="Q82" s="6" t="str">
        <f t="shared" si="6"/>
        <v>Delhi</v>
      </c>
      <c r="R82" s="6" t="s">
        <v>584</v>
      </c>
      <c r="S82" s="6" t="str">
        <f t="shared" si="7"/>
        <v>New Delhi</v>
      </c>
      <c r="T82" s="6" t="s">
        <v>20</v>
      </c>
      <c r="U82" s="8" t="str">
        <f t="shared" si="8"/>
        <v>Office Supplies</v>
      </c>
      <c r="V82" s="6" t="s">
        <v>25</v>
      </c>
      <c r="W82" s="6" t="str">
        <f t="shared" si="9"/>
        <v>Storage</v>
      </c>
      <c r="X82" s="6" t="s">
        <v>585</v>
      </c>
      <c r="Y82" s="6" t="s">
        <v>36</v>
      </c>
      <c r="Z82" s="6" t="str">
        <f t="shared" si="10"/>
        <v>Second Class</v>
      </c>
      <c r="AA82" s="6">
        <v>4</v>
      </c>
      <c r="AB82" s="6">
        <v>1182.32</v>
      </c>
      <c r="AC82" s="6">
        <v>0.1</v>
      </c>
      <c r="AD82" s="6">
        <v>4256.3500000000004</v>
      </c>
      <c r="AE82" s="6">
        <v>2495.33</v>
      </c>
      <c r="AF82" s="6">
        <v>1761.02</v>
      </c>
      <c r="AG82" s="6" t="s">
        <v>54</v>
      </c>
      <c r="AH82" s="6" t="str">
        <f t="shared" si="11"/>
        <v>Pending</v>
      </c>
      <c r="AI82" s="6" t="s">
        <v>59</v>
      </c>
      <c r="AJ82" s="6" t="str">
        <f t="shared" si="12"/>
        <v>Returned</v>
      </c>
      <c r="AK82" s="9" t="str">
        <f>_xlfn.TEXTJOIN("|",FALSE,A82,TEXT(B82,"mm-dd-yyyy"),TEXT(E82,"mm-dd-yyyy"),I82,J82,L82,N82,P82,R82,T82,V82,X82,Y82,AA82,AB82,AC82,AD82,AE82,AF82,AG82,AI82)</f>
        <v>ORD-2024-10081|08-10-2024|08-14-2024|CUST-2094|Aarav Sharma|Small Business|North|Delhi|New Delhi|Office Supplies|Storage|Elite Storage 371|Second Class|4|1182.32|0.1|4256.35|2495.33|1761.02|Pending|Returned</v>
      </c>
      <c r="AL82" s="27" t="str">
        <f>IF(COUNTIF($AK$2:AK82,AK82)&gt;1,"Remove exact duplicate copy","Keep")</f>
        <v>Keep</v>
      </c>
      <c r="AM82" s="9">
        <f t="shared" si="13"/>
        <v>1</v>
      </c>
      <c r="AN82" s="9" t="str">
        <f t="shared" si="14"/>
        <v>Unique</v>
      </c>
      <c r="AO82" s="9" t="str">
        <f t="shared" si="15"/>
        <v/>
      </c>
      <c r="AP82" s="9">
        <f t="shared" si="16"/>
        <v>0.1</v>
      </c>
      <c r="AQ82" s="10">
        <f t="shared" si="17"/>
        <v>4256.3519999999999</v>
      </c>
      <c r="AR82" s="10">
        <f t="shared" si="18"/>
        <v>1761.0219999999999</v>
      </c>
      <c r="AS82" s="11">
        <f t="shared" si="19"/>
        <v>0.41373974708858663</v>
      </c>
      <c r="AT82" s="9">
        <f t="shared" si="20"/>
        <v>8</v>
      </c>
      <c r="AU82" s="9">
        <f t="shared" si="21"/>
        <v>2024</v>
      </c>
      <c r="AV82" s="9" t="b">
        <f t="shared" si="22"/>
        <v>0</v>
      </c>
      <c r="AW82" s="9" t="b">
        <f t="shared" si="23"/>
        <v>0</v>
      </c>
      <c r="AX82" s="9" t="str">
        <f t="shared" si="24"/>
        <v>No</v>
      </c>
      <c r="AY82" s="9" t="str">
        <f t="shared" si="27"/>
        <v>Returned order excluded</v>
      </c>
      <c r="AZ82" s="9" t="str">
        <f>IF(OR(G82="Missing date",G82="Invalid date",G82="Ship date before order date",NOT(ISNUMBER(AP82)),AP82&lt;0,AP82&gt;0.5,AV82=TRUE,AW82=TRUE),"Invalid",IF(OR(O82="Unknown",Z82="Unknown",AC82="",AH82&lt;&gt;"Paid",AJ82&lt;&gt;"Completed",AO82&lt;&gt;""),"Warning","Clean"))</f>
        <v>Warning</v>
      </c>
    </row>
    <row r="83" spans="1:52" ht="15.75" customHeight="1">
      <c r="A83" s="6" t="s">
        <v>586</v>
      </c>
      <c r="B83" s="7" t="s">
        <v>587</v>
      </c>
      <c r="C83" s="7" t="str">
        <f t="shared" si="26"/>
        <v>2025-03</v>
      </c>
      <c r="D83" s="7" cm="1">
        <f t="array" ref="D83">_xlfn.LET(_xlpm.x,B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45732</v>
      </c>
      <c r="E83" s="7" t="s">
        <v>588</v>
      </c>
      <c r="F83" s="7" cm="1">
        <f t="array" ref="F83">_xlfn.LET(_xlpm.x,E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45733</v>
      </c>
      <c r="G83" s="8" t="str">
        <f t="shared" si="1"/>
        <v>OK</v>
      </c>
      <c r="H83" s="6">
        <f t="shared" si="2"/>
        <v>1</v>
      </c>
      <c r="I83" s="6" t="s">
        <v>589</v>
      </c>
      <c r="J83" s="6" t="s">
        <v>129</v>
      </c>
      <c r="K83" s="6" t="str">
        <f t="shared" si="3"/>
        <v>Karan Malhotra</v>
      </c>
      <c r="L83" s="6" t="s">
        <v>44</v>
      </c>
      <c r="M83" s="8" t="str">
        <f t="shared" si="4"/>
        <v>Home Office</v>
      </c>
      <c r="N83" s="6" t="s">
        <v>9</v>
      </c>
      <c r="O83" s="6" t="str">
        <f t="shared" si="5"/>
        <v>West</v>
      </c>
      <c r="P83" s="6" t="s">
        <v>323</v>
      </c>
      <c r="Q83" s="6" t="str">
        <f t="shared" si="6"/>
        <v>Goa</v>
      </c>
      <c r="R83" s="6" t="s">
        <v>324</v>
      </c>
      <c r="S83" s="6" t="str">
        <f t="shared" si="7"/>
        <v>Panaji</v>
      </c>
      <c r="T83" s="6" t="s">
        <v>20</v>
      </c>
      <c r="U83" s="8" t="str">
        <f t="shared" si="8"/>
        <v>Office Supplies</v>
      </c>
      <c r="V83" s="6" t="s">
        <v>23</v>
      </c>
      <c r="W83" s="6" t="str">
        <f t="shared" si="9"/>
        <v>Labels</v>
      </c>
      <c r="X83" s="6" t="s">
        <v>590</v>
      </c>
      <c r="Y83" s="6" t="s">
        <v>37</v>
      </c>
      <c r="Z83" s="6" t="str">
        <f t="shared" si="10"/>
        <v>Same Day</v>
      </c>
      <c r="AA83" s="6">
        <v>3</v>
      </c>
      <c r="AB83" s="6">
        <v>1841.91</v>
      </c>
      <c r="AC83" s="6">
        <v>0</v>
      </c>
      <c r="AD83" s="6">
        <v>5525.73</v>
      </c>
      <c r="AE83" s="6">
        <v>3093.42</v>
      </c>
      <c r="AF83" s="6">
        <v>2432.31</v>
      </c>
      <c r="AG83" s="6" t="s">
        <v>52</v>
      </c>
      <c r="AH83" s="6" t="str">
        <f t="shared" si="11"/>
        <v>Paid</v>
      </c>
      <c r="AI83" s="6" t="s">
        <v>134</v>
      </c>
      <c r="AJ83" s="6" t="str">
        <f t="shared" si="12"/>
        <v>Completed</v>
      </c>
      <c r="AK83" s="9" t="str">
        <f>_xlfn.TEXTJOIN("|",FALSE,A83,TEXT(B83,"mm-dd-yyyy"),TEXT(E83,"mm-dd-yyyy"),I83,J83,L83,N83,P83,R83,T83,V83,X83,Y83,AA83,AB83,AC83,AD83,AE83,AF83,AG83,AI83)</f>
        <v>ORD-2025-10082|03-16-2025|17-03-2025|CUST-7907|Karan Malhotra|Home Office|West|Goa|Panaji|Office Supplies|Labels|Eco Labels 662|Same Day|3|1841.91|0|5525.73|3093.42|2432.31|Paid|Completed</v>
      </c>
      <c r="AL83" s="27" t="str">
        <f>IF(COUNTIF($AK$2:AK83,AK83)&gt;1,"Remove exact duplicate copy","Keep")</f>
        <v>Keep</v>
      </c>
      <c r="AM83" s="9">
        <f t="shared" si="13"/>
        <v>1</v>
      </c>
      <c r="AN83" s="9" t="str">
        <f t="shared" si="14"/>
        <v>Unique</v>
      </c>
      <c r="AO83" s="9" t="str">
        <f t="shared" si="15"/>
        <v/>
      </c>
      <c r="AP83" s="9">
        <f t="shared" si="16"/>
        <v>0</v>
      </c>
      <c r="AQ83" s="10">
        <f t="shared" si="17"/>
        <v>5525.7300000000005</v>
      </c>
      <c r="AR83" s="10">
        <f t="shared" si="18"/>
        <v>2432.3100000000004</v>
      </c>
      <c r="AS83" s="11">
        <f t="shared" si="19"/>
        <v>0.44017894468242208</v>
      </c>
      <c r="AT83" s="9">
        <f t="shared" si="20"/>
        <v>3</v>
      </c>
      <c r="AU83" s="9">
        <f t="shared" si="21"/>
        <v>2025</v>
      </c>
      <c r="AV83" s="9" t="b">
        <f t="shared" si="22"/>
        <v>0</v>
      </c>
      <c r="AW83" s="9" t="b">
        <f t="shared" si="23"/>
        <v>0</v>
      </c>
      <c r="AX83" s="9" t="str">
        <f t="shared" si="24"/>
        <v>Yes</v>
      </c>
      <c r="AY83" s="9" t="str">
        <f t="shared" si="27"/>
        <v/>
      </c>
      <c r="AZ83" s="9" t="str">
        <f>IF(OR(G83="Missing date",G83="Invalid date",G83="Ship date before order date",NOT(ISNUMBER(AP83)),AP83&lt;0,AP83&gt;0.5,AV83=TRUE,AW83=TRUE),"Invalid",IF(OR(O83="Unknown",Z83="Unknown",AC83="",AH83&lt;&gt;"Paid",AJ83&lt;&gt;"Completed",AO83&lt;&gt;""),"Warning","Clean"))</f>
        <v>Clean</v>
      </c>
    </row>
    <row r="84" spans="1:52" ht="15.75" customHeight="1">
      <c r="A84" s="6" t="s">
        <v>591</v>
      </c>
      <c r="B84" s="7" t="s">
        <v>592</v>
      </c>
      <c r="C84" s="7" t="str">
        <f t="shared" si="26"/>
        <v>2024-08</v>
      </c>
      <c r="D84" s="7" cm="1">
        <f t="array" ref="D84">_xlfn.LET(_xlpm.x,B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45507</v>
      </c>
      <c r="E84" s="7" t="s">
        <v>593</v>
      </c>
      <c r="F84" s="7" cm="1">
        <f t="array" ref="F84">_xlfn.LET(_xlpm.x,E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45508</v>
      </c>
      <c r="G84" s="8" t="str">
        <f t="shared" si="1"/>
        <v>OK</v>
      </c>
      <c r="H84" s="6">
        <f t="shared" si="2"/>
        <v>1</v>
      </c>
      <c r="I84" s="6" t="s">
        <v>594</v>
      </c>
      <c r="J84" s="6" t="s">
        <v>153</v>
      </c>
      <c r="K84" s="6" t="str">
        <f t="shared" si="3"/>
        <v>Arjun Bose</v>
      </c>
      <c r="L84" s="6" t="s">
        <v>43</v>
      </c>
      <c r="M84" s="8" t="str">
        <f t="shared" si="4"/>
        <v>Consumer</v>
      </c>
      <c r="N84" s="6" t="s">
        <v>7</v>
      </c>
      <c r="O84" s="6" t="str">
        <f t="shared" si="5"/>
        <v>North</v>
      </c>
      <c r="P84" s="6" t="s">
        <v>251</v>
      </c>
      <c r="Q84" s="6" t="str">
        <f t="shared" si="6"/>
        <v>Uttar Pradesh</v>
      </c>
      <c r="R84" s="6" t="s">
        <v>252</v>
      </c>
      <c r="S84" s="6" t="str">
        <f t="shared" si="7"/>
        <v>Noida</v>
      </c>
      <c r="T84" s="6" t="s">
        <v>27</v>
      </c>
      <c r="U84" s="8" t="str">
        <f t="shared" si="8"/>
        <v>Technology</v>
      </c>
      <c r="V84" s="6" t="s">
        <v>29</v>
      </c>
      <c r="W84" s="6" t="str">
        <f t="shared" si="9"/>
        <v>Copiers</v>
      </c>
      <c r="X84" s="6" t="s">
        <v>595</v>
      </c>
      <c r="Y84" s="6" t="s">
        <v>36</v>
      </c>
      <c r="Z84" s="6" t="str">
        <f t="shared" si="10"/>
        <v>Second Class</v>
      </c>
      <c r="AA84" s="6">
        <v>6</v>
      </c>
      <c r="AB84" s="6">
        <v>1001.73</v>
      </c>
      <c r="AC84" s="6">
        <v>0</v>
      </c>
      <c r="AD84" s="6">
        <v>6010.38</v>
      </c>
      <c r="AE84" s="6">
        <v>3762.85</v>
      </c>
      <c r="AF84" s="6">
        <v>2247.5300000000002</v>
      </c>
      <c r="AG84" s="6" t="s">
        <v>50</v>
      </c>
      <c r="AH84" s="6" t="str">
        <f t="shared" si="11"/>
        <v>Failed</v>
      </c>
      <c r="AI84" s="6" t="s">
        <v>59</v>
      </c>
      <c r="AJ84" s="6" t="str">
        <f t="shared" si="12"/>
        <v>Returned</v>
      </c>
      <c r="AK84" s="9" t="str">
        <f>_xlfn.TEXTJOIN("|",FALSE,A84,TEXT(B84,"mm-dd-yyyy"),TEXT(E84,"mm-dd-yyyy"),I84,J84,L84,N84,P84,R84,T84,V84,X84,Y84,AA84,AB84,AC84,AD84,AE84,AF84,AG84,AI84)</f>
        <v>ORD-2024-10083|08-03-2024|04-08-2024|CUST-6516|Arjun Bose|Consumer|North|Uttar Pradesh|Noida|Technology|Copiers|Smart Copiers 702|Second Class|6|1001.73|0|6010.38|3762.85|2247.53|Failed|Returned</v>
      </c>
      <c r="AL84" s="27" t="str">
        <f>IF(COUNTIF($AK$2:AK84,AK84)&gt;1,"Remove exact duplicate copy","Keep")</f>
        <v>Keep</v>
      </c>
      <c r="AM84" s="9">
        <f t="shared" si="13"/>
        <v>1</v>
      </c>
      <c r="AN84" s="9" t="str">
        <f t="shared" si="14"/>
        <v>Unique</v>
      </c>
      <c r="AO84" s="9" t="str">
        <f t="shared" si="15"/>
        <v/>
      </c>
      <c r="AP84" s="9">
        <f t="shared" si="16"/>
        <v>0</v>
      </c>
      <c r="AQ84" s="10">
        <f t="shared" si="17"/>
        <v>6010.38</v>
      </c>
      <c r="AR84" s="10">
        <f t="shared" si="18"/>
        <v>2247.5300000000002</v>
      </c>
      <c r="AS84" s="11">
        <f t="shared" si="19"/>
        <v>0.37394141468592673</v>
      </c>
      <c r="AT84" s="9">
        <f t="shared" si="20"/>
        <v>8</v>
      </c>
      <c r="AU84" s="9">
        <f t="shared" si="21"/>
        <v>2024</v>
      </c>
      <c r="AV84" s="9" t="b">
        <f t="shared" si="22"/>
        <v>0</v>
      </c>
      <c r="AW84" s="9" t="b">
        <f t="shared" si="23"/>
        <v>0</v>
      </c>
      <c r="AX84" s="9" t="str">
        <f t="shared" si="24"/>
        <v>No</v>
      </c>
      <c r="AY84" s="9" t="str">
        <f t="shared" si="27"/>
        <v>Failed payment excluded; Returned order excluded</v>
      </c>
      <c r="AZ84" s="9" t="str">
        <f>IF(OR(G84="Missing date",G84="Invalid date",G84="Ship date before order date",NOT(ISNUMBER(AP84)),AP84&lt;0,AP84&gt;0.5,AV84=TRUE,AW84=TRUE),"Invalid",IF(OR(O84="Unknown",Z84="Unknown",AC84="",AH84&lt;&gt;"Paid",AJ84&lt;&gt;"Completed",AO84&lt;&gt;""),"Warning","Clean"))</f>
        <v>Warning</v>
      </c>
    </row>
    <row r="85" spans="1:52" ht="15.75" customHeight="1">
      <c r="A85" s="6" t="s">
        <v>596</v>
      </c>
      <c r="B85" s="7" t="s">
        <v>439</v>
      </c>
      <c r="C85" s="7" t="str">
        <f t="shared" si="26"/>
        <v>2024-10</v>
      </c>
      <c r="D85" s="7" cm="1">
        <f t="array" ref="D85">_xlfn.LET(_xlpm.x,B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45591</v>
      </c>
      <c r="E85" s="7" t="s">
        <v>597</v>
      </c>
      <c r="F85" s="7" cm="1">
        <f t="array" ref="F85">_xlfn.LET(_xlpm.x,E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45594</v>
      </c>
      <c r="G85" s="8" t="str">
        <f t="shared" si="1"/>
        <v>OK</v>
      </c>
      <c r="H85" s="6">
        <f t="shared" si="2"/>
        <v>3</v>
      </c>
      <c r="I85" s="6" t="s">
        <v>598</v>
      </c>
      <c r="J85" s="6" t="s">
        <v>190</v>
      </c>
      <c r="K85" s="6" t="str">
        <f t="shared" si="3"/>
        <v>Aditi Sen</v>
      </c>
      <c r="L85" s="6" t="s">
        <v>44</v>
      </c>
      <c r="M85" s="8" t="str">
        <f t="shared" si="4"/>
        <v>Home Office</v>
      </c>
      <c r="N85" s="6" t="s">
        <v>9</v>
      </c>
      <c r="O85" s="6" t="str">
        <f t="shared" si="5"/>
        <v>West</v>
      </c>
      <c r="P85" s="6" t="s">
        <v>162</v>
      </c>
      <c r="Q85" s="6" t="str">
        <f t="shared" si="6"/>
        <v>Maharashtra</v>
      </c>
      <c r="R85" s="6" t="s">
        <v>163</v>
      </c>
      <c r="S85" s="6" t="str">
        <f t="shared" si="7"/>
        <v>Mumbai</v>
      </c>
      <c r="T85" s="6" t="s">
        <v>14</v>
      </c>
      <c r="U85" s="8" t="str">
        <f t="shared" si="8"/>
        <v>Furniture</v>
      </c>
      <c r="V85" s="6" t="s">
        <v>18</v>
      </c>
      <c r="W85" s="6" t="str">
        <f t="shared" si="9"/>
        <v>Tables</v>
      </c>
      <c r="X85" s="6" t="s">
        <v>599</v>
      </c>
      <c r="Y85" s="6" t="s">
        <v>36</v>
      </c>
      <c r="Z85" s="6" t="str">
        <f t="shared" si="10"/>
        <v>Second Class</v>
      </c>
      <c r="AA85" s="6">
        <v>9</v>
      </c>
      <c r="AB85" s="6">
        <v>131.74</v>
      </c>
      <c r="AC85" s="6">
        <v>0.2</v>
      </c>
      <c r="AD85" s="6">
        <v>948.53</v>
      </c>
      <c r="AE85" s="6">
        <v>674.62</v>
      </c>
      <c r="AF85" s="6">
        <v>273.91000000000003</v>
      </c>
      <c r="AG85" s="6" t="s">
        <v>52</v>
      </c>
      <c r="AH85" s="6" t="str">
        <f t="shared" si="11"/>
        <v>Paid</v>
      </c>
      <c r="AI85" s="6" t="s">
        <v>134</v>
      </c>
      <c r="AJ85" s="6" t="str">
        <f t="shared" si="12"/>
        <v>Completed</v>
      </c>
      <c r="AK85" s="9" t="str">
        <f>_xlfn.TEXTJOIN("|",FALSE,A85,TEXT(B85,"mm-dd-yyyy"),TEXT(E85,"mm-dd-yyyy"),I85,J85,L85,N85,P85,R85,T85,V85,X85,Y85,AA85,AB85,AC85,AD85,AE85,AF85,AG85,AI85)</f>
        <v>ORD-2024-10084|26-10-2024|29-10-2024|CUST-4989|Aditi Sen|Home Office|West|Maharashtra|Mumbai|Furniture|Tables|Elite Tables 362|Second Class|9|131.74|0.2|948.53|674.62|273.91|Paid|Completed</v>
      </c>
      <c r="AL85" s="27" t="str">
        <f>IF(COUNTIF($AK$2:AK85,AK85)&gt;1,"Remove exact duplicate copy","Keep")</f>
        <v>Keep</v>
      </c>
      <c r="AM85" s="9">
        <f t="shared" si="13"/>
        <v>1</v>
      </c>
      <c r="AN85" s="9" t="str">
        <f t="shared" si="14"/>
        <v>Unique</v>
      </c>
      <c r="AO85" s="9" t="str">
        <f t="shared" si="15"/>
        <v/>
      </c>
      <c r="AP85" s="9">
        <f t="shared" si="16"/>
        <v>0.2</v>
      </c>
      <c r="AQ85" s="10">
        <f t="shared" si="17"/>
        <v>948.52800000000013</v>
      </c>
      <c r="AR85" s="10">
        <f t="shared" si="18"/>
        <v>273.90800000000013</v>
      </c>
      <c r="AS85" s="11">
        <f t="shared" si="19"/>
        <v>0.28877165460587362</v>
      </c>
      <c r="AT85" s="9">
        <f t="shared" si="20"/>
        <v>10</v>
      </c>
      <c r="AU85" s="9">
        <f t="shared" si="21"/>
        <v>2024</v>
      </c>
      <c r="AV85" s="9" t="b">
        <f t="shared" si="22"/>
        <v>0</v>
      </c>
      <c r="AW85" s="9" t="b">
        <f t="shared" si="23"/>
        <v>0</v>
      </c>
      <c r="AX85" s="9" t="str">
        <f t="shared" si="24"/>
        <v>Yes</v>
      </c>
      <c r="AY85" s="9" t="str">
        <f t="shared" si="27"/>
        <v/>
      </c>
      <c r="AZ85" s="9" t="str">
        <f>IF(OR(G85="Missing date",G85="Invalid date",G85="Ship date before order date",NOT(ISNUMBER(AP85)),AP85&lt;0,AP85&gt;0.5,AV85=TRUE,AW85=TRUE),"Invalid",IF(OR(O85="Unknown",Z85="Unknown",AC85="",AH85&lt;&gt;"Paid",AJ85&lt;&gt;"Completed",AO85&lt;&gt;""),"Warning","Clean"))</f>
        <v>Clean</v>
      </c>
    </row>
    <row r="86" spans="1:52" ht="15.75" customHeight="1">
      <c r="A86" s="6" t="s">
        <v>600</v>
      </c>
      <c r="B86" s="7" t="s">
        <v>601</v>
      </c>
      <c r="C86" s="7" t="str">
        <f t="shared" si="26"/>
        <v>2024-10</v>
      </c>
      <c r="D86" s="7" cm="1">
        <f t="array" ref="D86">_xlfn.LET(_xlpm.x,B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45566</v>
      </c>
      <c r="E86" s="7" t="s">
        <v>602</v>
      </c>
      <c r="F86" s="7" cm="1">
        <f t="array" ref="F86">_xlfn.LET(_xlpm.x,E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45568</v>
      </c>
      <c r="G86" s="8" t="str">
        <f t="shared" si="1"/>
        <v>OK</v>
      </c>
      <c r="H86" s="6">
        <f t="shared" si="2"/>
        <v>2</v>
      </c>
      <c r="I86" s="6" t="s">
        <v>603</v>
      </c>
      <c r="J86" s="6" t="s">
        <v>257</v>
      </c>
      <c r="K86" s="6" t="str">
        <f t="shared" si="3"/>
        <v>Rohan Mehta</v>
      </c>
      <c r="L86" s="6" t="s">
        <v>45</v>
      </c>
      <c r="M86" s="8" t="str">
        <f t="shared" si="4"/>
        <v>Corporate</v>
      </c>
      <c r="N86" s="6" t="s">
        <v>10</v>
      </c>
      <c r="O86" s="6" t="str">
        <f t="shared" si="5"/>
        <v>South</v>
      </c>
      <c r="P86" s="6" t="s">
        <v>413</v>
      </c>
      <c r="Q86" s="6" t="str">
        <f t="shared" si="6"/>
        <v>Tamil Nadu</v>
      </c>
      <c r="R86" s="6" t="s">
        <v>414</v>
      </c>
      <c r="S86" s="6" t="str">
        <f t="shared" si="7"/>
        <v>Chennai</v>
      </c>
      <c r="T86" s="6" t="s">
        <v>604</v>
      </c>
      <c r="U86" s="8" t="str">
        <f t="shared" si="8"/>
        <v>Technology</v>
      </c>
      <c r="V86" s="6" t="s">
        <v>31</v>
      </c>
      <c r="W86" s="6" t="str">
        <f t="shared" si="9"/>
        <v>Phones</v>
      </c>
      <c r="X86" s="6" t="s">
        <v>605</v>
      </c>
      <c r="Y86" s="6" t="s">
        <v>36</v>
      </c>
      <c r="Z86" s="6" t="str">
        <f t="shared" si="10"/>
        <v>Second Class</v>
      </c>
      <c r="AA86" s="6">
        <v>6</v>
      </c>
      <c r="AB86" s="6">
        <v>570.28</v>
      </c>
      <c r="AC86" s="6">
        <v>0.2</v>
      </c>
      <c r="AD86" s="6">
        <v>2737.34</v>
      </c>
      <c r="AE86" s="6">
        <v>2085.44</v>
      </c>
      <c r="AF86" s="6">
        <v>651.9</v>
      </c>
      <c r="AG86" s="6" t="s">
        <v>52</v>
      </c>
      <c r="AH86" s="6" t="str">
        <f t="shared" si="11"/>
        <v>Paid</v>
      </c>
      <c r="AI86" s="6" t="s">
        <v>134</v>
      </c>
      <c r="AJ86" s="6" t="str">
        <f t="shared" si="12"/>
        <v>Completed</v>
      </c>
      <c r="AK86" s="9" t="str">
        <f>_xlfn.TEXTJOIN("|",FALSE,A86,TEXT(B86,"mm-dd-yyyy"),TEXT(E86,"mm-dd-yyyy"),I86,J86,L86,N86,P86,R86,T86,V86,X86,Y86,AA86,AB86,AC86,AD86,AE86,AF86,AG86,AI86)</f>
        <v>ORD-2024-10085|10-01-2024|10-03-2024|CUST-3758|Rohan Mehta|Corporate|South|Tamil Nadu|Chennai|Technology |Phones|Elite Phones 781|Second Class|6|570.28|0.2|2737.34|2085.44|651.9|Paid|Completed</v>
      </c>
      <c r="AL86" s="27" t="str">
        <f>IF(COUNTIF($AK$2:AK86,AK86)&gt;1,"Remove exact duplicate copy","Keep")</f>
        <v>Keep</v>
      </c>
      <c r="AM86" s="9">
        <f t="shared" si="13"/>
        <v>1</v>
      </c>
      <c r="AN86" s="9" t="str">
        <f t="shared" si="14"/>
        <v>Unique</v>
      </c>
      <c r="AO86" s="9" t="str">
        <f t="shared" si="15"/>
        <v/>
      </c>
      <c r="AP86" s="9">
        <f t="shared" si="16"/>
        <v>0.2</v>
      </c>
      <c r="AQ86" s="10">
        <f t="shared" si="17"/>
        <v>2737.3440000000001</v>
      </c>
      <c r="AR86" s="10">
        <f t="shared" si="18"/>
        <v>651.904</v>
      </c>
      <c r="AS86" s="11">
        <f t="shared" si="19"/>
        <v>0.23815201889130486</v>
      </c>
      <c r="AT86" s="9">
        <f t="shared" si="20"/>
        <v>10</v>
      </c>
      <c r="AU86" s="9">
        <f t="shared" si="21"/>
        <v>2024</v>
      </c>
      <c r="AV86" s="9" t="b">
        <f t="shared" si="22"/>
        <v>0</v>
      </c>
      <c r="AW86" s="9" t="b">
        <f t="shared" si="23"/>
        <v>0</v>
      </c>
      <c r="AX86" s="9" t="str">
        <f t="shared" si="24"/>
        <v>Yes</v>
      </c>
      <c r="AY86" s="9" t="str">
        <f t="shared" si="27"/>
        <v/>
      </c>
      <c r="AZ86" s="9" t="str">
        <f>IF(OR(G86="Missing date",G86="Invalid date",G86="Ship date before order date",NOT(ISNUMBER(AP86)),AP86&lt;0,AP86&gt;0.5,AV86=TRUE,AW86=TRUE),"Invalid",IF(OR(O86="Unknown",Z86="Unknown",AC86="",AH86&lt;&gt;"Paid",AJ86&lt;&gt;"Completed",AO86&lt;&gt;""),"Warning","Clean"))</f>
        <v>Clean</v>
      </c>
    </row>
    <row r="87" spans="1:52" ht="15.75" customHeight="1">
      <c r="A87" s="6" t="s">
        <v>606</v>
      </c>
      <c r="B87" s="7" t="s">
        <v>607</v>
      </c>
      <c r="C87" s="7" t="str">
        <f t="shared" si="26"/>
        <v>2024-07</v>
      </c>
      <c r="D87" s="7" cm="1">
        <f t="array" ref="D87">_xlfn.LET(_xlpm.x,B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45503</v>
      </c>
      <c r="E87" s="7" t="s">
        <v>608</v>
      </c>
      <c r="F87" s="7" cm="1">
        <f t="array" ref="F87">_xlfn.LET(_xlpm.x,E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45509</v>
      </c>
      <c r="G87" s="8" t="str">
        <f t="shared" si="1"/>
        <v>OK</v>
      </c>
      <c r="H87" s="6">
        <f t="shared" si="2"/>
        <v>6</v>
      </c>
      <c r="I87" s="6" t="s">
        <v>609</v>
      </c>
      <c r="J87" s="6" t="s">
        <v>442</v>
      </c>
      <c r="K87" s="6" t="str">
        <f t="shared" si="3"/>
        <v>Kabir Singh</v>
      </c>
      <c r="L87" s="6" t="s">
        <v>45</v>
      </c>
      <c r="M87" s="8" t="str">
        <f t="shared" si="4"/>
        <v>Corporate</v>
      </c>
      <c r="N87" s="6" t="s">
        <v>7</v>
      </c>
      <c r="O87" s="6" t="str">
        <f t="shared" si="5"/>
        <v>North</v>
      </c>
      <c r="P87" s="6" t="s">
        <v>583</v>
      </c>
      <c r="Q87" s="6" t="str">
        <f t="shared" si="6"/>
        <v>Delhi</v>
      </c>
      <c r="R87" s="6" t="s">
        <v>584</v>
      </c>
      <c r="S87" s="6" t="str">
        <f t="shared" si="7"/>
        <v>New Delhi</v>
      </c>
      <c r="T87" s="6" t="s">
        <v>20</v>
      </c>
      <c r="U87" s="8" t="str">
        <f t="shared" si="8"/>
        <v>Office Supplies</v>
      </c>
      <c r="V87" s="6" t="s">
        <v>22</v>
      </c>
      <c r="W87" s="6" t="str">
        <f t="shared" si="9"/>
        <v>Binders</v>
      </c>
      <c r="X87" s="6" t="s">
        <v>610</v>
      </c>
      <c r="Y87" s="6" t="s">
        <v>34</v>
      </c>
      <c r="Z87" s="6" t="str">
        <f t="shared" si="10"/>
        <v>Standard Class</v>
      </c>
      <c r="AA87" s="6">
        <v>1</v>
      </c>
      <c r="AB87" s="6">
        <v>608.64</v>
      </c>
      <c r="AC87" s="6">
        <v>0</v>
      </c>
      <c r="AD87" s="6">
        <v>608.64</v>
      </c>
      <c r="AE87" s="6">
        <v>343.99</v>
      </c>
      <c r="AF87" s="6">
        <v>264.64999999999998</v>
      </c>
      <c r="AG87" s="6" t="s">
        <v>52</v>
      </c>
      <c r="AH87" s="6" t="str">
        <f t="shared" si="11"/>
        <v>Paid</v>
      </c>
      <c r="AI87" s="6" t="s">
        <v>58</v>
      </c>
      <c r="AJ87" s="6" t="str">
        <f t="shared" si="12"/>
        <v>Cancelled</v>
      </c>
      <c r="AK87" s="9" t="str">
        <f>_xlfn.TEXTJOIN("|",FALSE,A87,TEXT(B87,"mm-dd-yyyy"),TEXT(E87,"mm-dd-yyyy"),I87,J87,L87,N87,P87,R87,T87,V87,X87,Y87,AA87,AB87,AC87,AD87,AE87,AF87,AG87,AI87)</f>
        <v>ORD-2024-10086|07-30-2024|08-05-2024|CUST-6702|Kabir Singh|Corporate|North|Delhi|New Delhi|Office Supplies|Binders|Eco Binders 456|Standard Class|1|608.64|0|608.64|343.99|264.65|Paid|Cancelled</v>
      </c>
      <c r="AL87" s="27" t="str">
        <f>IF(COUNTIF($AK$2:AK87,AK87)&gt;1,"Remove exact duplicate copy","Keep")</f>
        <v>Keep</v>
      </c>
      <c r="AM87" s="9">
        <f t="shared" si="13"/>
        <v>1</v>
      </c>
      <c r="AN87" s="9" t="str">
        <f t="shared" si="14"/>
        <v>Unique</v>
      </c>
      <c r="AO87" s="9" t="str">
        <f t="shared" si="15"/>
        <v/>
      </c>
      <c r="AP87" s="9">
        <f t="shared" si="16"/>
        <v>0</v>
      </c>
      <c r="AQ87" s="10">
        <f t="shared" si="17"/>
        <v>608.64</v>
      </c>
      <c r="AR87" s="10">
        <f t="shared" si="18"/>
        <v>264.64999999999998</v>
      </c>
      <c r="AS87" s="11">
        <f t="shared" si="19"/>
        <v>0.43482189800210302</v>
      </c>
      <c r="AT87" s="9">
        <f t="shared" si="20"/>
        <v>7</v>
      </c>
      <c r="AU87" s="9">
        <f t="shared" si="21"/>
        <v>2024</v>
      </c>
      <c r="AV87" s="9" t="b">
        <f t="shared" si="22"/>
        <v>0</v>
      </c>
      <c r="AW87" s="9" t="b">
        <f t="shared" si="23"/>
        <v>0</v>
      </c>
      <c r="AX87" s="9" t="str">
        <f t="shared" si="24"/>
        <v>No</v>
      </c>
      <c r="AY87" s="9" t="str">
        <f t="shared" si="27"/>
        <v>Cancelled order excluded</v>
      </c>
      <c r="AZ87" s="9" t="str">
        <f>IF(OR(G87="Missing date",G87="Invalid date",G87="Ship date before order date",NOT(ISNUMBER(AP87)),AP87&lt;0,AP87&gt;0.5,AV87=TRUE,AW87=TRUE),"Invalid",IF(OR(O87="Unknown",Z87="Unknown",AC87="",AH87&lt;&gt;"Paid",AJ87&lt;&gt;"Completed",AO87&lt;&gt;""),"Warning","Clean"))</f>
        <v>Warning</v>
      </c>
    </row>
    <row r="88" spans="1:52" ht="15.75" customHeight="1">
      <c r="A88" s="6" t="s">
        <v>611</v>
      </c>
      <c r="B88" s="7" t="s">
        <v>612</v>
      </c>
      <c r="C88" s="7" t="str">
        <f t="shared" si="26"/>
        <v>2024-07</v>
      </c>
      <c r="D88" s="7" cm="1">
        <f t="array" ref="D88">_xlfn.LET(_xlpm.x,B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45474</v>
      </c>
      <c r="E88" s="7" t="s">
        <v>612</v>
      </c>
      <c r="F88" s="7" cm="1">
        <f t="array" ref="F88">_xlfn.LET(_xlpm.x,E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45474</v>
      </c>
      <c r="G88" s="8" t="str">
        <f t="shared" si="1"/>
        <v>OK</v>
      </c>
      <c r="H88" s="6">
        <f t="shared" si="2"/>
        <v>0</v>
      </c>
      <c r="I88" s="6" t="s">
        <v>613</v>
      </c>
      <c r="J88" s="6" t="s">
        <v>161</v>
      </c>
      <c r="K88" s="6" t="str">
        <f t="shared" si="3"/>
        <v>Ananya Rao</v>
      </c>
      <c r="L88" s="6" t="s">
        <v>46</v>
      </c>
      <c r="M88" s="8" t="str">
        <f t="shared" si="4"/>
        <v>Small Business</v>
      </c>
      <c r="N88" s="6" t="s">
        <v>7</v>
      </c>
      <c r="O88" s="6" t="str">
        <f t="shared" si="5"/>
        <v>North</v>
      </c>
      <c r="P88" s="6" t="s">
        <v>583</v>
      </c>
      <c r="Q88" s="6" t="str">
        <f t="shared" si="6"/>
        <v>Delhi</v>
      </c>
      <c r="R88" s="6" t="s">
        <v>584</v>
      </c>
      <c r="S88" s="6" t="str">
        <f t="shared" si="7"/>
        <v>New Delhi</v>
      </c>
      <c r="T88" s="6" t="s">
        <v>27</v>
      </c>
      <c r="U88" s="8" t="str">
        <f t="shared" si="8"/>
        <v>Technology</v>
      </c>
      <c r="V88" s="6" t="s">
        <v>29</v>
      </c>
      <c r="W88" s="6" t="str">
        <f t="shared" si="9"/>
        <v>Copiers</v>
      </c>
      <c r="X88" s="6" t="s">
        <v>614</v>
      </c>
      <c r="Y88" s="6" t="s">
        <v>36</v>
      </c>
      <c r="Z88" s="6" t="str">
        <f t="shared" si="10"/>
        <v>Second Class</v>
      </c>
      <c r="AA88" s="6">
        <v>3</v>
      </c>
      <c r="AB88" s="6">
        <v>885.28</v>
      </c>
      <c r="AC88" s="6">
        <v>0.1</v>
      </c>
      <c r="AD88" s="6">
        <v>2390.2600000000002</v>
      </c>
      <c r="AE88" s="6">
        <v>1495.94</v>
      </c>
      <c r="AF88" s="6">
        <v>894.32</v>
      </c>
      <c r="AG88" s="6" t="s">
        <v>56</v>
      </c>
      <c r="AH88" s="6" t="str">
        <f t="shared" si="11"/>
        <v>Refunded</v>
      </c>
      <c r="AI88" s="6" t="s">
        <v>58</v>
      </c>
      <c r="AJ88" s="6" t="str">
        <f t="shared" si="12"/>
        <v>Cancelled</v>
      </c>
      <c r="AK88" s="9" t="str">
        <f>_xlfn.TEXTJOIN("|",FALSE,A88,TEXT(B88,"mm-dd-yyyy"),TEXT(E88,"mm-dd-yyyy"),I88,J88,L88,N88,P88,R88,T88,V88,X88,Y88,AA88,AB88,AC88,AD88,AE88,AF88,AG88,AI88)</f>
        <v>ORD-2024-10087|07-01-2024|07-01-2024|CUST-9148|Ananya Rao|Small Business|North|Delhi|New Delhi|Technology|Copiers|Basic Copiers 525|Second Class|3|885.28|0.1|2390.26|1495.94|894.32|Refunded|Cancelled</v>
      </c>
      <c r="AL88" s="27" t="str">
        <f>IF(COUNTIF($AK$2:AK88,AK88)&gt;1,"Remove exact duplicate copy","Keep")</f>
        <v>Keep</v>
      </c>
      <c r="AM88" s="9">
        <f t="shared" si="13"/>
        <v>1</v>
      </c>
      <c r="AN88" s="9" t="str">
        <f t="shared" si="14"/>
        <v>Unique</v>
      </c>
      <c r="AO88" s="9" t="str">
        <f t="shared" si="15"/>
        <v/>
      </c>
      <c r="AP88" s="9">
        <f t="shared" si="16"/>
        <v>0.1</v>
      </c>
      <c r="AQ88" s="10">
        <f t="shared" si="17"/>
        <v>2390.2560000000003</v>
      </c>
      <c r="AR88" s="10">
        <f t="shared" si="18"/>
        <v>894.31600000000026</v>
      </c>
      <c r="AS88" s="11">
        <f t="shared" si="19"/>
        <v>0.37415071858411825</v>
      </c>
      <c r="AT88" s="9">
        <f t="shared" si="20"/>
        <v>7</v>
      </c>
      <c r="AU88" s="9">
        <f t="shared" si="21"/>
        <v>2024</v>
      </c>
      <c r="AV88" s="9" t="b">
        <f t="shared" si="22"/>
        <v>0</v>
      </c>
      <c r="AW88" s="9" t="b">
        <f t="shared" si="23"/>
        <v>0</v>
      </c>
      <c r="AX88" s="9" t="str">
        <f t="shared" si="24"/>
        <v>No</v>
      </c>
      <c r="AY88" s="9" t="str">
        <f t="shared" si="27"/>
        <v>Refunded order summarized separately; Cancelled order excluded</v>
      </c>
      <c r="AZ88" s="9" t="str">
        <f>IF(OR(G88="Missing date",G88="Invalid date",G88="Ship date before order date",NOT(ISNUMBER(AP88)),AP88&lt;0,AP88&gt;0.5,AV88=TRUE,AW88=TRUE),"Invalid",IF(OR(O88="Unknown",Z88="Unknown",AC88="",AH88&lt;&gt;"Paid",AJ88&lt;&gt;"Completed",AO88&lt;&gt;""),"Warning","Clean"))</f>
        <v>Warning</v>
      </c>
    </row>
    <row r="89" spans="1:52" ht="15.75" customHeight="1">
      <c r="A89" s="6" t="s">
        <v>615</v>
      </c>
      <c r="B89" s="7" t="s">
        <v>616</v>
      </c>
      <c r="C89" s="7" t="str">
        <f t="shared" si="26"/>
        <v>2024-08</v>
      </c>
      <c r="D89" s="7" cm="1">
        <f t="array" ref="D89">_xlfn.LET(_xlpm.x,B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45506</v>
      </c>
      <c r="E89" s="7" t="s">
        <v>592</v>
      </c>
      <c r="F89" s="7" cm="1">
        <f t="array" ref="F89">_xlfn.LET(_xlpm.x,E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45507</v>
      </c>
      <c r="G89" s="8" t="str">
        <f t="shared" si="1"/>
        <v>OK</v>
      </c>
      <c r="H89" s="6">
        <f t="shared" si="2"/>
        <v>1</v>
      </c>
      <c r="I89" s="6" t="s">
        <v>617</v>
      </c>
      <c r="J89" s="6" t="s">
        <v>169</v>
      </c>
      <c r="K89" s="6" t="str">
        <f t="shared" si="3"/>
        <v>Vikram Iyer</v>
      </c>
      <c r="L89" s="6" t="s">
        <v>43</v>
      </c>
      <c r="M89" s="8" t="str">
        <f t="shared" si="4"/>
        <v>Consumer</v>
      </c>
      <c r="N89" s="6" t="s">
        <v>8</v>
      </c>
      <c r="O89" s="6" t="str">
        <f t="shared" si="5"/>
        <v>East</v>
      </c>
      <c r="P89" s="6" t="s">
        <v>290</v>
      </c>
      <c r="Q89" s="6" t="str">
        <f t="shared" si="6"/>
        <v>Assam</v>
      </c>
      <c r="R89" s="6" t="s">
        <v>291</v>
      </c>
      <c r="S89" s="6" t="str">
        <f t="shared" si="7"/>
        <v>Guwahati</v>
      </c>
      <c r="T89" s="6" t="s">
        <v>20</v>
      </c>
      <c r="U89" s="8" t="str">
        <f t="shared" si="8"/>
        <v>Office Supplies</v>
      </c>
      <c r="V89" s="6" t="s">
        <v>22</v>
      </c>
      <c r="W89" s="6" t="str">
        <f t="shared" si="9"/>
        <v>Binders</v>
      </c>
      <c r="X89" s="6" t="s">
        <v>618</v>
      </c>
      <c r="Y89" s="6" t="s">
        <v>34</v>
      </c>
      <c r="Z89" s="6" t="str">
        <f t="shared" si="10"/>
        <v>Standard Class</v>
      </c>
      <c r="AA89" s="6">
        <v>7</v>
      </c>
      <c r="AB89" s="6">
        <v>3345.22</v>
      </c>
      <c r="AC89" s="6">
        <v>0</v>
      </c>
      <c r="AD89" s="6">
        <v>23416.54</v>
      </c>
      <c r="AE89" s="6">
        <v>15490.89</v>
      </c>
      <c r="AF89" s="6">
        <v>7925.65</v>
      </c>
      <c r="AG89" s="6" t="s">
        <v>52</v>
      </c>
      <c r="AH89" s="6" t="str">
        <f t="shared" si="11"/>
        <v>Paid</v>
      </c>
      <c r="AI89" s="6" t="s">
        <v>134</v>
      </c>
      <c r="AJ89" s="6" t="str">
        <f t="shared" si="12"/>
        <v>Completed</v>
      </c>
      <c r="AK89" s="9" t="str">
        <f>_xlfn.TEXTJOIN("|",FALSE,A89,TEXT(B89,"mm-dd-yyyy"),TEXT(E89,"mm-dd-yyyy"),I89,J89,L89,N89,P89,R89,T89,V89,X89,Y89,AA89,AB89,AC89,AD89,AE89,AF89,AG89,AI89)</f>
        <v>ORD-2024-10088|02-08-2024|08-03-2024|CUST-5829|Vikram Iyer|Consumer|East|Assam|Guwahati|Office Supplies|Binders|Eco Binders 258|Standard Class|7|3345.22|0|23416.54|15490.89|7925.65|Paid|Completed</v>
      </c>
      <c r="AL89" s="27" t="str">
        <f>IF(COUNTIF($AK$2:AK89,AK89)&gt;1,"Remove exact duplicate copy","Keep")</f>
        <v>Keep</v>
      </c>
      <c r="AM89" s="9">
        <f t="shared" si="13"/>
        <v>1</v>
      </c>
      <c r="AN89" s="9" t="str">
        <f t="shared" si="14"/>
        <v>Unique</v>
      </c>
      <c r="AO89" s="9" t="str">
        <f t="shared" si="15"/>
        <v/>
      </c>
      <c r="AP89" s="9">
        <f t="shared" si="16"/>
        <v>0</v>
      </c>
      <c r="AQ89" s="10">
        <f t="shared" si="17"/>
        <v>23416.539999999997</v>
      </c>
      <c r="AR89" s="10">
        <f t="shared" si="18"/>
        <v>7925.6499999999978</v>
      </c>
      <c r="AS89" s="11">
        <f t="shared" si="19"/>
        <v>0.33846375254414185</v>
      </c>
      <c r="AT89" s="9">
        <f t="shared" si="20"/>
        <v>8</v>
      </c>
      <c r="AU89" s="9">
        <f t="shared" si="21"/>
        <v>2024</v>
      </c>
      <c r="AV89" s="9" t="b">
        <f t="shared" si="22"/>
        <v>0</v>
      </c>
      <c r="AW89" s="9" t="b">
        <f t="shared" si="23"/>
        <v>0</v>
      </c>
      <c r="AX89" s="9" t="str">
        <f t="shared" si="24"/>
        <v>Yes</v>
      </c>
      <c r="AY89" s="9" t="str">
        <f t="shared" si="27"/>
        <v/>
      </c>
      <c r="AZ89" s="9" t="str">
        <f>IF(OR(G89="Missing date",G89="Invalid date",G89="Ship date before order date",NOT(ISNUMBER(AP89)),AP89&lt;0,AP89&gt;0.5,AV89=TRUE,AW89=TRUE),"Invalid",IF(OR(O89="Unknown",Z89="Unknown",AC89="",AH89&lt;&gt;"Paid",AJ89&lt;&gt;"Completed",AO89&lt;&gt;""),"Warning","Clean"))</f>
        <v>Clean</v>
      </c>
    </row>
    <row r="90" spans="1:52" ht="15.75" customHeight="1">
      <c r="A90" s="6" t="s">
        <v>619</v>
      </c>
      <c r="B90" s="7" t="s">
        <v>620</v>
      </c>
      <c r="C90" s="7" t="str">
        <f t="shared" si="26"/>
        <v>2024-03</v>
      </c>
      <c r="D90" s="7" cm="1">
        <f t="array" ref="D90">_xlfn.LET(_xlpm.x,B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45375</v>
      </c>
      <c r="E90" s="7" t="s">
        <v>621</v>
      </c>
      <c r="F90" s="7" cm="1">
        <f t="array" ref="F90">_xlfn.LET(_xlpm.x,E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45378</v>
      </c>
      <c r="G90" s="8" t="str">
        <f t="shared" si="1"/>
        <v>OK</v>
      </c>
      <c r="H90" s="6">
        <f t="shared" si="2"/>
        <v>3</v>
      </c>
      <c r="I90" s="6" t="s">
        <v>622</v>
      </c>
      <c r="J90" s="6" t="s">
        <v>257</v>
      </c>
      <c r="K90" s="6" t="str">
        <f t="shared" si="3"/>
        <v>Rohan Mehta</v>
      </c>
      <c r="L90" s="6" t="s">
        <v>46</v>
      </c>
      <c r="M90" s="8" t="str">
        <f t="shared" si="4"/>
        <v>Small Business</v>
      </c>
      <c r="N90" s="6" t="s">
        <v>9</v>
      </c>
      <c r="O90" s="6" t="str">
        <f t="shared" si="5"/>
        <v>West</v>
      </c>
      <c r="P90" s="6" t="s">
        <v>162</v>
      </c>
      <c r="Q90" s="6" t="str">
        <f t="shared" si="6"/>
        <v>Maharashtra</v>
      </c>
      <c r="R90" s="6" t="s">
        <v>163</v>
      </c>
      <c r="S90" s="6" t="str">
        <f t="shared" si="7"/>
        <v>Mumbai</v>
      </c>
      <c r="T90" s="6" t="s">
        <v>14</v>
      </c>
      <c r="U90" s="8" t="str">
        <f t="shared" si="8"/>
        <v>Furniture</v>
      </c>
      <c r="V90" s="6" t="s">
        <v>15</v>
      </c>
      <c r="W90" s="6" t="str">
        <f t="shared" si="9"/>
        <v>Bookcases</v>
      </c>
      <c r="X90" s="6" t="s">
        <v>623</v>
      </c>
      <c r="Y90" s="6" t="s">
        <v>34</v>
      </c>
      <c r="Z90" s="6" t="str">
        <f t="shared" si="10"/>
        <v>Standard Class</v>
      </c>
      <c r="AA90" s="6">
        <v>2</v>
      </c>
      <c r="AB90" s="6">
        <v>3284.75</v>
      </c>
      <c r="AC90" s="6">
        <v>0.05</v>
      </c>
      <c r="AD90" s="6">
        <v>6241.02</v>
      </c>
      <c r="AE90" s="6">
        <v>5345.88</v>
      </c>
      <c r="AF90" s="6">
        <v>895.14</v>
      </c>
      <c r="AG90" s="6" t="s">
        <v>52</v>
      </c>
      <c r="AH90" s="6" t="str">
        <f t="shared" si="11"/>
        <v>Paid</v>
      </c>
      <c r="AI90" s="6" t="s">
        <v>134</v>
      </c>
      <c r="AJ90" s="6" t="str">
        <f t="shared" si="12"/>
        <v>Completed</v>
      </c>
      <c r="AK90" s="9" t="str">
        <f>_xlfn.TEXTJOIN("|",FALSE,A90,TEXT(B90,"mm-dd-yyyy"),TEXT(E90,"mm-dd-yyyy"),I90,J90,L90,N90,P90,R90,T90,V90,X90,Y90,AA90,AB90,AC90,AD90,AE90,AF90,AG90,AI90)</f>
        <v>ORD-2024-10089|03-24-2024|03-27-2024|CUST-6059|Rohan Mehta|Small Business|West|Maharashtra|Mumbai|Furniture|Bookcases|Max Bookcases 398|Standard Class|2|3284.75|0.05|6241.02|5345.88|895.14|Paid|Completed</v>
      </c>
      <c r="AL90" s="27" t="str">
        <f>IF(COUNTIF($AK$2:AK90,AK90)&gt;1,"Remove exact duplicate copy","Keep")</f>
        <v>Keep</v>
      </c>
      <c r="AM90" s="9">
        <f t="shared" si="13"/>
        <v>1</v>
      </c>
      <c r="AN90" s="9" t="str">
        <f t="shared" si="14"/>
        <v>Unique</v>
      </c>
      <c r="AO90" s="9" t="str">
        <f t="shared" si="15"/>
        <v/>
      </c>
      <c r="AP90" s="9">
        <f t="shared" si="16"/>
        <v>0.05</v>
      </c>
      <c r="AQ90" s="10">
        <f t="shared" si="17"/>
        <v>6241.0249999999996</v>
      </c>
      <c r="AR90" s="10">
        <f t="shared" si="18"/>
        <v>895.14499999999953</v>
      </c>
      <c r="AS90" s="11">
        <f t="shared" si="19"/>
        <v>0.14342916427990587</v>
      </c>
      <c r="AT90" s="9">
        <f t="shared" si="20"/>
        <v>3</v>
      </c>
      <c r="AU90" s="9">
        <f t="shared" si="21"/>
        <v>2024</v>
      </c>
      <c r="AV90" s="9" t="b">
        <f t="shared" si="22"/>
        <v>0</v>
      </c>
      <c r="AW90" s="9" t="b">
        <f t="shared" si="23"/>
        <v>0</v>
      </c>
      <c r="AX90" s="9" t="str">
        <f t="shared" si="24"/>
        <v>Yes</v>
      </c>
      <c r="AY90" s="9" t="str">
        <f t="shared" si="27"/>
        <v/>
      </c>
      <c r="AZ90" s="9" t="str">
        <f>IF(OR(G90="Missing date",G90="Invalid date",G90="Ship date before order date",NOT(ISNUMBER(AP90)),AP90&lt;0,AP90&gt;0.5,AV90=TRUE,AW90=TRUE),"Invalid",IF(OR(O90="Unknown",Z90="Unknown",AC90="",AH90&lt;&gt;"Paid",AJ90&lt;&gt;"Completed",AO90&lt;&gt;""),"Warning","Clean"))</f>
        <v>Clean</v>
      </c>
    </row>
    <row r="91" spans="1:52" ht="15.75" customHeight="1">
      <c r="A91" s="6" t="s">
        <v>624</v>
      </c>
      <c r="B91" s="7" t="s">
        <v>137</v>
      </c>
      <c r="C91" s="7" t="str">
        <f t="shared" si="26"/>
        <v>2024-09</v>
      </c>
      <c r="D91" s="7" cm="1">
        <f t="array" ref="D91">_xlfn.LET(_xlpm.x,B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45540</v>
      </c>
      <c r="E91" s="7" t="s">
        <v>137</v>
      </c>
      <c r="F91" s="7" cm="1">
        <f t="array" ref="F91">_xlfn.LET(_xlpm.x,E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45540</v>
      </c>
      <c r="G91" s="8" t="str">
        <f t="shared" si="1"/>
        <v>OK</v>
      </c>
      <c r="H91" s="6">
        <f t="shared" si="2"/>
        <v>0</v>
      </c>
      <c r="I91" s="6" t="s">
        <v>625</v>
      </c>
      <c r="J91" s="6" t="s">
        <v>442</v>
      </c>
      <c r="K91" s="6" t="str">
        <f t="shared" si="3"/>
        <v>Kabir Singh</v>
      </c>
      <c r="L91" s="6" t="s">
        <v>43</v>
      </c>
      <c r="M91" s="8" t="str">
        <f t="shared" si="4"/>
        <v>Consumer</v>
      </c>
      <c r="N91" s="6" t="s">
        <v>10</v>
      </c>
      <c r="O91" s="6" t="str">
        <f t="shared" si="5"/>
        <v>South</v>
      </c>
      <c r="P91" s="6" t="s">
        <v>183</v>
      </c>
      <c r="Q91" s="6" t="str">
        <f t="shared" si="6"/>
        <v>Andhra Pradesh</v>
      </c>
      <c r="R91" s="6" t="s">
        <v>184</v>
      </c>
      <c r="S91" s="6" t="str">
        <f t="shared" si="7"/>
        <v>Vijayawada</v>
      </c>
      <c r="T91" s="6" t="s">
        <v>14</v>
      </c>
      <c r="U91" s="8" t="str">
        <f t="shared" si="8"/>
        <v>Furniture</v>
      </c>
      <c r="V91" s="6" t="s">
        <v>15</v>
      </c>
      <c r="W91" s="6" t="str">
        <f t="shared" si="9"/>
        <v>Bookcases</v>
      </c>
      <c r="X91" s="6" t="s">
        <v>626</v>
      </c>
      <c r="Y91" s="6" t="s">
        <v>34</v>
      </c>
      <c r="Z91" s="6" t="str">
        <f t="shared" si="10"/>
        <v>Standard Class</v>
      </c>
      <c r="AA91" s="6">
        <v>7</v>
      </c>
      <c r="AB91" s="6">
        <v>3761.09</v>
      </c>
      <c r="AC91" s="6">
        <v>0.2</v>
      </c>
      <c r="AD91" s="6">
        <v>21062.1</v>
      </c>
      <c r="AE91" s="6">
        <v>12057.13</v>
      </c>
      <c r="AF91" s="6">
        <v>9004.9699999999993</v>
      </c>
      <c r="AG91" s="6" t="s">
        <v>54</v>
      </c>
      <c r="AH91" s="6" t="str">
        <f t="shared" si="11"/>
        <v>Pending</v>
      </c>
      <c r="AI91" s="6" t="s">
        <v>58</v>
      </c>
      <c r="AJ91" s="6" t="str">
        <f t="shared" si="12"/>
        <v>Cancelled</v>
      </c>
      <c r="AK91" s="9" t="str">
        <f>_xlfn.TEXTJOIN("|",FALSE,A91,TEXT(B91,"mm-dd-yyyy"),TEXT(E91,"mm-dd-yyyy"),I91,J91,L91,N91,P91,R91,T91,V91,X91,Y91,AA91,AB91,AC91,AD91,AE91,AF91,AG91,AI91)</f>
        <v>ORD-2024-10090|09-05-2024|09-05-2024|CUST-7744|Kabir Singh|Consumer|South|Andhra Pradesh|Vijayawada|Furniture|Bookcases|Smart Bookcases 857|Standard Class|7|3761.09|0.2|21062.1|12057.13|9004.97|Pending|Cancelled</v>
      </c>
      <c r="AL91" s="27" t="str">
        <f>IF(COUNTIF($AK$2:AK91,AK91)&gt;1,"Remove exact duplicate copy","Keep")</f>
        <v>Keep</v>
      </c>
      <c r="AM91" s="9">
        <f t="shared" si="13"/>
        <v>1</v>
      </c>
      <c r="AN91" s="9" t="str">
        <f t="shared" si="14"/>
        <v>Unique</v>
      </c>
      <c r="AO91" s="9" t="str">
        <f t="shared" si="15"/>
        <v/>
      </c>
      <c r="AP91" s="9">
        <f t="shared" si="16"/>
        <v>0.2</v>
      </c>
      <c r="AQ91" s="10">
        <f t="shared" si="17"/>
        <v>21062.104000000003</v>
      </c>
      <c r="AR91" s="10">
        <f t="shared" si="18"/>
        <v>9004.9740000000038</v>
      </c>
      <c r="AS91" s="11">
        <f t="shared" si="19"/>
        <v>0.42754389589947911</v>
      </c>
      <c r="AT91" s="9">
        <f t="shared" si="20"/>
        <v>9</v>
      </c>
      <c r="AU91" s="9">
        <f t="shared" si="21"/>
        <v>2024</v>
      </c>
      <c r="AV91" s="9" t="b">
        <f t="shared" si="22"/>
        <v>0</v>
      </c>
      <c r="AW91" s="9" t="b">
        <f t="shared" si="23"/>
        <v>0</v>
      </c>
      <c r="AX91" s="9" t="str">
        <f t="shared" si="24"/>
        <v>No</v>
      </c>
      <c r="AY91" s="9" t="str">
        <f t="shared" si="27"/>
        <v>Cancelled order excluded</v>
      </c>
      <c r="AZ91" s="9" t="str">
        <f>IF(OR(G91="Missing date",G91="Invalid date",G91="Ship date before order date",NOT(ISNUMBER(AP91)),AP91&lt;0,AP91&gt;0.5,AV91=TRUE,AW91=TRUE),"Invalid",IF(OR(O91="Unknown",Z91="Unknown",AC91="",AH91&lt;&gt;"Paid",AJ91&lt;&gt;"Completed",AO91&lt;&gt;""),"Warning","Clean"))</f>
        <v>Warning</v>
      </c>
    </row>
    <row r="92" spans="1:52" ht="15.75" customHeight="1">
      <c r="A92" s="6" t="s">
        <v>627</v>
      </c>
      <c r="B92" s="7" t="s">
        <v>628</v>
      </c>
      <c r="C92" s="7" t="str">
        <f t="shared" si="26"/>
        <v>2025-08</v>
      </c>
      <c r="D92" s="7" cm="1">
        <f t="array" ref="D92">_xlfn.LET(_xlpm.x,B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45893</v>
      </c>
      <c r="E92" s="7" t="s">
        <v>158</v>
      </c>
      <c r="F92" s="7" cm="1">
        <f t="array" ref="F92">_xlfn.LET(_xlpm.x,E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45898</v>
      </c>
      <c r="G92" s="8" t="str">
        <f t="shared" si="1"/>
        <v>OK</v>
      </c>
      <c r="H92" s="6">
        <f t="shared" si="2"/>
        <v>5</v>
      </c>
      <c r="I92" s="6" t="s">
        <v>629</v>
      </c>
      <c r="J92" s="6" t="s">
        <v>239</v>
      </c>
      <c r="K92" s="6" t="str">
        <f t="shared" si="3"/>
        <v>Aarav Sharma</v>
      </c>
      <c r="L92" s="6" t="s">
        <v>46</v>
      </c>
      <c r="M92" s="8" t="str">
        <f t="shared" si="4"/>
        <v>Small Business</v>
      </c>
      <c r="N92" s="6" t="s">
        <v>8</v>
      </c>
      <c r="O92" s="6" t="str">
        <f t="shared" si="5"/>
        <v>East</v>
      </c>
      <c r="P92" s="6" t="s">
        <v>263</v>
      </c>
      <c r="Q92" s="6" t="str">
        <f t="shared" si="6"/>
        <v>Bihar</v>
      </c>
      <c r="R92" s="6" t="s">
        <v>264</v>
      </c>
      <c r="S92" s="6" t="str">
        <f t="shared" si="7"/>
        <v>Patna</v>
      </c>
      <c r="T92" s="6" t="s">
        <v>27</v>
      </c>
      <c r="U92" s="8" t="str">
        <f t="shared" si="8"/>
        <v>Technology</v>
      </c>
      <c r="V92" s="6" t="s">
        <v>29</v>
      </c>
      <c r="W92" s="6" t="str">
        <f t="shared" si="9"/>
        <v>Copiers</v>
      </c>
      <c r="X92" s="6" t="s">
        <v>630</v>
      </c>
      <c r="Y92" s="6" t="s">
        <v>35</v>
      </c>
      <c r="Z92" s="6" t="str">
        <f t="shared" si="10"/>
        <v>First Class</v>
      </c>
      <c r="AA92" s="6">
        <v>3</v>
      </c>
      <c r="AB92" s="6">
        <v>3703.96</v>
      </c>
      <c r="AC92" s="6">
        <v>0.15</v>
      </c>
      <c r="AD92" s="6">
        <v>9445.1</v>
      </c>
      <c r="AE92" s="6">
        <v>5586.28</v>
      </c>
      <c r="AF92" s="6">
        <v>3858.82</v>
      </c>
      <c r="AG92" s="6" t="s">
        <v>52</v>
      </c>
      <c r="AH92" s="6" t="str">
        <f t="shared" si="11"/>
        <v>Paid</v>
      </c>
      <c r="AI92" s="6" t="s">
        <v>134</v>
      </c>
      <c r="AJ92" s="6" t="str">
        <f t="shared" si="12"/>
        <v>Completed</v>
      </c>
      <c r="AK92" s="9" t="str">
        <f>_xlfn.TEXTJOIN("|",FALSE,A92,TEXT(B92,"mm-dd-yyyy"),TEXT(E92,"mm-dd-yyyy"),I92,J92,L92,N92,P92,R92,T92,V92,X92,Y92,AA92,AB92,AC92,AD92,AE92,AF92,AG92,AI92)</f>
        <v>ORD-2025-10091|08-24-2025|08-29-2025|CUST-5909|Aarav Sharma|Small Business|East|Bihar|Patna|Technology|Copiers|Smart Copiers 556|First Class|3|3703.96|0.15|9445.1|5586.28|3858.82|Paid|Completed</v>
      </c>
      <c r="AL92" s="27" t="str">
        <f>IF(COUNTIF($AK$2:AK92,AK92)&gt;1,"Remove exact duplicate copy","Keep")</f>
        <v>Keep</v>
      </c>
      <c r="AM92" s="9">
        <f t="shared" si="13"/>
        <v>2</v>
      </c>
      <c r="AN92" s="9" t="str">
        <f t="shared" si="14"/>
        <v>Duplicate order_id</v>
      </c>
      <c r="AO92" s="9" t="str">
        <f t="shared" si="15"/>
        <v>Review conflicting duplicate</v>
      </c>
      <c r="AP92" s="9">
        <f t="shared" si="16"/>
        <v>0.15</v>
      </c>
      <c r="AQ92" s="10">
        <f t="shared" si="17"/>
        <v>9445.098</v>
      </c>
      <c r="AR92" s="10">
        <f t="shared" si="18"/>
        <v>3858.8180000000002</v>
      </c>
      <c r="AS92" s="11">
        <f t="shared" si="19"/>
        <v>0.40855245758170006</v>
      </c>
      <c r="AT92" s="9">
        <f t="shared" si="20"/>
        <v>8</v>
      </c>
      <c r="AU92" s="9">
        <f t="shared" si="21"/>
        <v>2025</v>
      </c>
      <c r="AV92" s="9" t="b">
        <f t="shared" si="22"/>
        <v>0</v>
      </c>
      <c r="AW92" s="9" t="b">
        <f t="shared" si="23"/>
        <v>0</v>
      </c>
      <c r="AX92" s="9" t="str">
        <f t="shared" si="24"/>
        <v>No</v>
      </c>
      <c r="AY92" s="9" t="str">
        <f t="shared" si="27"/>
        <v>Duplicate order ID conflict</v>
      </c>
      <c r="AZ92" s="9" t="str">
        <f>IF(OR(G92="Missing date",G92="Invalid date",G92="Ship date before order date",NOT(ISNUMBER(AP92)),AP92&lt;0,AP92&gt;0.5,AV92=TRUE,AW92=TRUE),"Invalid",IF(OR(O92="Unknown",Z92="Unknown",AC92="",AH92&lt;&gt;"Paid",AJ92&lt;&gt;"Completed",AO92&lt;&gt;""),"Warning","Clean"))</f>
        <v>Warning</v>
      </c>
    </row>
    <row r="93" spans="1:52" ht="15.75" customHeight="1">
      <c r="A93" s="6" t="s">
        <v>631</v>
      </c>
      <c r="B93" s="7" t="s">
        <v>632</v>
      </c>
      <c r="C93" s="7" t="str">
        <f t="shared" si="26"/>
        <v>2025-03</v>
      </c>
      <c r="D93" s="7" cm="1">
        <f t="array" ref="D93">_xlfn.LET(_xlpm.x,B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45718</v>
      </c>
      <c r="E93" s="7" t="s">
        <v>633</v>
      </c>
      <c r="F93" s="7" cm="1">
        <f t="array" ref="F93">_xlfn.LET(_xlpm.x,E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45724</v>
      </c>
      <c r="G93" s="8" t="str">
        <f t="shared" si="1"/>
        <v>OK</v>
      </c>
      <c r="H93" s="6">
        <f t="shared" si="2"/>
        <v>6</v>
      </c>
      <c r="I93" s="6" t="s">
        <v>634</v>
      </c>
      <c r="J93" s="6" t="s">
        <v>245</v>
      </c>
      <c r="K93" s="6" t="str">
        <f t="shared" si="3"/>
        <v>Sneha Kapoor</v>
      </c>
      <c r="L93" s="6" t="s">
        <v>45</v>
      </c>
      <c r="M93" s="8" t="str">
        <f t="shared" si="4"/>
        <v>Corporate</v>
      </c>
      <c r="N93" s="6" t="s">
        <v>9</v>
      </c>
      <c r="O93" s="6" t="str">
        <f t="shared" si="5"/>
        <v>West</v>
      </c>
      <c r="P93" s="6" t="s">
        <v>170</v>
      </c>
      <c r="Q93" s="6" t="str">
        <f t="shared" si="6"/>
        <v>Madhya Pradesh</v>
      </c>
      <c r="R93" s="6" t="s">
        <v>171</v>
      </c>
      <c r="S93" s="6" t="str">
        <f t="shared" si="7"/>
        <v>Indore</v>
      </c>
      <c r="T93" s="6" t="s">
        <v>27</v>
      </c>
      <c r="U93" s="8" t="str">
        <f t="shared" si="8"/>
        <v>Technology</v>
      </c>
      <c r="V93" s="6" t="s">
        <v>29</v>
      </c>
      <c r="W93" s="6" t="str">
        <f t="shared" si="9"/>
        <v>Copiers</v>
      </c>
      <c r="X93" s="6" t="s">
        <v>635</v>
      </c>
      <c r="Y93" s="6" t="s">
        <v>36</v>
      </c>
      <c r="Z93" s="6" t="str">
        <f t="shared" si="10"/>
        <v>Second Class</v>
      </c>
      <c r="AA93" s="6">
        <v>9</v>
      </c>
      <c r="AB93" s="6">
        <v>269.68</v>
      </c>
      <c r="AC93" s="6">
        <v>0</v>
      </c>
      <c r="AD93" s="6">
        <v>2427.12</v>
      </c>
      <c r="AE93" s="6">
        <v>1538.35</v>
      </c>
      <c r="AF93" s="6">
        <v>804.53</v>
      </c>
      <c r="AG93" s="6" t="s">
        <v>52</v>
      </c>
      <c r="AH93" s="6" t="str">
        <f t="shared" si="11"/>
        <v>Paid</v>
      </c>
      <c r="AI93" s="6" t="s">
        <v>134</v>
      </c>
      <c r="AJ93" s="6" t="str">
        <f t="shared" si="12"/>
        <v>Completed</v>
      </c>
      <c r="AK93" s="9" t="str">
        <f>_xlfn.TEXTJOIN("|",FALSE,A93,TEXT(B93,"mm-dd-yyyy"),TEXT(E93,"mm-dd-yyyy"),I93,J93,L93,N93,P93,R93,T93,V93,X93,Y93,AA93,AB93,AC93,AD93,AE93,AF93,AG93,AI93)</f>
        <v>ORD-2025-10092|02-03-2025|03-08-2025|CUST-6409|Sneha Kapoor|Corporate|West|Madhya Pradesh|Indore|Technology|Copiers|Prime Copiers 575|Second Class|9|269.68|0|2427.12|1538.35|804.53|Paid|Completed</v>
      </c>
      <c r="AL93" s="27" t="str">
        <f>IF(COUNTIF($AK$2:AK93,AK93)&gt;1,"Remove exact duplicate copy","Keep")</f>
        <v>Keep</v>
      </c>
      <c r="AM93" s="9">
        <f t="shared" si="13"/>
        <v>1</v>
      </c>
      <c r="AN93" s="9" t="str">
        <f t="shared" si="14"/>
        <v>Unique</v>
      </c>
      <c r="AO93" s="9" t="str">
        <f t="shared" si="15"/>
        <v/>
      </c>
      <c r="AP93" s="9">
        <f t="shared" si="16"/>
        <v>0</v>
      </c>
      <c r="AQ93" s="10">
        <f t="shared" si="17"/>
        <v>2427.12</v>
      </c>
      <c r="AR93" s="10">
        <f t="shared" si="18"/>
        <v>888.77</v>
      </c>
      <c r="AS93" s="11">
        <f t="shared" si="19"/>
        <v>0.36618296581957216</v>
      </c>
      <c r="AT93" s="9">
        <f t="shared" si="20"/>
        <v>3</v>
      </c>
      <c r="AU93" s="9">
        <f t="shared" si="21"/>
        <v>2025</v>
      </c>
      <c r="AV93" s="9" t="b">
        <f t="shared" si="22"/>
        <v>0</v>
      </c>
      <c r="AW93" s="9" t="b">
        <f t="shared" si="23"/>
        <v>1</v>
      </c>
      <c r="AX93" s="9" t="str">
        <f t="shared" si="24"/>
        <v>No</v>
      </c>
      <c r="AY93" s="9" t="str">
        <f t="shared" si="27"/>
        <v>Profit mismatch</v>
      </c>
      <c r="AZ93" s="9" t="str">
        <f>IF(OR(G93="Missing date",G93="Invalid date",G93="Ship date before order date",NOT(ISNUMBER(AP93)),AP93&lt;0,AP93&gt;0.5,AV93=TRUE,AW93=TRUE),"Invalid",IF(OR(O93="Unknown",Z93="Unknown",AC93="",AH93&lt;&gt;"Paid",AJ93&lt;&gt;"Completed",AO93&lt;&gt;""),"Warning","Clean"))</f>
        <v>Invalid</v>
      </c>
    </row>
    <row r="94" spans="1:52" ht="15.75" customHeight="1">
      <c r="A94" s="6" t="s">
        <v>636</v>
      </c>
      <c r="B94" s="7" t="s">
        <v>261</v>
      </c>
      <c r="C94" s="7" t="str">
        <f t="shared" si="26"/>
        <v>2025-01</v>
      </c>
      <c r="D94" s="7" cm="1">
        <f t="array" ref="D94">_xlfn.LET(_xlpm.x,B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45680</v>
      </c>
      <c r="E94" s="7" t="s">
        <v>637</v>
      </c>
      <c r="F94" s="7" cm="1">
        <f t="array" ref="F94">_xlfn.LET(_xlpm.x,E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45683</v>
      </c>
      <c r="G94" s="8" t="str">
        <f t="shared" si="1"/>
        <v>OK</v>
      </c>
      <c r="H94" s="6">
        <f t="shared" si="2"/>
        <v>3</v>
      </c>
      <c r="I94" s="6" t="s">
        <v>638</v>
      </c>
      <c r="J94" s="6" t="s">
        <v>239</v>
      </c>
      <c r="K94" s="6" t="str">
        <f t="shared" si="3"/>
        <v>Aarav Sharma</v>
      </c>
      <c r="L94" s="6" t="s">
        <v>43</v>
      </c>
      <c r="M94" s="8" t="str">
        <f t="shared" si="4"/>
        <v>Consumer</v>
      </c>
      <c r="N94" s="6" t="s">
        <v>9</v>
      </c>
      <c r="O94" s="6" t="str">
        <f t="shared" si="5"/>
        <v>West</v>
      </c>
      <c r="P94" s="6" t="s">
        <v>170</v>
      </c>
      <c r="Q94" s="6" t="str">
        <f t="shared" si="6"/>
        <v>Madhya Pradesh</v>
      </c>
      <c r="R94" s="6" t="s">
        <v>171</v>
      </c>
      <c r="S94" s="6" t="str">
        <f t="shared" si="7"/>
        <v>Indore</v>
      </c>
      <c r="T94" s="6" t="s">
        <v>20</v>
      </c>
      <c r="U94" s="8" t="str">
        <f t="shared" si="8"/>
        <v>Office Supplies</v>
      </c>
      <c r="V94" s="6" t="s">
        <v>24</v>
      </c>
      <c r="W94" s="6" t="str">
        <f t="shared" si="9"/>
        <v>Paper</v>
      </c>
      <c r="X94" s="6" t="s">
        <v>639</v>
      </c>
      <c r="Y94" s="6" t="s">
        <v>34</v>
      </c>
      <c r="Z94" s="6" t="str">
        <f t="shared" si="10"/>
        <v>Standard Class</v>
      </c>
      <c r="AA94" s="6">
        <v>9</v>
      </c>
      <c r="AB94" s="6">
        <v>4458.26</v>
      </c>
      <c r="AC94" s="6">
        <v>0.1</v>
      </c>
      <c r="AD94" s="6">
        <v>36111.910000000003</v>
      </c>
      <c r="AE94" s="6">
        <v>29194.5</v>
      </c>
      <c r="AF94" s="6">
        <v>6917.41</v>
      </c>
      <c r="AG94" s="6" t="s">
        <v>52</v>
      </c>
      <c r="AH94" s="6" t="str">
        <f t="shared" si="11"/>
        <v>Paid</v>
      </c>
      <c r="AI94" s="6" t="s">
        <v>134</v>
      </c>
      <c r="AJ94" s="6" t="str">
        <f t="shared" si="12"/>
        <v>Completed</v>
      </c>
      <c r="AK94" s="9" t="str">
        <f>_xlfn.TEXTJOIN("|",FALSE,A94,TEXT(B94,"mm-dd-yyyy"),TEXT(E94,"mm-dd-yyyy"),I94,J94,L94,N94,P94,R94,T94,V94,X94,Y94,AA94,AB94,AC94,AD94,AE94,AF94,AG94,AI94)</f>
        <v>ORD-2025-10093|01-23-2025|01-26-2025|CUST-3014|Aarav Sharma|Consumer|West|Madhya Pradesh|Indore|Office Supplies|Paper|Elite Paper 669|Standard Class|9|4458.26|0.1|36111.91|29194.5|6917.41|Paid|Completed</v>
      </c>
      <c r="AL94" s="27" t="str">
        <f>IF(COUNTIF($AK$2:AK94,AK94)&gt;1,"Remove exact duplicate copy","Keep")</f>
        <v>Keep</v>
      </c>
      <c r="AM94" s="9">
        <f t="shared" si="13"/>
        <v>1</v>
      </c>
      <c r="AN94" s="9" t="str">
        <f t="shared" si="14"/>
        <v>Unique</v>
      </c>
      <c r="AO94" s="9" t="str">
        <f t="shared" si="15"/>
        <v/>
      </c>
      <c r="AP94" s="9">
        <f t="shared" si="16"/>
        <v>0.1</v>
      </c>
      <c r="AQ94" s="10">
        <f t="shared" si="17"/>
        <v>36111.906000000003</v>
      </c>
      <c r="AR94" s="10">
        <f t="shared" si="18"/>
        <v>6917.4060000000027</v>
      </c>
      <c r="AS94" s="11">
        <f t="shared" si="19"/>
        <v>0.19155471882320479</v>
      </c>
      <c r="AT94" s="9">
        <f t="shared" si="20"/>
        <v>1</v>
      </c>
      <c r="AU94" s="9">
        <f t="shared" si="21"/>
        <v>2025</v>
      </c>
      <c r="AV94" s="9" t="b">
        <f t="shared" si="22"/>
        <v>0</v>
      </c>
      <c r="AW94" s="9" t="b">
        <f t="shared" si="23"/>
        <v>0</v>
      </c>
      <c r="AX94" s="9" t="str">
        <f t="shared" si="24"/>
        <v>Yes</v>
      </c>
      <c r="AY94" s="9" t="str">
        <f t="shared" si="27"/>
        <v/>
      </c>
      <c r="AZ94" s="9" t="str">
        <f>IF(OR(G94="Missing date",G94="Invalid date",G94="Ship date before order date",NOT(ISNUMBER(AP94)),AP94&lt;0,AP94&gt;0.5,AV94=TRUE,AW94=TRUE),"Invalid",IF(OR(O94="Unknown",Z94="Unknown",AC94="",AH94&lt;&gt;"Paid",AJ94&lt;&gt;"Completed",AO94&lt;&gt;""),"Warning","Clean"))</f>
        <v>Clean</v>
      </c>
    </row>
    <row r="95" spans="1:52" ht="15.75" customHeight="1">
      <c r="A95" s="6" t="s">
        <v>640</v>
      </c>
      <c r="B95" s="7" t="s">
        <v>242</v>
      </c>
      <c r="C95" s="7" t="str">
        <f t="shared" si="26"/>
        <v>2024-01</v>
      </c>
      <c r="D95" s="7" cm="1">
        <f t="array" ref="D95">_xlfn.LET(_xlpm.x,B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45298</v>
      </c>
      <c r="E95" s="7" t="s">
        <v>641</v>
      </c>
      <c r="F95" s="7" cm="1">
        <f t="array" ref="F95">_xlfn.LET(_xlpm.x,E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45304</v>
      </c>
      <c r="G95" s="8" t="str">
        <f t="shared" si="1"/>
        <v>OK</v>
      </c>
      <c r="H95" s="6">
        <f t="shared" si="2"/>
        <v>6</v>
      </c>
      <c r="I95" s="6" t="s">
        <v>642</v>
      </c>
      <c r="J95" s="6" t="s">
        <v>257</v>
      </c>
      <c r="K95" s="6" t="str">
        <f t="shared" si="3"/>
        <v>Rohan Mehta</v>
      </c>
      <c r="L95" s="6" t="s">
        <v>45</v>
      </c>
      <c r="M95" s="8" t="str">
        <f t="shared" si="4"/>
        <v>Corporate</v>
      </c>
      <c r="N95" s="6" t="s">
        <v>7</v>
      </c>
      <c r="O95" s="6" t="str">
        <f t="shared" si="5"/>
        <v>North</v>
      </c>
      <c r="P95" s="6" t="s">
        <v>251</v>
      </c>
      <c r="Q95" s="6" t="str">
        <f t="shared" si="6"/>
        <v>Uttar Pradesh</v>
      </c>
      <c r="R95" s="6" t="s">
        <v>252</v>
      </c>
      <c r="S95" s="6" t="str">
        <f t="shared" si="7"/>
        <v>Noida</v>
      </c>
      <c r="T95" s="6" t="s">
        <v>20</v>
      </c>
      <c r="U95" s="8" t="str">
        <f t="shared" si="8"/>
        <v>Office Supplies</v>
      </c>
      <c r="V95" s="6" t="s">
        <v>22</v>
      </c>
      <c r="W95" s="6" t="str">
        <f t="shared" si="9"/>
        <v>Binders</v>
      </c>
      <c r="X95" s="6" t="s">
        <v>643</v>
      </c>
      <c r="Y95" s="6" t="s">
        <v>34</v>
      </c>
      <c r="Z95" s="6" t="str">
        <f t="shared" si="10"/>
        <v>Standard Class</v>
      </c>
      <c r="AA95" s="6">
        <v>7</v>
      </c>
      <c r="AB95" s="6">
        <v>2788.97</v>
      </c>
      <c r="AC95" s="6">
        <v>-0.09</v>
      </c>
      <c r="AD95" s="6">
        <v>19522.79</v>
      </c>
      <c r="AE95" s="6">
        <v>12455.78</v>
      </c>
      <c r="AF95" s="6">
        <v>7067.01</v>
      </c>
      <c r="AG95" s="6" t="s">
        <v>52</v>
      </c>
      <c r="AH95" s="6" t="str">
        <f t="shared" si="11"/>
        <v>Paid</v>
      </c>
      <c r="AI95" s="6" t="s">
        <v>134</v>
      </c>
      <c r="AJ95" s="6" t="str">
        <f t="shared" si="12"/>
        <v>Completed</v>
      </c>
      <c r="AK95" s="9" t="str">
        <f>_xlfn.TEXTJOIN("|",FALSE,A95,TEXT(B95,"mm-dd-yyyy"),TEXT(E95,"mm-dd-yyyy"),I95,J95,L95,N95,P95,R95,T95,V95,X95,Y95,AA95,AB95,AC95,AD95,AE95,AF95,AG95,AI95)</f>
        <v>ORD-2024-10094|01-07-2024|13-01-2024|CUST-6106|Rohan Mehta|Corporate|North|Uttar Pradesh|Noida|Office Supplies|Binders|Eco Binders 780|Standard Class|7|2788.97|-0.09|19522.79|12455.78|7067.01|Paid|Completed</v>
      </c>
      <c r="AL95" s="27" t="str">
        <f>IF(COUNTIF($AK$2:AK95,AK95)&gt;1,"Remove exact duplicate copy","Keep")</f>
        <v>Keep</v>
      </c>
      <c r="AM95" s="9">
        <f t="shared" si="13"/>
        <v>1</v>
      </c>
      <c r="AN95" s="9" t="str">
        <f t="shared" si="14"/>
        <v>Unique</v>
      </c>
      <c r="AO95" s="9" t="str">
        <f t="shared" si="15"/>
        <v/>
      </c>
      <c r="AP95" s="9">
        <f t="shared" si="16"/>
        <v>-0.09</v>
      </c>
      <c r="AQ95" s="10">
        <f t="shared" si="17"/>
        <v>21279.841099999998</v>
      </c>
      <c r="AR95" s="10">
        <f t="shared" si="18"/>
        <v>8824.0610999999972</v>
      </c>
      <c r="AS95" s="11">
        <f t="shared" si="19"/>
        <v>0.41466762174272054</v>
      </c>
      <c r="AT95" s="9">
        <f t="shared" si="20"/>
        <v>1</v>
      </c>
      <c r="AU95" s="9">
        <f t="shared" si="21"/>
        <v>2024</v>
      </c>
      <c r="AV95" s="9" t="b">
        <f t="shared" si="22"/>
        <v>1</v>
      </c>
      <c r="AW95" s="9" t="b">
        <f t="shared" si="23"/>
        <v>1</v>
      </c>
      <c r="AX95" s="9" t="str">
        <f t="shared" si="24"/>
        <v>No</v>
      </c>
      <c r="AY95" s="9" t="str">
        <f t="shared" si="27"/>
        <v>Negative discount; Sales mismatch; Profit mismatch</v>
      </c>
      <c r="AZ95" s="9" t="str">
        <f>IF(OR(G95="Missing date",G95="Invalid date",G95="Ship date before order date",NOT(ISNUMBER(AP95)),AP95&lt;0,AP95&gt;0.5,AV95=TRUE,AW95=TRUE),"Invalid",IF(OR(O95="Unknown",Z95="Unknown",AC95="",AH95&lt;&gt;"Paid",AJ95&lt;&gt;"Completed",AO95&lt;&gt;""),"Warning","Clean"))</f>
        <v>Invalid</v>
      </c>
    </row>
    <row r="96" spans="1:52" ht="15.75" customHeight="1">
      <c r="A96" s="6" t="s">
        <v>644</v>
      </c>
      <c r="B96" s="7" t="s">
        <v>645</v>
      </c>
      <c r="C96" s="7" t="str">
        <f t="shared" si="26"/>
        <v>2024-09</v>
      </c>
      <c r="D96" s="7" cm="1">
        <f t="array" ref="D96">_xlfn.LET(_xlpm.x,B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45541</v>
      </c>
      <c r="E96" s="7" t="s">
        <v>646</v>
      </c>
      <c r="F96" s="7" cm="1">
        <f t="array" ref="F96">_xlfn.LET(_xlpm.x,E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45544</v>
      </c>
      <c r="G96" s="8" t="str">
        <f t="shared" si="1"/>
        <v>OK</v>
      </c>
      <c r="H96" s="6">
        <f t="shared" si="2"/>
        <v>3</v>
      </c>
      <c r="I96" s="6" t="s">
        <v>647</v>
      </c>
      <c r="J96" s="6" t="s">
        <v>284</v>
      </c>
      <c r="K96" s="6" t="str">
        <f t="shared" si="3"/>
        <v>Diya Patel</v>
      </c>
      <c r="L96" s="6" t="s">
        <v>43</v>
      </c>
      <c r="M96" s="8" t="str">
        <f t="shared" si="4"/>
        <v>Consumer</v>
      </c>
      <c r="N96" s="6" t="s">
        <v>7</v>
      </c>
      <c r="O96" s="6" t="str">
        <f t="shared" si="5"/>
        <v>North</v>
      </c>
      <c r="P96" s="6" t="s">
        <v>397</v>
      </c>
      <c r="Q96" s="6" t="str">
        <f t="shared" si="6"/>
        <v>Haryana</v>
      </c>
      <c r="R96" s="6" t="s">
        <v>398</v>
      </c>
      <c r="S96" s="6" t="str">
        <f t="shared" si="7"/>
        <v>Gurugram</v>
      </c>
      <c r="T96" s="6" t="s">
        <v>27</v>
      </c>
      <c r="U96" s="8" t="str">
        <f t="shared" si="8"/>
        <v>Technology</v>
      </c>
      <c r="V96" s="6" t="s">
        <v>31</v>
      </c>
      <c r="W96" s="6" t="str">
        <f t="shared" si="9"/>
        <v>Phones</v>
      </c>
      <c r="X96" s="6" t="s">
        <v>648</v>
      </c>
      <c r="Y96" s="6" t="s">
        <v>36</v>
      </c>
      <c r="Z96" s="6" t="str">
        <f t="shared" si="10"/>
        <v>Second Class</v>
      </c>
      <c r="AA96" s="6">
        <v>7</v>
      </c>
      <c r="AB96" s="6">
        <v>3781.53</v>
      </c>
      <c r="AC96" s="6">
        <v>0</v>
      </c>
      <c r="AD96" s="6">
        <v>26470.71</v>
      </c>
      <c r="AE96" s="6">
        <v>21367.599999999999</v>
      </c>
      <c r="AF96" s="6">
        <v>5103.1099999999997</v>
      </c>
      <c r="AG96" s="6" t="s">
        <v>54</v>
      </c>
      <c r="AH96" s="6" t="str">
        <f t="shared" si="11"/>
        <v>Pending</v>
      </c>
      <c r="AI96" s="6" t="s">
        <v>58</v>
      </c>
      <c r="AJ96" s="6" t="str">
        <f t="shared" si="12"/>
        <v>Cancelled</v>
      </c>
      <c r="AK96" s="9" t="str">
        <f>_xlfn.TEXTJOIN("|",FALSE,A96,TEXT(B96,"mm-dd-yyyy"),TEXT(E96,"mm-dd-yyyy"),I96,J96,L96,N96,P96,R96,T96,V96,X96,Y96,AA96,AB96,AC96,AD96,AE96,AF96,AG96,AI96)</f>
        <v>ORD-2024-10095|09-06-2024|09-09-2024|CUST-1926|Diya Patel|Consumer|North|Haryana|Gurugram|Technology|Phones|Elite Phones 723|Second Class|7|3781.53|0|26470.71|21367.6|5103.11|Pending|Cancelled</v>
      </c>
      <c r="AL96" s="27" t="str">
        <f>IF(COUNTIF($AK$2:AK96,AK96)&gt;1,"Remove exact duplicate copy","Keep")</f>
        <v>Keep</v>
      </c>
      <c r="AM96" s="9">
        <f t="shared" si="13"/>
        <v>1</v>
      </c>
      <c r="AN96" s="9" t="str">
        <f t="shared" si="14"/>
        <v>Unique</v>
      </c>
      <c r="AO96" s="9" t="str">
        <f t="shared" si="15"/>
        <v/>
      </c>
      <c r="AP96" s="9">
        <f t="shared" si="16"/>
        <v>0</v>
      </c>
      <c r="AQ96" s="10">
        <f t="shared" si="17"/>
        <v>26470.710000000003</v>
      </c>
      <c r="AR96" s="10">
        <f t="shared" si="18"/>
        <v>5103.1100000000042</v>
      </c>
      <c r="AS96" s="11">
        <f t="shared" si="19"/>
        <v>0.19278326875251944</v>
      </c>
      <c r="AT96" s="9">
        <f t="shared" si="20"/>
        <v>9</v>
      </c>
      <c r="AU96" s="9">
        <f t="shared" si="21"/>
        <v>2024</v>
      </c>
      <c r="AV96" s="9" t="b">
        <f t="shared" si="22"/>
        <v>0</v>
      </c>
      <c r="AW96" s="9" t="b">
        <f t="shared" si="23"/>
        <v>0</v>
      </c>
      <c r="AX96" s="9" t="str">
        <f t="shared" si="24"/>
        <v>No</v>
      </c>
      <c r="AY96" s="9" t="str">
        <f t="shared" si="27"/>
        <v>Cancelled order excluded</v>
      </c>
      <c r="AZ96" s="9" t="str">
        <f>IF(OR(G96="Missing date",G96="Invalid date",G96="Ship date before order date",NOT(ISNUMBER(AP96)),AP96&lt;0,AP96&gt;0.5,AV96=TRUE,AW96=TRUE),"Invalid",IF(OR(O96="Unknown",Z96="Unknown",AC96="",AH96&lt;&gt;"Paid",AJ96&lt;&gt;"Completed",AO96&lt;&gt;""),"Warning","Clean"))</f>
        <v>Warning</v>
      </c>
    </row>
    <row r="97" spans="1:52" ht="15.75" customHeight="1">
      <c r="A97" s="6" t="s">
        <v>649</v>
      </c>
      <c r="B97" s="7" t="s">
        <v>650</v>
      </c>
      <c r="C97" s="7" t="str">
        <f t="shared" si="26"/>
        <v>2025-09</v>
      </c>
      <c r="D97" s="7" cm="1">
        <f t="array" ref="D97">_xlfn.LET(_xlpm.x,B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45905</v>
      </c>
      <c r="E97" s="7" t="s">
        <v>651</v>
      </c>
      <c r="F97" s="7" cm="1">
        <f t="array" ref="F97">_xlfn.LET(_xlpm.x,E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45910</v>
      </c>
      <c r="G97" s="8" t="str">
        <f t="shared" si="1"/>
        <v>OK</v>
      </c>
      <c r="H97" s="6">
        <f t="shared" si="2"/>
        <v>5</v>
      </c>
      <c r="I97" s="6" t="s">
        <v>652</v>
      </c>
      <c r="J97" s="6" t="s">
        <v>245</v>
      </c>
      <c r="K97" s="6" t="str">
        <f t="shared" si="3"/>
        <v>Sneha Kapoor</v>
      </c>
      <c r="L97" s="6" t="s">
        <v>45</v>
      </c>
      <c r="M97" s="8" t="str">
        <f t="shared" si="4"/>
        <v>Corporate</v>
      </c>
      <c r="N97" s="6" t="s">
        <v>9</v>
      </c>
      <c r="O97" s="6" t="str">
        <f t="shared" si="5"/>
        <v>West</v>
      </c>
      <c r="P97" s="6" t="s">
        <v>323</v>
      </c>
      <c r="Q97" s="6" t="str">
        <f t="shared" si="6"/>
        <v>Goa</v>
      </c>
      <c r="R97" s="6" t="s">
        <v>324</v>
      </c>
      <c r="S97" s="6" t="str">
        <f t="shared" si="7"/>
        <v>Panaji</v>
      </c>
      <c r="T97" s="6" t="s">
        <v>14</v>
      </c>
      <c r="U97" s="8" t="str">
        <f t="shared" si="8"/>
        <v>Furniture</v>
      </c>
      <c r="V97" s="6" t="s">
        <v>15</v>
      </c>
      <c r="W97" s="6" t="str">
        <f t="shared" si="9"/>
        <v>Bookcases</v>
      </c>
      <c r="X97" s="6" t="s">
        <v>653</v>
      </c>
      <c r="Y97" s="6" t="s">
        <v>37</v>
      </c>
      <c r="Z97" s="6" t="str">
        <f t="shared" si="10"/>
        <v>Same Day</v>
      </c>
      <c r="AA97" s="6">
        <v>6</v>
      </c>
      <c r="AB97" s="6">
        <v>1754.13</v>
      </c>
      <c r="AC97" s="6">
        <v>0</v>
      </c>
      <c r="AD97" s="6">
        <v>10524.78</v>
      </c>
      <c r="AE97" s="6">
        <v>8841.0499999999993</v>
      </c>
      <c r="AF97" s="6">
        <v>1683.73</v>
      </c>
      <c r="AG97" s="6" t="s">
        <v>52</v>
      </c>
      <c r="AH97" s="6" t="str">
        <f t="shared" si="11"/>
        <v>Paid</v>
      </c>
      <c r="AI97" s="6" t="s">
        <v>134</v>
      </c>
      <c r="AJ97" s="6" t="str">
        <f t="shared" si="12"/>
        <v>Completed</v>
      </c>
      <c r="AK97" s="9" t="str">
        <f>_xlfn.TEXTJOIN("|",FALSE,A97,TEXT(B97,"mm-dd-yyyy"),TEXT(E97,"mm-dd-yyyy"),I97,J97,L97,N97,P97,R97,T97,V97,X97,Y97,AA97,AB97,AC97,AD97,AE97,AF97,AG97,AI97)</f>
        <v>ORD-2025-10096|05-09-2025|09-10-2025|CUST-2687|Sneha Kapoor|Corporate|West|Goa|Panaji|Furniture|Bookcases|Classic Bookcases 988|Same Day|6|1754.13|0|10524.78|8841.05|1683.73|Paid|Completed</v>
      </c>
      <c r="AL97" s="27" t="str">
        <f>IF(COUNTIF($AK$2:AK97,AK97)&gt;1,"Remove exact duplicate copy","Keep")</f>
        <v>Keep</v>
      </c>
      <c r="AM97" s="9">
        <f t="shared" si="13"/>
        <v>1</v>
      </c>
      <c r="AN97" s="9" t="str">
        <f t="shared" si="14"/>
        <v>Unique</v>
      </c>
      <c r="AO97" s="9" t="str">
        <f t="shared" si="15"/>
        <v/>
      </c>
      <c r="AP97" s="9">
        <f t="shared" si="16"/>
        <v>0</v>
      </c>
      <c r="AQ97" s="10">
        <f t="shared" si="17"/>
        <v>10524.78</v>
      </c>
      <c r="AR97" s="10">
        <f t="shared" si="18"/>
        <v>1683.7300000000014</v>
      </c>
      <c r="AS97" s="11">
        <f t="shared" si="19"/>
        <v>0.15997769074507984</v>
      </c>
      <c r="AT97" s="9">
        <f t="shared" si="20"/>
        <v>9</v>
      </c>
      <c r="AU97" s="9">
        <f t="shared" si="21"/>
        <v>2025</v>
      </c>
      <c r="AV97" s="9" t="b">
        <f t="shared" si="22"/>
        <v>0</v>
      </c>
      <c r="AW97" s="9" t="b">
        <f t="shared" si="23"/>
        <v>0</v>
      </c>
      <c r="AX97" s="9" t="str">
        <f t="shared" si="24"/>
        <v>Yes</v>
      </c>
      <c r="AY97" s="9" t="str">
        <f t="shared" si="27"/>
        <v/>
      </c>
      <c r="AZ97" s="9" t="str">
        <f>IF(OR(G97="Missing date",G97="Invalid date",G97="Ship date before order date",NOT(ISNUMBER(AP97)),AP97&lt;0,AP97&gt;0.5,AV97=TRUE,AW97=TRUE),"Invalid",IF(OR(O97="Unknown",Z97="Unknown",AC97="",AH97&lt;&gt;"Paid",AJ97&lt;&gt;"Completed",AO97&lt;&gt;""),"Warning","Clean"))</f>
        <v>Clean</v>
      </c>
    </row>
    <row r="98" spans="1:52" ht="15.75" customHeight="1">
      <c r="A98" s="6" t="s">
        <v>654</v>
      </c>
      <c r="B98" s="7" t="s">
        <v>655</v>
      </c>
      <c r="C98" s="7" t="str">
        <f t="shared" si="26"/>
        <v>2024-06</v>
      </c>
      <c r="D98" s="7" cm="1">
        <f t="array" ref="D98">_xlfn.LET(_xlpm.x,B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45448</v>
      </c>
      <c r="E98" s="7" t="s">
        <v>656</v>
      </c>
      <c r="F98" s="7" cm="1">
        <f t="array" ref="F98">_xlfn.LET(_xlpm.x,E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45450</v>
      </c>
      <c r="G98" s="8" t="str">
        <f t="shared" si="1"/>
        <v>OK</v>
      </c>
      <c r="H98" s="6">
        <f t="shared" si="2"/>
        <v>2</v>
      </c>
      <c r="I98" s="6" t="s">
        <v>657</v>
      </c>
      <c r="J98" s="6" t="s">
        <v>226</v>
      </c>
      <c r="K98" s="6" t="str">
        <f t="shared" si="3"/>
        <v>Rahul Verma</v>
      </c>
      <c r="L98" s="6" t="s">
        <v>44</v>
      </c>
      <c r="M98" s="8" t="str">
        <f t="shared" si="4"/>
        <v>Home Office</v>
      </c>
      <c r="N98" s="6" t="s">
        <v>8</v>
      </c>
      <c r="O98" s="6" t="str">
        <f t="shared" si="5"/>
        <v>East</v>
      </c>
      <c r="P98" s="6" t="s">
        <v>140</v>
      </c>
      <c r="Q98" s="6" t="str">
        <f t="shared" si="6"/>
        <v>Odisha</v>
      </c>
      <c r="R98" s="6" t="s">
        <v>141</v>
      </c>
      <c r="S98" s="6" t="str">
        <f t="shared" si="7"/>
        <v>Bhubaneswar</v>
      </c>
      <c r="T98" s="6" t="s">
        <v>27</v>
      </c>
      <c r="U98" s="8" t="str">
        <f t="shared" si="8"/>
        <v>Technology</v>
      </c>
      <c r="V98" s="6" t="s">
        <v>29</v>
      </c>
      <c r="W98" s="6" t="str">
        <f t="shared" si="9"/>
        <v>Copiers</v>
      </c>
      <c r="X98" s="6" t="s">
        <v>658</v>
      </c>
      <c r="Y98" s="6" t="s">
        <v>36</v>
      </c>
      <c r="Z98" s="6" t="str">
        <f t="shared" si="10"/>
        <v>Second Class</v>
      </c>
      <c r="AA98" s="6">
        <v>2</v>
      </c>
      <c r="AB98" s="6">
        <v>2259.2399999999998</v>
      </c>
      <c r="AC98" s="6">
        <v>0.15</v>
      </c>
      <c r="AD98" s="6">
        <v>3840.71</v>
      </c>
      <c r="AE98" s="6">
        <v>2516.29</v>
      </c>
      <c r="AF98" s="6">
        <v>1324.42</v>
      </c>
      <c r="AG98" s="6" t="s">
        <v>52</v>
      </c>
      <c r="AH98" s="6" t="str">
        <f t="shared" si="11"/>
        <v>Paid</v>
      </c>
      <c r="AI98" s="6" t="s">
        <v>134</v>
      </c>
      <c r="AJ98" s="6" t="str">
        <f t="shared" si="12"/>
        <v>Completed</v>
      </c>
      <c r="AK98" s="9" t="str">
        <f>_xlfn.TEXTJOIN("|",FALSE,A98,TEXT(B98,"mm-dd-yyyy"),TEXT(E98,"mm-dd-yyyy"),I98,J98,L98,N98,P98,R98,T98,V98,X98,Y98,AA98,AB98,AC98,AD98,AE98,AF98,AG98,AI98)</f>
        <v>ORD-2024-10097|06-05-2024|07-06-2024|CUST-7283|Rahul Verma|Home Office|East|Odisha|Bhubaneswar|Technology|Copiers|Smart Copiers 547|Second Class|2|2259.24|0.15|3840.71|2516.29|1324.42|Paid|Completed</v>
      </c>
      <c r="AL98" s="27" t="str">
        <f>IF(COUNTIF($AK$2:AK98,AK98)&gt;1,"Remove exact duplicate copy","Keep")</f>
        <v>Keep</v>
      </c>
      <c r="AM98" s="9">
        <f t="shared" si="13"/>
        <v>1</v>
      </c>
      <c r="AN98" s="9" t="str">
        <f t="shared" si="14"/>
        <v>Unique</v>
      </c>
      <c r="AO98" s="9" t="str">
        <f t="shared" si="15"/>
        <v/>
      </c>
      <c r="AP98" s="9">
        <f t="shared" si="16"/>
        <v>0.15</v>
      </c>
      <c r="AQ98" s="10">
        <f t="shared" si="17"/>
        <v>3840.7079999999996</v>
      </c>
      <c r="AR98" s="10">
        <f t="shared" si="18"/>
        <v>1324.4179999999997</v>
      </c>
      <c r="AS98" s="11">
        <f t="shared" si="19"/>
        <v>0.34483694152224009</v>
      </c>
      <c r="AT98" s="9">
        <f t="shared" si="20"/>
        <v>6</v>
      </c>
      <c r="AU98" s="9">
        <f t="shared" si="21"/>
        <v>2024</v>
      </c>
      <c r="AV98" s="9" t="b">
        <f t="shared" si="22"/>
        <v>0</v>
      </c>
      <c r="AW98" s="9" t="b">
        <f t="shared" si="23"/>
        <v>0</v>
      </c>
      <c r="AX98" s="9" t="str">
        <f t="shared" si="24"/>
        <v>Yes</v>
      </c>
      <c r="AY98" s="9" t="str">
        <f t="shared" si="27"/>
        <v/>
      </c>
      <c r="AZ98" s="9" t="str">
        <f>IF(OR(G98="Missing date",G98="Invalid date",G98="Ship date before order date",NOT(ISNUMBER(AP98)),AP98&lt;0,AP98&gt;0.5,AV98=TRUE,AW98=TRUE),"Invalid",IF(OR(O98="Unknown",Z98="Unknown",AC98="",AH98&lt;&gt;"Paid",AJ98&lt;&gt;"Completed",AO98&lt;&gt;""),"Warning","Clean"))</f>
        <v>Clean</v>
      </c>
    </row>
    <row r="99" spans="1:52" ht="15.75" customHeight="1">
      <c r="A99" s="6" t="s">
        <v>659</v>
      </c>
      <c r="B99" s="7" t="s">
        <v>660</v>
      </c>
      <c r="C99" s="7" t="str">
        <f t="shared" si="26"/>
        <v>2025-08</v>
      </c>
      <c r="D99" s="7" cm="1">
        <f t="array" ref="D99">_xlfn.LET(_xlpm.x,B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45877</v>
      </c>
      <c r="E99" s="7" t="s">
        <v>661</v>
      </c>
      <c r="F99" s="7" cm="1">
        <f t="array" ref="F99">_xlfn.LET(_xlpm.x,E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45880</v>
      </c>
      <c r="G99" s="8" t="str">
        <f t="shared" si="1"/>
        <v>OK</v>
      </c>
      <c r="H99" s="6">
        <f t="shared" si="2"/>
        <v>3</v>
      </c>
      <c r="I99" s="6" t="s">
        <v>662</v>
      </c>
      <c r="J99" s="6" t="s">
        <v>284</v>
      </c>
      <c r="K99" s="6" t="str">
        <f t="shared" si="3"/>
        <v>Diya Patel</v>
      </c>
      <c r="L99" s="6" t="s">
        <v>46</v>
      </c>
      <c r="M99" s="8" t="str">
        <f t="shared" si="4"/>
        <v>Small Business</v>
      </c>
      <c r="N99" s="6" t="s">
        <v>9</v>
      </c>
      <c r="O99" s="6" t="str">
        <f t="shared" si="5"/>
        <v>West</v>
      </c>
      <c r="P99" s="6" t="s">
        <v>309</v>
      </c>
      <c r="Q99" s="6" t="str">
        <f t="shared" si="6"/>
        <v>Gujarat</v>
      </c>
      <c r="R99" s="6" t="s">
        <v>310</v>
      </c>
      <c r="S99" s="6" t="str">
        <f t="shared" si="7"/>
        <v>Ahmedabad</v>
      </c>
      <c r="T99" s="6" t="s">
        <v>20</v>
      </c>
      <c r="U99" s="8" t="str">
        <f t="shared" si="8"/>
        <v>Office Supplies</v>
      </c>
      <c r="V99" s="6" t="s">
        <v>25</v>
      </c>
      <c r="W99" s="6" t="str">
        <f t="shared" si="9"/>
        <v>Storage</v>
      </c>
      <c r="X99" s="6" t="s">
        <v>663</v>
      </c>
      <c r="Y99" s="6" t="s">
        <v>37</v>
      </c>
      <c r="Z99" s="6" t="str">
        <f t="shared" si="10"/>
        <v>Same Day</v>
      </c>
      <c r="AA99" s="6">
        <v>5</v>
      </c>
      <c r="AB99" s="6">
        <v>3602.36</v>
      </c>
      <c r="AC99" s="6">
        <v>0.2</v>
      </c>
      <c r="AD99" s="6">
        <v>14409.44</v>
      </c>
      <c r="AE99" s="6">
        <v>8809.9699999999993</v>
      </c>
      <c r="AF99" s="6">
        <v>5599.47</v>
      </c>
      <c r="AG99" s="6" t="s">
        <v>54</v>
      </c>
      <c r="AH99" s="6" t="str">
        <f t="shared" si="11"/>
        <v>Pending</v>
      </c>
      <c r="AI99" s="6" t="s">
        <v>59</v>
      </c>
      <c r="AJ99" s="6" t="str">
        <f t="shared" si="12"/>
        <v>Returned</v>
      </c>
      <c r="AK99" s="9" t="str">
        <f>_xlfn.TEXTJOIN("|",FALSE,A99,TEXT(B99,"mm-dd-yyyy"),TEXT(E99,"mm-dd-yyyy"),I99,J99,L99,N99,P99,R99,T99,V99,X99,Y99,AA99,AB99,AC99,AD99,AE99,AF99,AG99,AI99)</f>
        <v>ORD-2025-10098|08-08-2025|08-11-2025|CUST-8111|Diya Patel|Small Business|West|Gujarat|Ahmedabad|Office Supplies|Storage|Basic Storage 656|Same Day|5|3602.36|0.2|14409.44|8809.97|5599.47|Pending|Returned</v>
      </c>
      <c r="AL99" s="27" t="str">
        <f>IF(COUNTIF($AK$2:AK99,AK99)&gt;1,"Remove exact duplicate copy","Keep")</f>
        <v>Keep</v>
      </c>
      <c r="AM99" s="9">
        <f t="shared" si="13"/>
        <v>1</v>
      </c>
      <c r="AN99" s="9" t="str">
        <f t="shared" si="14"/>
        <v>Unique</v>
      </c>
      <c r="AO99" s="9" t="str">
        <f t="shared" si="15"/>
        <v/>
      </c>
      <c r="AP99" s="9">
        <f t="shared" si="16"/>
        <v>0.2</v>
      </c>
      <c r="AQ99" s="10">
        <f t="shared" si="17"/>
        <v>14409.44</v>
      </c>
      <c r="AR99" s="10">
        <f t="shared" si="18"/>
        <v>5599.4700000000012</v>
      </c>
      <c r="AS99" s="11">
        <f t="shared" si="19"/>
        <v>0.38859733619071951</v>
      </c>
      <c r="AT99" s="9">
        <f t="shared" si="20"/>
        <v>8</v>
      </c>
      <c r="AU99" s="9">
        <f t="shared" si="21"/>
        <v>2025</v>
      </c>
      <c r="AV99" s="9" t="b">
        <f t="shared" si="22"/>
        <v>0</v>
      </c>
      <c r="AW99" s="9" t="b">
        <f t="shared" si="23"/>
        <v>0</v>
      </c>
      <c r="AX99" s="9" t="str">
        <f t="shared" si="24"/>
        <v>No</v>
      </c>
      <c r="AY99" s="9" t="str">
        <f t="shared" si="27"/>
        <v>Returned order excluded</v>
      </c>
      <c r="AZ99" s="9" t="str">
        <f>IF(OR(G99="Missing date",G99="Invalid date",G99="Ship date before order date",NOT(ISNUMBER(AP99)),AP99&lt;0,AP99&gt;0.5,AV99=TRUE,AW99=TRUE),"Invalid",IF(OR(O99="Unknown",Z99="Unknown",AC99="",AH99&lt;&gt;"Paid",AJ99&lt;&gt;"Completed",AO99&lt;&gt;""),"Warning","Clean"))</f>
        <v>Warning</v>
      </c>
    </row>
    <row r="100" spans="1:52" ht="15.75" customHeight="1">
      <c r="A100" s="6" t="s">
        <v>664</v>
      </c>
      <c r="B100" s="7" t="s">
        <v>665</v>
      </c>
      <c r="C100" s="7" t="str">
        <f t="shared" si="26"/>
        <v>2024-01</v>
      </c>
      <c r="D100" s="7" cm="1">
        <f t="array" ref="D100">_xlfn.LET(_xlpm.x,B100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45317</v>
      </c>
      <c r="E100" s="7" t="s">
        <v>666</v>
      </c>
      <c r="F100" s="7" cm="1">
        <f t="array" ref="F100">_xlfn.LET(_xlpm.x,E100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45323</v>
      </c>
      <c r="G100" s="8" t="str">
        <f t="shared" si="1"/>
        <v>OK</v>
      </c>
      <c r="H100" s="6">
        <f t="shared" si="2"/>
        <v>6</v>
      </c>
      <c r="I100" s="6" t="s">
        <v>667</v>
      </c>
      <c r="J100" s="6" t="s">
        <v>257</v>
      </c>
      <c r="K100" s="6" t="str">
        <f t="shared" si="3"/>
        <v>Rohan Mehta</v>
      </c>
      <c r="L100" s="6" t="s">
        <v>44</v>
      </c>
      <c r="M100" s="8" t="str">
        <f t="shared" si="4"/>
        <v>Home Office</v>
      </c>
      <c r="N100" s="6" t="s">
        <v>10</v>
      </c>
      <c r="O100" s="6" t="str">
        <f t="shared" si="5"/>
        <v>South</v>
      </c>
      <c r="P100" s="6" t="s">
        <v>316</v>
      </c>
      <c r="Q100" s="6" t="str">
        <f t="shared" si="6"/>
        <v>Kerala</v>
      </c>
      <c r="R100" s="6" t="s">
        <v>317</v>
      </c>
      <c r="S100" s="6" t="str">
        <f t="shared" si="7"/>
        <v>Kochi</v>
      </c>
      <c r="T100" s="6" t="s">
        <v>27</v>
      </c>
      <c r="U100" s="8" t="str">
        <f t="shared" si="8"/>
        <v>Technology</v>
      </c>
      <c r="V100" s="6" t="s">
        <v>29</v>
      </c>
      <c r="W100" s="6" t="str">
        <f t="shared" si="9"/>
        <v>Copiers</v>
      </c>
      <c r="X100" s="6" t="s">
        <v>668</v>
      </c>
      <c r="Y100" s="6"/>
      <c r="Z100" s="6" t="str">
        <f t="shared" si="10"/>
        <v>Unknown</v>
      </c>
      <c r="AA100" s="6">
        <v>8</v>
      </c>
      <c r="AB100" s="6">
        <v>2108.9299999999998</v>
      </c>
      <c r="AC100" s="6">
        <v>0.1</v>
      </c>
      <c r="AD100" s="6">
        <v>15184.3</v>
      </c>
      <c r="AE100" s="6">
        <v>11270.74</v>
      </c>
      <c r="AF100" s="6">
        <v>3913.56</v>
      </c>
      <c r="AG100" s="6" t="s">
        <v>52</v>
      </c>
      <c r="AH100" s="6" t="str">
        <f t="shared" si="11"/>
        <v>Paid</v>
      </c>
      <c r="AI100" s="6" t="s">
        <v>134</v>
      </c>
      <c r="AJ100" s="6" t="str">
        <f t="shared" si="12"/>
        <v>Completed</v>
      </c>
      <c r="AK100" s="9" t="str">
        <f>_xlfn.TEXTJOIN("|",FALSE,A100,TEXT(B100,"mm-dd-yyyy"),TEXT(E100,"mm-dd-yyyy"),I100,J100,L100,N100,P100,R100,T100,V100,X100,Y100,AA100,AB100,AC100,AD100,AE100,AF100,AG100,AI100)</f>
        <v>ORD-2024-10099|01-26-2024|02-01-2024|CUST-5434|Rohan Mehta|Home Office|South|Kerala|Kochi|Technology|Copiers|Elite Copiers 785||8|2108.93|0.1|15184.3|11270.74|3913.56|Paid|Completed</v>
      </c>
      <c r="AL100" s="27" t="str">
        <f>IF(COUNTIF($AK$2:AK100,AK100)&gt;1,"Remove exact duplicate copy","Keep")</f>
        <v>Keep</v>
      </c>
      <c r="AM100" s="9">
        <f t="shared" si="13"/>
        <v>1</v>
      </c>
      <c r="AN100" s="9" t="str">
        <f t="shared" si="14"/>
        <v>Unique</v>
      </c>
      <c r="AO100" s="9" t="str">
        <f t="shared" si="15"/>
        <v/>
      </c>
      <c r="AP100" s="9">
        <f t="shared" si="16"/>
        <v>0.1</v>
      </c>
      <c r="AQ100" s="10">
        <f t="shared" si="17"/>
        <v>15184.295999999998</v>
      </c>
      <c r="AR100" s="10">
        <f t="shared" si="18"/>
        <v>3913.5559999999987</v>
      </c>
      <c r="AS100" s="11">
        <f t="shared" si="19"/>
        <v>0.25773707256497103</v>
      </c>
      <c r="AT100" s="9">
        <f t="shared" si="20"/>
        <v>1</v>
      </c>
      <c r="AU100" s="9">
        <f t="shared" si="21"/>
        <v>2024</v>
      </c>
      <c r="AV100" s="9" t="b">
        <f t="shared" si="22"/>
        <v>0</v>
      </c>
      <c r="AW100" s="9" t="b">
        <f t="shared" si="23"/>
        <v>0</v>
      </c>
      <c r="AX100" s="9" t="str">
        <f t="shared" si="24"/>
        <v>Yes</v>
      </c>
      <c r="AY100" s="9" t="str">
        <f t="shared" si="27"/>
        <v>Missing ship mode filled as Unknown</v>
      </c>
      <c r="AZ100" s="9" t="str">
        <f>IF(OR(G100="Missing date",G100="Invalid date",G100="Ship date before order date",NOT(ISNUMBER(AP100)),AP100&lt;0,AP100&gt;0.5,AV100=TRUE,AW100=TRUE),"Invalid",IF(OR(O100="Unknown",Z100="Unknown",AC100="",AH100&lt;&gt;"Paid",AJ100&lt;&gt;"Completed",AO100&lt;&gt;""),"Warning","Clean"))</f>
        <v>Warning</v>
      </c>
    </row>
    <row r="101" spans="1:52" ht="15.75" customHeight="1">
      <c r="A101" s="6" t="s">
        <v>669</v>
      </c>
      <c r="B101" s="7" t="s">
        <v>670</v>
      </c>
      <c r="C101" s="7" t="str">
        <f t="shared" si="26"/>
        <v>2025-01</v>
      </c>
      <c r="D101" s="7" cm="1">
        <f t="array" ref="D101">_xlfn.LET(_xlpm.x,B101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45668</v>
      </c>
      <c r="E101" s="7" t="s">
        <v>670</v>
      </c>
      <c r="F101" s="7" cm="1">
        <f t="array" ref="F101">_xlfn.LET(_xlpm.x,E101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45668</v>
      </c>
      <c r="G101" s="8" t="str">
        <f t="shared" si="1"/>
        <v>OK</v>
      </c>
      <c r="H101" s="6">
        <f t="shared" si="2"/>
        <v>0</v>
      </c>
      <c r="I101" s="6" t="s">
        <v>671</v>
      </c>
      <c r="J101" s="6" t="s">
        <v>190</v>
      </c>
      <c r="K101" s="6" t="str">
        <f t="shared" si="3"/>
        <v>Aditi Sen</v>
      </c>
      <c r="L101" s="6" t="s">
        <v>46</v>
      </c>
      <c r="M101" s="8" t="str">
        <f t="shared" si="4"/>
        <v>Small Business</v>
      </c>
      <c r="N101" s="6" t="s">
        <v>9</v>
      </c>
      <c r="O101" s="6" t="str">
        <f t="shared" si="5"/>
        <v>West</v>
      </c>
      <c r="P101" s="6" t="s">
        <v>131</v>
      </c>
      <c r="Q101" s="6" t="str">
        <f t="shared" si="6"/>
        <v>Rajasthan</v>
      </c>
      <c r="R101" s="6" t="s">
        <v>214</v>
      </c>
      <c r="S101" s="6" t="str">
        <f t="shared" si="7"/>
        <v>Udaipur</v>
      </c>
      <c r="T101" s="6" t="s">
        <v>27</v>
      </c>
      <c r="U101" s="8" t="str">
        <f t="shared" si="8"/>
        <v>Technology</v>
      </c>
      <c r="V101" s="6" t="s">
        <v>28</v>
      </c>
      <c r="W101" s="6" t="str">
        <f t="shared" si="9"/>
        <v>Accessories</v>
      </c>
      <c r="X101" s="6" t="s">
        <v>672</v>
      </c>
      <c r="Y101" s="6" t="s">
        <v>37</v>
      </c>
      <c r="Z101" s="6" t="str">
        <f t="shared" si="10"/>
        <v>Same Day</v>
      </c>
      <c r="AA101" s="6">
        <v>3</v>
      </c>
      <c r="AB101" s="6">
        <v>2165.29</v>
      </c>
      <c r="AC101" s="6">
        <v>0</v>
      </c>
      <c r="AD101" s="6">
        <v>6495.87</v>
      </c>
      <c r="AE101" s="6">
        <v>4700.8900000000003</v>
      </c>
      <c r="AF101" s="6">
        <v>1794.98</v>
      </c>
      <c r="AG101" s="6" t="s">
        <v>52</v>
      </c>
      <c r="AH101" s="6" t="str">
        <f t="shared" si="11"/>
        <v>Paid</v>
      </c>
      <c r="AI101" s="6" t="s">
        <v>134</v>
      </c>
      <c r="AJ101" s="6" t="str">
        <f t="shared" si="12"/>
        <v>Completed</v>
      </c>
      <c r="AK101" s="9" t="str">
        <f>_xlfn.TEXTJOIN("|",FALSE,A101,TEXT(B101,"mm-dd-yyyy"),TEXT(E101,"mm-dd-yyyy"),I101,J101,L101,N101,P101,R101,T101,V101,X101,Y101,AA101,AB101,AC101,AD101,AE101,AF101,AG101,AI101)</f>
        <v>ORD-2025-10100|11-01-2025|11-01-2025|CUST-3865|Aditi Sen|Small Business|West|Rajasthan|Udaipur|Technology|Accessories|Smart Accessories 542|Same Day|3|2165.29|0|6495.87|4700.89|1794.98|Paid|Completed</v>
      </c>
      <c r="AL101" s="27" t="str">
        <f>IF(COUNTIF($AK$2:AK101,AK101)&gt;1,"Remove exact duplicate copy","Keep")</f>
        <v>Keep</v>
      </c>
      <c r="AM101" s="9">
        <f t="shared" si="13"/>
        <v>1</v>
      </c>
      <c r="AN101" s="9" t="str">
        <f t="shared" si="14"/>
        <v>Unique</v>
      </c>
      <c r="AO101" s="9" t="str">
        <f t="shared" si="15"/>
        <v/>
      </c>
      <c r="AP101" s="9">
        <f t="shared" si="16"/>
        <v>0</v>
      </c>
      <c r="AQ101" s="10">
        <f t="shared" si="17"/>
        <v>6495.87</v>
      </c>
      <c r="AR101" s="10">
        <f t="shared" si="18"/>
        <v>1794.9799999999996</v>
      </c>
      <c r="AS101" s="11">
        <f t="shared" si="19"/>
        <v>0.27632634273777024</v>
      </c>
      <c r="AT101" s="9">
        <f t="shared" si="20"/>
        <v>1</v>
      </c>
      <c r="AU101" s="9">
        <f t="shared" si="21"/>
        <v>2025</v>
      </c>
      <c r="AV101" s="9" t="b">
        <f t="shared" si="22"/>
        <v>0</v>
      </c>
      <c r="AW101" s="9" t="b">
        <f t="shared" si="23"/>
        <v>0</v>
      </c>
      <c r="AX101" s="9" t="str">
        <f t="shared" si="24"/>
        <v>Yes</v>
      </c>
      <c r="AY101" s="9" t="str">
        <f t="shared" si="27"/>
        <v/>
      </c>
      <c r="AZ101" s="9" t="str">
        <f>IF(OR(G101="Missing date",G101="Invalid date",G101="Ship date before order date",NOT(ISNUMBER(AP101)),AP101&lt;0,AP101&gt;0.5,AV101=TRUE,AW101=TRUE),"Invalid",IF(OR(O101="Unknown",Z101="Unknown",AC101="",AH101&lt;&gt;"Paid",AJ101&lt;&gt;"Completed",AO101&lt;&gt;""),"Warning","Clean"))</f>
        <v>Clean</v>
      </c>
    </row>
    <row r="102" spans="1:52" ht="15.75" customHeight="1">
      <c r="A102" s="6" t="s">
        <v>673</v>
      </c>
      <c r="B102" s="7" t="s">
        <v>674</v>
      </c>
      <c r="C102" s="7" t="str">
        <f t="shared" si="26"/>
        <v>2025-09</v>
      </c>
      <c r="D102" s="7" cm="1">
        <f t="array" ref="D102">_xlfn.LET(_xlpm.x,B102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45912</v>
      </c>
      <c r="E102" s="7" t="s">
        <v>675</v>
      </c>
      <c r="F102" s="7" cm="1">
        <f t="array" ref="F102">_xlfn.LET(_xlpm.x,E102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45918</v>
      </c>
      <c r="G102" s="8" t="str">
        <f t="shared" si="1"/>
        <v>OK</v>
      </c>
      <c r="H102" s="6">
        <f t="shared" si="2"/>
        <v>6</v>
      </c>
      <c r="I102" s="6" t="s">
        <v>676</v>
      </c>
      <c r="J102" s="6" t="s">
        <v>239</v>
      </c>
      <c r="K102" s="6" t="str">
        <f t="shared" si="3"/>
        <v>Aarav Sharma</v>
      </c>
      <c r="L102" s="6" t="s">
        <v>44</v>
      </c>
      <c r="M102" s="8" t="str">
        <f t="shared" si="4"/>
        <v>Home Office</v>
      </c>
      <c r="N102" s="6" t="s">
        <v>10</v>
      </c>
      <c r="O102" s="6" t="str">
        <f t="shared" si="5"/>
        <v>South</v>
      </c>
      <c r="P102" s="6" t="s">
        <v>316</v>
      </c>
      <c r="Q102" s="6" t="str">
        <f t="shared" si="6"/>
        <v>Kerala</v>
      </c>
      <c r="R102" s="6" t="s">
        <v>317</v>
      </c>
      <c r="S102" s="6" t="str">
        <f t="shared" si="7"/>
        <v>Kochi</v>
      </c>
      <c r="T102" s="6" t="s">
        <v>20</v>
      </c>
      <c r="U102" s="8" t="str">
        <f t="shared" si="8"/>
        <v>Office Supplies</v>
      </c>
      <c r="V102" s="6" t="s">
        <v>25</v>
      </c>
      <c r="W102" s="6" t="str">
        <f t="shared" si="9"/>
        <v>Storage</v>
      </c>
      <c r="X102" s="6" t="s">
        <v>677</v>
      </c>
      <c r="Y102" s="6" t="s">
        <v>34</v>
      </c>
      <c r="Z102" s="6" t="str">
        <f t="shared" si="10"/>
        <v>Standard Class</v>
      </c>
      <c r="AA102" s="6">
        <v>6</v>
      </c>
      <c r="AB102" s="6">
        <v>1673.8</v>
      </c>
      <c r="AC102" s="6">
        <v>0.05</v>
      </c>
      <c r="AD102" s="6">
        <v>9540.66</v>
      </c>
      <c r="AE102" s="6">
        <v>5561.49</v>
      </c>
      <c r="AF102" s="6">
        <v>3979.17</v>
      </c>
      <c r="AG102" s="6" t="s">
        <v>52</v>
      </c>
      <c r="AH102" s="6" t="str">
        <f t="shared" si="11"/>
        <v>Paid</v>
      </c>
      <c r="AI102" s="6" t="s">
        <v>134</v>
      </c>
      <c r="AJ102" s="6" t="str">
        <f t="shared" si="12"/>
        <v>Completed</v>
      </c>
      <c r="AK102" s="9" t="str">
        <f>_xlfn.TEXTJOIN("|",FALSE,A102,TEXT(B102,"mm-dd-yyyy"),TEXT(E102,"mm-dd-yyyy"),I102,J102,L102,N102,P102,R102,T102,V102,X102,Y102,AA102,AB102,AC102,AD102,AE102,AF102,AG102,AI102)</f>
        <v>ORD-2025-10101|09-12-2025|09-18-2025|CUST-6015|Aarav Sharma|Home Office|South|Kerala|Kochi|Office Supplies|Storage|Eco Storage 936|Standard Class|6|1673.8|0.05|9540.66|5561.49|3979.17|Paid|Completed</v>
      </c>
      <c r="AL102" s="27" t="str">
        <f>IF(COUNTIF($AK$2:AK102,AK102)&gt;1,"Remove exact duplicate copy","Keep")</f>
        <v>Keep</v>
      </c>
      <c r="AM102" s="9">
        <f t="shared" si="13"/>
        <v>1</v>
      </c>
      <c r="AN102" s="9" t="str">
        <f t="shared" si="14"/>
        <v>Unique</v>
      </c>
      <c r="AO102" s="9" t="str">
        <f t="shared" si="15"/>
        <v/>
      </c>
      <c r="AP102" s="9">
        <f t="shared" si="16"/>
        <v>0.05</v>
      </c>
      <c r="AQ102" s="10">
        <f t="shared" si="17"/>
        <v>9540.659999999998</v>
      </c>
      <c r="AR102" s="10">
        <f t="shared" si="18"/>
        <v>3979.1699999999983</v>
      </c>
      <c r="AS102" s="11">
        <f t="shared" si="19"/>
        <v>0.41707491934520241</v>
      </c>
      <c r="AT102" s="9">
        <f t="shared" si="20"/>
        <v>9</v>
      </c>
      <c r="AU102" s="9">
        <f t="shared" si="21"/>
        <v>2025</v>
      </c>
      <c r="AV102" s="9" t="b">
        <f t="shared" si="22"/>
        <v>0</v>
      </c>
      <c r="AW102" s="9" t="b">
        <f t="shared" si="23"/>
        <v>0</v>
      </c>
      <c r="AX102" s="9" t="str">
        <f t="shared" si="24"/>
        <v>Yes</v>
      </c>
      <c r="AY102" s="9" t="str">
        <f t="shared" si="27"/>
        <v/>
      </c>
      <c r="AZ102" s="9" t="str">
        <f>IF(OR(G102="Missing date",G102="Invalid date",G102="Ship date before order date",NOT(ISNUMBER(AP102)),AP102&lt;0,AP102&gt;0.5,AV102=TRUE,AW102=TRUE),"Invalid",IF(OR(O102="Unknown",Z102="Unknown",AC102="",AH102&lt;&gt;"Paid",AJ102&lt;&gt;"Completed",AO102&lt;&gt;""),"Warning","Clean"))</f>
        <v>Clean</v>
      </c>
    </row>
    <row r="103" spans="1:52" ht="15.75" customHeight="1">
      <c r="A103" s="6" t="s">
        <v>678</v>
      </c>
      <c r="B103" s="7" t="s">
        <v>394</v>
      </c>
      <c r="C103" s="7" t="str">
        <f t="shared" si="26"/>
        <v>2024-06</v>
      </c>
      <c r="D103" s="7" cm="1">
        <f t="array" ref="D103">_xlfn.LET(_xlpm.x,B103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45465</v>
      </c>
      <c r="E103" s="7" t="s">
        <v>679</v>
      </c>
      <c r="F103" s="7" cm="1">
        <f t="array" ref="F103">_xlfn.LET(_xlpm.x,E103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45469</v>
      </c>
      <c r="G103" s="8" t="str">
        <f t="shared" si="1"/>
        <v>OK</v>
      </c>
      <c r="H103" s="6">
        <f t="shared" si="2"/>
        <v>4</v>
      </c>
      <c r="I103" s="6" t="s">
        <v>680</v>
      </c>
      <c r="J103" s="6" t="s">
        <v>257</v>
      </c>
      <c r="K103" s="6" t="str">
        <f t="shared" si="3"/>
        <v>Rohan Mehta</v>
      </c>
      <c r="L103" s="6" t="s">
        <v>681</v>
      </c>
      <c r="M103" s="8" t="str">
        <f t="shared" si="4"/>
        <v>Home Office</v>
      </c>
      <c r="N103" s="6" t="s">
        <v>8</v>
      </c>
      <c r="O103" s="6" t="str">
        <f t="shared" si="5"/>
        <v>East</v>
      </c>
      <c r="P103" s="6" t="s">
        <v>263</v>
      </c>
      <c r="Q103" s="6" t="str">
        <f t="shared" si="6"/>
        <v>Bihar</v>
      </c>
      <c r="R103" s="6" t="s">
        <v>264</v>
      </c>
      <c r="S103" s="6" t="str">
        <f t="shared" si="7"/>
        <v>Patna</v>
      </c>
      <c r="T103" s="6" t="s">
        <v>14</v>
      </c>
      <c r="U103" s="8" t="str">
        <f t="shared" si="8"/>
        <v>Furniture</v>
      </c>
      <c r="V103" s="6" t="s">
        <v>17</v>
      </c>
      <c r="W103" s="6" t="str">
        <f t="shared" si="9"/>
        <v>Furnishings</v>
      </c>
      <c r="X103" s="6" t="s">
        <v>682</v>
      </c>
      <c r="Y103" s="6" t="s">
        <v>35</v>
      </c>
      <c r="Z103" s="6" t="str">
        <f t="shared" si="10"/>
        <v>First Class</v>
      </c>
      <c r="AA103" s="6">
        <v>5</v>
      </c>
      <c r="AB103" s="6">
        <v>4396.5200000000004</v>
      </c>
      <c r="AC103" s="6">
        <v>0.25</v>
      </c>
      <c r="AD103" s="6">
        <v>16486.95</v>
      </c>
      <c r="AE103" s="6">
        <v>12054.14</v>
      </c>
      <c r="AF103" s="6">
        <v>4432.8100000000004</v>
      </c>
      <c r="AG103" s="6" t="s">
        <v>52</v>
      </c>
      <c r="AH103" s="6" t="str">
        <f t="shared" si="11"/>
        <v>Paid</v>
      </c>
      <c r="AI103" s="6" t="s">
        <v>134</v>
      </c>
      <c r="AJ103" s="6" t="str">
        <f t="shared" si="12"/>
        <v>Completed</v>
      </c>
      <c r="AK103" s="9" t="str">
        <f>_xlfn.TEXTJOIN("|",FALSE,A103,TEXT(B103,"mm-dd-yyyy"),TEXT(E103,"mm-dd-yyyy"),I103,J103,L103,N103,P103,R103,T103,V103,X103,Y103,AA103,AB103,AC103,AD103,AE103,AF103,AG103,AI103)</f>
        <v>ORD-2024-10102|06-22-2024|26-06-2024|CUST-7909|Rohan Mehta|  Home Office |East|Bihar|Patna|Furniture|Furnishings|Classic Furnishings 682|First Class|5|4396.52|0.25|16486.95|12054.14|4432.81|Paid|Completed</v>
      </c>
      <c r="AL103" s="27" t="str">
        <f>IF(COUNTIF($AK$2:AK103,AK103)&gt;1,"Remove exact duplicate copy","Keep")</f>
        <v>Keep</v>
      </c>
      <c r="AM103" s="9">
        <f t="shared" si="13"/>
        <v>1</v>
      </c>
      <c r="AN103" s="9" t="str">
        <f t="shared" si="14"/>
        <v>Unique</v>
      </c>
      <c r="AO103" s="9" t="str">
        <f t="shared" si="15"/>
        <v/>
      </c>
      <c r="AP103" s="9">
        <f t="shared" si="16"/>
        <v>0.25</v>
      </c>
      <c r="AQ103" s="10">
        <f t="shared" si="17"/>
        <v>16486.95</v>
      </c>
      <c r="AR103" s="10">
        <f t="shared" si="18"/>
        <v>4432.8100000000013</v>
      </c>
      <c r="AS103" s="11">
        <f t="shared" si="19"/>
        <v>0.26886780150361356</v>
      </c>
      <c r="AT103" s="9">
        <f t="shared" si="20"/>
        <v>6</v>
      </c>
      <c r="AU103" s="9">
        <f t="shared" si="21"/>
        <v>2024</v>
      </c>
      <c r="AV103" s="9" t="b">
        <f t="shared" si="22"/>
        <v>0</v>
      </c>
      <c r="AW103" s="9" t="b">
        <f t="shared" si="23"/>
        <v>0</v>
      </c>
      <c r="AX103" s="9" t="str">
        <f t="shared" si="24"/>
        <v>Yes</v>
      </c>
      <c r="AY103" s="9" t="str">
        <f t="shared" si="27"/>
        <v/>
      </c>
      <c r="AZ103" s="9" t="str">
        <f>IF(OR(G103="Missing date",G103="Invalid date",G103="Ship date before order date",NOT(ISNUMBER(AP103)),AP103&lt;0,AP103&gt;0.5,AV103=TRUE,AW103=TRUE),"Invalid",IF(OR(O103="Unknown",Z103="Unknown",AC103="",AH103&lt;&gt;"Paid",AJ103&lt;&gt;"Completed",AO103&lt;&gt;""),"Warning","Clean"))</f>
        <v>Clean</v>
      </c>
    </row>
    <row r="104" spans="1:52" ht="15.75" customHeight="1">
      <c r="A104" s="6" t="s">
        <v>683</v>
      </c>
      <c r="B104" s="7" t="s">
        <v>684</v>
      </c>
      <c r="C104" s="7" t="str">
        <f t="shared" si="26"/>
        <v>2025-07</v>
      </c>
      <c r="D104" s="7" cm="1">
        <f t="array" ref="D104">_xlfn.LET(_xlpm.x,B104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45850</v>
      </c>
      <c r="E104" s="7" t="s">
        <v>685</v>
      </c>
      <c r="F104" s="7" cm="1">
        <f t="array" ref="F104">_xlfn.LET(_xlpm.x,E104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45854</v>
      </c>
      <c r="G104" s="8" t="str">
        <f t="shared" si="1"/>
        <v>OK</v>
      </c>
      <c r="H104" s="6">
        <f t="shared" si="2"/>
        <v>4</v>
      </c>
      <c r="I104" s="6" t="s">
        <v>686</v>
      </c>
      <c r="J104" s="6" t="s">
        <v>169</v>
      </c>
      <c r="K104" s="6" t="str">
        <f t="shared" si="3"/>
        <v>Vikram Iyer</v>
      </c>
      <c r="L104" s="6" t="s">
        <v>43</v>
      </c>
      <c r="M104" s="8" t="str">
        <f t="shared" si="4"/>
        <v>Consumer</v>
      </c>
      <c r="N104" s="6" t="s">
        <v>10</v>
      </c>
      <c r="O104" s="6" t="str">
        <f t="shared" si="5"/>
        <v>South</v>
      </c>
      <c r="P104" s="6" t="s">
        <v>303</v>
      </c>
      <c r="Q104" s="6" t="str">
        <f t="shared" si="6"/>
        <v>Karnataka</v>
      </c>
      <c r="R104" s="6" t="s">
        <v>304</v>
      </c>
      <c r="S104" s="6" t="str">
        <f t="shared" si="7"/>
        <v>Bengaluru</v>
      </c>
      <c r="T104" s="6" t="s">
        <v>14</v>
      </c>
      <c r="U104" s="8" t="str">
        <f t="shared" si="8"/>
        <v>Furniture</v>
      </c>
      <c r="V104" s="6" t="s">
        <v>16</v>
      </c>
      <c r="W104" s="6" t="str">
        <f t="shared" si="9"/>
        <v>Chairs</v>
      </c>
      <c r="X104" s="6" t="s">
        <v>687</v>
      </c>
      <c r="Y104" s="6" t="s">
        <v>35</v>
      </c>
      <c r="Z104" s="6" t="str">
        <f t="shared" si="10"/>
        <v>First Class</v>
      </c>
      <c r="AA104" s="6">
        <v>4</v>
      </c>
      <c r="AB104" s="6">
        <v>2865.71</v>
      </c>
      <c r="AC104" s="6">
        <v>0</v>
      </c>
      <c r="AD104" s="6">
        <v>11462.84</v>
      </c>
      <c r="AE104" s="6">
        <v>8979.7800000000007</v>
      </c>
      <c r="AF104" s="6">
        <v>2483.06</v>
      </c>
      <c r="AG104" s="6" t="s">
        <v>56</v>
      </c>
      <c r="AH104" s="6" t="str">
        <f t="shared" si="11"/>
        <v>Refunded</v>
      </c>
      <c r="AI104" s="6" t="s">
        <v>58</v>
      </c>
      <c r="AJ104" s="6" t="str">
        <f t="shared" si="12"/>
        <v>Cancelled</v>
      </c>
      <c r="AK104" s="9" t="str">
        <f>_xlfn.TEXTJOIN("|",FALSE,A104,TEXT(B104,"mm-dd-yyyy"),TEXT(E104,"mm-dd-yyyy"),I104,J104,L104,N104,P104,R104,T104,V104,X104,Y104,AA104,AB104,AC104,AD104,AE104,AF104,AG104,AI104)</f>
        <v>ORD-2025-10103|07-12-2025|07-16-2025|CUST-9603|Vikram Iyer|Consumer|South|Karnataka|Bengaluru|Furniture|Chairs|Classic Chairs 604|First Class|4|2865.71|0|11462.84|8979.78|2483.06|Refunded|Cancelled</v>
      </c>
      <c r="AL104" s="27" t="str">
        <f>IF(COUNTIF($AK$2:AK104,AK104)&gt;1,"Remove exact duplicate copy","Keep")</f>
        <v>Keep</v>
      </c>
      <c r="AM104" s="9">
        <f t="shared" si="13"/>
        <v>1</v>
      </c>
      <c r="AN104" s="9" t="str">
        <f t="shared" si="14"/>
        <v>Unique</v>
      </c>
      <c r="AO104" s="9" t="str">
        <f t="shared" si="15"/>
        <v/>
      </c>
      <c r="AP104" s="9">
        <f t="shared" si="16"/>
        <v>0</v>
      </c>
      <c r="AQ104" s="10">
        <f t="shared" si="17"/>
        <v>11462.84</v>
      </c>
      <c r="AR104" s="10">
        <f t="shared" si="18"/>
        <v>2483.0599999999995</v>
      </c>
      <c r="AS104" s="11">
        <f t="shared" si="19"/>
        <v>0.21661822026653077</v>
      </c>
      <c r="AT104" s="9">
        <f t="shared" si="20"/>
        <v>7</v>
      </c>
      <c r="AU104" s="9">
        <f t="shared" si="21"/>
        <v>2025</v>
      </c>
      <c r="AV104" s="9" t="b">
        <f t="shared" si="22"/>
        <v>0</v>
      </c>
      <c r="AW104" s="9" t="b">
        <f t="shared" si="23"/>
        <v>0</v>
      </c>
      <c r="AX104" s="9" t="str">
        <f t="shared" si="24"/>
        <v>No</v>
      </c>
      <c r="AY104" s="9" t="str">
        <f t="shared" si="27"/>
        <v>Refunded order summarized separately; Cancelled order excluded</v>
      </c>
      <c r="AZ104" s="9" t="str">
        <f>IF(OR(G104="Missing date",G104="Invalid date",G104="Ship date before order date",NOT(ISNUMBER(AP104)),AP104&lt;0,AP104&gt;0.5,AV104=TRUE,AW104=TRUE),"Invalid",IF(OR(O104="Unknown",Z104="Unknown",AC104="",AH104&lt;&gt;"Paid",AJ104&lt;&gt;"Completed",AO104&lt;&gt;""),"Warning","Clean"))</f>
        <v>Warning</v>
      </c>
    </row>
    <row r="105" spans="1:52" ht="15.75" customHeight="1">
      <c r="A105" s="6" t="s">
        <v>688</v>
      </c>
      <c r="B105" s="7" t="s">
        <v>689</v>
      </c>
      <c r="C105" s="7" t="str">
        <f t="shared" si="26"/>
        <v>2025-05</v>
      </c>
      <c r="D105" s="7" cm="1">
        <f t="array" ref="D105">_xlfn.LET(_xlpm.x,B105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45779</v>
      </c>
      <c r="E105" s="7" t="s">
        <v>690</v>
      </c>
      <c r="F105" s="7" cm="1">
        <f t="array" ref="F105">_xlfn.LET(_xlpm.x,E105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45787</v>
      </c>
      <c r="G105" s="8" t="str">
        <f t="shared" si="1"/>
        <v>OK</v>
      </c>
      <c r="H105" s="6">
        <f t="shared" si="2"/>
        <v>8</v>
      </c>
      <c r="I105" s="6" t="s">
        <v>691</v>
      </c>
      <c r="J105" s="6" t="s">
        <v>442</v>
      </c>
      <c r="K105" s="6" t="str">
        <f t="shared" si="3"/>
        <v>Kabir Singh</v>
      </c>
      <c r="L105" s="6" t="s">
        <v>45</v>
      </c>
      <c r="M105" s="8" t="str">
        <f t="shared" si="4"/>
        <v>Corporate</v>
      </c>
      <c r="N105" s="6" t="s">
        <v>9</v>
      </c>
      <c r="O105" s="6" t="str">
        <f t="shared" si="5"/>
        <v>West</v>
      </c>
      <c r="P105" s="6" t="s">
        <v>162</v>
      </c>
      <c r="Q105" s="6" t="str">
        <f t="shared" si="6"/>
        <v>Maharashtra</v>
      </c>
      <c r="R105" s="6" t="s">
        <v>163</v>
      </c>
      <c r="S105" s="6" t="str">
        <f t="shared" si="7"/>
        <v>Mumbai</v>
      </c>
      <c r="T105" s="6" t="s">
        <v>14</v>
      </c>
      <c r="U105" s="8" t="str">
        <f t="shared" si="8"/>
        <v>Furniture</v>
      </c>
      <c r="V105" s="6" t="s">
        <v>18</v>
      </c>
      <c r="W105" s="6" t="str">
        <f t="shared" si="9"/>
        <v>Tables</v>
      </c>
      <c r="X105" s="6" t="s">
        <v>692</v>
      </c>
      <c r="Y105" s="6" t="s">
        <v>35</v>
      </c>
      <c r="Z105" s="6" t="str">
        <f t="shared" si="10"/>
        <v>First Class</v>
      </c>
      <c r="AA105" s="6">
        <v>4</v>
      </c>
      <c r="AB105" s="6">
        <v>2440.34</v>
      </c>
      <c r="AC105" s="6">
        <v>0.2</v>
      </c>
      <c r="AD105" s="6">
        <v>7809.09</v>
      </c>
      <c r="AE105" s="6">
        <v>6657.75</v>
      </c>
      <c r="AF105" s="6">
        <v>1151.3399999999999</v>
      </c>
      <c r="AG105" s="6" t="s">
        <v>52</v>
      </c>
      <c r="AH105" s="6" t="str">
        <f t="shared" si="11"/>
        <v>Paid</v>
      </c>
      <c r="AI105" s="6" t="s">
        <v>134</v>
      </c>
      <c r="AJ105" s="6" t="str">
        <f t="shared" si="12"/>
        <v>Completed</v>
      </c>
      <c r="AK105" s="9" t="str">
        <f>_xlfn.TEXTJOIN("|",FALSE,A105,TEXT(B105,"mm-dd-yyyy"),TEXT(E105,"mm-dd-yyyy"),I105,J105,L105,N105,P105,R105,T105,V105,X105,Y105,AA105,AB105,AC105,AD105,AE105,AF105,AG105,AI105)</f>
        <v>ORD-2025-10104|05-02-2025|05-10-2025|CUST-6263|Kabir Singh|Corporate|West|Maharashtra|Mumbai|Furniture|Tables|Prime Tables 377|First Class|4|2440.34|0.2|7809.09|6657.75|1151.34|Paid|Completed</v>
      </c>
      <c r="AL105" s="27" t="str">
        <f>IF(COUNTIF($AK$2:AK105,AK105)&gt;1,"Remove exact duplicate copy","Keep")</f>
        <v>Keep</v>
      </c>
      <c r="AM105" s="9">
        <f t="shared" si="13"/>
        <v>1</v>
      </c>
      <c r="AN105" s="9" t="str">
        <f t="shared" si="14"/>
        <v>Unique</v>
      </c>
      <c r="AO105" s="9" t="str">
        <f t="shared" si="15"/>
        <v/>
      </c>
      <c r="AP105" s="9">
        <f t="shared" si="16"/>
        <v>0.2</v>
      </c>
      <c r="AQ105" s="10">
        <f t="shared" si="17"/>
        <v>7809.0880000000006</v>
      </c>
      <c r="AR105" s="10">
        <f t="shared" si="18"/>
        <v>1151.3380000000006</v>
      </c>
      <c r="AS105" s="11">
        <f t="shared" si="19"/>
        <v>0.14743565445798543</v>
      </c>
      <c r="AT105" s="9">
        <f t="shared" si="20"/>
        <v>5</v>
      </c>
      <c r="AU105" s="9">
        <f t="shared" si="21"/>
        <v>2025</v>
      </c>
      <c r="AV105" s="9" t="b">
        <f t="shared" si="22"/>
        <v>0</v>
      </c>
      <c r="AW105" s="9" t="b">
        <f t="shared" si="23"/>
        <v>0</v>
      </c>
      <c r="AX105" s="9" t="str">
        <f t="shared" si="24"/>
        <v>Yes</v>
      </c>
      <c r="AY105" s="9" t="str">
        <f t="shared" si="27"/>
        <v/>
      </c>
      <c r="AZ105" s="9" t="str">
        <f>IF(OR(G105="Missing date",G105="Invalid date",G105="Ship date before order date",NOT(ISNUMBER(AP105)),AP105&lt;0,AP105&gt;0.5,AV105=TRUE,AW105=TRUE),"Invalid",IF(OR(O105="Unknown",Z105="Unknown",AC105="",AH105&lt;&gt;"Paid",AJ105&lt;&gt;"Completed",AO105&lt;&gt;""),"Warning","Clean"))</f>
        <v>Clean</v>
      </c>
    </row>
    <row r="106" spans="1:52" ht="15.75" customHeight="1">
      <c r="A106" s="6" t="s">
        <v>693</v>
      </c>
      <c r="B106" s="7" t="s">
        <v>694</v>
      </c>
      <c r="C106" s="7" t="str">
        <f t="shared" si="26"/>
        <v>2025-02</v>
      </c>
      <c r="D106" s="7" cm="1">
        <f t="array" ref="D106">_xlfn.LET(_xlpm.x,B106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45689</v>
      </c>
      <c r="E106" s="7" t="s">
        <v>695</v>
      </c>
      <c r="F106" s="7" cm="1">
        <f t="array" ref="F106">_xlfn.LET(_xlpm.x,E106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45696</v>
      </c>
      <c r="G106" s="8" t="str">
        <f t="shared" si="1"/>
        <v>OK</v>
      </c>
      <c r="H106" s="6">
        <f t="shared" si="2"/>
        <v>7</v>
      </c>
      <c r="I106" s="6" t="s">
        <v>696</v>
      </c>
      <c r="J106" s="6" t="s">
        <v>161</v>
      </c>
      <c r="K106" s="6" t="str">
        <f t="shared" si="3"/>
        <v>Ananya Rao</v>
      </c>
      <c r="L106" s="6" t="s">
        <v>43</v>
      </c>
      <c r="M106" s="8" t="str">
        <f t="shared" si="4"/>
        <v>Consumer</v>
      </c>
      <c r="N106" s="6" t="s">
        <v>10</v>
      </c>
      <c r="O106" s="6" t="str">
        <f t="shared" si="5"/>
        <v>South</v>
      </c>
      <c r="P106" s="6" t="s">
        <v>303</v>
      </c>
      <c r="Q106" s="6" t="str">
        <f t="shared" si="6"/>
        <v>Karnataka</v>
      </c>
      <c r="R106" s="6" t="s">
        <v>304</v>
      </c>
      <c r="S106" s="6" t="str">
        <f t="shared" si="7"/>
        <v>Bengaluru</v>
      </c>
      <c r="T106" s="6" t="s">
        <v>20</v>
      </c>
      <c r="U106" s="8" t="str">
        <f t="shared" si="8"/>
        <v>Office Supplies</v>
      </c>
      <c r="V106" s="6" t="s">
        <v>23</v>
      </c>
      <c r="W106" s="6" t="str">
        <f t="shared" si="9"/>
        <v>Labels</v>
      </c>
      <c r="X106" s="6" t="s">
        <v>697</v>
      </c>
      <c r="Y106" s="6" t="s">
        <v>37</v>
      </c>
      <c r="Z106" s="6" t="str">
        <f t="shared" si="10"/>
        <v>Same Day</v>
      </c>
      <c r="AA106" s="6">
        <v>5</v>
      </c>
      <c r="AB106" s="6">
        <v>2112.54</v>
      </c>
      <c r="AC106" s="6">
        <v>0.25</v>
      </c>
      <c r="AD106" s="6">
        <v>8260.4599999999991</v>
      </c>
      <c r="AE106" s="6">
        <v>5619.95</v>
      </c>
      <c r="AF106" s="6">
        <v>2302.08</v>
      </c>
      <c r="AG106" s="6" t="s">
        <v>52</v>
      </c>
      <c r="AH106" s="6" t="str">
        <f t="shared" si="11"/>
        <v>Paid</v>
      </c>
      <c r="AI106" s="6" t="s">
        <v>58</v>
      </c>
      <c r="AJ106" s="6" t="str">
        <f t="shared" si="12"/>
        <v>Cancelled</v>
      </c>
      <c r="AK106" s="9" t="str">
        <f>_xlfn.TEXTJOIN("|",FALSE,A106,TEXT(B106,"mm-dd-yyyy"),TEXT(E106,"mm-dd-yyyy"),I106,J106,L106,N106,P106,R106,T106,V106,X106,Y106,AA106,AB106,AC106,AD106,AE106,AF106,AG106,AI106)</f>
        <v>ORD-2025-10105|02-01-2025|02-08-2025|CUST-1576|Ananya Rao|Consumer|South|Karnataka|Bengaluru|Office Supplies|Labels|Prime Labels 807|Same Day|5|2112.54|0.25|8260.46|5619.95|2302.08|Paid|Cancelled</v>
      </c>
      <c r="AL106" s="27" t="str">
        <f>IF(COUNTIF($AK$2:AK106,AK106)&gt;1,"Remove exact duplicate copy","Keep")</f>
        <v>Keep</v>
      </c>
      <c r="AM106" s="9">
        <f t="shared" si="13"/>
        <v>1</v>
      </c>
      <c r="AN106" s="9" t="str">
        <f t="shared" si="14"/>
        <v>Unique</v>
      </c>
      <c r="AO106" s="9" t="str">
        <f t="shared" si="15"/>
        <v/>
      </c>
      <c r="AP106" s="9">
        <f t="shared" si="16"/>
        <v>0.25</v>
      </c>
      <c r="AQ106" s="10">
        <f t="shared" si="17"/>
        <v>7922.0250000000005</v>
      </c>
      <c r="AR106" s="10">
        <f t="shared" si="18"/>
        <v>2302.0750000000007</v>
      </c>
      <c r="AS106" s="11">
        <f t="shared" si="19"/>
        <v>0.29059173633004193</v>
      </c>
      <c r="AT106" s="9">
        <f t="shared" si="20"/>
        <v>2</v>
      </c>
      <c r="AU106" s="9">
        <f t="shared" si="21"/>
        <v>2025</v>
      </c>
      <c r="AV106" s="9" t="b">
        <f t="shared" si="22"/>
        <v>1</v>
      </c>
      <c r="AW106" s="9" t="b">
        <f t="shared" si="23"/>
        <v>0</v>
      </c>
      <c r="AX106" s="9" t="str">
        <f t="shared" si="24"/>
        <v>No</v>
      </c>
      <c r="AY106" s="9" t="str">
        <f t="shared" si="27"/>
        <v>Cancelled order excluded; Sales mismatch</v>
      </c>
      <c r="AZ106" s="9" t="str">
        <f>IF(OR(G106="Missing date",G106="Invalid date",G106="Ship date before order date",NOT(ISNUMBER(AP106)),AP106&lt;0,AP106&gt;0.5,AV106=TRUE,AW106=TRUE),"Invalid",IF(OR(O106="Unknown",Z106="Unknown",AC106="",AH106&lt;&gt;"Paid",AJ106&lt;&gt;"Completed",AO106&lt;&gt;""),"Warning","Clean"))</f>
        <v>Invalid</v>
      </c>
    </row>
    <row r="107" spans="1:52" ht="15.75" customHeight="1">
      <c r="A107" s="6" t="s">
        <v>698</v>
      </c>
      <c r="B107" s="7" t="s">
        <v>699</v>
      </c>
      <c r="C107" s="7" t="str">
        <f t="shared" si="26"/>
        <v>2024-06</v>
      </c>
      <c r="D107" s="7" cm="1">
        <f t="array" ref="D107">_xlfn.LET(_xlpm.x,B107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45467</v>
      </c>
      <c r="E107" s="7" t="s">
        <v>700</v>
      </c>
      <c r="F107" s="7" cm="1">
        <f t="array" ref="F107">_xlfn.LET(_xlpm.x,E107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45472</v>
      </c>
      <c r="G107" s="8" t="str">
        <f t="shared" si="1"/>
        <v>OK</v>
      </c>
      <c r="H107" s="6">
        <f t="shared" si="2"/>
        <v>5</v>
      </c>
      <c r="I107" s="6" t="s">
        <v>701</v>
      </c>
      <c r="J107" s="6" t="s">
        <v>139</v>
      </c>
      <c r="K107" s="6" t="str">
        <f t="shared" si="3"/>
        <v>Mira Das</v>
      </c>
      <c r="L107" s="6" t="s">
        <v>44</v>
      </c>
      <c r="M107" s="8" t="str">
        <f t="shared" si="4"/>
        <v>Home Office</v>
      </c>
      <c r="N107" s="6" t="s">
        <v>8</v>
      </c>
      <c r="O107" s="6" t="str">
        <f t="shared" si="5"/>
        <v>East</v>
      </c>
      <c r="P107" s="6" t="s">
        <v>201</v>
      </c>
      <c r="Q107" s="6" t="str">
        <f t="shared" si="6"/>
        <v>West Bengal</v>
      </c>
      <c r="R107" s="6" t="s">
        <v>202</v>
      </c>
      <c r="S107" s="6" t="str">
        <f t="shared" si="7"/>
        <v>Kolkata</v>
      </c>
      <c r="T107" s="6" t="s">
        <v>14</v>
      </c>
      <c r="U107" s="8" t="str">
        <f t="shared" si="8"/>
        <v>Furniture</v>
      </c>
      <c r="V107" s="6" t="s">
        <v>18</v>
      </c>
      <c r="W107" s="6" t="str">
        <f t="shared" si="9"/>
        <v>Tables</v>
      </c>
      <c r="X107" s="6" t="s">
        <v>702</v>
      </c>
      <c r="Y107" s="6" t="s">
        <v>36</v>
      </c>
      <c r="Z107" s="6" t="str">
        <f t="shared" si="10"/>
        <v>Second Class</v>
      </c>
      <c r="AA107" s="6">
        <v>2</v>
      </c>
      <c r="AB107" s="6">
        <v>685</v>
      </c>
      <c r="AC107" s="6">
        <v>0.1</v>
      </c>
      <c r="AD107" s="6">
        <v>1233</v>
      </c>
      <c r="AE107" s="6">
        <v>1006.9</v>
      </c>
      <c r="AF107" s="6">
        <v>226.1</v>
      </c>
      <c r="AG107" s="6" t="s">
        <v>52</v>
      </c>
      <c r="AH107" s="6" t="str">
        <f t="shared" si="11"/>
        <v>Paid</v>
      </c>
      <c r="AI107" s="6" t="s">
        <v>134</v>
      </c>
      <c r="AJ107" s="6" t="str">
        <f t="shared" si="12"/>
        <v>Completed</v>
      </c>
      <c r="AK107" s="9" t="str">
        <f>_xlfn.TEXTJOIN("|",FALSE,A107,TEXT(B107,"mm-dd-yyyy"),TEXT(E107,"mm-dd-yyyy"),I107,J107,L107,N107,P107,R107,T107,V107,X107,Y107,AA107,AB107,AC107,AD107,AE107,AF107,AG107,AI107)</f>
        <v>ORD-2024-10106|06-24-2024|29-06-2024|CUST-6540|Mira Das|Home Office|East|West Bengal|Kolkata|Furniture|Tables|Eco Tables 575|Second Class|2|685|0.1|1233|1006.9|226.1|Paid|Completed</v>
      </c>
      <c r="AL107" s="27" t="str">
        <f>IF(COUNTIF($AK$2:AK107,AK107)&gt;1,"Remove exact duplicate copy","Keep")</f>
        <v>Keep</v>
      </c>
      <c r="AM107" s="9">
        <f t="shared" si="13"/>
        <v>1</v>
      </c>
      <c r="AN107" s="9" t="str">
        <f t="shared" si="14"/>
        <v>Unique</v>
      </c>
      <c r="AO107" s="9" t="str">
        <f t="shared" si="15"/>
        <v/>
      </c>
      <c r="AP107" s="9">
        <f t="shared" si="16"/>
        <v>0.1</v>
      </c>
      <c r="AQ107" s="10">
        <f t="shared" si="17"/>
        <v>1233</v>
      </c>
      <c r="AR107" s="10">
        <f t="shared" si="18"/>
        <v>226.10000000000002</v>
      </c>
      <c r="AS107" s="11">
        <f t="shared" si="19"/>
        <v>0.18337388483373887</v>
      </c>
      <c r="AT107" s="9">
        <f t="shared" si="20"/>
        <v>6</v>
      </c>
      <c r="AU107" s="9">
        <f t="shared" si="21"/>
        <v>2024</v>
      </c>
      <c r="AV107" s="9" t="b">
        <f t="shared" si="22"/>
        <v>0</v>
      </c>
      <c r="AW107" s="9" t="b">
        <f t="shared" si="23"/>
        <v>0</v>
      </c>
      <c r="AX107" s="9" t="str">
        <f t="shared" si="24"/>
        <v>Yes</v>
      </c>
      <c r="AY107" s="9" t="str">
        <f t="shared" si="27"/>
        <v/>
      </c>
      <c r="AZ107" s="9" t="str">
        <f>IF(OR(G107="Missing date",G107="Invalid date",G107="Ship date before order date",NOT(ISNUMBER(AP107)),AP107&lt;0,AP107&gt;0.5,AV107=TRUE,AW107=TRUE),"Invalid",IF(OR(O107="Unknown",Z107="Unknown",AC107="",AH107&lt;&gt;"Paid",AJ107&lt;&gt;"Completed",AO107&lt;&gt;""),"Warning","Clean"))</f>
        <v>Clean</v>
      </c>
    </row>
    <row r="108" spans="1:52" ht="15.75" customHeight="1">
      <c r="A108" s="6" t="s">
        <v>703</v>
      </c>
      <c r="B108" s="7" t="s">
        <v>704</v>
      </c>
      <c r="C108" s="7" t="str">
        <f t="shared" si="26"/>
        <v>2024-02</v>
      </c>
      <c r="D108" s="7" cm="1">
        <f t="array" ref="D108">_xlfn.LET(_xlpm.x,B108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45342</v>
      </c>
      <c r="E108" s="7" t="s">
        <v>705</v>
      </c>
      <c r="F108" s="7" cm="1">
        <f t="array" ref="F108">_xlfn.LET(_xlpm.x,E108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45350</v>
      </c>
      <c r="G108" s="8" t="str">
        <f t="shared" si="1"/>
        <v>OK</v>
      </c>
      <c r="H108" s="6">
        <f t="shared" si="2"/>
        <v>8</v>
      </c>
      <c r="I108" s="6" t="s">
        <v>706</v>
      </c>
      <c r="J108" s="6" t="s">
        <v>153</v>
      </c>
      <c r="K108" s="6" t="str">
        <f t="shared" si="3"/>
        <v>Arjun Bose</v>
      </c>
      <c r="L108" s="6" t="s">
        <v>44</v>
      </c>
      <c r="M108" s="8" t="str">
        <f t="shared" si="4"/>
        <v>Home Office</v>
      </c>
      <c r="N108" s="6" t="s">
        <v>8</v>
      </c>
      <c r="O108" s="6" t="str">
        <f t="shared" si="5"/>
        <v>East</v>
      </c>
      <c r="P108" s="6" t="s">
        <v>201</v>
      </c>
      <c r="Q108" s="6" t="str">
        <f t="shared" si="6"/>
        <v>West Bengal</v>
      </c>
      <c r="R108" s="6" t="s">
        <v>202</v>
      </c>
      <c r="S108" s="6" t="str">
        <f t="shared" si="7"/>
        <v>Kolkata</v>
      </c>
      <c r="T108" s="6" t="s">
        <v>20</v>
      </c>
      <c r="U108" s="8" t="str">
        <f t="shared" si="8"/>
        <v>Office Supplies</v>
      </c>
      <c r="V108" s="6" t="s">
        <v>24</v>
      </c>
      <c r="W108" s="6" t="str">
        <f t="shared" si="9"/>
        <v>Paper</v>
      </c>
      <c r="X108" s="6" t="s">
        <v>707</v>
      </c>
      <c r="Y108" s="6" t="s">
        <v>34</v>
      </c>
      <c r="Z108" s="6" t="str">
        <f t="shared" si="10"/>
        <v>Standard Class</v>
      </c>
      <c r="AA108" s="6">
        <v>2</v>
      </c>
      <c r="AB108" s="6">
        <v>4004.04</v>
      </c>
      <c r="AC108" s="6"/>
      <c r="AD108" s="6">
        <v>7207.27</v>
      </c>
      <c r="AE108" s="6">
        <v>5709.39</v>
      </c>
      <c r="AF108" s="6">
        <v>1497.88</v>
      </c>
      <c r="AG108" s="6" t="s">
        <v>52</v>
      </c>
      <c r="AH108" s="6" t="str">
        <f t="shared" si="11"/>
        <v>Paid</v>
      </c>
      <c r="AI108" s="6" t="s">
        <v>58</v>
      </c>
      <c r="AJ108" s="6" t="str">
        <f t="shared" si="12"/>
        <v>Cancelled</v>
      </c>
      <c r="AK108" s="9" t="str">
        <f>_xlfn.TEXTJOIN("|",FALSE,A108,TEXT(B108,"mm-dd-yyyy"),TEXT(E108,"mm-dd-yyyy"),I108,J108,L108,N108,P108,R108,T108,V108,X108,Y108,AA108,AB108,AC108,AD108,AE108,AF108,AG108,AI108)</f>
        <v>ORD-2024-10107|20-02-2024|02-28-2024|CUST-4008|Arjun Bose|Home Office|East|West Bengal|Kolkata|Office Supplies|Paper|Eco Paper 918|Standard Class|2|4004.04||7207.27|5709.39|1497.88|Paid|Cancelled</v>
      </c>
      <c r="AL108" s="27" t="str">
        <f>IF(COUNTIF($AK$2:AK108,AK108)&gt;1,"Remove exact duplicate copy","Keep")</f>
        <v>Keep</v>
      </c>
      <c r="AM108" s="9">
        <f t="shared" si="13"/>
        <v>1</v>
      </c>
      <c r="AN108" s="9" t="str">
        <f t="shared" si="14"/>
        <v>Unique</v>
      </c>
      <c r="AO108" s="9" t="str">
        <f t="shared" si="15"/>
        <v/>
      </c>
      <c r="AP108" s="9">
        <f t="shared" si="16"/>
        <v>0</v>
      </c>
      <c r="AQ108" s="10">
        <f t="shared" si="17"/>
        <v>8008.08</v>
      </c>
      <c r="AR108" s="10">
        <f t="shared" si="18"/>
        <v>2298.6899999999996</v>
      </c>
      <c r="AS108" s="11">
        <f t="shared" si="19"/>
        <v>0.28704633320346445</v>
      </c>
      <c r="AT108" s="9">
        <f t="shared" si="20"/>
        <v>2</v>
      </c>
      <c r="AU108" s="9">
        <f t="shared" si="21"/>
        <v>2024</v>
      </c>
      <c r="AV108" s="9" t="b">
        <f t="shared" si="22"/>
        <v>1</v>
      </c>
      <c r="AW108" s="9" t="b">
        <f t="shared" si="23"/>
        <v>1</v>
      </c>
      <c r="AX108" s="9" t="str">
        <f t="shared" si="24"/>
        <v>No</v>
      </c>
      <c r="AY108" s="9" t="str">
        <f t="shared" si="27"/>
        <v>Missing discount treated as 0; Cancelled order excluded; Sales mismatch; Profit mismatch</v>
      </c>
      <c r="AZ108" s="9" t="str">
        <f>IF(OR(G108="Missing date",G108="Invalid date",G108="Ship date before order date",NOT(ISNUMBER(AP108)),AP108&lt;0,AP108&gt;0.5,AV108=TRUE,AW108=TRUE),"Invalid",IF(OR(O108="Unknown",Z108="Unknown",AC108="",AH108&lt;&gt;"Paid",AJ108&lt;&gt;"Completed",AO108&lt;&gt;""),"Warning","Clean"))</f>
        <v>Invalid</v>
      </c>
    </row>
    <row r="109" spans="1:52" ht="15.75" customHeight="1">
      <c r="A109" s="6" t="s">
        <v>708</v>
      </c>
      <c r="B109" s="7" t="s">
        <v>709</v>
      </c>
      <c r="C109" s="7" t="str">
        <f t="shared" si="26"/>
        <v>2024-10</v>
      </c>
      <c r="D109" s="7" cm="1">
        <f t="array" ref="D109">_xlfn.LET(_xlpm.x,B109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45594</v>
      </c>
      <c r="E109" s="7" t="s">
        <v>710</v>
      </c>
      <c r="F109" s="7" cm="1">
        <f t="array" ref="F109">_xlfn.LET(_xlpm.x,E109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45600</v>
      </c>
      <c r="G109" s="8" t="str">
        <f t="shared" si="1"/>
        <v>OK</v>
      </c>
      <c r="H109" s="6">
        <f t="shared" si="2"/>
        <v>6</v>
      </c>
      <c r="I109" s="6" t="s">
        <v>711</v>
      </c>
      <c r="J109" s="6" t="s">
        <v>257</v>
      </c>
      <c r="K109" s="6" t="str">
        <f t="shared" si="3"/>
        <v>Rohan Mehta</v>
      </c>
      <c r="L109" s="6" t="s">
        <v>44</v>
      </c>
      <c r="M109" s="8" t="str">
        <f t="shared" si="4"/>
        <v>Home Office</v>
      </c>
      <c r="N109" s="6" t="s">
        <v>8</v>
      </c>
      <c r="O109" s="6" t="str">
        <f t="shared" si="5"/>
        <v>East</v>
      </c>
      <c r="P109" s="6" t="s">
        <v>201</v>
      </c>
      <c r="Q109" s="6" t="str">
        <f t="shared" si="6"/>
        <v>West Bengal</v>
      </c>
      <c r="R109" s="6" t="s">
        <v>202</v>
      </c>
      <c r="S109" s="6" t="str">
        <f t="shared" si="7"/>
        <v>Kolkata</v>
      </c>
      <c r="T109" s="6" t="s">
        <v>14</v>
      </c>
      <c r="U109" s="8" t="str">
        <f t="shared" si="8"/>
        <v>Furniture</v>
      </c>
      <c r="V109" s="6" t="s">
        <v>17</v>
      </c>
      <c r="W109" s="6" t="str">
        <f t="shared" si="9"/>
        <v>Furnishings</v>
      </c>
      <c r="X109" s="6" t="s">
        <v>712</v>
      </c>
      <c r="Y109" s="6" t="s">
        <v>35</v>
      </c>
      <c r="Z109" s="6" t="str">
        <f t="shared" si="10"/>
        <v>First Class</v>
      </c>
      <c r="AA109" s="6">
        <v>3</v>
      </c>
      <c r="AB109" s="6">
        <v>4302.8900000000003</v>
      </c>
      <c r="AC109" s="6">
        <v>0.05</v>
      </c>
      <c r="AD109" s="6">
        <v>12263.24</v>
      </c>
      <c r="AE109" s="6">
        <v>8925.57</v>
      </c>
      <c r="AF109" s="6">
        <v>3337.67</v>
      </c>
      <c r="AG109" s="6" t="s">
        <v>52</v>
      </c>
      <c r="AH109" s="6" t="str">
        <f t="shared" si="11"/>
        <v>Paid</v>
      </c>
      <c r="AI109" s="6" t="s">
        <v>134</v>
      </c>
      <c r="AJ109" s="6" t="str">
        <f t="shared" si="12"/>
        <v>Completed</v>
      </c>
      <c r="AK109" s="9" t="str">
        <f>_xlfn.TEXTJOIN("|",FALSE,A109,TEXT(B109,"mm-dd-yyyy"),TEXT(E109,"mm-dd-yyyy"),I109,J109,L109,N109,P109,R109,T109,V109,X109,Y109,AA109,AB109,AC109,AD109,AE109,AF109,AG109,AI109)</f>
        <v>ORD-2024-10108|10-29-2024|11-04-2024|CUST-6604|Rohan Mehta|Home Office|East|West Bengal|Kolkata|Furniture|Furnishings|Prime Furnishings 952|First Class|3|4302.89|0.05|12263.24|8925.57|3337.67|Paid|Completed</v>
      </c>
      <c r="AL109" s="27" t="str">
        <f>IF(COUNTIF($AK$2:AK109,AK109)&gt;1,"Remove exact duplicate copy","Keep")</f>
        <v>Keep</v>
      </c>
      <c r="AM109" s="9">
        <f t="shared" si="13"/>
        <v>1</v>
      </c>
      <c r="AN109" s="9" t="str">
        <f t="shared" si="14"/>
        <v>Unique</v>
      </c>
      <c r="AO109" s="9" t="str">
        <f t="shared" si="15"/>
        <v/>
      </c>
      <c r="AP109" s="9">
        <f t="shared" si="16"/>
        <v>0.05</v>
      </c>
      <c r="AQ109" s="10">
        <f t="shared" si="17"/>
        <v>12263.236500000001</v>
      </c>
      <c r="AR109" s="10">
        <f t="shared" si="18"/>
        <v>3337.6665000000012</v>
      </c>
      <c r="AS109" s="11">
        <f t="shared" si="19"/>
        <v>0.27216848504878799</v>
      </c>
      <c r="AT109" s="9">
        <f t="shared" si="20"/>
        <v>10</v>
      </c>
      <c r="AU109" s="9">
        <f t="shared" si="21"/>
        <v>2024</v>
      </c>
      <c r="AV109" s="9" t="b">
        <f t="shared" si="22"/>
        <v>0</v>
      </c>
      <c r="AW109" s="9" t="b">
        <f t="shared" si="23"/>
        <v>0</v>
      </c>
      <c r="AX109" s="9" t="str">
        <f t="shared" si="24"/>
        <v>Yes</v>
      </c>
      <c r="AY109" s="9" t="str">
        <f t="shared" si="27"/>
        <v/>
      </c>
      <c r="AZ109" s="9" t="str">
        <f>IF(OR(G109="Missing date",G109="Invalid date",G109="Ship date before order date",NOT(ISNUMBER(AP109)),AP109&lt;0,AP109&gt;0.5,AV109=TRUE,AW109=TRUE),"Invalid",IF(OR(O109="Unknown",Z109="Unknown",AC109="",AH109&lt;&gt;"Paid",AJ109&lt;&gt;"Completed",AO109&lt;&gt;""),"Warning","Clean"))</f>
        <v>Clean</v>
      </c>
    </row>
    <row r="110" spans="1:52" ht="15.75" customHeight="1">
      <c r="A110" s="6" t="s">
        <v>713</v>
      </c>
      <c r="B110" s="7" t="s">
        <v>714</v>
      </c>
      <c r="C110" s="7" t="str">
        <f t="shared" si="26"/>
        <v>2024-08</v>
      </c>
      <c r="D110" s="7" cm="1">
        <f t="array" ref="D110">_xlfn.LET(_xlpm.x,B110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45519</v>
      </c>
      <c r="E110" s="7" t="s">
        <v>715</v>
      </c>
      <c r="F110" s="7" cm="1">
        <f t="array" ref="F110">_xlfn.LET(_xlpm.x,E110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45527</v>
      </c>
      <c r="G110" s="8" t="str">
        <f t="shared" si="1"/>
        <v>OK</v>
      </c>
      <c r="H110" s="6">
        <f t="shared" si="2"/>
        <v>8</v>
      </c>
      <c r="I110" s="6" t="s">
        <v>716</v>
      </c>
      <c r="J110" s="6" t="s">
        <v>190</v>
      </c>
      <c r="K110" s="6" t="str">
        <f t="shared" si="3"/>
        <v>Aditi Sen</v>
      </c>
      <c r="L110" s="6" t="s">
        <v>46</v>
      </c>
      <c r="M110" s="8" t="str">
        <f t="shared" si="4"/>
        <v>Small Business</v>
      </c>
      <c r="N110" s="6" t="s">
        <v>8</v>
      </c>
      <c r="O110" s="6" t="str">
        <f t="shared" si="5"/>
        <v>East</v>
      </c>
      <c r="P110" s="6" t="s">
        <v>140</v>
      </c>
      <c r="Q110" s="6" t="str">
        <f t="shared" si="6"/>
        <v>Odisha</v>
      </c>
      <c r="R110" s="6" t="s">
        <v>141</v>
      </c>
      <c r="S110" s="6" t="str">
        <f t="shared" si="7"/>
        <v>Bhubaneswar</v>
      </c>
      <c r="T110" s="6" t="s">
        <v>14</v>
      </c>
      <c r="U110" s="8" t="str">
        <f t="shared" si="8"/>
        <v>Furniture</v>
      </c>
      <c r="V110" s="6" t="s">
        <v>15</v>
      </c>
      <c r="W110" s="6" t="str">
        <f t="shared" si="9"/>
        <v>Bookcases</v>
      </c>
      <c r="X110" s="6" t="s">
        <v>717</v>
      </c>
      <c r="Y110" s="6" t="s">
        <v>37</v>
      </c>
      <c r="Z110" s="6" t="str">
        <f t="shared" si="10"/>
        <v>Same Day</v>
      </c>
      <c r="AA110" s="6">
        <v>2</v>
      </c>
      <c r="AB110" s="6">
        <v>537.54</v>
      </c>
      <c r="AC110" s="6">
        <v>0.25</v>
      </c>
      <c r="AD110" s="6">
        <v>806.31</v>
      </c>
      <c r="AE110" s="6">
        <v>498.5</v>
      </c>
      <c r="AF110" s="6">
        <v>307.81</v>
      </c>
      <c r="AG110" s="6" t="s">
        <v>52</v>
      </c>
      <c r="AH110" s="6" t="str">
        <f t="shared" si="11"/>
        <v>Paid</v>
      </c>
      <c r="AI110" s="6" t="s">
        <v>134</v>
      </c>
      <c r="AJ110" s="6" t="str">
        <f t="shared" si="12"/>
        <v>Completed</v>
      </c>
      <c r="AK110" s="9" t="str">
        <f>_xlfn.TEXTJOIN("|",FALSE,A110,TEXT(B110,"mm-dd-yyyy"),TEXT(E110,"mm-dd-yyyy"),I110,J110,L110,N110,P110,R110,T110,V110,X110,Y110,AA110,AB110,AC110,AD110,AE110,AF110,AG110,AI110)</f>
        <v>ORD-2024-10109|08-15-2024|08-23-2024|CUST-4337|Aditi Sen|Small Business|East|Odisha|Bhubaneswar|Furniture|Bookcases|Prime Bookcases 631|Same Day|2|537.54|0.25|806.31|498.5|307.81|Paid|Completed</v>
      </c>
      <c r="AL110" s="27" t="str">
        <f>IF(COUNTIF($AK$2:AK110,AK110)&gt;1,"Remove exact duplicate copy","Keep")</f>
        <v>Keep</v>
      </c>
      <c r="AM110" s="9">
        <f t="shared" si="13"/>
        <v>1</v>
      </c>
      <c r="AN110" s="9" t="str">
        <f t="shared" si="14"/>
        <v>Unique</v>
      </c>
      <c r="AO110" s="9" t="str">
        <f t="shared" si="15"/>
        <v/>
      </c>
      <c r="AP110" s="9">
        <f t="shared" si="16"/>
        <v>0.25</v>
      </c>
      <c r="AQ110" s="10">
        <f t="shared" si="17"/>
        <v>806.31</v>
      </c>
      <c r="AR110" s="10">
        <f t="shared" si="18"/>
        <v>307.80999999999995</v>
      </c>
      <c r="AS110" s="11">
        <f t="shared" si="19"/>
        <v>0.38175143555208291</v>
      </c>
      <c r="AT110" s="9">
        <f t="shared" si="20"/>
        <v>8</v>
      </c>
      <c r="AU110" s="9">
        <f t="shared" si="21"/>
        <v>2024</v>
      </c>
      <c r="AV110" s="9" t="b">
        <f t="shared" si="22"/>
        <v>0</v>
      </c>
      <c r="AW110" s="9" t="b">
        <f t="shared" si="23"/>
        <v>0</v>
      </c>
      <c r="AX110" s="9" t="str">
        <f t="shared" si="24"/>
        <v>Yes</v>
      </c>
      <c r="AY110" s="9" t="str">
        <f t="shared" si="27"/>
        <v/>
      </c>
      <c r="AZ110" s="9" t="str">
        <f>IF(OR(G110="Missing date",G110="Invalid date",G110="Ship date before order date",NOT(ISNUMBER(AP110)),AP110&lt;0,AP110&gt;0.5,AV110=TRUE,AW110=TRUE),"Invalid",IF(OR(O110="Unknown",Z110="Unknown",AC110="",AH110&lt;&gt;"Paid",AJ110&lt;&gt;"Completed",AO110&lt;&gt;""),"Warning","Clean"))</f>
        <v>Clean</v>
      </c>
    </row>
    <row r="111" spans="1:52" ht="15.75" customHeight="1">
      <c r="A111" s="6" t="s">
        <v>718</v>
      </c>
      <c r="B111" s="7" t="s">
        <v>719</v>
      </c>
      <c r="C111" s="7" t="str">
        <f t="shared" si="26"/>
        <v>2025-08</v>
      </c>
      <c r="D111" s="7" cm="1">
        <f t="array" ref="D111">_xlfn.LET(_xlpm.x,B111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45892</v>
      </c>
      <c r="E111" s="7" t="s">
        <v>555</v>
      </c>
      <c r="F111" s="7" cm="1">
        <f t="array" ref="F111">_xlfn.LET(_xlpm.x,E111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45896</v>
      </c>
      <c r="G111" s="8" t="str">
        <f t="shared" si="1"/>
        <v>OK</v>
      </c>
      <c r="H111" s="6">
        <f t="shared" si="2"/>
        <v>4</v>
      </c>
      <c r="I111" s="6" t="s">
        <v>720</v>
      </c>
      <c r="J111" s="6" t="s">
        <v>245</v>
      </c>
      <c r="K111" s="6" t="str">
        <f t="shared" si="3"/>
        <v>Sneha Kapoor</v>
      </c>
      <c r="L111" s="6" t="s">
        <v>43</v>
      </c>
      <c r="M111" s="8" t="str">
        <f t="shared" si="4"/>
        <v>Consumer</v>
      </c>
      <c r="N111" s="6" t="s">
        <v>7</v>
      </c>
      <c r="O111" s="6" t="str">
        <f t="shared" si="5"/>
        <v>North</v>
      </c>
      <c r="P111" s="6" t="s">
        <v>583</v>
      </c>
      <c r="Q111" s="6" t="str">
        <f t="shared" si="6"/>
        <v>Delhi</v>
      </c>
      <c r="R111" s="6" t="s">
        <v>584</v>
      </c>
      <c r="S111" s="6" t="str">
        <f t="shared" si="7"/>
        <v>New Delhi</v>
      </c>
      <c r="T111" s="6" t="s">
        <v>20</v>
      </c>
      <c r="U111" s="8" t="str">
        <f t="shared" si="8"/>
        <v>Office Supplies</v>
      </c>
      <c r="V111" s="6" t="s">
        <v>22</v>
      </c>
      <c r="W111" s="6" t="str">
        <f t="shared" si="9"/>
        <v>Binders</v>
      </c>
      <c r="X111" s="6" t="s">
        <v>721</v>
      </c>
      <c r="Y111" s="6" t="s">
        <v>36</v>
      </c>
      <c r="Z111" s="6" t="str">
        <f t="shared" si="10"/>
        <v>Second Class</v>
      </c>
      <c r="AA111" s="6">
        <v>1</v>
      </c>
      <c r="AB111" s="6">
        <v>2788.62</v>
      </c>
      <c r="AC111" s="6">
        <v>0.25</v>
      </c>
      <c r="AD111" s="6">
        <v>2091.4699999999998</v>
      </c>
      <c r="AE111" s="6">
        <v>1317.22</v>
      </c>
      <c r="AF111" s="6">
        <v>774.25</v>
      </c>
      <c r="AG111" s="6" t="s">
        <v>52</v>
      </c>
      <c r="AH111" s="6" t="str">
        <f t="shared" si="11"/>
        <v>Paid</v>
      </c>
      <c r="AI111" s="6" t="s">
        <v>134</v>
      </c>
      <c r="AJ111" s="6" t="str">
        <f t="shared" si="12"/>
        <v>Completed</v>
      </c>
      <c r="AK111" s="9" t="str">
        <f>_xlfn.TEXTJOIN("|",FALSE,A111,TEXT(B111,"mm-dd-yyyy"),TEXT(E111,"mm-dd-yyyy"),I111,J111,L111,N111,P111,R111,T111,V111,X111,Y111,AA111,AB111,AC111,AD111,AE111,AF111,AG111,AI111)</f>
        <v>ORD-2025-10110|23-08-2025|08-27-2025|CUST-3740|Sneha Kapoor|Consumer|North|Delhi|New Delhi|Office Supplies|Binders|Classic Binders 660|Second Class|1|2788.62|0.25|2091.47|1317.22|774.25|Paid|Completed</v>
      </c>
      <c r="AL111" s="27" t="str">
        <f>IF(COUNTIF($AK$2:AK111,AK111)&gt;1,"Remove exact duplicate copy","Keep")</f>
        <v>Keep</v>
      </c>
      <c r="AM111" s="9">
        <f t="shared" si="13"/>
        <v>1</v>
      </c>
      <c r="AN111" s="9" t="str">
        <f t="shared" si="14"/>
        <v>Unique</v>
      </c>
      <c r="AO111" s="9" t="str">
        <f t="shared" si="15"/>
        <v/>
      </c>
      <c r="AP111" s="9">
        <f t="shared" si="16"/>
        <v>0.25</v>
      </c>
      <c r="AQ111" s="10">
        <f t="shared" si="17"/>
        <v>2091.4650000000001</v>
      </c>
      <c r="AR111" s="10">
        <f t="shared" si="18"/>
        <v>774.24500000000012</v>
      </c>
      <c r="AS111" s="11">
        <f t="shared" si="19"/>
        <v>0.37019266399389905</v>
      </c>
      <c r="AT111" s="9">
        <f t="shared" si="20"/>
        <v>8</v>
      </c>
      <c r="AU111" s="9">
        <f t="shared" si="21"/>
        <v>2025</v>
      </c>
      <c r="AV111" s="9" t="b">
        <f t="shared" si="22"/>
        <v>0</v>
      </c>
      <c r="AW111" s="9" t="b">
        <f t="shared" si="23"/>
        <v>0</v>
      </c>
      <c r="AX111" s="9" t="str">
        <f t="shared" si="24"/>
        <v>Yes</v>
      </c>
      <c r="AY111" s="9" t="str">
        <f t="shared" si="27"/>
        <v/>
      </c>
      <c r="AZ111" s="9" t="str">
        <f>IF(OR(G111="Missing date",G111="Invalid date",G111="Ship date before order date",NOT(ISNUMBER(AP111)),AP111&lt;0,AP111&gt;0.5,AV111=TRUE,AW111=TRUE),"Invalid",IF(OR(O111="Unknown",Z111="Unknown",AC111="",AH111&lt;&gt;"Paid",AJ111&lt;&gt;"Completed",AO111&lt;&gt;""),"Warning","Clean"))</f>
        <v>Clean</v>
      </c>
    </row>
    <row r="112" spans="1:52" ht="15.75" customHeight="1">
      <c r="A112" s="6" t="s">
        <v>722</v>
      </c>
      <c r="B112" s="7" t="s">
        <v>723</v>
      </c>
      <c r="C112" s="7" t="str">
        <f t="shared" si="26"/>
        <v>2024-10</v>
      </c>
      <c r="D112" s="7" cm="1">
        <f t="array" ref="D112">_xlfn.LET(_xlpm.x,B112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45583</v>
      </c>
      <c r="E112" s="7" t="s">
        <v>724</v>
      </c>
      <c r="F112" s="7" cm="1">
        <f t="array" ref="F112">_xlfn.LET(_xlpm.x,E112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45589</v>
      </c>
      <c r="G112" s="8" t="str">
        <f t="shared" si="1"/>
        <v>OK</v>
      </c>
      <c r="H112" s="6">
        <f t="shared" si="2"/>
        <v>6</v>
      </c>
      <c r="I112" s="6" t="s">
        <v>725</v>
      </c>
      <c r="J112" s="6" t="s">
        <v>169</v>
      </c>
      <c r="K112" s="6" t="str">
        <f t="shared" si="3"/>
        <v>Vikram Iyer</v>
      </c>
      <c r="L112" s="6" t="s">
        <v>45</v>
      </c>
      <c r="M112" s="8" t="str">
        <f t="shared" si="4"/>
        <v>Corporate</v>
      </c>
      <c r="N112" s="6" t="s">
        <v>10</v>
      </c>
      <c r="O112" s="6" t="str">
        <f t="shared" si="5"/>
        <v>South</v>
      </c>
      <c r="P112" s="6" t="s">
        <v>316</v>
      </c>
      <c r="Q112" s="6" t="str">
        <f t="shared" si="6"/>
        <v>Kerala</v>
      </c>
      <c r="R112" s="6" t="s">
        <v>317</v>
      </c>
      <c r="S112" s="6" t="str">
        <f t="shared" si="7"/>
        <v>Kochi</v>
      </c>
      <c r="T112" s="6" t="s">
        <v>20</v>
      </c>
      <c r="U112" s="8" t="str">
        <f t="shared" si="8"/>
        <v>Office Supplies</v>
      </c>
      <c r="V112" s="6" t="s">
        <v>23</v>
      </c>
      <c r="W112" s="6" t="str">
        <f t="shared" si="9"/>
        <v>Labels</v>
      </c>
      <c r="X112" s="6" t="s">
        <v>726</v>
      </c>
      <c r="Y112" s="6" t="s">
        <v>35</v>
      </c>
      <c r="Z112" s="6" t="str">
        <f t="shared" si="10"/>
        <v>First Class</v>
      </c>
      <c r="AA112" s="6">
        <v>2</v>
      </c>
      <c r="AB112" s="6">
        <v>2250.4699999999998</v>
      </c>
      <c r="AC112" s="6">
        <v>0</v>
      </c>
      <c r="AD112" s="6">
        <v>4500.9399999999996</v>
      </c>
      <c r="AE112" s="6">
        <v>2607.73</v>
      </c>
      <c r="AF112" s="6">
        <v>1893.21</v>
      </c>
      <c r="AG112" s="6" t="s">
        <v>56</v>
      </c>
      <c r="AH112" s="6" t="str">
        <f t="shared" si="11"/>
        <v>Refunded</v>
      </c>
      <c r="AI112" s="6" t="s">
        <v>58</v>
      </c>
      <c r="AJ112" s="6" t="str">
        <f t="shared" si="12"/>
        <v>Cancelled</v>
      </c>
      <c r="AK112" s="9" t="str">
        <f>_xlfn.TEXTJOIN("|",FALSE,A112,TEXT(B112,"mm-dd-yyyy"),TEXT(E112,"mm-dd-yyyy"),I112,J112,L112,N112,P112,R112,T112,V112,X112,Y112,AA112,AB112,AC112,AD112,AE112,AF112,AG112,AI112)</f>
        <v>ORD-2024-10111|10-18-2024|10-24-2024|CUST-7128|Vikram Iyer|Corporate|South|Kerala|Kochi|Office Supplies|Labels|Pro Labels 255|First Class|2|2250.47|0|4500.94|2607.73|1893.21|Refunded|Cancelled</v>
      </c>
      <c r="AL112" s="27" t="str">
        <f>IF(COUNTIF($AK$2:AK112,AK112)&gt;1,"Remove exact duplicate copy","Keep")</f>
        <v>Keep</v>
      </c>
      <c r="AM112" s="9">
        <f t="shared" si="13"/>
        <v>1</v>
      </c>
      <c r="AN112" s="9" t="str">
        <f t="shared" si="14"/>
        <v>Unique</v>
      </c>
      <c r="AO112" s="9" t="str">
        <f t="shared" si="15"/>
        <v/>
      </c>
      <c r="AP112" s="9">
        <f t="shared" si="16"/>
        <v>0</v>
      </c>
      <c r="AQ112" s="10">
        <f t="shared" si="17"/>
        <v>4500.9399999999996</v>
      </c>
      <c r="AR112" s="10">
        <f t="shared" si="18"/>
        <v>1893.2099999999996</v>
      </c>
      <c r="AS112" s="11">
        <f t="shared" si="19"/>
        <v>0.42062546934640316</v>
      </c>
      <c r="AT112" s="9">
        <f t="shared" si="20"/>
        <v>10</v>
      </c>
      <c r="AU112" s="9">
        <f t="shared" si="21"/>
        <v>2024</v>
      </c>
      <c r="AV112" s="9" t="b">
        <f t="shared" si="22"/>
        <v>0</v>
      </c>
      <c r="AW112" s="9" t="b">
        <f t="shared" si="23"/>
        <v>0</v>
      </c>
      <c r="AX112" s="9" t="str">
        <f t="shared" si="24"/>
        <v>No</v>
      </c>
      <c r="AY112" s="9" t="str">
        <f t="shared" si="27"/>
        <v>Refunded order summarized separately; Cancelled order excluded</v>
      </c>
      <c r="AZ112" s="9" t="str">
        <f>IF(OR(G112="Missing date",G112="Invalid date",G112="Ship date before order date",NOT(ISNUMBER(AP112)),AP112&lt;0,AP112&gt;0.5,AV112=TRUE,AW112=TRUE),"Invalid",IF(OR(O112="Unknown",Z112="Unknown",AC112="",AH112&lt;&gt;"Paid",AJ112&lt;&gt;"Completed",AO112&lt;&gt;""),"Warning","Clean"))</f>
        <v>Warning</v>
      </c>
    </row>
    <row r="113" spans="1:52" ht="15.75" customHeight="1">
      <c r="A113" s="6" t="s">
        <v>727</v>
      </c>
      <c r="B113" s="7" t="s">
        <v>728</v>
      </c>
      <c r="C113" s="7" t="str">
        <f t="shared" si="26"/>
        <v>2025-06</v>
      </c>
      <c r="D113" s="7" cm="1">
        <f t="array" ref="D113">_xlfn.LET(_xlpm.x,B113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45835</v>
      </c>
      <c r="E113" s="7" t="s">
        <v>729</v>
      </c>
      <c r="F113" s="7" cm="1">
        <f t="array" ref="F113">_xlfn.LET(_xlpm.x,E113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45838</v>
      </c>
      <c r="G113" s="8" t="str">
        <f t="shared" si="1"/>
        <v>OK</v>
      </c>
      <c r="H113" s="6">
        <f t="shared" si="2"/>
        <v>3</v>
      </c>
      <c r="I113" s="6" t="s">
        <v>730</v>
      </c>
      <c r="J113" s="6" t="s">
        <v>177</v>
      </c>
      <c r="K113" s="6" t="str">
        <f t="shared" si="3"/>
        <v>Neha Gupta</v>
      </c>
      <c r="L113" s="6" t="s">
        <v>45</v>
      </c>
      <c r="M113" s="8" t="str">
        <f t="shared" si="4"/>
        <v>Corporate</v>
      </c>
      <c r="N113" s="6" t="s">
        <v>8</v>
      </c>
      <c r="O113" s="6" t="str">
        <f t="shared" si="5"/>
        <v>East</v>
      </c>
      <c r="P113" s="6" t="s">
        <v>263</v>
      </c>
      <c r="Q113" s="6" t="str">
        <f t="shared" si="6"/>
        <v>Bihar</v>
      </c>
      <c r="R113" s="6" t="s">
        <v>264</v>
      </c>
      <c r="S113" s="6" t="str">
        <f t="shared" si="7"/>
        <v>Patna</v>
      </c>
      <c r="T113" s="6" t="s">
        <v>27</v>
      </c>
      <c r="U113" s="8" t="str">
        <f t="shared" si="8"/>
        <v>Technology</v>
      </c>
      <c r="V113" s="6" t="s">
        <v>28</v>
      </c>
      <c r="W113" s="6" t="str">
        <f t="shared" si="9"/>
        <v>Accessories</v>
      </c>
      <c r="X113" s="6" t="s">
        <v>731</v>
      </c>
      <c r="Y113" s="6" t="s">
        <v>35</v>
      </c>
      <c r="Z113" s="6" t="str">
        <f t="shared" si="10"/>
        <v>First Class</v>
      </c>
      <c r="AA113" s="6">
        <v>1</v>
      </c>
      <c r="AB113" s="6">
        <v>1708.44</v>
      </c>
      <c r="AC113" s="6">
        <v>0.05</v>
      </c>
      <c r="AD113" s="6">
        <v>1623.02</v>
      </c>
      <c r="AE113" s="6">
        <v>1077.46</v>
      </c>
      <c r="AF113" s="6">
        <v>545.55999999999995</v>
      </c>
      <c r="AG113" s="6" t="s">
        <v>54</v>
      </c>
      <c r="AH113" s="6" t="str">
        <f t="shared" si="11"/>
        <v>Pending</v>
      </c>
      <c r="AI113" s="6" t="s">
        <v>58</v>
      </c>
      <c r="AJ113" s="6" t="str">
        <f t="shared" si="12"/>
        <v>Cancelled</v>
      </c>
      <c r="AK113" s="9" t="str">
        <f>_xlfn.TEXTJOIN("|",FALSE,A113,TEXT(B113,"mm-dd-yyyy"),TEXT(E113,"mm-dd-yyyy"),I113,J113,L113,N113,P113,R113,T113,V113,X113,Y113,AA113,AB113,AC113,AD113,AE113,AF113,AG113,AI113)</f>
        <v>ORD-2025-10112|06-27-2025|06-30-2025|CUST-4743|Neha Gupta|Corporate|East|Bihar|Patna|Technology|Accessories|Basic Accessories 187|First Class|1|1708.44|0.05|1623.02|1077.46|545.56|Pending|Cancelled</v>
      </c>
      <c r="AL113" s="27" t="str">
        <f>IF(COUNTIF($AK$2:AK113,AK113)&gt;1,"Remove exact duplicate copy","Keep")</f>
        <v>Keep</v>
      </c>
      <c r="AM113" s="9">
        <f t="shared" si="13"/>
        <v>1</v>
      </c>
      <c r="AN113" s="9" t="str">
        <f t="shared" si="14"/>
        <v>Unique</v>
      </c>
      <c r="AO113" s="9" t="str">
        <f t="shared" si="15"/>
        <v/>
      </c>
      <c r="AP113" s="9">
        <f t="shared" si="16"/>
        <v>0.05</v>
      </c>
      <c r="AQ113" s="10">
        <f t="shared" si="17"/>
        <v>1623.018</v>
      </c>
      <c r="AR113" s="10">
        <f t="shared" si="18"/>
        <v>545.55799999999999</v>
      </c>
      <c r="AS113" s="11">
        <f t="shared" si="19"/>
        <v>0.3361379849145234</v>
      </c>
      <c r="AT113" s="9">
        <f t="shared" si="20"/>
        <v>6</v>
      </c>
      <c r="AU113" s="9">
        <f t="shared" si="21"/>
        <v>2025</v>
      </c>
      <c r="AV113" s="9" t="b">
        <f t="shared" si="22"/>
        <v>0</v>
      </c>
      <c r="AW113" s="9" t="b">
        <f t="shared" si="23"/>
        <v>0</v>
      </c>
      <c r="AX113" s="9" t="str">
        <f t="shared" si="24"/>
        <v>No</v>
      </c>
      <c r="AY113" s="9" t="str">
        <f t="shared" si="27"/>
        <v>Cancelled order excluded</v>
      </c>
      <c r="AZ113" s="9" t="str">
        <f>IF(OR(G113="Missing date",G113="Invalid date",G113="Ship date before order date",NOT(ISNUMBER(AP113)),AP113&lt;0,AP113&gt;0.5,AV113=TRUE,AW113=TRUE),"Invalid",IF(OR(O113="Unknown",Z113="Unknown",AC113="",AH113&lt;&gt;"Paid",AJ113&lt;&gt;"Completed",AO113&lt;&gt;""),"Warning","Clean"))</f>
        <v>Warning</v>
      </c>
    </row>
    <row r="114" spans="1:52" ht="15.75" customHeight="1">
      <c r="A114" s="6" t="s">
        <v>732</v>
      </c>
      <c r="B114" s="7" t="s">
        <v>733</v>
      </c>
      <c r="C114" s="7" t="str">
        <f t="shared" si="26"/>
        <v>2024-01</v>
      </c>
      <c r="D114" s="7" cm="1">
        <f t="array" ref="D114">_xlfn.LET(_xlpm.x,B114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45301</v>
      </c>
      <c r="E114" s="7" t="s">
        <v>734</v>
      </c>
      <c r="F114" s="7" cm="1">
        <f t="array" ref="F114">_xlfn.LET(_xlpm.x,E114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45305</v>
      </c>
      <c r="G114" s="8" t="str">
        <f t="shared" si="1"/>
        <v>OK</v>
      </c>
      <c r="H114" s="6">
        <f t="shared" si="2"/>
        <v>4</v>
      </c>
      <c r="I114" s="6" t="s">
        <v>735</v>
      </c>
      <c r="J114" s="6" t="s">
        <v>245</v>
      </c>
      <c r="K114" s="6" t="str">
        <f t="shared" si="3"/>
        <v>Sneha Kapoor</v>
      </c>
      <c r="L114" s="6" t="s">
        <v>736</v>
      </c>
      <c r="M114" s="8" t="str">
        <f t="shared" si="4"/>
        <v>Consumer</v>
      </c>
      <c r="N114" s="6"/>
      <c r="O114" s="6" t="str">
        <f t="shared" si="5"/>
        <v>Unknown</v>
      </c>
      <c r="P114" s="6" t="s">
        <v>309</v>
      </c>
      <c r="Q114" s="6" t="str">
        <f t="shared" si="6"/>
        <v>Gujarat</v>
      </c>
      <c r="R114" s="6" t="s">
        <v>310</v>
      </c>
      <c r="S114" s="6" t="str">
        <f t="shared" si="7"/>
        <v>Ahmedabad</v>
      </c>
      <c r="T114" s="6" t="s">
        <v>27</v>
      </c>
      <c r="U114" s="8" t="str">
        <f t="shared" si="8"/>
        <v>Technology</v>
      </c>
      <c r="V114" s="6" t="s">
        <v>28</v>
      </c>
      <c r="W114" s="6" t="str">
        <f t="shared" si="9"/>
        <v>Accessories</v>
      </c>
      <c r="X114" s="6" t="s">
        <v>737</v>
      </c>
      <c r="Y114" s="6" t="s">
        <v>34</v>
      </c>
      <c r="Z114" s="6" t="str">
        <f t="shared" si="10"/>
        <v>Standard Class</v>
      </c>
      <c r="AA114" s="6">
        <v>3</v>
      </c>
      <c r="AB114" s="6">
        <v>3829.48</v>
      </c>
      <c r="AC114" s="6">
        <v>0.05</v>
      </c>
      <c r="AD114" s="6">
        <v>10914.02</v>
      </c>
      <c r="AE114" s="6">
        <v>6548.74</v>
      </c>
      <c r="AF114" s="6">
        <v>4365.28</v>
      </c>
      <c r="AG114" s="6" t="s">
        <v>52</v>
      </c>
      <c r="AH114" s="6" t="str">
        <f t="shared" si="11"/>
        <v>Paid</v>
      </c>
      <c r="AI114" s="6" t="s">
        <v>134</v>
      </c>
      <c r="AJ114" s="6" t="str">
        <f t="shared" si="12"/>
        <v>Completed</v>
      </c>
      <c r="AK114" s="9" t="str">
        <f>_xlfn.TEXTJOIN("|",FALSE,A114,TEXT(B114,"mm-dd-yyyy"),TEXT(E114,"mm-dd-yyyy"),I114,J114,L114,N114,P114,R114,T114,V114,X114,Y114,AA114,AB114,AC114,AD114,AE114,AF114,AG114,AI114)</f>
        <v>ORD-2024-10113|01-10-2024|14-01-2024|CUST-5213|Sneha Kapoor|  Consumer ||Gujarat|Ahmedabad|Technology|Accessories|Max Accessories 451|Standard Class|3|3829.48|0.05|10914.02|6548.74|4365.28|Paid|Completed</v>
      </c>
      <c r="AL114" s="27" t="str">
        <f>IF(COUNTIF($AK$2:AK114,AK114)&gt;1,"Remove exact duplicate copy","Keep")</f>
        <v>Keep</v>
      </c>
      <c r="AM114" s="9">
        <f t="shared" si="13"/>
        <v>1</v>
      </c>
      <c r="AN114" s="9" t="str">
        <f t="shared" si="14"/>
        <v>Unique</v>
      </c>
      <c r="AO114" s="9" t="str">
        <f t="shared" si="15"/>
        <v/>
      </c>
      <c r="AP114" s="9">
        <f t="shared" si="16"/>
        <v>0.05</v>
      </c>
      <c r="AQ114" s="10">
        <f t="shared" si="17"/>
        <v>10914.018</v>
      </c>
      <c r="AR114" s="10">
        <f t="shared" si="18"/>
        <v>4365.2780000000002</v>
      </c>
      <c r="AS114" s="11">
        <f t="shared" si="19"/>
        <v>0.39996983695647198</v>
      </c>
      <c r="AT114" s="9">
        <f t="shared" si="20"/>
        <v>1</v>
      </c>
      <c r="AU114" s="9">
        <f t="shared" si="21"/>
        <v>2024</v>
      </c>
      <c r="AV114" s="9" t="b">
        <f t="shared" si="22"/>
        <v>0</v>
      </c>
      <c r="AW114" s="9" t="b">
        <f t="shared" si="23"/>
        <v>0</v>
      </c>
      <c r="AX114" s="9" t="str">
        <f t="shared" si="24"/>
        <v>Yes</v>
      </c>
      <c r="AY114" s="9" t="str">
        <f t="shared" si="27"/>
        <v>Missing region filled as Unknown</v>
      </c>
      <c r="AZ114" s="9" t="str">
        <f>IF(OR(G114="Missing date",G114="Invalid date",G114="Ship date before order date",NOT(ISNUMBER(AP114)),AP114&lt;0,AP114&gt;0.5,AV114=TRUE,AW114=TRUE),"Invalid",IF(OR(O114="Unknown",Z114="Unknown",AC114="",AH114&lt;&gt;"Paid",AJ114&lt;&gt;"Completed",AO114&lt;&gt;""),"Warning","Clean"))</f>
        <v>Warning</v>
      </c>
    </row>
    <row r="115" spans="1:52" ht="15.75" customHeight="1">
      <c r="A115" s="6" t="s">
        <v>738</v>
      </c>
      <c r="B115" s="7" t="s">
        <v>739</v>
      </c>
      <c r="C115" s="7" t="str">
        <f t="shared" si="26"/>
        <v>2024-02</v>
      </c>
      <c r="D115" s="7" cm="1">
        <f t="array" ref="D115">_xlfn.LET(_xlpm.x,B115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45334</v>
      </c>
      <c r="E115" s="7" t="s">
        <v>739</v>
      </c>
      <c r="F115" s="7" cm="1">
        <f t="array" ref="F115">_xlfn.LET(_xlpm.x,E115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45334</v>
      </c>
      <c r="G115" s="8" t="str">
        <f t="shared" si="1"/>
        <v>OK</v>
      </c>
      <c r="H115" s="6">
        <f t="shared" si="2"/>
        <v>0</v>
      </c>
      <c r="I115" s="6" t="s">
        <v>598</v>
      </c>
      <c r="J115" s="6" t="s">
        <v>147</v>
      </c>
      <c r="K115" s="6" t="str">
        <f t="shared" si="3"/>
        <v>Isha Nair</v>
      </c>
      <c r="L115" s="6" t="s">
        <v>44</v>
      </c>
      <c r="M115" s="8" t="str">
        <f t="shared" si="4"/>
        <v>Home Office</v>
      </c>
      <c r="N115" s="6" t="s">
        <v>10</v>
      </c>
      <c r="O115" s="6" t="str">
        <f t="shared" si="5"/>
        <v>South</v>
      </c>
      <c r="P115" s="6" t="s">
        <v>413</v>
      </c>
      <c r="Q115" s="6" t="str">
        <f t="shared" si="6"/>
        <v>Tamil Nadu</v>
      </c>
      <c r="R115" s="6" t="s">
        <v>414</v>
      </c>
      <c r="S115" s="6" t="str">
        <f t="shared" si="7"/>
        <v>Chennai</v>
      </c>
      <c r="T115" s="6" t="s">
        <v>14</v>
      </c>
      <c r="U115" s="8" t="str">
        <f t="shared" si="8"/>
        <v>Furniture</v>
      </c>
      <c r="V115" s="6" t="s">
        <v>18</v>
      </c>
      <c r="W115" s="6" t="str">
        <f t="shared" si="9"/>
        <v>Tables</v>
      </c>
      <c r="X115" s="6" t="s">
        <v>740</v>
      </c>
      <c r="Y115" s="6" t="s">
        <v>34</v>
      </c>
      <c r="Z115" s="6" t="str">
        <f t="shared" si="10"/>
        <v>Standard Class</v>
      </c>
      <c r="AA115" s="6">
        <v>3</v>
      </c>
      <c r="AB115" s="6">
        <v>1089.1500000000001</v>
      </c>
      <c r="AC115" s="6">
        <v>0.25</v>
      </c>
      <c r="AD115" s="6">
        <v>2450.59</v>
      </c>
      <c r="AE115" s="6">
        <v>1639.89</v>
      </c>
      <c r="AF115" s="6">
        <v>810.7</v>
      </c>
      <c r="AG115" s="6" t="s">
        <v>52</v>
      </c>
      <c r="AH115" s="6" t="str">
        <f t="shared" si="11"/>
        <v>Paid</v>
      </c>
      <c r="AI115" s="6" t="s">
        <v>134</v>
      </c>
      <c r="AJ115" s="6" t="str">
        <f t="shared" si="12"/>
        <v>Completed</v>
      </c>
      <c r="AK115" s="9" t="str">
        <f>_xlfn.TEXTJOIN("|",FALSE,A115,TEXT(B115,"mm-dd-yyyy"),TEXT(E115,"mm-dd-yyyy"),I115,J115,L115,N115,P115,R115,T115,V115,X115,Y115,AA115,AB115,AC115,AD115,AE115,AF115,AG115,AI115)</f>
        <v>ORD-2024-10114|12-02-2024|12-02-2024|CUST-4989|Isha Nair|Home Office|South|Tamil Nadu|Chennai|Furniture|Tables|Classic Tables 752|Standard Class|3|1089.15|0.25|2450.59|1639.89|810.7|Paid|Completed</v>
      </c>
      <c r="AL115" s="27" t="str">
        <f>IF(COUNTIF($AK$2:AK115,AK115)&gt;1,"Remove exact duplicate copy","Keep")</f>
        <v>Keep</v>
      </c>
      <c r="AM115" s="9">
        <f t="shared" si="13"/>
        <v>1</v>
      </c>
      <c r="AN115" s="9" t="str">
        <f t="shared" si="14"/>
        <v>Unique</v>
      </c>
      <c r="AO115" s="9" t="str">
        <f t="shared" si="15"/>
        <v/>
      </c>
      <c r="AP115" s="9">
        <f t="shared" si="16"/>
        <v>0.25</v>
      </c>
      <c r="AQ115" s="10">
        <f t="shared" si="17"/>
        <v>2450.5875000000001</v>
      </c>
      <c r="AR115" s="10">
        <f t="shared" si="18"/>
        <v>810.69749999999999</v>
      </c>
      <c r="AS115" s="11">
        <f t="shared" si="19"/>
        <v>0.33081761006289306</v>
      </c>
      <c r="AT115" s="9">
        <f t="shared" si="20"/>
        <v>2</v>
      </c>
      <c r="AU115" s="9">
        <f t="shared" si="21"/>
        <v>2024</v>
      </c>
      <c r="AV115" s="9" t="b">
        <f t="shared" si="22"/>
        <v>0</v>
      </c>
      <c r="AW115" s="9" t="b">
        <f t="shared" si="23"/>
        <v>0</v>
      </c>
      <c r="AX115" s="9" t="str">
        <f t="shared" si="24"/>
        <v>Yes</v>
      </c>
      <c r="AY115" s="9" t="str">
        <f t="shared" si="27"/>
        <v/>
      </c>
      <c r="AZ115" s="9" t="str">
        <f>IF(OR(G115="Missing date",G115="Invalid date",G115="Ship date before order date",NOT(ISNUMBER(AP115)),AP115&lt;0,AP115&gt;0.5,AV115=TRUE,AW115=TRUE),"Invalid",IF(OR(O115="Unknown",Z115="Unknown",AC115="",AH115&lt;&gt;"Paid",AJ115&lt;&gt;"Completed",AO115&lt;&gt;""),"Warning","Clean"))</f>
        <v>Clean</v>
      </c>
    </row>
    <row r="116" spans="1:52" ht="15.75" customHeight="1">
      <c r="A116" s="6" t="s">
        <v>741</v>
      </c>
      <c r="B116" s="7" t="s">
        <v>742</v>
      </c>
      <c r="C116" s="7" t="str">
        <f t="shared" si="26"/>
        <v>2024-09</v>
      </c>
      <c r="D116" s="7" cm="1">
        <f t="array" ref="D116">_xlfn.LET(_xlpm.x,B116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45560</v>
      </c>
      <c r="E116" s="7" t="s">
        <v>743</v>
      </c>
      <c r="F116" s="7" cm="1">
        <f t="array" ref="F116">_xlfn.LET(_xlpm.x,E116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45565</v>
      </c>
      <c r="G116" s="8" t="str">
        <f t="shared" si="1"/>
        <v>OK</v>
      </c>
      <c r="H116" s="6">
        <f t="shared" si="2"/>
        <v>5</v>
      </c>
      <c r="I116" s="6" t="s">
        <v>744</v>
      </c>
      <c r="J116" s="6" t="s">
        <v>177</v>
      </c>
      <c r="K116" s="6" t="str">
        <f t="shared" si="3"/>
        <v>Neha Gupta</v>
      </c>
      <c r="L116" s="6" t="s">
        <v>46</v>
      </c>
      <c r="M116" s="8" t="str">
        <f t="shared" si="4"/>
        <v>Small Business</v>
      </c>
      <c r="N116" s="6" t="s">
        <v>7</v>
      </c>
      <c r="O116" s="6" t="str">
        <f t="shared" si="5"/>
        <v>North</v>
      </c>
      <c r="P116" s="6" t="s">
        <v>131</v>
      </c>
      <c r="Q116" s="6" t="str">
        <f t="shared" si="6"/>
        <v>Rajasthan</v>
      </c>
      <c r="R116" s="6" t="s">
        <v>132</v>
      </c>
      <c r="S116" s="6" t="str">
        <f t="shared" si="7"/>
        <v>Jaipur</v>
      </c>
      <c r="T116" s="6" t="s">
        <v>27</v>
      </c>
      <c r="U116" s="8" t="str">
        <f t="shared" si="8"/>
        <v>Technology</v>
      </c>
      <c r="V116" s="6" t="s">
        <v>28</v>
      </c>
      <c r="W116" s="6" t="str">
        <f t="shared" si="9"/>
        <v>Accessories</v>
      </c>
      <c r="X116" s="6" t="s">
        <v>745</v>
      </c>
      <c r="Y116" s="6" t="s">
        <v>36</v>
      </c>
      <c r="Z116" s="6" t="str">
        <f t="shared" si="10"/>
        <v>Second Class</v>
      </c>
      <c r="AA116" s="6">
        <v>1</v>
      </c>
      <c r="AB116" s="6">
        <v>4388.3999999999996</v>
      </c>
      <c r="AC116" s="6">
        <v>0.1</v>
      </c>
      <c r="AD116" s="6">
        <v>3949.56</v>
      </c>
      <c r="AE116" s="6">
        <v>3186.73</v>
      </c>
      <c r="AF116" s="6">
        <v>762.83</v>
      </c>
      <c r="AG116" s="6" t="s">
        <v>54</v>
      </c>
      <c r="AH116" s="6" t="str">
        <f t="shared" si="11"/>
        <v>Pending</v>
      </c>
      <c r="AI116" s="6" t="s">
        <v>58</v>
      </c>
      <c r="AJ116" s="6" t="str">
        <f t="shared" si="12"/>
        <v>Cancelled</v>
      </c>
      <c r="AK116" s="9" t="str">
        <f>_xlfn.TEXTJOIN("|",FALSE,A116,TEXT(B116,"mm-dd-yyyy"),TEXT(E116,"mm-dd-yyyy"),I116,J116,L116,N116,P116,R116,T116,V116,X116,Y116,AA116,AB116,AC116,AD116,AE116,AF116,AG116,AI116)</f>
        <v>ORD-2024-10115|09-25-2024|09-30-2024|CUST-2927|Neha Gupta|Small Business|North|Rajasthan|Jaipur|Technology|Accessories|Eco Accessories 452|Second Class|1|4388.4|0.1|3949.56|3186.73|762.83|Pending|Cancelled</v>
      </c>
      <c r="AL116" s="27" t="str">
        <f>IF(COUNTIF($AK$2:AK116,AK116)&gt;1,"Remove exact duplicate copy","Keep")</f>
        <v>Keep</v>
      </c>
      <c r="AM116" s="9">
        <f t="shared" si="13"/>
        <v>1</v>
      </c>
      <c r="AN116" s="9" t="str">
        <f t="shared" si="14"/>
        <v>Unique</v>
      </c>
      <c r="AO116" s="9" t="str">
        <f t="shared" si="15"/>
        <v/>
      </c>
      <c r="AP116" s="9">
        <f t="shared" si="16"/>
        <v>0.1</v>
      </c>
      <c r="AQ116" s="10">
        <f t="shared" si="17"/>
        <v>3949.56</v>
      </c>
      <c r="AR116" s="10">
        <f t="shared" si="18"/>
        <v>762.82999999999993</v>
      </c>
      <c r="AS116" s="11">
        <f t="shared" si="19"/>
        <v>0.19314303365438173</v>
      </c>
      <c r="AT116" s="9">
        <f t="shared" si="20"/>
        <v>9</v>
      </c>
      <c r="AU116" s="9">
        <f t="shared" si="21"/>
        <v>2024</v>
      </c>
      <c r="AV116" s="9" t="b">
        <f t="shared" si="22"/>
        <v>0</v>
      </c>
      <c r="AW116" s="9" t="b">
        <f t="shared" si="23"/>
        <v>0</v>
      </c>
      <c r="AX116" s="9" t="str">
        <f t="shared" si="24"/>
        <v>No</v>
      </c>
      <c r="AY116" s="9" t="str">
        <f t="shared" si="27"/>
        <v>Cancelled order excluded</v>
      </c>
      <c r="AZ116" s="9" t="str">
        <f>IF(OR(G116="Missing date",G116="Invalid date",G116="Ship date before order date",NOT(ISNUMBER(AP116)),AP116&lt;0,AP116&gt;0.5,AV116=TRUE,AW116=TRUE),"Invalid",IF(OR(O116="Unknown",Z116="Unknown",AC116="",AH116&lt;&gt;"Paid",AJ116&lt;&gt;"Completed",AO116&lt;&gt;""),"Warning","Clean"))</f>
        <v>Warning</v>
      </c>
    </row>
    <row r="117" spans="1:52" ht="15.75" customHeight="1">
      <c r="A117" s="6" t="s">
        <v>746</v>
      </c>
      <c r="B117" s="7" t="s">
        <v>747</v>
      </c>
      <c r="C117" s="7" t="str">
        <f t="shared" si="26"/>
        <v>2024-12</v>
      </c>
      <c r="D117" s="7" cm="1">
        <f t="array" ref="D117">_xlfn.LET(_xlpm.x,B117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45653</v>
      </c>
      <c r="E117" s="7" t="s">
        <v>748</v>
      </c>
      <c r="F117" s="7" cm="1">
        <f t="array" ref="F117">_xlfn.LET(_xlpm.x,E117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45658</v>
      </c>
      <c r="G117" s="8" t="str">
        <f t="shared" si="1"/>
        <v>OK</v>
      </c>
      <c r="H117" s="6">
        <f t="shared" si="2"/>
        <v>5</v>
      </c>
      <c r="I117" s="6" t="s">
        <v>749</v>
      </c>
      <c r="J117" s="6" t="s">
        <v>442</v>
      </c>
      <c r="K117" s="6" t="str">
        <f t="shared" si="3"/>
        <v>Kabir Singh</v>
      </c>
      <c r="L117" s="6" t="s">
        <v>45</v>
      </c>
      <c r="M117" s="8" t="str">
        <f t="shared" si="4"/>
        <v>Corporate</v>
      </c>
      <c r="N117" s="6" t="s">
        <v>10</v>
      </c>
      <c r="O117" s="6" t="str">
        <f t="shared" si="5"/>
        <v>South</v>
      </c>
      <c r="P117" s="6" t="s">
        <v>413</v>
      </c>
      <c r="Q117" s="6" t="str">
        <f t="shared" si="6"/>
        <v>Tamil Nadu</v>
      </c>
      <c r="R117" s="6" t="s">
        <v>414</v>
      </c>
      <c r="S117" s="6" t="str">
        <f t="shared" si="7"/>
        <v>Chennai</v>
      </c>
      <c r="T117" s="6" t="s">
        <v>20</v>
      </c>
      <c r="U117" s="8" t="str">
        <f t="shared" si="8"/>
        <v>Office Supplies</v>
      </c>
      <c r="V117" s="6" t="s">
        <v>22</v>
      </c>
      <c r="W117" s="6" t="str">
        <f t="shared" si="9"/>
        <v>Binders</v>
      </c>
      <c r="X117" s="6" t="s">
        <v>750</v>
      </c>
      <c r="Y117" s="6" t="s">
        <v>37</v>
      </c>
      <c r="Z117" s="6" t="str">
        <f t="shared" si="10"/>
        <v>Same Day</v>
      </c>
      <c r="AA117" s="6">
        <v>2</v>
      </c>
      <c r="AB117" s="6">
        <v>446.34</v>
      </c>
      <c r="AC117" s="6">
        <v>0.15</v>
      </c>
      <c r="AD117" s="6">
        <v>758.78</v>
      </c>
      <c r="AE117" s="6">
        <v>490.74</v>
      </c>
      <c r="AF117" s="6">
        <v>268.04000000000002</v>
      </c>
      <c r="AG117" s="6" t="s">
        <v>52</v>
      </c>
      <c r="AH117" s="6" t="str">
        <f t="shared" si="11"/>
        <v>Paid</v>
      </c>
      <c r="AI117" s="6" t="s">
        <v>58</v>
      </c>
      <c r="AJ117" s="6" t="str">
        <f t="shared" si="12"/>
        <v>Cancelled</v>
      </c>
      <c r="AK117" s="9" t="str">
        <f>_xlfn.TEXTJOIN("|",FALSE,A117,TEXT(B117,"mm-dd-yyyy"),TEXT(E117,"mm-dd-yyyy"),I117,J117,L117,N117,P117,R117,T117,V117,X117,Y117,AA117,AB117,AC117,AD117,AE117,AF117,AG117,AI117)</f>
        <v>ORD-2024-10116|12-27-2024|01-01-2025|CUST-7764|Kabir Singh|Corporate|South|Tamil Nadu|Chennai|Office Supplies|Binders|Classic Binders 203|Same Day|2|446.34|0.15|758.78|490.74|268.04|Paid|Cancelled</v>
      </c>
      <c r="AL117" s="27" t="str">
        <f>IF(COUNTIF($AK$2:AK117,AK117)&gt;1,"Remove exact duplicate copy","Keep")</f>
        <v>Keep</v>
      </c>
      <c r="AM117" s="9">
        <f t="shared" si="13"/>
        <v>1</v>
      </c>
      <c r="AN117" s="9" t="str">
        <f t="shared" si="14"/>
        <v>Unique</v>
      </c>
      <c r="AO117" s="9" t="str">
        <f t="shared" si="15"/>
        <v/>
      </c>
      <c r="AP117" s="9">
        <f t="shared" si="16"/>
        <v>0.15</v>
      </c>
      <c r="AQ117" s="10">
        <f t="shared" si="17"/>
        <v>758.77799999999991</v>
      </c>
      <c r="AR117" s="10">
        <f t="shared" si="18"/>
        <v>268.0379999999999</v>
      </c>
      <c r="AS117" s="11">
        <f t="shared" si="19"/>
        <v>0.35324956706704719</v>
      </c>
      <c r="AT117" s="9">
        <f t="shared" si="20"/>
        <v>12</v>
      </c>
      <c r="AU117" s="9">
        <f t="shared" si="21"/>
        <v>2024</v>
      </c>
      <c r="AV117" s="9" t="b">
        <f t="shared" si="22"/>
        <v>0</v>
      </c>
      <c r="AW117" s="9" t="b">
        <f t="shared" si="23"/>
        <v>0</v>
      </c>
      <c r="AX117" s="9" t="str">
        <f t="shared" si="24"/>
        <v>No</v>
      </c>
      <c r="AY117" s="9" t="str">
        <f t="shared" si="27"/>
        <v>Cancelled order excluded</v>
      </c>
      <c r="AZ117" s="9" t="str">
        <f>IF(OR(G117="Missing date",G117="Invalid date",G117="Ship date before order date",NOT(ISNUMBER(AP117)),AP117&lt;0,AP117&gt;0.5,AV117=TRUE,AW117=TRUE),"Invalid",IF(OR(O117="Unknown",Z117="Unknown",AC117="",AH117&lt;&gt;"Paid",AJ117&lt;&gt;"Completed",AO117&lt;&gt;""),"Warning","Clean"))</f>
        <v>Warning</v>
      </c>
    </row>
    <row r="118" spans="1:52" ht="15.75" customHeight="1">
      <c r="A118" s="6" t="s">
        <v>751</v>
      </c>
      <c r="B118" s="7" t="s">
        <v>752</v>
      </c>
      <c r="C118" s="7" t="str">
        <f t="shared" si="26"/>
        <v>2025-02</v>
      </c>
      <c r="D118" s="7" cm="1">
        <f t="array" ref="D118">_xlfn.LET(_xlpm.x,B118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45703</v>
      </c>
      <c r="E118" s="7" t="s">
        <v>753</v>
      </c>
      <c r="F118" s="7" cm="1">
        <f t="array" ref="F118">_xlfn.LET(_xlpm.x,E118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45707</v>
      </c>
      <c r="G118" s="8" t="str">
        <f t="shared" si="1"/>
        <v>OK</v>
      </c>
      <c r="H118" s="6">
        <f t="shared" si="2"/>
        <v>4</v>
      </c>
      <c r="I118" s="6" t="s">
        <v>754</v>
      </c>
      <c r="J118" s="6" t="s">
        <v>161</v>
      </c>
      <c r="K118" s="6" t="str">
        <f t="shared" si="3"/>
        <v>Ananya Rao</v>
      </c>
      <c r="L118" s="6" t="s">
        <v>46</v>
      </c>
      <c r="M118" s="8" t="str">
        <f t="shared" si="4"/>
        <v>Small Business</v>
      </c>
      <c r="N118" s="6"/>
      <c r="O118" s="6" t="str">
        <f t="shared" si="5"/>
        <v>Unknown</v>
      </c>
      <c r="P118" s="6" t="s">
        <v>170</v>
      </c>
      <c r="Q118" s="6" t="str">
        <f t="shared" si="6"/>
        <v>Madhya Pradesh</v>
      </c>
      <c r="R118" s="6" t="s">
        <v>171</v>
      </c>
      <c r="S118" s="6" t="str">
        <f t="shared" si="7"/>
        <v>Indore</v>
      </c>
      <c r="T118" s="6" t="s">
        <v>20</v>
      </c>
      <c r="U118" s="8" t="str">
        <f t="shared" si="8"/>
        <v>Office Supplies</v>
      </c>
      <c r="V118" s="6" t="s">
        <v>22</v>
      </c>
      <c r="W118" s="6" t="str">
        <f t="shared" si="9"/>
        <v>Binders</v>
      </c>
      <c r="X118" s="6" t="s">
        <v>755</v>
      </c>
      <c r="Y118" s="6" t="s">
        <v>35</v>
      </c>
      <c r="Z118" s="6" t="str">
        <f t="shared" si="10"/>
        <v>First Class</v>
      </c>
      <c r="AA118" s="6">
        <v>9</v>
      </c>
      <c r="AB118" s="6">
        <v>531.99</v>
      </c>
      <c r="AC118" s="6">
        <v>0.25</v>
      </c>
      <c r="AD118" s="6">
        <v>3590.93</v>
      </c>
      <c r="AE118" s="6">
        <v>3061.39</v>
      </c>
      <c r="AF118" s="6">
        <v>529.54</v>
      </c>
      <c r="AG118" s="6" t="s">
        <v>50</v>
      </c>
      <c r="AH118" s="6" t="str">
        <f t="shared" si="11"/>
        <v>Failed</v>
      </c>
      <c r="AI118" s="6" t="s">
        <v>58</v>
      </c>
      <c r="AJ118" s="6" t="str">
        <f t="shared" si="12"/>
        <v>Cancelled</v>
      </c>
      <c r="AK118" s="9" t="str">
        <f>_xlfn.TEXTJOIN("|",FALSE,A118,TEXT(B118,"mm-dd-yyyy"),TEXT(E118,"mm-dd-yyyy"),I118,J118,L118,N118,P118,R118,T118,V118,X118,Y118,AA118,AB118,AC118,AD118,AE118,AF118,AG118,AI118)</f>
        <v>ORD-2025-10117|02-15-2025|02-19-2025|CUST-3632|Ananya Rao|Small Business||Madhya Pradesh|Indore|Office Supplies|Binders|Basic Binders 859|First Class|9|531.99|0.25|3590.93|3061.39|529.54|Failed|Cancelled</v>
      </c>
      <c r="AL118" s="27" t="str">
        <f>IF(COUNTIF($AK$2:AK118,AK118)&gt;1,"Remove exact duplicate copy","Keep")</f>
        <v>Keep</v>
      </c>
      <c r="AM118" s="9">
        <f t="shared" si="13"/>
        <v>1</v>
      </c>
      <c r="AN118" s="9" t="str">
        <f t="shared" si="14"/>
        <v>Unique</v>
      </c>
      <c r="AO118" s="9" t="str">
        <f t="shared" si="15"/>
        <v/>
      </c>
      <c r="AP118" s="9">
        <f t="shared" si="16"/>
        <v>0.25</v>
      </c>
      <c r="AQ118" s="10">
        <f t="shared" si="17"/>
        <v>3590.9324999999999</v>
      </c>
      <c r="AR118" s="10">
        <f t="shared" si="18"/>
        <v>529.54250000000002</v>
      </c>
      <c r="AS118" s="11">
        <f t="shared" si="19"/>
        <v>0.14746657031286442</v>
      </c>
      <c r="AT118" s="9">
        <f t="shared" si="20"/>
        <v>2</v>
      </c>
      <c r="AU118" s="9">
        <f t="shared" si="21"/>
        <v>2025</v>
      </c>
      <c r="AV118" s="9" t="b">
        <f t="shared" si="22"/>
        <v>0</v>
      </c>
      <c r="AW118" s="9" t="b">
        <f t="shared" si="23"/>
        <v>0</v>
      </c>
      <c r="AX118" s="9" t="str">
        <f t="shared" si="24"/>
        <v>No</v>
      </c>
      <c r="AY118" s="9" t="str">
        <f t="shared" si="27"/>
        <v>Missing region filled as Unknown; Failed payment excluded; Cancelled order excluded</v>
      </c>
      <c r="AZ118" s="9" t="str">
        <f>IF(OR(G118="Missing date",G118="Invalid date",G118="Ship date before order date",NOT(ISNUMBER(AP118)),AP118&lt;0,AP118&gt;0.5,AV118=TRUE,AW118=TRUE),"Invalid",IF(OR(O118="Unknown",Z118="Unknown",AC118="",AH118&lt;&gt;"Paid",AJ118&lt;&gt;"Completed",AO118&lt;&gt;""),"Warning","Clean"))</f>
        <v>Warning</v>
      </c>
    </row>
    <row r="119" spans="1:52" ht="15.75" customHeight="1">
      <c r="A119" s="6" t="s">
        <v>756</v>
      </c>
      <c r="B119" s="7" t="s">
        <v>757</v>
      </c>
      <c r="C119" s="7" t="str">
        <f t="shared" si="26"/>
        <v>2024-02</v>
      </c>
      <c r="D119" s="7" cm="1">
        <f t="array" ref="D119">_xlfn.LET(_xlpm.x,B119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45337</v>
      </c>
      <c r="E119" s="7" t="s">
        <v>758</v>
      </c>
      <c r="F119" s="7" cm="1">
        <f t="array" ref="F119">_xlfn.LET(_xlpm.x,E119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45339</v>
      </c>
      <c r="G119" s="8" t="str">
        <f t="shared" si="1"/>
        <v>OK</v>
      </c>
      <c r="H119" s="6">
        <f t="shared" si="2"/>
        <v>2</v>
      </c>
      <c r="I119" s="6" t="s">
        <v>759</v>
      </c>
      <c r="J119" s="6" t="s">
        <v>139</v>
      </c>
      <c r="K119" s="6" t="str">
        <f t="shared" si="3"/>
        <v>Mira Das</v>
      </c>
      <c r="L119" s="6" t="s">
        <v>44</v>
      </c>
      <c r="M119" s="8" t="str">
        <f t="shared" si="4"/>
        <v>Home Office</v>
      </c>
      <c r="N119" s="6" t="s">
        <v>10</v>
      </c>
      <c r="O119" s="6" t="str">
        <f t="shared" si="5"/>
        <v>South</v>
      </c>
      <c r="P119" s="6" t="s">
        <v>413</v>
      </c>
      <c r="Q119" s="6" t="str">
        <f t="shared" si="6"/>
        <v>Tamil Nadu</v>
      </c>
      <c r="R119" s="6" t="s">
        <v>414</v>
      </c>
      <c r="S119" s="6" t="str">
        <f t="shared" si="7"/>
        <v>Chennai</v>
      </c>
      <c r="T119" s="6" t="s">
        <v>27</v>
      </c>
      <c r="U119" s="8" t="str">
        <f t="shared" si="8"/>
        <v>Technology</v>
      </c>
      <c r="V119" s="6" t="s">
        <v>30</v>
      </c>
      <c r="W119" s="6" t="str">
        <f t="shared" si="9"/>
        <v>Machines</v>
      </c>
      <c r="X119" s="6" t="s">
        <v>760</v>
      </c>
      <c r="Y119" s="6" t="s">
        <v>34</v>
      </c>
      <c r="Z119" s="6" t="str">
        <f t="shared" si="10"/>
        <v>Standard Class</v>
      </c>
      <c r="AA119" s="6">
        <v>9</v>
      </c>
      <c r="AB119" s="6">
        <v>3324.55</v>
      </c>
      <c r="AC119" s="6" t="s">
        <v>761</v>
      </c>
      <c r="AD119" s="6">
        <v>25432.81</v>
      </c>
      <c r="AE119" s="6">
        <v>20370.16</v>
      </c>
      <c r="AF119" s="6">
        <v>5062.6499999999996</v>
      </c>
      <c r="AG119" s="6" t="s">
        <v>52</v>
      </c>
      <c r="AH119" s="6" t="str">
        <f t="shared" si="11"/>
        <v>Paid</v>
      </c>
      <c r="AI119" s="6" t="s">
        <v>134</v>
      </c>
      <c r="AJ119" s="6" t="str">
        <f t="shared" si="12"/>
        <v>Completed</v>
      </c>
      <c r="AK119" s="9" t="str">
        <f>_xlfn.TEXTJOIN("|",FALSE,A119,TEXT(B119,"mm-dd-yyyy"),TEXT(E119,"mm-dd-yyyy"),I119,J119,L119,N119,P119,R119,T119,V119,X119,Y119,AA119,AB119,AC119,AD119,AE119,AF119,AG119,AI119)</f>
        <v>ORD-2024-10118|02-15-2024|02-17-2024|CUST-9608|Mira Das|Home Office|South|Tamil Nadu|Chennai|Technology|Machines|Elite Machines 705|Standard Class|9|3324.55|70%|25432.81|20370.16|5062.65|Paid|Completed</v>
      </c>
      <c r="AL119" s="27" t="str">
        <f>IF(COUNTIF($AK$2:AK119,AK119)&gt;1,"Remove exact duplicate copy","Keep")</f>
        <v>Keep</v>
      </c>
      <c r="AM119" s="9">
        <f t="shared" si="13"/>
        <v>1</v>
      </c>
      <c r="AN119" s="9" t="str">
        <f t="shared" si="14"/>
        <v>Unique</v>
      </c>
      <c r="AO119" s="9" t="str">
        <f t="shared" si="15"/>
        <v/>
      </c>
      <c r="AP119" s="9">
        <f t="shared" si="16"/>
        <v>0.7</v>
      </c>
      <c r="AQ119" s="10">
        <f t="shared" si="17"/>
        <v>8976.2850000000017</v>
      </c>
      <c r="AR119" s="10">
        <f t="shared" si="18"/>
        <v>-11393.874999999998</v>
      </c>
      <c r="AS119" s="11">
        <f t="shared" si="19"/>
        <v>-1.2693307977632167</v>
      </c>
      <c r="AT119" s="9">
        <f t="shared" si="20"/>
        <v>2</v>
      </c>
      <c r="AU119" s="9">
        <f t="shared" si="21"/>
        <v>2024</v>
      </c>
      <c r="AV119" s="9" t="b">
        <f t="shared" si="22"/>
        <v>1</v>
      </c>
      <c r="AW119" s="9" t="b">
        <f t="shared" si="23"/>
        <v>1</v>
      </c>
      <c r="AX119" s="9" t="str">
        <f t="shared" si="24"/>
        <v>No</v>
      </c>
      <c r="AY119" s="9" t="str">
        <f t="shared" si="27"/>
        <v>Discount above 50%; Sales mismatch; Profit mismatch</v>
      </c>
      <c r="AZ119" s="9" t="str">
        <f>IF(OR(G119="Missing date",G119="Invalid date",G119="Ship date before order date",NOT(ISNUMBER(AP119)),AP119&lt;0,AP119&gt;0.5,AV119=TRUE,AW119=TRUE),"Invalid",IF(OR(O119="Unknown",Z119="Unknown",AC119="",AH119&lt;&gt;"Paid",AJ119&lt;&gt;"Completed",AO119&lt;&gt;""),"Warning","Clean"))</f>
        <v>Invalid</v>
      </c>
    </row>
    <row r="120" spans="1:52" ht="15.75" customHeight="1">
      <c r="A120" s="6" t="s">
        <v>762</v>
      </c>
      <c r="B120" s="7" t="s">
        <v>763</v>
      </c>
      <c r="C120" s="7" t="str">
        <f t="shared" si="26"/>
        <v>2024-06</v>
      </c>
      <c r="D120" s="7" cm="1">
        <f t="array" ref="D120">_xlfn.LET(_xlpm.x,B120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45453</v>
      </c>
      <c r="E120" s="7" t="s">
        <v>764</v>
      </c>
      <c r="F120" s="7" cm="1">
        <f t="array" ref="F120">_xlfn.LET(_xlpm.x,E120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45461</v>
      </c>
      <c r="G120" s="8" t="str">
        <f t="shared" si="1"/>
        <v>OK</v>
      </c>
      <c r="H120" s="6">
        <f t="shared" si="2"/>
        <v>8</v>
      </c>
      <c r="I120" s="6" t="s">
        <v>765</v>
      </c>
      <c r="J120" s="6" t="s">
        <v>766</v>
      </c>
      <c r="K120" s="6" t="str">
        <f t="shared" si="3"/>
        <v>Vikram Iyer</v>
      </c>
      <c r="L120" s="6" t="s">
        <v>44</v>
      </c>
      <c r="M120" s="8" t="str">
        <f t="shared" si="4"/>
        <v>Home Office</v>
      </c>
      <c r="N120" s="6" t="s">
        <v>10</v>
      </c>
      <c r="O120" s="6" t="str">
        <f t="shared" si="5"/>
        <v>South</v>
      </c>
      <c r="P120" s="6" t="s">
        <v>183</v>
      </c>
      <c r="Q120" s="6" t="str">
        <f t="shared" si="6"/>
        <v>Andhra Pradesh</v>
      </c>
      <c r="R120" s="6" t="s">
        <v>184</v>
      </c>
      <c r="S120" s="6" t="str">
        <f t="shared" si="7"/>
        <v>Vijayawada</v>
      </c>
      <c r="T120" s="6" t="s">
        <v>27</v>
      </c>
      <c r="U120" s="8" t="str">
        <f t="shared" si="8"/>
        <v>Technology</v>
      </c>
      <c r="V120" s="6" t="s">
        <v>29</v>
      </c>
      <c r="W120" s="6" t="str">
        <f t="shared" si="9"/>
        <v>Copiers</v>
      </c>
      <c r="X120" s="6" t="s">
        <v>767</v>
      </c>
      <c r="Y120" s="6" t="s">
        <v>37</v>
      </c>
      <c r="Z120" s="6" t="str">
        <f t="shared" si="10"/>
        <v>Same Day</v>
      </c>
      <c r="AA120" s="6">
        <v>5</v>
      </c>
      <c r="AB120" s="6">
        <v>1580.27</v>
      </c>
      <c r="AC120" s="6">
        <v>0.2</v>
      </c>
      <c r="AD120" s="6">
        <v>6321.08</v>
      </c>
      <c r="AE120" s="6">
        <v>4407.22</v>
      </c>
      <c r="AF120" s="6">
        <v>1913.86</v>
      </c>
      <c r="AG120" s="6" t="s">
        <v>52</v>
      </c>
      <c r="AH120" s="6" t="str">
        <f t="shared" si="11"/>
        <v>Paid</v>
      </c>
      <c r="AI120" s="6" t="s">
        <v>134</v>
      </c>
      <c r="AJ120" s="6" t="str">
        <f t="shared" si="12"/>
        <v>Completed</v>
      </c>
      <c r="AK120" s="9" t="str">
        <f>_xlfn.TEXTJOIN("|",FALSE,A120,TEXT(B120,"mm-dd-yyyy"),TEXT(E120,"mm-dd-yyyy"),I120,J120,L120,N120,P120,R120,T120,V120,X120,Y120,AA120,AB120,AC120,AD120,AE120,AF120,AG120,AI120)</f>
        <v>ORD-2024-10119|06-10-2024|06-18-2024|CUST-9135|Vikram  Iyer|Home Office|South|Andhra Pradesh|Vijayawada|Technology|Copiers|Pro Copiers 208|Same Day|5|1580.27|0.2|6321.08|4407.22|1913.86|Paid|Completed</v>
      </c>
      <c r="AL120" s="27" t="str">
        <f>IF(COUNTIF($AK$2:AK120,AK120)&gt;1,"Remove exact duplicate copy","Keep")</f>
        <v>Keep</v>
      </c>
      <c r="AM120" s="9">
        <f t="shared" si="13"/>
        <v>1</v>
      </c>
      <c r="AN120" s="9" t="str">
        <f t="shared" si="14"/>
        <v>Unique</v>
      </c>
      <c r="AO120" s="9" t="str">
        <f t="shared" si="15"/>
        <v/>
      </c>
      <c r="AP120" s="9">
        <f t="shared" si="16"/>
        <v>0.2</v>
      </c>
      <c r="AQ120" s="10">
        <f t="shared" si="17"/>
        <v>6321.0800000000008</v>
      </c>
      <c r="AR120" s="10">
        <f t="shared" si="18"/>
        <v>1913.8600000000006</v>
      </c>
      <c r="AS120" s="11">
        <f t="shared" si="19"/>
        <v>0.30277420947053357</v>
      </c>
      <c r="AT120" s="9">
        <f t="shared" si="20"/>
        <v>6</v>
      </c>
      <c r="AU120" s="9">
        <f t="shared" si="21"/>
        <v>2024</v>
      </c>
      <c r="AV120" s="9" t="b">
        <f t="shared" si="22"/>
        <v>0</v>
      </c>
      <c r="AW120" s="9" t="b">
        <f t="shared" si="23"/>
        <v>0</v>
      </c>
      <c r="AX120" s="9" t="str">
        <f t="shared" si="24"/>
        <v>Yes</v>
      </c>
      <c r="AY120" s="9" t="str">
        <f t="shared" si="27"/>
        <v/>
      </c>
      <c r="AZ120" s="9" t="str">
        <f>IF(OR(G120="Missing date",G120="Invalid date",G120="Ship date before order date",NOT(ISNUMBER(AP120)),AP120&lt;0,AP120&gt;0.5,AV120=TRUE,AW120=TRUE),"Invalid",IF(OR(O120="Unknown",Z120="Unknown",AC120="",AH120&lt;&gt;"Paid",AJ120&lt;&gt;"Completed",AO120&lt;&gt;""),"Warning","Clean"))</f>
        <v>Clean</v>
      </c>
    </row>
    <row r="121" spans="1:52" ht="15.75" customHeight="1">
      <c r="A121" s="6" t="s">
        <v>768</v>
      </c>
      <c r="B121" s="7" t="s">
        <v>769</v>
      </c>
      <c r="C121" s="7" t="str">
        <f t="shared" si="26"/>
        <v>2024-06</v>
      </c>
      <c r="D121" s="7" cm="1">
        <f t="array" ref="D121">_xlfn.LET(_xlpm.x,B121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45455</v>
      </c>
      <c r="E121" s="7" t="s">
        <v>770</v>
      </c>
      <c r="F121" s="7" cm="1">
        <f t="array" ref="F121">_xlfn.LET(_xlpm.x,E121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45462</v>
      </c>
      <c r="G121" s="8" t="str">
        <f t="shared" si="1"/>
        <v>OK</v>
      </c>
      <c r="H121" s="6">
        <f t="shared" si="2"/>
        <v>7</v>
      </c>
      <c r="I121" s="6" t="s">
        <v>771</v>
      </c>
      <c r="J121" s="6" t="s">
        <v>190</v>
      </c>
      <c r="K121" s="6" t="str">
        <f t="shared" si="3"/>
        <v>Aditi Sen</v>
      </c>
      <c r="L121" s="6" t="s">
        <v>772</v>
      </c>
      <c r="M121" s="8" t="str">
        <f t="shared" si="4"/>
        <v>Small Business</v>
      </c>
      <c r="N121" s="6" t="s">
        <v>10</v>
      </c>
      <c r="O121" s="6" t="str">
        <f t="shared" si="5"/>
        <v>South</v>
      </c>
      <c r="P121" s="6" t="s">
        <v>316</v>
      </c>
      <c r="Q121" s="6" t="str">
        <f t="shared" si="6"/>
        <v>Kerala</v>
      </c>
      <c r="R121" s="6" t="s">
        <v>317</v>
      </c>
      <c r="S121" s="6" t="str">
        <f t="shared" si="7"/>
        <v>Kochi</v>
      </c>
      <c r="T121" s="6" t="s">
        <v>14</v>
      </c>
      <c r="U121" s="8" t="str">
        <f t="shared" si="8"/>
        <v>Furniture</v>
      </c>
      <c r="V121" s="6" t="s">
        <v>16</v>
      </c>
      <c r="W121" s="6" t="str">
        <f t="shared" si="9"/>
        <v>Chairs</v>
      </c>
      <c r="X121" s="6" t="s">
        <v>773</v>
      </c>
      <c r="Y121" s="6" t="s">
        <v>34</v>
      </c>
      <c r="Z121" s="6" t="str">
        <f t="shared" si="10"/>
        <v>Standard Class</v>
      </c>
      <c r="AA121" s="6">
        <v>8</v>
      </c>
      <c r="AB121" s="6">
        <v>314.05</v>
      </c>
      <c r="AC121" s="6">
        <v>0.25</v>
      </c>
      <c r="AD121" s="6">
        <v>1884.3</v>
      </c>
      <c r="AE121" s="6">
        <v>1517.69</v>
      </c>
      <c r="AF121" s="6">
        <v>366.61</v>
      </c>
      <c r="AG121" s="6" t="s">
        <v>56</v>
      </c>
      <c r="AH121" s="6" t="str">
        <f t="shared" si="11"/>
        <v>Refunded</v>
      </c>
      <c r="AI121" s="6" t="s">
        <v>59</v>
      </c>
      <c r="AJ121" s="6" t="str">
        <f t="shared" si="12"/>
        <v>Returned</v>
      </c>
      <c r="AK121" s="9" t="str">
        <f>_xlfn.TEXTJOIN("|",FALSE,A121,TEXT(B121,"mm-dd-yyyy"),TEXT(E121,"mm-dd-yyyy"),I121,J121,L121,N121,P121,R121,T121,V121,X121,Y121,AA121,AB121,AC121,AD121,AE121,AF121,AG121,AI121)</f>
        <v>ORD-2024-10120|06-12-2024|06-19-2024|CUST-7861|Aditi Sen|Small Business |South|Kerala|Kochi|Furniture|Chairs|Elite Chairs 921|Standard Class|8|314.05|0.25|1884.3|1517.69|366.61|Refunded|Returned</v>
      </c>
      <c r="AL121" s="27" t="str">
        <f>IF(COUNTIF($AK$2:AK121,AK121)&gt;1,"Remove exact duplicate copy","Keep")</f>
        <v>Keep</v>
      </c>
      <c r="AM121" s="9">
        <f t="shared" si="13"/>
        <v>1</v>
      </c>
      <c r="AN121" s="9" t="str">
        <f t="shared" si="14"/>
        <v>Unique</v>
      </c>
      <c r="AO121" s="9" t="str">
        <f t="shared" si="15"/>
        <v/>
      </c>
      <c r="AP121" s="9">
        <f t="shared" si="16"/>
        <v>0.25</v>
      </c>
      <c r="AQ121" s="10">
        <f t="shared" si="17"/>
        <v>1884.3000000000002</v>
      </c>
      <c r="AR121" s="10">
        <f t="shared" si="18"/>
        <v>366.61000000000013</v>
      </c>
      <c r="AS121" s="11">
        <f t="shared" si="19"/>
        <v>0.19456031417502526</v>
      </c>
      <c r="AT121" s="9">
        <f t="shared" si="20"/>
        <v>6</v>
      </c>
      <c r="AU121" s="9">
        <f t="shared" si="21"/>
        <v>2024</v>
      </c>
      <c r="AV121" s="9" t="b">
        <f t="shared" si="22"/>
        <v>0</v>
      </c>
      <c r="AW121" s="9" t="b">
        <f t="shared" si="23"/>
        <v>0</v>
      </c>
      <c r="AX121" s="9" t="str">
        <f t="shared" si="24"/>
        <v>No</v>
      </c>
      <c r="AY121" s="9" t="str">
        <f t="shared" si="27"/>
        <v>Refunded order summarized separately; Returned order excluded</v>
      </c>
      <c r="AZ121" s="9" t="str">
        <f>IF(OR(G121="Missing date",G121="Invalid date",G121="Ship date before order date",NOT(ISNUMBER(AP121)),AP121&lt;0,AP121&gt;0.5,AV121=TRUE,AW121=TRUE),"Invalid",IF(OR(O121="Unknown",Z121="Unknown",AC121="",AH121&lt;&gt;"Paid",AJ121&lt;&gt;"Completed",AO121&lt;&gt;""),"Warning","Clean"))</f>
        <v>Warning</v>
      </c>
    </row>
    <row r="122" spans="1:52" ht="15.75" customHeight="1">
      <c r="A122" s="6" t="s">
        <v>774</v>
      </c>
      <c r="B122" s="7" t="s">
        <v>580</v>
      </c>
      <c r="C122" s="7" t="str">
        <f t="shared" si="26"/>
        <v>2024-08</v>
      </c>
      <c r="D122" s="7" cm="1">
        <f t="array" ref="D122">_xlfn.LET(_xlpm.x,B122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45514</v>
      </c>
      <c r="E122" s="7" t="s">
        <v>775</v>
      </c>
      <c r="F122" s="7" cm="1">
        <f t="array" ref="F122">_xlfn.LET(_xlpm.x,E122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45522</v>
      </c>
      <c r="G122" s="8" t="str">
        <f t="shared" si="1"/>
        <v>OK</v>
      </c>
      <c r="H122" s="6">
        <f t="shared" si="2"/>
        <v>8</v>
      </c>
      <c r="I122" s="6" t="s">
        <v>776</v>
      </c>
      <c r="J122" s="6" t="s">
        <v>245</v>
      </c>
      <c r="K122" s="6" t="str">
        <f t="shared" si="3"/>
        <v>Sneha Kapoor</v>
      </c>
      <c r="L122" s="6" t="s">
        <v>46</v>
      </c>
      <c r="M122" s="8" t="str">
        <f t="shared" si="4"/>
        <v>Small Business</v>
      </c>
      <c r="N122" s="6" t="s">
        <v>8</v>
      </c>
      <c r="O122" s="6" t="str">
        <f t="shared" si="5"/>
        <v>East</v>
      </c>
      <c r="P122" s="6" t="s">
        <v>263</v>
      </c>
      <c r="Q122" s="6" t="str">
        <f t="shared" si="6"/>
        <v>Bihar</v>
      </c>
      <c r="R122" s="6" t="s">
        <v>264</v>
      </c>
      <c r="S122" s="6" t="str">
        <f t="shared" si="7"/>
        <v>Patna</v>
      </c>
      <c r="T122" s="6" t="s">
        <v>27</v>
      </c>
      <c r="U122" s="8" t="str">
        <f t="shared" si="8"/>
        <v>Technology</v>
      </c>
      <c r="V122" s="6" t="s">
        <v>31</v>
      </c>
      <c r="W122" s="6" t="str">
        <f t="shared" si="9"/>
        <v>Phones</v>
      </c>
      <c r="X122" s="6" t="s">
        <v>777</v>
      </c>
      <c r="Y122" s="6" t="s">
        <v>34</v>
      </c>
      <c r="Z122" s="6" t="str">
        <f t="shared" si="10"/>
        <v>Standard Class</v>
      </c>
      <c r="AA122" s="6">
        <v>1</v>
      </c>
      <c r="AB122" s="6">
        <v>1823.67</v>
      </c>
      <c r="AC122" s="6">
        <v>0.2</v>
      </c>
      <c r="AD122" s="6">
        <v>1458.94</v>
      </c>
      <c r="AE122" s="6">
        <v>893.2</v>
      </c>
      <c r="AF122" s="6">
        <v>565.74</v>
      </c>
      <c r="AG122" s="6" t="s">
        <v>52</v>
      </c>
      <c r="AH122" s="6" t="str">
        <f t="shared" si="11"/>
        <v>Paid</v>
      </c>
      <c r="AI122" s="6" t="s">
        <v>59</v>
      </c>
      <c r="AJ122" s="6" t="str">
        <f t="shared" si="12"/>
        <v>Returned</v>
      </c>
      <c r="AK122" s="9" t="str">
        <f>_xlfn.TEXTJOIN("|",FALSE,A122,TEXT(B122,"mm-dd-yyyy"),TEXT(E122,"mm-dd-yyyy"),I122,J122,L122,N122,P122,R122,T122,V122,X122,Y122,AA122,AB122,AC122,AD122,AE122,AF122,AG122,AI122)</f>
        <v>ORD-2024-10121|08-10-2024|08-18-2024|CUST-6096|Sneha Kapoor|Small Business|East|Bihar|Patna|Technology|Phones|Prime Phones 540|Standard Class|1|1823.67|0.2|1458.94|893.2|565.74|Paid|Returned</v>
      </c>
      <c r="AL122" s="27" t="str">
        <f>IF(COUNTIF($AK$2:AK122,AK122)&gt;1,"Remove exact duplicate copy","Keep")</f>
        <v>Keep</v>
      </c>
      <c r="AM122" s="9">
        <f t="shared" si="13"/>
        <v>1</v>
      </c>
      <c r="AN122" s="9" t="str">
        <f t="shared" si="14"/>
        <v>Unique</v>
      </c>
      <c r="AO122" s="9" t="str">
        <f t="shared" si="15"/>
        <v/>
      </c>
      <c r="AP122" s="9">
        <f t="shared" si="16"/>
        <v>0.2</v>
      </c>
      <c r="AQ122" s="10">
        <f t="shared" si="17"/>
        <v>1458.9360000000001</v>
      </c>
      <c r="AR122" s="10">
        <f t="shared" si="18"/>
        <v>565.7360000000001</v>
      </c>
      <c r="AS122" s="11">
        <f t="shared" si="19"/>
        <v>0.38777300717783375</v>
      </c>
      <c r="AT122" s="9">
        <f t="shared" si="20"/>
        <v>8</v>
      </c>
      <c r="AU122" s="9">
        <f t="shared" si="21"/>
        <v>2024</v>
      </c>
      <c r="AV122" s="9" t="b">
        <f t="shared" si="22"/>
        <v>0</v>
      </c>
      <c r="AW122" s="9" t="b">
        <f t="shared" si="23"/>
        <v>0</v>
      </c>
      <c r="AX122" s="9" t="str">
        <f t="shared" si="24"/>
        <v>No</v>
      </c>
      <c r="AY122" s="9" t="str">
        <f t="shared" si="27"/>
        <v>Returned order excluded</v>
      </c>
      <c r="AZ122" s="9" t="str">
        <f>IF(OR(G122="Missing date",G122="Invalid date",G122="Ship date before order date",NOT(ISNUMBER(AP122)),AP122&lt;0,AP122&gt;0.5,AV122=TRUE,AW122=TRUE),"Invalid",IF(OR(O122="Unknown",Z122="Unknown",AC122="",AH122&lt;&gt;"Paid",AJ122&lt;&gt;"Completed",AO122&lt;&gt;""),"Warning","Clean"))</f>
        <v>Warning</v>
      </c>
    </row>
    <row r="123" spans="1:52" ht="15.75" customHeight="1">
      <c r="A123" s="6" t="s">
        <v>778</v>
      </c>
      <c r="B123" s="7" t="s">
        <v>779</v>
      </c>
      <c r="C123" s="7" t="str">
        <f t="shared" si="26"/>
        <v>2025-08</v>
      </c>
      <c r="D123" s="7" cm="1">
        <f t="array" ref="D123">_xlfn.LET(_xlpm.x,B123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45891</v>
      </c>
      <c r="E123" s="7" t="s">
        <v>780</v>
      </c>
      <c r="F123" s="7" cm="1">
        <f t="array" ref="F123">_xlfn.LET(_xlpm.x,E123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45895</v>
      </c>
      <c r="G123" s="8" t="str">
        <f t="shared" si="1"/>
        <v>OK</v>
      </c>
      <c r="H123" s="6">
        <f t="shared" si="2"/>
        <v>4</v>
      </c>
      <c r="I123" s="6" t="s">
        <v>781</v>
      </c>
      <c r="J123" s="6" t="s">
        <v>442</v>
      </c>
      <c r="K123" s="6" t="str">
        <f t="shared" si="3"/>
        <v>Kabir Singh</v>
      </c>
      <c r="L123" s="6" t="s">
        <v>782</v>
      </c>
      <c r="M123" s="8" t="str">
        <f t="shared" si="4"/>
        <v>Small Business</v>
      </c>
      <c r="N123" s="6" t="s">
        <v>10</v>
      </c>
      <c r="O123" s="6" t="str">
        <f t="shared" si="5"/>
        <v>South</v>
      </c>
      <c r="P123" s="6" t="s">
        <v>183</v>
      </c>
      <c r="Q123" s="6" t="str">
        <f t="shared" si="6"/>
        <v>Andhra Pradesh</v>
      </c>
      <c r="R123" s="6" t="s">
        <v>184</v>
      </c>
      <c r="S123" s="6" t="str">
        <f t="shared" si="7"/>
        <v>Vijayawada</v>
      </c>
      <c r="T123" s="6" t="s">
        <v>27</v>
      </c>
      <c r="U123" s="8" t="str">
        <f t="shared" si="8"/>
        <v>Technology</v>
      </c>
      <c r="V123" s="6" t="s">
        <v>30</v>
      </c>
      <c r="W123" s="6" t="str">
        <f t="shared" si="9"/>
        <v>Machines</v>
      </c>
      <c r="X123" s="6" t="s">
        <v>783</v>
      </c>
      <c r="Y123" s="6" t="s">
        <v>36</v>
      </c>
      <c r="Z123" s="6" t="str">
        <f t="shared" si="10"/>
        <v>Second Class</v>
      </c>
      <c r="AA123" s="6">
        <v>5</v>
      </c>
      <c r="AB123" s="6">
        <v>3482.92</v>
      </c>
      <c r="AC123" s="6">
        <v>0</v>
      </c>
      <c r="AD123" s="6">
        <v>17414.599999999999</v>
      </c>
      <c r="AE123" s="6">
        <v>11760.91</v>
      </c>
      <c r="AF123" s="6">
        <v>5653.69</v>
      </c>
      <c r="AG123" s="6" t="s">
        <v>56</v>
      </c>
      <c r="AH123" s="6" t="str">
        <f t="shared" si="11"/>
        <v>Refunded</v>
      </c>
      <c r="AI123" s="6" t="s">
        <v>58</v>
      </c>
      <c r="AJ123" s="6" t="str">
        <f t="shared" si="12"/>
        <v>Cancelled</v>
      </c>
      <c r="AK123" s="9" t="str">
        <f>_xlfn.TEXTJOIN("|",FALSE,A123,TEXT(B123,"mm-dd-yyyy"),TEXT(E123,"mm-dd-yyyy"),I123,J123,L123,N123,P123,R123,T123,V123,X123,Y123,AA123,AB123,AC123,AD123,AE123,AF123,AG123,AI123)</f>
        <v>ORD-2025-10122|08-22-2025|08-26-2025|CUST-2044|Kabir Singh|Small  Business|South|Andhra Pradesh|Vijayawada|Technology|Machines|Max Machines 948|Second Class|5|3482.92|0|17414.6|11760.91|5653.69|Refunded|Cancelled</v>
      </c>
      <c r="AL123" s="27" t="str">
        <f>IF(COUNTIF($AK$2:AK123,AK123)&gt;1,"Remove exact duplicate copy","Keep")</f>
        <v>Keep</v>
      </c>
      <c r="AM123" s="9">
        <f t="shared" si="13"/>
        <v>1</v>
      </c>
      <c r="AN123" s="9" t="str">
        <f t="shared" si="14"/>
        <v>Unique</v>
      </c>
      <c r="AO123" s="9" t="str">
        <f t="shared" si="15"/>
        <v/>
      </c>
      <c r="AP123" s="9">
        <f t="shared" si="16"/>
        <v>0</v>
      </c>
      <c r="AQ123" s="10">
        <f t="shared" si="17"/>
        <v>17414.599999999999</v>
      </c>
      <c r="AR123" s="10">
        <f t="shared" si="18"/>
        <v>5653.6899999999987</v>
      </c>
      <c r="AS123" s="11">
        <f t="shared" si="19"/>
        <v>0.3246523032398102</v>
      </c>
      <c r="AT123" s="9">
        <f t="shared" si="20"/>
        <v>8</v>
      </c>
      <c r="AU123" s="9">
        <f t="shared" si="21"/>
        <v>2025</v>
      </c>
      <c r="AV123" s="9" t="b">
        <f t="shared" si="22"/>
        <v>0</v>
      </c>
      <c r="AW123" s="9" t="b">
        <f t="shared" si="23"/>
        <v>0</v>
      </c>
      <c r="AX123" s="9" t="str">
        <f t="shared" si="24"/>
        <v>No</v>
      </c>
      <c r="AY123" s="9" t="str">
        <f t="shared" si="27"/>
        <v>Refunded order summarized separately; Cancelled order excluded</v>
      </c>
      <c r="AZ123" s="9" t="str">
        <f>IF(OR(G123="Missing date",G123="Invalid date",G123="Ship date before order date",NOT(ISNUMBER(AP123)),AP123&lt;0,AP123&gt;0.5,AV123=TRUE,AW123=TRUE),"Invalid",IF(OR(O123="Unknown",Z123="Unknown",AC123="",AH123&lt;&gt;"Paid",AJ123&lt;&gt;"Completed",AO123&lt;&gt;""),"Warning","Clean"))</f>
        <v>Warning</v>
      </c>
    </row>
    <row r="124" spans="1:52" ht="15.75" customHeight="1">
      <c r="A124" s="6" t="s">
        <v>784</v>
      </c>
      <c r="B124" s="7" t="s">
        <v>785</v>
      </c>
      <c r="C124" s="7" t="str">
        <f t="shared" si="26"/>
        <v>2024-11</v>
      </c>
      <c r="D124" s="7" cm="1">
        <f t="array" ref="D124">_xlfn.LET(_xlpm.x,B124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45626</v>
      </c>
      <c r="E124" s="7" t="s">
        <v>786</v>
      </c>
      <c r="F124" s="7" cm="1">
        <f t="array" ref="F124">_xlfn.LET(_xlpm.x,E124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45630</v>
      </c>
      <c r="G124" s="8" t="str">
        <f t="shared" si="1"/>
        <v>OK</v>
      </c>
      <c r="H124" s="6">
        <f t="shared" si="2"/>
        <v>4</v>
      </c>
      <c r="I124" s="6" t="s">
        <v>787</v>
      </c>
      <c r="J124" s="6" t="s">
        <v>161</v>
      </c>
      <c r="K124" s="6" t="str">
        <f t="shared" si="3"/>
        <v>Ananya Rao</v>
      </c>
      <c r="L124" s="6" t="s">
        <v>46</v>
      </c>
      <c r="M124" s="8" t="str">
        <f t="shared" si="4"/>
        <v>Small Business</v>
      </c>
      <c r="N124" s="6" t="s">
        <v>8</v>
      </c>
      <c r="O124" s="6" t="str">
        <f t="shared" si="5"/>
        <v>East</v>
      </c>
      <c r="P124" s="6" t="s">
        <v>290</v>
      </c>
      <c r="Q124" s="6" t="str">
        <f t="shared" si="6"/>
        <v>Assam</v>
      </c>
      <c r="R124" s="6" t="s">
        <v>291</v>
      </c>
      <c r="S124" s="6" t="str">
        <f t="shared" si="7"/>
        <v>Guwahati</v>
      </c>
      <c r="T124" s="6" t="s">
        <v>14</v>
      </c>
      <c r="U124" s="8" t="str">
        <f t="shared" si="8"/>
        <v>Furniture</v>
      </c>
      <c r="V124" s="6" t="s">
        <v>16</v>
      </c>
      <c r="W124" s="6" t="str">
        <f t="shared" si="9"/>
        <v>Chairs</v>
      </c>
      <c r="X124" s="6" t="s">
        <v>788</v>
      </c>
      <c r="Y124" s="6" t="s">
        <v>36</v>
      </c>
      <c r="Z124" s="6" t="str">
        <f t="shared" si="10"/>
        <v>Second Class</v>
      </c>
      <c r="AA124" s="6">
        <v>3</v>
      </c>
      <c r="AB124" s="6">
        <v>170.35</v>
      </c>
      <c r="AC124" s="6">
        <v>0</v>
      </c>
      <c r="AD124" s="6">
        <v>511.05</v>
      </c>
      <c r="AE124" s="6">
        <v>367.18</v>
      </c>
      <c r="AF124" s="6">
        <v>143.87</v>
      </c>
      <c r="AG124" s="6" t="s">
        <v>52</v>
      </c>
      <c r="AH124" s="6" t="str">
        <f t="shared" si="11"/>
        <v>Paid</v>
      </c>
      <c r="AI124" s="6" t="s">
        <v>134</v>
      </c>
      <c r="AJ124" s="6" t="str">
        <f t="shared" si="12"/>
        <v>Completed</v>
      </c>
      <c r="AK124" s="9" t="str">
        <f>_xlfn.TEXTJOIN("|",FALSE,A124,TEXT(B124,"mm-dd-yyyy"),TEXT(E124,"mm-dd-yyyy"),I124,J124,L124,N124,P124,R124,T124,V124,X124,Y124,AA124,AB124,AC124,AD124,AE124,AF124,AG124,AI124)</f>
        <v>ORD-2024-10123|11-30-2024|04-12-2024|CUST-1721|Ananya Rao|Small Business|East|Assam|Guwahati|Furniture|Chairs|Max Chairs 786|Second Class|3|170.35|0|511.05|367.18|143.87|Paid|Completed</v>
      </c>
      <c r="AL124" s="27" t="str">
        <f>IF(COUNTIF($AK$2:AK124,AK124)&gt;1,"Remove exact duplicate copy","Keep")</f>
        <v>Keep</v>
      </c>
      <c r="AM124" s="9">
        <f t="shared" si="13"/>
        <v>1</v>
      </c>
      <c r="AN124" s="9" t="str">
        <f t="shared" si="14"/>
        <v>Unique</v>
      </c>
      <c r="AO124" s="9" t="str">
        <f t="shared" si="15"/>
        <v/>
      </c>
      <c r="AP124" s="9">
        <f t="shared" si="16"/>
        <v>0</v>
      </c>
      <c r="AQ124" s="10">
        <f t="shared" si="17"/>
        <v>511.04999999999995</v>
      </c>
      <c r="AR124" s="10">
        <f t="shared" si="18"/>
        <v>143.86999999999995</v>
      </c>
      <c r="AS124" s="11">
        <f t="shared" si="19"/>
        <v>0.28151844242246349</v>
      </c>
      <c r="AT124" s="9">
        <f t="shared" si="20"/>
        <v>11</v>
      </c>
      <c r="AU124" s="9">
        <f t="shared" si="21"/>
        <v>2024</v>
      </c>
      <c r="AV124" s="9" t="b">
        <f t="shared" si="22"/>
        <v>0</v>
      </c>
      <c r="AW124" s="9" t="b">
        <f t="shared" si="23"/>
        <v>0</v>
      </c>
      <c r="AX124" s="9" t="str">
        <f t="shared" si="24"/>
        <v>Yes</v>
      </c>
      <c r="AY124" s="9" t="str">
        <f t="shared" si="27"/>
        <v/>
      </c>
      <c r="AZ124" s="9" t="str">
        <f>IF(OR(G124="Missing date",G124="Invalid date",G124="Ship date before order date",NOT(ISNUMBER(AP124)),AP124&lt;0,AP124&gt;0.5,AV124=TRUE,AW124=TRUE),"Invalid",IF(OR(O124="Unknown",Z124="Unknown",AC124="",AH124&lt;&gt;"Paid",AJ124&lt;&gt;"Completed",AO124&lt;&gt;""),"Warning","Clean"))</f>
        <v>Clean</v>
      </c>
    </row>
    <row r="125" spans="1:52" ht="15.75" customHeight="1">
      <c r="A125" s="6" t="s">
        <v>789</v>
      </c>
      <c r="B125" s="7" t="s">
        <v>790</v>
      </c>
      <c r="C125" s="7" t="str">
        <f t="shared" si="26"/>
        <v>2024-05</v>
      </c>
      <c r="D125" s="7" cm="1">
        <f t="array" ref="D125">_xlfn.LET(_xlpm.x,B125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45436</v>
      </c>
      <c r="E125" s="7" t="s">
        <v>791</v>
      </c>
      <c r="F125" s="7" cm="1">
        <f t="array" ref="F125">_xlfn.LET(_xlpm.x,E125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45437</v>
      </c>
      <c r="G125" s="8" t="str">
        <f t="shared" si="1"/>
        <v>OK</v>
      </c>
      <c r="H125" s="6">
        <f t="shared" si="2"/>
        <v>1</v>
      </c>
      <c r="I125" s="6" t="s">
        <v>792</v>
      </c>
      <c r="J125" s="6" t="s">
        <v>245</v>
      </c>
      <c r="K125" s="6" t="str">
        <f t="shared" si="3"/>
        <v>Sneha Kapoor</v>
      </c>
      <c r="L125" s="6" t="s">
        <v>46</v>
      </c>
      <c r="M125" s="8" t="str">
        <f t="shared" si="4"/>
        <v>Small Business</v>
      </c>
      <c r="N125" s="6" t="s">
        <v>793</v>
      </c>
      <c r="O125" s="6" t="str">
        <f t="shared" si="5"/>
        <v>North</v>
      </c>
      <c r="P125" s="6" t="s">
        <v>232</v>
      </c>
      <c r="Q125" s="6" t="str">
        <f t="shared" si="6"/>
        <v>Punjab</v>
      </c>
      <c r="R125" s="6" t="s">
        <v>233</v>
      </c>
      <c r="S125" s="6" t="str">
        <f t="shared" si="7"/>
        <v>Ludhiana</v>
      </c>
      <c r="T125" s="6" t="s">
        <v>27</v>
      </c>
      <c r="U125" s="8" t="str">
        <f t="shared" si="8"/>
        <v>Technology</v>
      </c>
      <c r="V125" s="6" t="s">
        <v>29</v>
      </c>
      <c r="W125" s="6" t="str">
        <f t="shared" si="9"/>
        <v>Copiers</v>
      </c>
      <c r="X125" s="6" t="s">
        <v>794</v>
      </c>
      <c r="Y125" s="6" t="s">
        <v>37</v>
      </c>
      <c r="Z125" s="6" t="str">
        <f t="shared" si="10"/>
        <v>Same Day</v>
      </c>
      <c r="AA125" s="6">
        <v>1</v>
      </c>
      <c r="AB125" s="6">
        <v>634.13</v>
      </c>
      <c r="AC125" s="6">
        <v>0</v>
      </c>
      <c r="AD125" s="6">
        <v>634.13</v>
      </c>
      <c r="AE125" s="6">
        <v>453.35</v>
      </c>
      <c r="AF125" s="6">
        <v>180.78</v>
      </c>
      <c r="AG125" s="6" t="s">
        <v>56</v>
      </c>
      <c r="AH125" s="6" t="str">
        <f t="shared" si="11"/>
        <v>Refunded</v>
      </c>
      <c r="AI125" s="6" t="s">
        <v>58</v>
      </c>
      <c r="AJ125" s="6" t="str">
        <f t="shared" si="12"/>
        <v>Cancelled</v>
      </c>
      <c r="AK125" s="9" t="str">
        <f>_xlfn.TEXTJOIN("|",FALSE,A125,TEXT(B125,"mm-dd-yyyy"),TEXT(E125,"mm-dd-yyyy"),I125,J125,L125,N125,P125,R125,T125,V125,X125,Y125,AA125,AB125,AC125,AD125,AE125,AF125,AG125,AI125)</f>
        <v>ORD-2024-10124|05-24-2024|05-25-2024|CUST-1007|Sneha Kapoor|Small Business|NORTH|Punjab|Ludhiana|Technology|Copiers|Max Copiers 970|Same Day|1|634.13|0|634.13|453.35|180.78|Refunded|Cancelled</v>
      </c>
      <c r="AL125" s="27" t="str">
        <f>IF(COUNTIF($AK$2:AK125,AK125)&gt;1,"Remove exact duplicate copy","Keep")</f>
        <v>Keep</v>
      </c>
      <c r="AM125" s="9">
        <f t="shared" si="13"/>
        <v>2</v>
      </c>
      <c r="AN125" s="9" t="str">
        <f t="shared" si="14"/>
        <v>Duplicate order_id</v>
      </c>
      <c r="AO125" s="9" t="str">
        <f t="shared" si="15"/>
        <v>Review conflicting duplicate</v>
      </c>
      <c r="AP125" s="9">
        <f t="shared" si="16"/>
        <v>0</v>
      </c>
      <c r="AQ125" s="10">
        <f t="shared" si="17"/>
        <v>634.13</v>
      </c>
      <c r="AR125" s="10">
        <f t="shared" si="18"/>
        <v>180.77999999999997</v>
      </c>
      <c r="AS125" s="11">
        <f t="shared" si="19"/>
        <v>0.28508350022865969</v>
      </c>
      <c r="AT125" s="9">
        <f t="shared" si="20"/>
        <v>5</v>
      </c>
      <c r="AU125" s="9">
        <f t="shared" si="21"/>
        <v>2024</v>
      </c>
      <c r="AV125" s="9" t="b">
        <f t="shared" si="22"/>
        <v>0</v>
      </c>
      <c r="AW125" s="9" t="b">
        <f t="shared" si="23"/>
        <v>0</v>
      </c>
      <c r="AX125" s="9" t="str">
        <f t="shared" si="24"/>
        <v>No</v>
      </c>
      <c r="AY125" s="9" t="str">
        <f t="shared" si="27"/>
        <v>Refunded order summarized separately; Cancelled order excluded; Duplicate order ID conflict</v>
      </c>
      <c r="AZ125" s="9" t="str">
        <f>IF(OR(G125="Missing date",G125="Invalid date",G125="Ship date before order date",NOT(ISNUMBER(AP125)),AP125&lt;0,AP125&gt;0.5,AV125=TRUE,AW125=TRUE),"Invalid",IF(OR(O125="Unknown",Z125="Unknown",AC125="",AH125&lt;&gt;"Paid",AJ125&lt;&gt;"Completed",AO125&lt;&gt;""),"Warning","Clean"))</f>
        <v>Warning</v>
      </c>
    </row>
    <row r="126" spans="1:52" ht="15.75" customHeight="1">
      <c r="A126" s="6" t="s">
        <v>795</v>
      </c>
      <c r="B126" s="7" t="s">
        <v>126</v>
      </c>
      <c r="C126" s="7" t="str">
        <f t="shared" si="26"/>
        <v>2024-07</v>
      </c>
      <c r="D126" s="7" cm="1">
        <f t="array" ref="D126">_xlfn.LET(_xlpm.x,B126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45494</v>
      </c>
      <c r="E126" s="7" t="s">
        <v>796</v>
      </c>
      <c r="F126" s="7" cm="1">
        <f t="array" ref="F126">_xlfn.LET(_xlpm.x,E126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45497</v>
      </c>
      <c r="G126" s="8" t="str">
        <f t="shared" si="1"/>
        <v>OK</v>
      </c>
      <c r="H126" s="6">
        <f t="shared" si="2"/>
        <v>3</v>
      </c>
      <c r="I126" s="6" t="s">
        <v>797</v>
      </c>
      <c r="J126" s="6" t="s">
        <v>147</v>
      </c>
      <c r="K126" s="6" t="str">
        <f t="shared" si="3"/>
        <v>Isha Nair</v>
      </c>
      <c r="L126" s="6" t="s">
        <v>45</v>
      </c>
      <c r="M126" s="8" t="str">
        <f t="shared" si="4"/>
        <v>Corporate</v>
      </c>
      <c r="N126" s="6" t="s">
        <v>10</v>
      </c>
      <c r="O126" s="6" t="str">
        <f t="shared" si="5"/>
        <v>South</v>
      </c>
      <c r="P126" s="6" t="s">
        <v>303</v>
      </c>
      <c r="Q126" s="6" t="str">
        <f t="shared" si="6"/>
        <v>Karnataka</v>
      </c>
      <c r="R126" s="6" t="s">
        <v>304</v>
      </c>
      <c r="S126" s="6" t="str">
        <f t="shared" si="7"/>
        <v>Bengaluru</v>
      </c>
      <c r="T126" s="6" t="s">
        <v>27</v>
      </c>
      <c r="U126" s="8" t="str">
        <f t="shared" si="8"/>
        <v>Technology</v>
      </c>
      <c r="V126" s="6" t="s">
        <v>29</v>
      </c>
      <c r="W126" s="6" t="str">
        <f t="shared" si="9"/>
        <v>Copiers</v>
      </c>
      <c r="X126" s="6" t="s">
        <v>798</v>
      </c>
      <c r="Y126" s="6" t="s">
        <v>34</v>
      </c>
      <c r="Z126" s="6" t="str">
        <f t="shared" si="10"/>
        <v>Standard Class</v>
      </c>
      <c r="AA126" s="6">
        <v>9</v>
      </c>
      <c r="AB126" s="6">
        <v>465.06</v>
      </c>
      <c r="AC126" s="6">
        <v>-0.15</v>
      </c>
      <c r="AD126" s="6">
        <v>4185.54</v>
      </c>
      <c r="AE126" s="6">
        <v>3443.74</v>
      </c>
      <c r="AF126" s="6">
        <v>741.8</v>
      </c>
      <c r="AG126" s="6" t="s">
        <v>52</v>
      </c>
      <c r="AH126" s="6" t="str">
        <f t="shared" si="11"/>
        <v>Paid</v>
      </c>
      <c r="AI126" s="6" t="s">
        <v>799</v>
      </c>
      <c r="AJ126" s="6" t="str">
        <f t="shared" si="12"/>
        <v>Completed</v>
      </c>
      <c r="AK126" s="9" t="str">
        <f>_xlfn.TEXTJOIN("|",FALSE,A126,TEXT(B126,"mm-dd-yyyy"),TEXT(E126,"mm-dd-yyyy"),I126,J126,L126,N126,P126,R126,T126,V126,X126,Y126,AA126,AB126,AC126,AD126,AE126,AF126,AG126,AI126)</f>
        <v xml:space="preserve">ORD-2024-10125|07-21-2024|07-24-2024|CUST-4450|Isha Nair|Corporate|South|Karnataka|Bengaluru|Technology|Copiers|Pro Copiers 769|Standard Class|9|465.06|-0.15|4185.54|3443.74|741.8|Paid|Completed </v>
      </c>
      <c r="AL126" s="27" t="str">
        <f>IF(COUNTIF($AK$2:AK126,AK126)&gt;1,"Remove exact duplicate copy","Keep")</f>
        <v>Keep</v>
      </c>
      <c r="AM126" s="9">
        <f t="shared" si="13"/>
        <v>1</v>
      </c>
      <c r="AN126" s="9" t="str">
        <f t="shared" si="14"/>
        <v>Unique</v>
      </c>
      <c r="AO126" s="9" t="str">
        <f t="shared" si="15"/>
        <v/>
      </c>
      <c r="AP126" s="9">
        <f t="shared" si="16"/>
        <v>-0.15</v>
      </c>
      <c r="AQ126" s="10">
        <f t="shared" si="17"/>
        <v>4813.3709999999992</v>
      </c>
      <c r="AR126" s="10">
        <f t="shared" si="18"/>
        <v>1369.6309999999994</v>
      </c>
      <c r="AS126" s="11">
        <f t="shared" si="19"/>
        <v>0.28454715001191466</v>
      </c>
      <c r="AT126" s="9">
        <f t="shared" si="20"/>
        <v>7</v>
      </c>
      <c r="AU126" s="9">
        <f t="shared" si="21"/>
        <v>2024</v>
      </c>
      <c r="AV126" s="9" t="b">
        <f t="shared" si="22"/>
        <v>1</v>
      </c>
      <c r="AW126" s="9" t="b">
        <f t="shared" si="23"/>
        <v>1</v>
      </c>
      <c r="AX126" s="9" t="str">
        <f t="shared" si="24"/>
        <v>No</v>
      </c>
      <c r="AY126" s="9" t="str">
        <f t="shared" si="27"/>
        <v>Negative discount; Sales mismatch; Profit mismatch</v>
      </c>
      <c r="AZ126" s="9" t="str">
        <f>IF(OR(G126="Missing date",G126="Invalid date",G126="Ship date before order date",NOT(ISNUMBER(AP126)),AP126&lt;0,AP126&gt;0.5,AV126=TRUE,AW126=TRUE),"Invalid",IF(OR(O126="Unknown",Z126="Unknown",AC126="",AH126&lt;&gt;"Paid",AJ126&lt;&gt;"Completed",AO126&lt;&gt;""),"Warning","Clean"))</f>
        <v>Invalid</v>
      </c>
    </row>
    <row r="127" spans="1:52" ht="15.75" customHeight="1">
      <c r="A127" s="6" t="s">
        <v>800</v>
      </c>
      <c r="B127" s="7" t="s">
        <v>801</v>
      </c>
      <c r="C127" s="7" t="str">
        <f t="shared" si="26"/>
        <v>2025-07</v>
      </c>
      <c r="D127" s="7" cm="1">
        <f t="array" ref="D127">_xlfn.LET(_xlpm.x,B127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45855</v>
      </c>
      <c r="E127" s="7" t="s">
        <v>802</v>
      </c>
      <c r="F127" s="7" cm="1">
        <f t="array" ref="F127">_xlfn.LET(_xlpm.x,E127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45856</v>
      </c>
      <c r="G127" s="8" t="str">
        <f t="shared" si="1"/>
        <v>OK</v>
      </c>
      <c r="H127" s="6">
        <f t="shared" si="2"/>
        <v>1</v>
      </c>
      <c r="I127" s="6" t="s">
        <v>803</v>
      </c>
      <c r="J127" s="6" t="s">
        <v>177</v>
      </c>
      <c r="K127" s="6" t="str">
        <f t="shared" si="3"/>
        <v>Neha Gupta</v>
      </c>
      <c r="L127" s="6" t="s">
        <v>46</v>
      </c>
      <c r="M127" s="8" t="str">
        <f t="shared" si="4"/>
        <v>Small Business</v>
      </c>
      <c r="N127" s="6" t="s">
        <v>9</v>
      </c>
      <c r="O127" s="6" t="str">
        <f t="shared" si="5"/>
        <v>West</v>
      </c>
      <c r="P127" s="6" t="s">
        <v>131</v>
      </c>
      <c r="Q127" s="6" t="str">
        <f t="shared" si="6"/>
        <v>Rajasthan</v>
      </c>
      <c r="R127" s="6" t="s">
        <v>214</v>
      </c>
      <c r="S127" s="6" t="str">
        <f t="shared" si="7"/>
        <v>Udaipur</v>
      </c>
      <c r="T127" s="6" t="s">
        <v>14</v>
      </c>
      <c r="U127" s="8" t="str">
        <f t="shared" si="8"/>
        <v>Furniture</v>
      </c>
      <c r="V127" s="6" t="s">
        <v>18</v>
      </c>
      <c r="W127" s="6" t="str">
        <f t="shared" si="9"/>
        <v>Tables</v>
      </c>
      <c r="X127" s="6" t="s">
        <v>804</v>
      </c>
      <c r="Y127" s="6" t="s">
        <v>37</v>
      </c>
      <c r="Z127" s="6" t="str">
        <f t="shared" si="10"/>
        <v>Same Day</v>
      </c>
      <c r="AA127" s="6">
        <v>6</v>
      </c>
      <c r="AB127" s="6">
        <v>3235.27</v>
      </c>
      <c r="AC127" s="6">
        <v>0.25</v>
      </c>
      <c r="AD127" s="6">
        <v>14558.72</v>
      </c>
      <c r="AE127" s="6">
        <v>9591.48</v>
      </c>
      <c r="AF127" s="6">
        <v>4967.24</v>
      </c>
      <c r="AG127" s="6" t="s">
        <v>56</v>
      </c>
      <c r="AH127" s="6" t="str">
        <f t="shared" si="11"/>
        <v>Refunded</v>
      </c>
      <c r="AI127" s="6" t="s">
        <v>59</v>
      </c>
      <c r="AJ127" s="6" t="str">
        <f t="shared" si="12"/>
        <v>Returned</v>
      </c>
      <c r="AK127" s="9" t="str">
        <f>_xlfn.TEXTJOIN("|",FALSE,A127,TEXT(B127,"mm-dd-yyyy"),TEXT(E127,"mm-dd-yyyy"),I127,J127,L127,N127,P127,R127,T127,V127,X127,Y127,AA127,AB127,AC127,AD127,AE127,AF127,AG127,AI127)</f>
        <v>ORD-2025-10126|07-17-2025|18-07-2025|CUST-7924|Neha Gupta|Small Business|West|Rajasthan|Udaipur|Furniture|Tables|Basic Tables 753|Same Day|6|3235.27|0.25|14558.72|9591.48|4967.24|Refunded|Returned</v>
      </c>
      <c r="AL127" s="27" t="str">
        <f>IF(COUNTIF($AK$2:AK127,AK127)&gt;1,"Remove exact duplicate copy","Keep")</f>
        <v>Keep</v>
      </c>
      <c r="AM127" s="9">
        <f t="shared" si="13"/>
        <v>1</v>
      </c>
      <c r="AN127" s="9" t="str">
        <f t="shared" si="14"/>
        <v>Unique</v>
      </c>
      <c r="AO127" s="9" t="str">
        <f t="shared" si="15"/>
        <v/>
      </c>
      <c r="AP127" s="9">
        <f t="shared" si="16"/>
        <v>0.25</v>
      </c>
      <c r="AQ127" s="10">
        <f t="shared" si="17"/>
        <v>14558.715</v>
      </c>
      <c r="AR127" s="10">
        <f t="shared" si="18"/>
        <v>4967.2350000000006</v>
      </c>
      <c r="AS127" s="11">
        <f t="shared" si="19"/>
        <v>0.34118636157105903</v>
      </c>
      <c r="AT127" s="9">
        <f t="shared" si="20"/>
        <v>7</v>
      </c>
      <c r="AU127" s="9">
        <f t="shared" si="21"/>
        <v>2025</v>
      </c>
      <c r="AV127" s="9" t="b">
        <f t="shared" si="22"/>
        <v>0</v>
      </c>
      <c r="AW127" s="9" t="b">
        <f t="shared" si="23"/>
        <v>0</v>
      </c>
      <c r="AX127" s="9" t="str">
        <f t="shared" si="24"/>
        <v>No</v>
      </c>
      <c r="AY127" s="9" t="str">
        <f t="shared" si="27"/>
        <v>Refunded order summarized separately; Returned order excluded</v>
      </c>
      <c r="AZ127" s="9" t="str">
        <f>IF(OR(G127="Missing date",G127="Invalid date",G127="Ship date before order date",NOT(ISNUMBER(AP127)),AP127&lt;0,AP127&gt;0.5,AV127=TRUE,AW127=TRUE),"Invalid",IF(OR(O127="Unknown",Z127="Unknown",AC127="",AH127&lt;&gt;"Paid",AJ127&lt;&gt;"Completed",AO127&lt;&gt;""),"Warning","Clean"))</f>
        <v>Warning</v>
      </c>
    </row>
    <row r="128" spans="1:52" ht="15.75" customHeight="1">
      <c r="A128" s="6" t="s">
        <v>805</v>
      </c>
      <c r="B128" s="7" t="s">
        <v>806</v>
      </c>
      <c r="C128" s="7" t="str">
        <f t="shared" si="26"/>
        <v>2025-09</v>
      </c>
      <c r="D128" s="7" cm="1">
        <f t="array" ref="D128">_xlfn.LET(_xlpm.x,B128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45924</v>
      </c>
      <c r="E128" s="7" t="s">
        <v>807</v>
      </c>
      <c r="F128" s="7" cm="1">
        <f t="array" ref="F128">_xlfn.LET(_xlpm.x,E128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45926</v>
      </c>
      <c r="G128" s="8" t="str">
        <f t="shared" si="1"/>
        <v>OK</v>
      </c>
      <c r="H128" s="6">
        <f t="shared" si="2"/>
        <v>2</v>
      </c>
      <c r="I128" s="6" t="s">
        <v>808</v>
      </c>
      <c r="J128" s="6" t="s">
        <v>220</v>
      </c>
      <c r="K128" s="6" t="str">
        <f t="shared" si="3"/>
        <v>Priya Menon</v>
      </c>
      <c r="L128" s="6" t="s">
        <v>45</v>
      </c>
      <c r="M128" s="8" t="str">
        <f t="shared" si="4"/>
        <v>Corporate</v>
      </c>
      <c r="N128" s="6" t="s">
        <v>7</v>
      </c>
      <c r="O128" s="6" t="str">
        <f t="shared" si="5"/>
        <v>North</v>
      </c>
      <c r="P128" s="6" t="s">
        <v>583</v>
      </c>
      <c r="Q128" s="6" t="str">
        <f t="shared" si="6"/>
        <v>Delhi</v>
      </c>
      <c r="R128" s="6" t="s">
        <v>584</v>
      </c>
      <c r="S128" s="6" t="str">
        <f t="shared" si="7"/>
        <v>New Delhi</v>
      </c>
      <c r="T128" s="6" t="s">
        <v>27</v>
      </c>
      <c r="U128" s="8" t="str">
        <f t="shared" si="8"/>
        <v>Technology</v>
      </c>
      <c r="V128" s="6" t="s">
        <v>29</v>
      </c>
      <c r="W128" s="6" t="str">
        <f t="shared" si="9"/>
        <v>Copiers</v>
      </c>
      <c r="X128" s="6" t="s">
        <v>809</v>
      </c>
      <c r="Y128" s="6" t="s">
        <v>34</v>
      </c>
      <c r="Z128" s="6" t="str">
        <f t="shared" si="10"/>
        <v>Standard Class</v>
      </c>
      <c r="AA128" s="6">
        <v>3</v>
      </c>
      <c r="AB128" s="6">
        <v>1593.86</v>
      </c>
      <c r="AC128" s="6">
        <v>0.1</v>
      </c>
      <c r="AD128" s="6">
        <v>4303.42</v>
      </c>
      <c r="AE128" s="6">
        <v>2568.5700000000002</v>
      </c>
      <c r="AF128" s="6">
        <v>1734.85</v>
      </c>
      <c r="AG128" s="6" t="s">
        <v>52</v>
      </c>
      <c r="AH128" s="6" t="str">
        <f t="shared" si="11"/>
        <v>Paid</v>
      </c>
      <c r="AI128" s="6" t="s">
        <v>134</v>
      </c>
      <c r="AJ128" s="6" t="str">
        <f t="shared" si="12"/>
        <v>Completed</v>
      </c>
      <c r="AK128" s="9" t="str">
        <f>_xlfn.TEXTJOIN("|",FALSE,A128,TEXT(B128,"mm-dd-yyyy"),TEXT(E128,"mm-dd-yyyy"),I128,J128,L128,N128,P128,R128,T128,V128,X128,Y128,AA128,AB128,AC128,AD128,AE128,AF128,AG128,AI128)</f>
        <v>ORD-2025-10127|24-09-2025|09-26-2025|CUST-1715|Priya Menon|Corporate|North|Delhi|New Delhi|Technology|Copiers|Prime Copiers 651|Standard Class|3|1593.86|0.1|4303.42|2568.57|1734.85|Paid|Completed</v>
      </c>
      <c r="AL128" s="27" t="str">
        <f>IF(COUNTIF($AK$2:AK128,AK128)&gt;1,"Remove exact duplicate copy","Keep")</f>
        <v>Keep</v>
      </c>
      <c r="AM128" s="9">
        <f t="shared" si="13"/>
        <v>1</v>
      </c>
      <c r="AN128" s="9" t="str">
        <f t="shared" si="14"/>
        <v>Unique</v>
      </c>
      <c r="AO128" s="9" t="str">
        <f t="shared" si="15"/>
        <v/>
      </c>
      <c r="AP128" s="9">
        <f t="shared" si="16"/>
        <v>0.1</v>
      </c>
      <c r="AQ128" s="10">
        <f t="shared" si="17"/>
        <v>4303.4220000000005</v>
      </c>
      <c r="AR128" s="10">
        <f t="shared" si="18"/>
        <v>1734.8520000000003</v>
      </c>
      <c r="AS128" s="11">
        <f t="shared" si="19"/>
        <v>0.40313313451481175</v>
      </c>
      <c r="AT128" s="9">
        <f t="shared" si="20"/>
        <v>9</v>
      </c>
      <c r="AU128" s="9">
        <f t="shared" si="21"/>
        <v>2025</v>
      </c>
      <c r="AV128" s="9" t="b">
        <f t="shared" si="22"/>
        <v>0</v>
      </c>
      <c r="AW128" s="9" t="b">
        <f t="shared" si="23"/>
        <v>0</v>
      </c>
      <c r="AX128" s="9" t="str">
        <f t="shared" si="24"/>
        <v>Yes</v>
      </c>
      <c r="AY128" s="9" t="str">
        <f t="shared" si="27"/>
        <v/>
      </c>
      <c r="AZ128" s="9" t="str">
        <f>IF(OR(G128="Missing date",G128="Invalid date",G128="Ship date before order date",NOT(ISNUMBER(AP128)),AP128&lt;0,AP128&gt;0.5,AV128=TRUE,AW128=TRUE),"Invalid",IF(OR(O128="Unknown",Z128="Unknown",AC128="",AH128&lt;&gt;"Paid",AJ128&lt;&gt;"Completed",AO128&lt;&gt;""),"Warning","Clean"))</f>
        <v>Clean</v>
      </c>
    </row>
    <row r="129" spans="1:52" ht="15.75" customHeight="1">
      <c r="A129" s="6" t="s">
        <v>810</v>
      </c>
      <c r="B129" s="7" t="s">
        <v>268</v>
      </c>
      <c r="C129" s="7" t="str">
        <f t="shared" si="26"/>
        <v>2025-01</v>
      </c>
      <c r="D129" s="7" cm="1">
        <f t="array" ref="D129">_xlfn.LET(_xlpm.x,B129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45687</v>
      </c>
      <c r="E129" s="7" t="s">
        <v>811</v>
      </c>
      <c r="F129" s="7" cm="1">
        <f t="array" ref="F129">_xlfn.LET(_xlpm.x,E129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45683</v>
      </c>
      <c r="G129" s="8" t="str">
        <f t="shared" si="1"/>
        <v>Ship date before order date</v>
      </c>
      <c r="H129" s="6">
        <f t="shared" si="2"/>
        <v>-4</v>
      </c>
      <c r="I129" s="6" t="s">
        <v>812</v>
      </c>
      <c r="J129" s="6" t="s">
        <v>220</v>
      </c>
      <c r="K129" s="6" t="str">
        <f t="shared" si="3"/>
        <v>Priya Menon</v>
      </c>
      <c r="L129" s="6" t="s">
        <v>45</v>
      </c>
      <c r="M129" s="8" t="str">
        <f t="shared" si="4"/>
        <v>Corporate</v>
      </c>
      <c r="N129" s="6" t="s">
        <v>9</v>
      </c>
      <c r="O129" s="6" t="str">
        <f t="shared" si="5"/>
        <v>West</v>
      </c>
      <c r="P129" s="6" t="s">
        <v>170</v>
      </c>
      <c r="Q129" s="6" t="str">
        <f t="shared" si="6"/>
        <v>Madhya Pradesh</v>
      </c>
      <c r="R129" s="6" t="s">
        <v>171</v>
      </c>
      <c r="S129" s="6" t="str">
        <f t="shared" si="7"/>
        <v>Indore</v>
      </c>
      <c r="T129" s="6" t="s">
        <v>20</v>
      </c>
      <c r="U129" s="8" t="str">
        <f t="shared" si="8"/>
        <v>Office Supplies</v>
      </c>
      <c r="V129" s="6" t="s">
        <v>25</v>
      </c>
      <c r="W129" s="6" t="str">
        <f t="shared" si="9"/>
        <v>Storage</v>
      </c>
      <c r="X129" s="6" t="s">
        <v>813</v>
      </c>
      <c r="Y129" s="6" t="s">
        <v>36</v>
      </c>
      <c r="Z129" s="6" t="str">
        <f t="shared" si="10"/>
        <v>Second Class</v>
      </c>
      <c r="AA129" s="6">
        <v>2</v>
      </c>
      <c r="AB129" s="6">
        <v>3039.3</v>
      </c>
      <c r="AC129" s="6">
        <v>0.05</v>
      </c>
      <c r="AD129" s="6">
        <v>5774.67</v>
      </c>
      <c r="AE129" s="6">
        <v>3518.36</v>
      </c>
      <c r="AF129" s="6">
        <v>2256.31</v>
      </c>
      <c r="AG129" s="6" t="s">
        <v>52</v>
      </c>
      <c r="AH129" s="6" t="str">
        <f t="shared" si="11"/>
        <v>Paid</v>
      </c>
      <c r="AI129" s="6" t="s">
        <v>134</v>
      </c>
      <c r="AJ129" s="6" t="str">
        <f t="shared" si="12"/>
        <v>Completed</v>
      </c>
      <c r="AK129" s="9" t="str">
        <f>_xlfn.TEXTJOIN("|",FALSE,A129,TEXT(B129,"mm-dd-yyyy"),TEXT(E129,"mm-dd-yyyy"),I129,J129,L129,N129,P129,R129,T129,V129,X129,Y129,AA129,AB129,AC129,AD129,AE129,AF129,AG129,AI129)</f>
        <v>ORD-2025-10128|01-30-2025|26-01-2025|CUST-6802|Priya Menon|Corporate|West|Madhya Pradesh|Indore|Office Supplies|Storage|Basic Storage 321|Second Class|2|3039.3|0.05|5774.67|3518.36|2256.31|Paid|Completed</v>
      </c>
      <c r="AL129" s="27" t="str">
        <f>IF(COUNTIF($AK$2:AK129,AK129)&gt;1,"Remove exact duplicate copy","Keep")</f>
        <v>Keep</v>
      </c>
      <c r="AM129" s="9">
        <f t="shared" si="13"/>
        <v>1</v>
      </c>
      <c r="AN129" s="9" t="str">
        <f t="shared" si="14"/>
        <v>Unique</v>
      </c>
      <c r="AO129" s="9" t="str">
        <f t="shared" si="15"/>
        <v/>
      </c>
      <c r="AP129" s="9">
        <f t="shared" si="16"/>
        <v>0.05</v>
      </c>
      <c r="AQ129" s="10">
        <f t="shared" si="17"/>
        <v>5774.67</v>
      </c>
      <c r="AR129" s="10">
        <f t="shared" si="18"/>
        <v>2256.31</v>
      </c>
      <c r="AS129" s="11">
        <f t="shared" si="19"/>
        <v>0.39072535746631409</v>
      </c>
      <c r="AT129" s="9">
        <f t="shared" si="20"/>
        <v>1</v>
      </c>
      <c r="AU129" s="9">
        <f t="shared" si="21"/>
        <v>2025</v>
      </c>
      <c r="AV129" s="9" t="b">
        <f t="shared" si="22"/>
        <v>0</v>
      </c>
      <c r="AW129" s="9" t="b">
        <f t="shared" si="23"/>
        <v>0</v>
      </c>
      <c r="AX129" s="9" t="str">
        <f t="shared" si="24"/>
        <v>No</v>
      </c>
      <c r="AY129" s="9" t="str">
        <f t="shared" si="27"/>
        <v>Ship date before order date</v>
      </c>
      <c r="AZ129" s="9" t="str">
        <f>IF(OR(G129="Missing date",G129="Invalid date",G129="Ship date before order date",NOT(ISNUMBER(AP129)),AP129&lt;0,AP129&gt;0.5,AV129=TRUE,AW129=TRUE),"Invalid",IF(OR(O129="Unknown",Z129="Unknown",AC129="",AH129&lt;&gt;"Paid",AJ129&lt;&gt;"Completed",AO129&lt;&gt;""),"Warning","Clean"))</f>
        <v>Invalid</v>
      </c>
    </row>
    <row r="130" spans="1:52" ht="15.75" customHeight="1">
      <c r="A130" s="6" t="s">
        <v>814</v>
      </c>
      <c r="B130" s="7" t="s">
        <v>815</v>
      </c>
      <c r="C130" s="7" t="str">
        <f t="shared" ref="C130:C193" si="28">TEXT(D130, "yyyy-mm")</f>
        <v>2024-12</v>
      </c>
      <c r="D130" s="7" cm="1">
        <f t="array" ref="D130">_xlfn.LET(_xlpm.x,B130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45639</v>
      </c>
      <c r="E130" s="7" t="s">
        <v>816</v>
      </c>
      <c r="F130" s="7" cm="1">
        <f t="array" ref="F130">_xlfn.LET(_xlpm.x,E130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45642</v>
      </c>
      <c r="G130" s="8" t="str">
        <f t="shared" si="1"/>
        <v>OK</v>
      </c>
      <c r="H130" s="6">
        <f t="shared" si="2"/>
        <v>3</v>
      </c>
      <c r="I130" s="6" t="s">
        <v>817</v>
      </c>
      <c r="J130" s="6" t="s">
        <v>177</v>
      </c>
      <c r="K130" s="6" t="str">
        <f t="shared" si="3"/>
        <v>Neha Gupta</v>
      </c>
      <c r="L130" s="6" t="s">
        <v>46</v>
      </c>
      <c r="M130" s="8" t="str">
        <f t="shared" si="4"/>
        <v>Small Business</v>
      </c>
      <c r="N130" s="6" t="s">
        <v>8</v>
      </c>
      <c r="O130" s="6" t="str">
        <f t="shared" si="5"/>
        <v>East</v>
      </c>
      <c r="P130" s="6" t="s">
        <v>140</v>
      </c>
      <c r="Q130" s="6" t="str">
        <f t="shared" si="6"/>
        <v>Odisha</v>
      </c>
      <c r="R130" s="6" t="s">
        <v>141</v>
      </c>
      <c r="S130" s="6" t="str">
        <f t="shared" si="7"/>
        <v>Bhubaneswar</v>
      </c>
      <c r="T130" s="6" t="s">
        <v>14</v>
      </c>
      <c r="U130" s="8" t="str">
        <f t="shared" si="8"/>
        <v>Furniture</v>
      </c>
      <c r="V130" s="6" t="s">
        <v>17</v>
      </c>
      <c r="W130" s="6" t="str">
        <f t="shared" si="9"/>
        <v>Furnishings</v>
      </c>
      <c r="X130" s="6" t="s">
        <v>818</v>
      </c>
      <c r="Y130" s="6" t="s">
        <v>34</v>
      </c>
      <c r="Z130" s="6" t="str">
        <f t="shared" si="10"/>
        <v>Standard Class</v>
      </c>
      <c r="AA130" s="6">
        <v>5</v>
      </c>
      <c r="AB130" s="6">
        <v>923.45</v>
      </c>
      <c r="AC130" s="6">
        <v>0.05</v>
      </c>
      <c r="AD130" s="6">
        <v>4386.3900000000003</v>
      </c>
      <c r="AE130" s="6">
        <v>3366.88</v>
      </c>
      <c r="AF130" s="6">
        <v>1019.51</v>
      </c>
      <c r="AG130" s="6" t="s">
        <v>52</v>
      </c>
      <c r="AH130" s="6" t="str">
        <f t="shared" si="11"/>
        <v>Paid</v>
      </c>
      <c r="AI130" s="6" t="s">
        <v>59</v>
      </c>
      <c r="AJ130" s="6" t="str">
        <f t="shared" si="12"/>
        <v>Returned</v>
      </c>
      <c r="AK130" s="9" t="str">
        <f>_xlfn.TEXTJOIN("|",FALSE,A130,TEXT(B130,"mm-dd-yyyy"),TEXT(E130,"mm-dd-yyyy"),I130,J130,L130,N130,P130,R130,T130,V130,X130,Y130,AA130,AB130,AC130,AD130,AE130,AF130,AG130,AI130)</f>
        <v>ORD-2024-10129|12-13-2024|12-16-2024|CUST-9328|Neha Gupta|Small Business|East|Odisha|Bhubaneswar|Furniture|Furnishings|Prime Furnishings 710|Standard Class|5|923.45|0.05|4386.39|3366.88|1019.51|Paid|Returned</v>
      </c>
      <c r="AL130" s="27" t="str">
        <f>IF(COUNTIF($AK$2:AK130,AK130)&gt;1,"Remove exact duplicate copy","Keep")</f>
        <v>Keep</v>
      </c>
      <c r="AM130" s="9">
        <f t="shared" si="13"/>
        <v>1</v>
      </c>
      <c r="AN130" s="9" t="str">
        <f t="shared" si="14"/>
        <v>Unique</v>
      </c>
      <c r="AO130" s="9" t="str">
        <f t="shared" si="15"/>
        <v/>
      </c>
      <c r="AP130" s="9">
        <f t="shared" si="16"/>
        <v>0.05</v>
      </c>
      <c r="AQ130" s="10">
        <f t="shared" si="17"/>
        <v>4386.3874999999998</v>
      </c>
      <c r="AR130" s="10">
        <f t="shared" si="18"/>
        <v>1019.5074999999997</v>
      </c>
      <c r="AS130" s="11">
        <f t="shared" si="19"/>
        <v>0.2324253158208206</v>
      </c>
      <c r="AT130" s="9">
        <f t="shared" si="20"/>
        <v>12</v>
      </c>
      <c r="AU130" s="9">
        <f t="shared" si="21"/>
        <v>2024</v>
      </c>
      <c r="AV130" s="9" t="b">
        <f t="shared" si="22"/>
        <v>0</v>
      </c>
      <c r="AW130" s="9" t="b">
        <f t="shared" si="23"/>
        <v>0</v>
      </c>
      <c r="AX130" s="9" t="str">
        <f t="shared" si="24"/>
        <v>No</v>
      </c>
      <c r="AY130" s="9" t="str">
        <f t="shared" si="27"/>
        <v>Returned order excluded</v>
      </c>
      <c r="AZ130" s="9" t="str">
        <f>IF(OR(G130="Missing date",G130="Invalid date",G130="Ship date before order date",NOT(ISNUMBER(AP130)),AP130&lt;0,AP130&gt;0.5,AV130=TRUE,AW130=TRUE),"Invalid",IF(OR(O130="Unknown",Z130="Unknown",AC130="",AH130&lt;&gt;"Paid",AJ130&lt;&gt;"Completed",AO130&lt;&gt;""),"Warning","Clean"))</f>
        <v>Warning</v>
      </c>
    </row>
    <row r="131" spans="1:52" ht="15.75" customHeight="1">
      <c r="A131" s="6" t="s">
        <v>819</v>
      </c>
      <c r="B131" s="7" t="s">
        <v>481</v>
      </c>
      <c r="C131" s="7" t="str">
        <f t="shared" si="28"/>
        <v>2024-07</v>
      </c>
      <c r="D131" s="7" cm="1">
        <f t="array" ref="D131">_xlfn.LET(_xlpm.x,B131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45492</v>
      </c>
      <c r="E131" s="7" t="s">
        <v>820</v>
      </c>
      <c r="F131" s="7" cm="1">
        <f t="array" ref="F131">_xlfn.LET(_xlpm.x,E131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45498</v>
      </c>
      <c r="G131" s="8" t="str">
        <f t="shared" si="1"/>
        <v>OK</v>
      </c>
      <c r="H131" s="6">
        <f t="shared" si="2"/>
        <v>6</v>
      </c>
      <c r="I131" s="6" t="s">
        <v>821</v>
      </c>
      <c r="J131" s="6" t="s">
        <v>147</v>
      </c>
      <c r="K131" s="6" t="str">
        <f t="shared" si="3"/>
        <v>Isha Nair</v>
      </c>
      <c r="L131" s="6" t="s">
        <v>46</v>
      </c>
      <c r="M131" s="8" t="str">
        <f t="shared" si="4"/>
        <v>Small Business</v>
      </c>
      <c r="N131" s="6" t="s">
        <v>9</v>
      </c>
      <c r="O131" s="6" t="str">
        <f t="shared" si="5"/>
        <v>West</v>
      </c>
      <c r="P131" s="6" t="s">
        <v>323</v>
      </c>
      <c r="Q131" s="6" t="str">
        <f t="shared" si="6"/>
        <v>Goa</v>
      </c>
      <c r="R131" s="6" t="s">
        <v>324</v>
      </c>
      <c r="S131" s="6" t="str">
        <f t="shared" si="7"/>
        <v>Panaji</v>
      </c>
      <c r="T131" s="6" t="s">
        <v>20</v>
      </c>
      <c r="U131" s="8" t="str">
        <f t="shared" si="8"/>
        <v>Office Supplies</v>
      </c>
      <c r="V131" s="6" t="s">
        <v>22</v>
      </c>
      <c r="W131" s="6" t="str">
        <f t="shared" si="9"/>
        <v>Binders</v>
      </c>
      <c r="X131" s="6" t="s">
        <v>822</v>
      </c>
      <c r="Y131" s="6" t="s">
        <v>34</v>
      </c>
      <c r="Z131" s="6" t="str">
        <f t="shared" si="10"/>
        <v>Standard Class</v>
      </c>
      <c r="AA131" s="6">
        <v>7</v>
      </c>
      <c r="AB131" s="6">
        <v>2741.29</v>
      </c>
      <c r="AC131" s="6">
        <v>0.05</v>
      </c>
      <c r="AD131" s="6">
        <v>18229.580000000002</v>
      </c>
      <c r="AE131" s="6">
        <v>15139.15</v>
      </c>
      <c r="AF131" s="6">
        <v>3090.43</v>
      </c>
      <c r="AG131" s="6" t="s">
        <v>52</v>
      </c>
      <c r="AH131" s="6" t="str">
        <f t="shared" si="11"/>
        <v>Paid</v>
      </c>
      <c r="AI131" s="6" t="s">
        <v>134</v>
      </c>
      <c r="AJ131" s="6" t="str">
        <f t="shared" si="12"/>
        <v>Completed</v>
      </c>
      <c r="AK131" s="9" t="str">
        <f>_xlfn.TEXTJOIN("|",FALSE,A131,TEXT(B131,"mm-dd-yyyy"),TEXT(E131,"mm-dd-yyyy"),I131,J131,L131,N131,P131,R131,T131,V131,X131,Y131,AA131,AB131,AC131,AD131,AE131,AF131,AG131,AI131)</f>
        <v>ORD-2024-10130|07-19-2024|25-07-2024|CUST-2588|Isha Nair|Small Business|West|Goa|Panaji|Office Supplies|Binders|Elite Binders 723|Standard Class|7|2741.29|0.05|18229.58|15139.15|3090.43|Paid|Completed</v>
      </c>
      <c r="AL131" s="27" t="str">
        <f>IF(COUNTIF($AK$2:AK131,AK131)&gt;1,"Remove exact duplicate copy","Keep")</f>
        <v>Keep</v>
      </c>
      <c r="AM131" s="9">
        <f t="shared" si="13"/>
        <v>1</v>
      </c>
      <c r="AN131" s="9" t="str">
        <f t="shared" si="14"/>
        <v>Unique</v>
      </c>
      <c r="AO131" s="9" t="str">
        <f t="shared" si="15"/>
        <v/>
      </c>
      <c r="AP131" s="9">
        <f t="shared" si="16"/>
        <v>0.05</v>
      </c>
      <c r="AQ131" s="10">
        <f t="shared" si="17"/>
        <v>18229.5785</v>
      </c>
      <c r="AR131" s="10">
        <f t="shared" si="18"/>
        <v>3090.4285</v>
      </c>
      <c r="AS131" s="11">
        <f t="shared" si="19"/>
        <v>0.16952824773211295</v>
      </c>
      <c r="AT131" s="9">
        <f t="shared" si="20"/>
        <v>7</v>
      </c>
      <c r="AU131" s="9">
        <f t="shared" si="21"/>
        <v>2024</v>
      </c>
      <c r="AV131" s="9" t="b">
        <f t="shared" si="22"/>
        <v>0</v>
      </c>
      <c r="AW131" s="9" t="b">
        <f t="shared" si="23"/>
        <v>0</v>
      </c>
      <c r="AX131" s="9" t="str">
        <f t="shared" si="24"/>
        <v>Yes</v>
      </c>
      <c r="AY131" s="9" t="str">
        <f t="shared" ref="AY131:AY194" si="29">_xlfn.TEXTJOIN("; ",TRUE,IF(O131="Unknown","Missing region filled as Unknown",""),IF(Z131="Unknown","Missing ship mode filled as Unknown",""),IF(AND(AC131="",AP131=0),"Missing discount treated as 0",""),IF(AP131&lt;0,"Negative discount",""),IF(AP131&gt;0.5,"Discount above 50%",""),IF(G131="Ship date before order date","Ship date before order date",""),IF(AH131="Failed","Failed payment excluded",""),IF(AH131="Refunded","Refunded order summarized separately",""),IF(AJ131="Cancelled","Cancelled order excluded",""),IF(AJ131="Returned","Returned order excluded",""),IF(AO131&lt;&gt;"","Duplicate order ID conflict",""),IF(AV131=TRUE,"Sales mismatch",""),IF(AW131=TRUE,"Profit mismatch",""))</f>
        <v/>
      </c>
      <c r="AZ131" s="9" t="str">
        <f>IF(OR(G131="Missing date",G131="Invalid date",G131="Ship date before order date",NOT(ISNUMBER(AP131)),AP131&lt;0,AP131&gt;0.5,AV131=TRUE,AW131=TRUE),"Invalid",IF(OR(O131="Unknown",Z131="Unknown",AC131="",AH131&lt;&gt;"Paid",AJ131&lt;&gt;"Completed",AO131&lt;&gt;""),"Warning","Clean"))</f>
        <v>Clean</v>
      </c>
    </row>
    <row r="132" spans="1:52" ht="15.75" customHeight="1">
      <c r="A132" s="6" t="s">
        <v>823</v>
      </c>
      <c r="B132" s="7" t="s">
        <v>824</v>
      </c>
      <c r="C132" s="7" t="str">
        <f t="shared" si="28"/>
        <v>2024-01</v>
      </c>
      <c r="D132" s="7" cm="1">
        <f t="array" ref="D132">_xlfn.LET(_xlpm.x,B132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45318</v>
      </c>
      <c r="E132" s="7" t="s">
        <v>825</v>
      </c>
      <c r="F132" s="7" cm="1">
        <f t="array" ref="F132">_xlfn.LET(_xlpm.x,E132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45324</v>
      </c>
      <c r="G132" s="8" t="str">
        <f t="shared" si="1"/>
        <v>OK</v>
      </c>
      <c r="H132" s="6">
        <f t="shared" si="2"/>
        <v>6</v>
      </c>
      <c r="I132" s="6" t="s">
        <v>826</v>
      </c>
      <c r="J132" s="6" t="s">
        <v>153</v>
      </c>
      <c r="K132" s="6" t="str">
        <f t="shared" si="3"/>
        <v>Arjun Bose</v>
      </c>
      <c r="L132" s="6" t="s">
        <v>43</v>
      </c>
      <c r="M132" s="8" t="str">
        <f t="shared" si="4"/>
        <v>Consumer</v>
      </c>
      <c r="N132" s="6" t="s">
        <v>9</v>
      </c>
      <c r="O132" s="6" t="str">
        <f t="shared" si="5"/>
        <v>West</v>
      </c>
      <c r="P132" s="6" t="s">
        <v>309</v>
      </c>
      <c r="Q132" s="6" t="str">
        <f t="shared" si="6"/>
        <v>Gujarat</v>
      </c>
      <c r="R132" s="6" t="s">
        <v>310</v>
      </c>
      <c r="S132" s="6" t="str">
        <f t="shared" si="7"/>
        <v>Ahmedabad</v>
      </c>
      <c r="T132" s="6" t="s">
        <v>20</v>
      </c>
      <c r="U132" s="8" t="str">
        <f t="shared" si="8"/>
        <v>Office Supplies</v>
      </c>
      <c r="V132" s="6" t="s">
        <v>23</v>
      </c>
      <c r="W132" s="6" t="str">
        <f t="shared" si="9"/>
        <v>Labels</v>
      </c>
      <c r="X132" s="6" t="s">
        <v>827</v>
      </c>
      <c r="Y132" s="6" t="s">
        <v>37</v>
      </c>
      <c r="Z132" s="6" t="str">
        <f t="shared" si="10"/>
        <v>Same Day</v>
      </c>
      <c r="AA132" s="6">
        <v>5</v>
      </c>
      <c r="AB132" s="6">
        <v>218.42</v>
      </c>
      <c r="AC132" s="6">
        <v>0.2</v>
      </c>
      <c r="AD132" s="6">
        <v>873.68</v>
      </c>
      <c r="AE132" s="6">
        <v>661.72</v>
      </c>
      <c r="AF132" s="6">
        <v>211.96</v>
      </c>
      <c r="AG132" s="6" t="s">
        <v>54</v>
      </c>
      <c r="AH132" s="6" t="str">
        <f t="shared" si="11"/>
        <v>Pending</v>
      </c>
      <c r="AI132" s="6" t="s">
        <v>58</v>
      </c>
      <c r="AJ132" s="6" t="str">
        <f t="shared" si="12"/>
        <v>Cancelled</v>
      </c>
      <c r="AK132" s="9" t="str">
        <f>_xlfn.TEXTJOIN("|",FALSE,A132,TEXT(B132,"mm-dd-yyyy"),TEXT(E132,"mm-dd-yyyy"),I132,J132,L132,N132,P132,R132,T132,V132,X132,Y132,AA132,AB132,AC132,AD132,AE132,AF132,AG132,AI132)</f>
        <v>ORD-2024-10131|01-27-2024|02-02-2024|CUST-5435|Arjun Bose|Consumer|West|Gujarat|Ahmedabad|Office Supplies|Labels|Smart Labels 878|Same Day|5|218.42|0.2|873.68|661.72|211.96|Pending|Cancelled</v>
      </c>
      <c r="AL132" s="27" t="str">
        <f>IF(COUNTIF($AK$2:AK132,AK132)&gt;1,"Remove exact duplicate copy","Keep")</f>
        <v>Keep</v>
      </c>
      <c r="AM132" s="9">
        <f t="shared" si="13"/>
        <v>1</v>
      </c>
      <c r="AN132" s="9" t="str">
        <f t="shared" si="14"/>
        <v>Unique</v>
      </c>
      <c r="AO132" s="9" t="str">
        <f t="shared" si="15"/>
        <v/>
      </c>
      <c r="AP132" s="9">
        <f t="shared" si="16"/>
        <v>0.2</v>
      </c>
      <c r="AQ132" s="10">
        <f t="shared" si="17"/>
        <v>873.68</v>
      </c>
      <c r="AR132" s="10">
        <f t="shared" si="18"/>
        <v>211.95999999999992</v>
      </c>
      <c r="AS132" s="11">
        <f t="shared" si="19"/>
        <v>0.24260598846259493</v>
      </c>
      <c r="AT132" s="9">
        <f t="shared" si="20"/>
        <v>1</v>
      </c>
      <c r="AU132" s="9">
        <f t="shared" si="21"/>
        <v>2024</v>
      </c>
      <c r="AV132" s="9" t="b">
        <f t="shared" si="22"/>
        <v>0</v>
      </c>
      <c r="AW132" s="9" t="b">
        <f t="shared" si="23"/>
        <v>0</v>
      </c>
      <c r="AX132" s="9" t="str">
        <f t="shared" si="24"/>
        <v>No</v>
      </c>
      <c r="AY132" s="9" t="str">
        <f t="shared" si="29"/>
        <v>Cancelled order excluded</v>
      </c>
      <c r="AZ132" s="9" t="str">
        <f>IF(OR(G132="Missing date",G132="Invalid date",G132="Ship date before order date",NOT(ISNUMBER(AP132)),AP132&lt;0,AP132&gt;0.5,AV132=TRUE,AW132=TRUE),"Invalid",IF(OR(O132="Unknown",Z132="Unknown",AC132="",AH132&lt;&gt;"Paid",AJ132&lt;&gt;"Completed",AO132&lt;&gt;""),"Warning","Clean"))</f>
        <v>Warning</v>
      </c>
    </row>
    <row r="133" spans="1:52" ht="15.75" customHeight="1">
      <c r="A133" s="6" t="s">
        <v>828</v>
      </c>
      <c r="B133" s="7" t="s">
        <v>829</v>
      </c>
      <c r="C133" s="7" t="str">
        <f t="shared" si="28"/>
        <v>2025-09</v>
      </c>
      <c r="D133" s="7" cm="1">
        <f t="array" ref="D133">_xlfn.LET(_xlpm.x,B133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45929</v>
      </c>
      <c r="E133" s="7" t="s">
        <v>830</v>
      </c>
      <c r="F133" s="7" cm="1">
        <f t="array" ref="F133">_xlfn.LET(_xlpm.x,E133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45934</v>
      </c>
      <c r="G133" s="8" t="str">
        <f t="shared" si="1"/>
        <v>OK</v>
      </c>
      <c r="H133" s="6">
        <f t="shared" si="2"/>
        <v>5</v>
      </c>
      <c r="I133" s="6" t="s">
        <v>831</v>
      </c>
      <c r="J133" s="6" t="s">
        <v>161</v>
      </c>
      <c r="K133" s="6" t="str">
        <f t="shared" si="3"/>
        <v>Ananya Rao</v>
      </c>
      <c r="L133" s="6" t="s">
        <v>44</v>
      </c>
      <c r="M133" s="8" t="str">
        <f t="shared" si="4"/>
        <v>Home Office</v>
      </c>
      <c r="N133" s="6" t="s">
        <v>8</v>
      </c>
      <c r="O133" s="6" t="str">
        <f t="shared" si="5"/>
        <v>East</v>
      </c>
      <c r="P133" s="6" t="s">
        <v>385</v>
      </c>
      <c r="Q133" s="6" t="str">
        <f t="shared" si="6"/>
        <v>Jharkhand</v>
      </c>
      <c r="R133" s="6" t="s">
        <v>386</v>
      </c>
      <c r="S133" s="6" t="str">
        <f t="shared" si="7"/>
        <v>Ranchi</v>
      </c>
      <c r="T133" s="6" t="s">
        <v>20</v>
      </c>
      <c r="U133" s="8" t="str">
        <f t="shared" si="8"/>
        <v>Office Supplies</v>
      </c>
      <c r="V133" s="6" t="s">
        <v>24</v>
      </c>
      <c r="W133" s="6" t="str">
        <f t="shared" si="9"/>
        <v>Paper</v>
      </c>
      <c r="X133" s="6" t="s">
        <v>832</v>
      </c>
      <c r="Y133" s="6" t="s">
        <v>37</v>
      </c>
      <c r="Z133" s="6" t="str">
        <f t="shared" si="10"/>
        <v>Same Day</v>
      </c>
      <c r="AA133" s="6">
        <v>9</v>
      </c>
      <c r="AB133" s="6">
        <v>373.91</v>
      </c>
      <c r="AC133" s="6">
        <v>0.2</v>
      </c>
      <c r="AD133" s="6">
        <v>2692.15</v>
      </c>
      <c r="AE133" s="6">
        <v>2044.49</v>
      </c>
      <c r="AF133" s="6">
        <v>647.66</v>
      </c>
      <c r="AG133" s="6" t="s">
        <v>52</v>
      </c>
      <c r="AH133" s="6" t="str">
        <f t="shared" si="11"/>
        <v>Paid</v>
      </c>
      <c r="AI133" s="6" t="s">
        <v>134</v>
      </c>
      <c r="AJ133" s="6" t="str">
        <f t="shared" si="12"/>
        <v>Completed</v>
      </c>
      <c r="AK133" s="9" t="str">
        <f>_xlfn.TEXTJOIN("|",FALSE,A133,TEXT(B133,"mm-dd-yyyy"),TEXT(E133,"mm-dd-yyyy"),I133,J133,L133,N133,P133,R133,T133,V133,X133,Y133,AA133,AB133,AC133,AD133,AE133,AF133,AG133,AI133)</f>
        <v>ORD-2025-10132|09-29-2025|10-04-2025|CUST-7637|Ananya Rao|Home Office|East|Jharkhand|Ranchi|Office Supplies|Paper|Pro Paper 934|Same Day|9|373.91|0.2|2692.15|2044.49|647.66|Paid|Completed</v>
      </c>
      <c r="AL133" s="27" t="str">
        <f>IF(COUNTIF($AK$2:AK133,AK133)&gt;1,"Remove exact duplicate copy","Keep")</f>
        <v>Keep</v>
      </c>
      <c r="AM133" s="9">
        <f t="shared" si="13"/>
        <v>1</v>
      </c>
      <c r="AN133" s="9" t="str">
        <f t="shared" si="14"/>
        <v>Unique</v>
      </c>
      <c r="AO133" s="9" t="str">
        <f t="shared" si="15"/>
        <v/>
      </c>
      <c r="AP133" s="9">
        <f t="shared" si="16"/>
        <v>0.2</v>
      </c>
      <c r="AQ133" s="10">
        <f t="shared" si="17"/>
        <v>2692.152</v>
      </c>
      <c r="AR133" s="10">
        <f t="shared" si="18"/>
        <v>647.66200000000003</v>
      </c>
      <c r="AS133" s="11">
        <f t="shared" si="19"/>
        <v>0.24057408348414205</v>
      </c>
      <c r="AT133" s="9">
        <f t="shared" si="20"/>
        <v>9</v>
      </c>
      <c r="AU133" s="9">
        <f t="shared" si="21"/>
        <v>2025</v>
      </c>
      <c r="AV133" s="9" t="b">
        <f t="shared" si="22"/>
        <v>0</v>
      </c>
      <c r="AW133" s="9" t="b">
        <f t="shared" si="23"/>
        <v>0</v>
      </c>
      <c r="AX133" s="9" t="str">
        <f t="shared" si="24"/>
        <v>Yes</v>
      </c>
      <c r="AY133" s="9" t="str">
        <f t="shared" si="29"/>
        <v/>
      </c>
      <c r="AZ133" s="9" t="str">
        <f>IF(OR(G133="Missing date",G133="Invalid date",G133="Ship date before order date",NOT(ISNUMBER(AP133)),AP133&lt;0,AP133&gt;0.5,AV133=TRUE,AW133=TRUE),"Invalid",IF(OR(O133="Unknown",Z133="Unknown",AC133="",AH133&lt;&gt;"Paid",AJ133&lt;&gt;"Completed",AO133&lt;&gt;""),"Warning","Clean"))</f>
        <v>Clean</v>
      </c>
    </row>
    <row r="134" spans="1:52" ht="15.75" customHeight="1">
      <c r="A134" s="6" t="s">
        <v>833</v>
      </c>
      <c r="B134" s="7" t="s">
        <v>834</v>
      </c>
      <c r="C134" s="7" t="str">
        <f t="shared" si="28"/>
        <v>2024-11</v>
      </c>
      <c r="D134" s="7" cm="1">
        <f t="array" ref="D134">_xlfn.LET(_xlpm.x,B134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45600</v>
      </c>
      <c r="E134" s="7" t="s">
        <v>834</v>
      </c>
      <c r="F134" s="7" cm="1">
        <f t="array" ref="F134">_xlfn.LET(_xlpm.x,E134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45600</v>
      </c>
      <c r="G134" s="8" t="str">
        <f t="shared" si="1"/>
        <v>OK</v>
      </c>
      <c r="H134" s="6">
        <f t="shared" si="2"/>
        <v>0</v>
      </c>
      <c r="I134" s="6" t="s">
        <v>835</v>
      </c>
      <c r="J134" s="6" t="s">
        <v>442</v>
      </c>
      <c r="K134" s="6" t="str">
        <f t="shared" si="3"/>
        <v>Kabir Singh</v>
      </c>
      <c r="L134" s="6" t="s">
        <v>45</v>
      </c>
      <c r="M134" s="8" t="str">
        <f t="shared" si="4"/>
        <v>Corporate</v>
      </c>
      <c r="N134" s="6" t="s">
        <v>8</v>
      </c>
      <c r="O134" s="6" t="str">
        <f t="shared" si="5"/>
        <v>East</v>
      </c>
      <c r="P134" s="6" t="s">
        <v>290</v>
      </c>
      <c r="Q134" s="6" t="str">
        <f t="shared" si="6"/>
        <v>Assam</v>
      </c>
      <c r="R134" s="6" t="s">
        <v>291</v>
      </c>
      <c r="S134" s="6" t="str">
        <f t="shared" si="7"/>
        <v>Guwahati</v>
      </c>
      <c r="T134" s="6" t="s">
        <v>27</v>
      </c>
      <c r="U134" s="8" t="str">
        <f t="shared" si="8"/>
        <v>Technology</v>
      </c>
      <c r="V134" s="6" t="s">
        <v>30</v>
      </c>
      <c r="W134" s="6" t="str">
        <f t="shared" si="9"/>
        <v>Machines</v>
      </c>
      <c r="X134" s="6" t="s">
        <v>836</v>
      </c>
      <c r="Y134" s="6" t="s">
        <v>35</v>
      </c>
      <c r="Z134" s="6" t="str">
        <f t="shared" si="10"/>
        <v>First Class</v>
      </c>
      <c r="AA134" s="6">
        <v>2</v>
      </c>
      <c r="AB134" s="6">
        <v>533.08000000000004</v>
      </c>
      <c r="AC134" s="6">
        <v>0</v>
      </c>
      <c r="AD134" s="6">
        <v>1066.1600000000001</v>
      </c>
      <c r="AE134" s="6">
        <v>656.3</v>
      </c>
      <c r="AF134" s="6">
        <v>409.86</v>
      </c>
      <c r="AG134" s="6" t="s">
        <v>50</v>
      </c>
      <c r="AH134" s="6" t="str">
        <f t="shared" si="11"/>
        <v>Failed</v>
      </c>
      <c r="AI134" s="6" t="s">
        <v>58</v>
      </c>
      <c r="AJ134" s="6" t="str">
        <f t="shared" si="12"/>
        <v>Cancelled</v>
      </c>
      <c r="AK134" s="9" t="str">
        <f>_xlfn.TEXTJOIN("|",FALSE,A134,TEXT(B134,"mm-dd-yyyy"),TEXT(E134,"mm-dd-yyyy"),I134,J134,L134,N134,P134,R134,T134,V134,X134,Y134,AA134,AB134,AC134,AD134,AE134,AF134,AG134,AI134)</f>
        <v>ORD-2024-10133|11-04-2024|11-04-2024|CUST-3602|Kabir Singh|Corporate|East|Assam|Guwahati|Technology|Machines|Classic Machines 886|First Class|2|533.08|0|1066.16|656.3|409.86|Failed|Cancelled</v>
      </c>
      <c r="AL134" s="27" t="str">
        <f>IF(COUNTIF($AK$2:AK134,AK134)&gt;1,"Remove exact duplicate copy","Keep")</f>
        <v>Keep</v>
      </c>
      <c r="AM134" s="9">
        <f t="shared" si="13"/>
        <v>1</v>
      </c>
      <c r="AN134" s="9" t="str">
        <f t="shared" si="14"/>
        <v>Unique</v>
      </c>
      <c r="AO134" s="9" t="str">
        <f t="shared" si="15"/>
        <v/>
      </c>
      <c r="AP134" s="9">
        <f t="shared" si="16"/>
        <v>0</v>
      </c>
      <c r="AQ134" s="10">
        <f t="shared" si="17"/>
        <v>1066.1600000000001</v>
      </c>
      <c r="AR134" s="10">
        <f t="shared" si="18"/>
        <v>409.86000000000013</v>
      </c>
      <c r="AS134" s="11">
        <f t="shared" si="19"/>
        <v>0.38442635251744589</v>
      </c>
      <c r="AT134" s="9">
        <f t="shared" si="20"/>
        <v>11</v>
      </c>
      <c r="AU134" s="9">
        <f t="shared" si="21"/>
        <v>2024</v>
      </c>
      <c r="AV134" s="9" t="b">
        <f t="shared" si="22"/>
        <v>0</v>
      </c>
      <c r="AW134" s="9" t="b">
        <f t="shared" si="23"/>
        <v>0</v>
      </c>
      <c r="AX134" s="9" t="str">
        <f t="shared" si="24"/>
        <v>No</v>
      </c>
      <c r="AY134" s="9" t="str">
        <f t="shared" si="29"/>
        <v>Failed payment excluded; Cancelled order excluded</v>
      </c>
      <c r="AZ134" s="9" t="str">
        <f>IF(OR(G134="Missing date",G134="Invalid date",G134="Ship date before order date",NOT(ISNUMBER(AP134)),AP134&lt;0,AP134&gt;0.5,AV134=TRUE,AW134=TRUE),"Invalid",IF(OR(O134="Unknown",Z134="Unknown",AC134="",AH134&lt;&gt;"Paid",AJ134&lt;&gt;"Completed",AO134&lt;&gt;""),"Warning","Clean"))</f>
        <v>Warning</v>
      </c>
    </row>
    <row r="135" spans="1:52" ht="15.75" customHeight="1">
      <c r="A135" s="6" t="s">
        <v>837</v>
      </c>
      <c r="B135" s="7" t="s">
        <v>838</v>
      </c>
      <c r="C135" s="7" t="str">
        <f t="shared" si="28"/>
        <v>2024-12</v>
      </c>
      <c r="D135" s="7" cm="1">
        <f t="array" ref="D135">_xlfn.LET(_xlpm.x,B135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45639</v>
      </c>
      <c r="E135" s="7" t="s">
        <v>839</v>
      </c>
      <c r="F135" s="7" cm="1">
        <f t="array" ref="F135">_xlfn.LET(_xlpm.x,E135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45644</v>
      </c>
      <c r="G135" s="8" t="str">
        <f t="shared" si="1"/>
        <v>OK</v>
      </c>
      <c r="H135" s="6">
        <f t="shared" si="2"/>
        <v>5</v>
      </c>
      <c r="I135" s="6" t="s">
        <v>840</v>
      </c>
      <c r="J135" s="6" t="s">
        <v>129</v>
      </c>
      <c r="K135" s="6" t="str">
        <f t="shared" si="3"/>
        <v>Karan Malhotra</v>
      </c>
      <c r="L135" s="6" t="s">
        <v>43</v>
      </c>
      <c r="M135" s="8" t="str">
        <f t="shared" si="4"/>
        <v>Consumer</v>
      </c>
      <c r="N135" s="6" t="s">
        <v>9</v>
      </c>
      <c r="O135" s="6" t="str">
        <f t="shared" si="5"/>
        <v>West</v>
      </c>
      <c r="P135" s="6" t="s">
        <v>323</v>
      </c>
      <c r="Q135" s="6" t="str">
        <f t="shared" si="6"/>
        <v>Goa</v>
      </c>
      <c r="R135" s="6" t="s">
        <v>324</v>
      </c>
      <c r="S135" s="6" t="str">
        <f t="shared" si="7"/>
        <v>Panaji</v>
      </c>
      <c r="T135" s="6" t="s">
        <v>27</v>
      </c>
      <c r="U135" s="8" t="str">
        <f t="shared" si="8"/>
        <v>Technology</v>
      </c>
      <c r="V135" s="6" t="s">
        <v>31</v>
      </c>
      <c r="W135" s="6" t="str">
        <f t="shared" si="9"/>
        <v>Phones</v>
      </c>
      <c r="X135" s="6" t="s">
        <v>841</v>
      </c>
      <c r="Y135" s="6" t="s">
        <v>36</v>
      </c>
      <c r="Z135" s="6" t="str">
        <f t="shared" si="10"/>
        <v>Second Class</v>
      </c>
      <c r="AA135" s="6">
        <v>8</v>
      </c>
      <c r="AB135" s="6">
        <v>3372.15</v>
      </c>
      <c r="AC135" s="6">
        <v>0.15</v>
      </c>
      <c r="AD135" s="6">
        <v>22930.62</v>
      </c>
      <c r="AE135" s="6">
        <v>16875.55</v>
      </c>
      <c r="AF135" s="6">
        <v>6055.07</v>
      </c>
      <c r="AG135" s="6" t="s">
        <v>52</v>
      </c>
      <c r="AH135" s="6" t="str">
        <f t="shared" si="11"/>
        <v>Paid</v>
      </c>
      <c r="AI135" s="6" t="s">
        <v>134</v>
      </c>
      <c r="AJ135" s="6" t="str">
        <f t="shared" si="12"/>
        <v>Completed</v>
      </c>
      <c r="AK135" s="9" t="str">
        <f>_xlfn.TEXTJOIN("|",FALSE,A135,TEXT(B135,"mm-dd-yyyy"),TEXT(E135,"mm-dd-yyyy"),I135,J135,L135,N135,P135,R135,T135,V135,X135,Y135,AA135,AB135,AC135,AD135,AE135,AF135,AG135,AI135)</f>
        <v>ORD-2024-10134|12-13-2024|12-18-2024|CUST-9441|Karan Malhotra|Consumer|West|Goa|Panaji|Technology|Phones|Prime Phones 419|Second Class|8|3372.15|0.15|22930.62|16875.55|6055.07|Paid|Completed</v>
      </c>
      <c r="AL135" s="27" t="str">
        <f>IF(COUNTIF($AK$2:AK135,AK135)&gt;1,"Remove exact duplicate copy","Keep")</f>
        <v>Keep</v>
      </c>
      <c r="AM135" s="9">
        <f t="shared" si="13"/>
        <v>1</v>
      </c>
      <c r="AN135" s="9" t="str">
        <f t="shared" si="14"/>
        <v>Unique</v>
      </c>
      <c r="AO135" s="9" t="str">
        <f t="shared" si="15"/>
        <v/>
      </c>
      <c r="AP135" s="9">
        <f t="shared" si="16"/>
        <v>0.15</v>
      </c>
      <c r="AQ135" s="10">
        <f t="shared" si="17"/>
        <v>22930.62</v>
      </c>
      <c r="AR135" s="10">
        <f t="shared" si="18"/>
        <v>6055.07</v>
      </c>
      <c r="AS135" s="11">
        <f t="shared" si="19"/>
        <v>0.26406045715292475</v>
      </c>
      <c r="AT135" s="9">
        <f t="shared" si="20"/>
        <v>12</v>
      </c>
      <c r="AU135" s="9">
        <f t="shared" si="21"/>
        <v>2024</v>
      </c>
      <c r="AV135" s="9" t="b">
        <f t="shared" si="22"/>
        <v>0</v>
      </c>
      <c r="AW135" s="9" t="b">
        <f t="shared" si="23"/>
        <v>0</v>
      </c>
      <c r="AX135" s="9" t="str">
        <f t="shared" si="24"/>
        <v>Yes</v>
      </c>
      <c r="AY135" s="9" t="str">
        <f t="shared" si="29"/>
        <v/>
      </c>
      <c r="AZ135" s="9" t="str">
        <f>IF(OR(G135="Missing date",G135="Invalid date",G135="Ship date before order date",NOT(ISNUMBER(AP135)),AP135&lt;0,AP135&gt;0.5,AV135=TRUE,AW135=TRUE),"Invalid",IF(OR(O135="Unknown",Z135="Unknown",AC135="",AH135&lt;&gt;"Paid",AJ135&lt;&gt;"Completed",AO135&lt;&gt;""),"Warning","Clean"))</f>
        <v>Clean</v>
      </c>
    </row>
    <row r="136" spans="1:52" ht="15.75" customHeight="1">
      <c r="A136" s="6" t="s">
        <v>842</v>
      </c>
      <c r="B136" s="7" t="s">
        <v>843</v>
      </c>
      <c r="C136" s="7" t="str">
        <f t="shared" si="28"/>
        <v>2025-07</v>
      </c>
      <c r="D136" s="7" cm="1">
        <f t="array" ref="D136">_xlfn.LET(_xlpm.x,B136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45852</v>
      </c>
      <c r="E136" s="7" t="s">
        <v>844</v>
      </c>
      <c r="F136" s="7" cm="1">
        <f t="array" ref="F136">_xlfn.LET(_xlpm.x,E136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45852</v>
      </c>
      <c r="G136" s="8" t="str">
        <f t="shared" si="1"/>
        <v>OK</v>
      </c>
      <c r="H136" s="6">
        <f t="shared" si="2"/>
        <v>0</v>
      </c>
      <c r="I136" s="6" t="s">
        <v>845</v>
      </c>
      <c r="J136" s="6" t="s">
        <v>169</v>
      </c>
      <c r="K136" s="6" t="str">
        <f t="shared" si="3"/>
        <v>Vikram Iyer</v>
      </c>
      <c r="L136" s="6" t="s">
        <v>44</v>
      </c>
      <c r="M136" s="8" t="str">
        <f t="shared" si="4"/>
        <v>Home Office</v>
      </c>
      <c r="N136" s="6" t="s">
        <v>8</v>
      </c>
      <c r="O136" s="6" t="str">
        <f t="shared" si="5"/>
        <v>East</v>
      </c>
      <c r="P136" s="6" t="s">
        <v>201</v>
      </c>
      <c r="Q136" s="6" t="str">
        <f t="shared" si="6"/>
        <v>West Bengal</v>
      </c>
      <c r="R136" s="6" t="s">
        <v>202</v>
      </c>
      <c r="S136" s="6" t="str">
        <f t="shared" si="7"/>
        <v>Kolkata</v>
      </c>
      <c r="T136" s="6" t="s">
        <v>14</v>
      </c>
      <c r="U136" s="8" t="str">
        <f t="shared" si="8"/>
        <v>Furniture</v>
      </c>
      <c r="V136" s="6" t="s">
        <v>15</v>
      </c>
      <c r="W136" s="6" t="str">
        <f t="shared" si="9"/>
        <v>Bookcases</v>
      </c>
      <c r="X136" s="6" t="s">
        <v>846</v>
      </c>
      <c r="Y136" s="6"/>
      <c r="Z136" s="6" t="str">
        <f t="shared" si="10"/>
        <v>Unknown</v>
      </c>
      <c r="AA136" s="6">
        <v>5</v>
      </c>
      <c r="AB136" s="6">
        <v>383.1</v>
      </c>
      <c r="AC136" s="6">
        <v>0.25</v>
      </c>
      <c r="AD136" s="6">
        <v>1436.62</v>
      </c>
      <c r="AE136" s="6">
        <v>912.52</v>
      </c>
      <c r="AF136" s="6">
        <v>524.1</v>
      </c>
      <c r="AG136" s="6" t="s">
        <v>54</v>
      </c>
      <c r="AH136" s="6" t="str">
        <f t="shared" si="11"/>
        <v>Pending</v>
      </c>
      <c r="AI136" s="6" t="s">
        <v>58</v>
      </c>
      <c r="AJ136" s="6" t="str">
        <f t="shared" si="12"/>
        <v>Cancelled</v>
      </c>
      <c r="AK136" s="9" t="str">
        <f>_xlfn.TEXTJOIN("|",FALSE,A136,TEXT(B136,"mm-dd-yyyy"),TEXT(E136,"mm-dd-yyyy"),I136,J136,L136,N136,P136,R136,T136,V136,X136,Y136,AA136,AB136,AC136,AD136,AE136,AF136,AG136,AI136)</f>
        <v>ORD-2025-10135|07-14-2025|07-14-2025|CUST-7361|Vikram Iyer|Home Office|East|West Bengal|Kolkata|Furniture|Bookcases|Elite Bookcases 266||5|383.1|0.25|1436.62|912.52|524.1|Pending|Cancelled</v>
      </c>
      <c r="AL136" s="27" t="str">
        <f>IF(COUNTIF($AK$2:AK136,AK136)&gt;1,"Remove exact duplicate copy","Keep")</f>
        <v>Keep</v>
      </c>
      <c r="AM136" s="9">
        <f t="shared" si="13"/>
        <v>1</v>
      </c>
      <c r="AN136" s="9" t="str">
        <f t="shared" si="14"/>
        <v>Unique</v>
      </c>
      <c r="AO136" s="9" t="str">
        <f t="shared" si="15"/>
        <v/>
      </c>
      <c r="AP136" s="9">
        <f t="shared" si="16"/>
        <v>0.25</v>
      </c>
      <c r="AQ136" s="10">
        <f t="shared" si="17"/>
        <v>1436.625</v>
      </c>
      <c r="AR136" s="10">
        <f t="shared" si="18"/>
        <v>524.10500000000002</v>
      </c>
      <c r="AS136" s="11">
        <f t="shared" si="19"/>
        <v>0.36481684503610895</v>
      </c>
      <c r="AT136" s="9">
        <f t="shared" si="20"/>
        <v>7</v>
      </c>
      <c r="AU136" s="9">
        <f t="shared" si="21"/>
        <v>2025</v>
      </c>
      <c r="AV136" s="9" t="b">
        <f t="shared" si="22"/>
        <v>0</v>
      </c>
      <c r="AW136" s="9" t="b">
        <f t="shared" si="23"/>
        <v>0</v>
      </c>
      <c r="AX136" s="9" t="str">
        <f t="shared" si="24"/>
        <v>No</v>
      </c>
      <c r="AY136" s="9" t="str">
        <f t="shared" si="29"/>
        <v>Missing ship mode filled as Unknown; Cancelled order excluded</v>
      </c>
      <c r="AZ136" s="9" t="str">
        <f>IF(OR(G136="Missing date",G136="Invalid date",G136="Ship date before order date",NOT(ISNUMBER(AP136)),AP136&lt;0,AP136&gt;0.5,AV136=TRUE,AW136=TRUE),"Invalid",IF(OR(O136="Unknown",Z136="Unknown",AC136="",AH136&lt;&gt;"Paid",AJ136&lt;&gt;"Completed",AO136&lt;&gt;""),"Warning","Clean"))</f>
        <v>Warning</v>
      </c>
    </row>
    <row r="137" spans="1:52" ht="15.75" customHeight="1">
      <c r="A137" s="6" t="s">
        <v>847</v>
      </c>
      <c r="B137" s="7" t="s">
        <v>848</v>
      </c>
      <c r="C137" s="7" t="str">
        <f t="shared" si="28"/>
        <v>2025-08</v>
      </c>
      <c r="D137" s="7" cm="1">
        <f t="array" ref="D137">_xlfn.LET(_xlpm.x,B137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45893</v>
      </c>
      <c r="E137" s="7" t="s">
        <v>848</v>
      </c>
      <c r="F137" s="7" cm="1">
        <f t="array" ref="F137">_xlfn.LET(_xlpm.x,E137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45893</v>
      </c>
      <c r="G137" s="8" t="str">
        <f t="shared" si="1"/>
        <v>OK</v>
      </c>
      <c r="H137" s="6">
        <f t="shared" si="2"/>
        <v>0</v>
      </c>
      <c r="I137" s="6" t="s">
        <v>849</v>
      </c>
      <c r="J137" s="6" t="s">
        <v>284</v>
      </c>
      <c r="K137" s="6" t="str">
        <f t="shared" si="3"/>
        <v>Diya Patel</v>
      </c>
      <c r="L137" s="6" t="s">
        <v>46</v>
      </c>
      <c r="M137" s="8" t="str">
        <f t="shared" si="4"/>
        <v>Small Business</v>
      </c>
      <c r="N137" s="6" t="s">
        <v>10</v>
      </c>
      <c r="O137" s="6" t="str">
        <f t="shared" si="5"/>
        <v>South</v>
      </c>
      <c r="P137" s="6" t="s">
        <v>316</v>
      </c>
      <c r="Q137" s="6" t="str">
        <f t="shared" si="6"/>
        <v>Kerala</v>
      </c>
      <c r="R137" s="6" t="s">
        <v>317</v>
      </c>
      <c r="S137" s="6" t="str">
        <f t="shared" si="7"/>
        <v>Kochi</v>
      </c>
      <c r="T137" s="6" t="s">
        <v>850</v>
      </c>
      <c r="U137" s="8" t="str">
        <f t="shared" si="8"/>
        <v>Furniture</v>
      </c>
      <c r="V137" s="6" t="s">
        <v>15</v>
      </c>
      <c r="W137" s="6" t="str">
        <f t="shared" si="9"/>
        <v>Bookcases</v>
      </c>
      <c r="X137" s="6" t="s">
        <v>851</v>
      </c>
      <c r="Y137" s="6" t="s">
        <v>34</v>
      </c>
      <c r="Z137" s="6" t="str">
        <f t="shared" si="10"/>
        <v>Standard Class</v>
      </c>
      <c r="AA137" s="6">
        <v>1</v>
      </c>
      <c r="AB137" s="6">
        <v>3424.78</v>
      </c>
      <c r="AC137" s="6">
        <v>0</v>
      </c>
      <c r="AD137" s="6">
        <v>3424.78</v>
      </c>
      <c r="AE137" s="6">
        <v>1951.45</v>
      </c>
      <c r="AF137" s="6">
        <v>1473.33</v>
      </c>
      <c r="AG137" s="6" t="s">
        <v>52</v>
      </c>
      <c r="AH137" s="6" t="str">
        <f t="shared" si="11"/>
        <v>Paid</v>
      </c>
      <c r="AI137" s="6" t="s">
        <v>134</v>
      </c>
      <c r="AJ137" s="6" t="str">
        <f t="shared" si="12"/>
        <v>Completed</v>
      </c>
      <c r="AK137" s="9" t="str">
        <f>_xlfn.TEXTJOIN("|",FALSE,A137,TEXT(B137,"mm-dd-yyyy"),TEXT(E137,"mm-dd-yyyy"),I137,J137,L137,N137,P137,R137,T137,V137,X137,Y137,AA137,AB137,AC137,AD137,AE137,AF137,AG137,AI137)</f>
        <v>ORD-2025-10136|08-24-2025|08-24-2025|CUST-1148|Diya Patel|Small Business|South|Kerala|Kochi|Furniture |Bookcases|Prime Bookcases 954|Standard Class|1|3424.78|0|3424.78|1951.45|1473.33|Paid|Completed</v>
      </c>
      <c r="AL137" s="27" t="str">
        <f>IF(COUNTIF($AK$2:AK137,AK137)&gt;1,"Remove exact duplicate copy","Keep")</f>
        <v>Keep</v>
      </c>
      <c r="AM137" s="9">
        <f t="shared" si="13"/>
        <v>1</v>
      </c>
      <c r="AN137" s="9" t="str">
        <f t="shared" si="14"/>
        <v>Unique</v>
      </c>
      <c r="AO137" s="9" t="str">
        <f t="shared" si="15"/>
        <v/>
      </c>
      <c r="AP137" s="9">
        <f t="shared" si="16"/>
        <v>0</v>
      </c>
      <c r="AQ137" s="10">
        <f t="shared" si="17"/>
        <v>3424.78</v>
      </c>
      <c r="AR137" s="10">
        <f t="shared" si="18"/>
        <v>1473.3300000000002</v>
      </c>
      <c r="AS137" s="11">
        <f t="shared" si="19"/>
        <v>0.43019697615613267</v>
      </c>
      <c r="AT137" s="9">
        <f t="shared" si="20"/>
        <v>8</v>
      </c>
      <c r="AU137" s="9">
        <f t="shared" si="21"/>
        <v>2025</v>
      </c>
      <c r="AV137" s="9" t="b">
        <f t="shared" si="22"/>
        <v>0</v>
      </c>
      <c r="AW137" s="9" t="b">
        <f t="shared" si="23"/>
        <v>0</v>
      </c>
      <c r="AX137" s="9" t="str">
        <f t="shared" si="24"/>
        <v>Yes</v>
      </c>
      <c r="AY137" s="9" t="str">
        <f t="shared" si="29"/>
        <v/>
      </c>
      <c r="AZ137" s="9" t="str">
        <f>IF(OR(G137="Missing date",G137="Invalid date",G137="Ship date before order date",NOT(ISNUMBER(AP137)),AP137&lt;0,AP137&gt;0.5,AV137=TRUE,AW137=TRUE),"Invalid",IF(OR(O137="Unknown",Z137="Unknown",AC137="",AH137&lt;&gt;"Paid",AJ137&lt;&gt;"Completed",AO137&lt;&gt;""),"Warning","Clean"))</f>
        <v>Clean</v>
      </c>
    </row>
    <row r="138" spans="1:52" ht="15.75" customHeight="1">
      <c r="A138" s="6" t="s">
        <v>852</v>
      </c>
      <c r="B138" s="7" t="s">
        <v>853</v>
      </c>
      <c r="C138" s="7" t="str">
        <f t="shared" si="28"/>
        <v>2025-02</v>
      </c>
      <c r="D138" s="7" cm="1">
        <f t="array" ref="D138">_xlfn.LET(_xlpm.x,B138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45697</v>
      </c>
      <c r="E138" s="7" t="s">
        <v>854</v>
      </c>
      <c r="F138" s="7" cm="1">
        <f t="array" ref="F138">_xlfn.LET(_xlpm.x,E138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45703</v>
      </c>
      <c r="G138" s="8" t="str">
        <f t="shared" si="1"/>
        <v>OK</v>
      </c>
      <c r="H138" s="6">
        <f t="shared" si="2"/>
        <v>6</v>
      </c>
      <c r="I138" s="6" t="s">
        <v>855</v>
      </c>
      <c r="J138" s="6" t="s">
        <v>139</v>
      </c>
      <c r="K138" s="6" t="str">
        <f t="shared" si="3"/>
        <v>Mira Das</v>
      </c>
      <c r="L138" s="6" t="s">
        <v>44</v>
      </c>
      <c r="M138" s="8" t="str">
        <f t="shared" si="4"/>
        <v>Home Office</v>
      </c>
      <c r="N138" s="6" t="s">
        <v>8</v>
      </c>
      <c r="O138" s="6" t="str">
        <f t="shared" si="5"/>
        <v>East</v>
      </c>
      <c r="P138" s="6" t="s">
        <v>385</v>
      </c>
      <c r="Q138" s="6" t="str">
        <f t="shared" si="6"/>
        <v>Jharkhand</v>
      </c>
      <c r="R138" s="6" t="s">
        <v>386</v>
      </c>
      <c r="S138" s="6" t="str">
        <f t="shared" si="7"/>
        <v>Ranchi</v>
      </c>
      <c r="T138" s="6" t="s">
        <v>20</v>
      </c>
      <c r="U138" s="8" t="str">
        <f t="shared" si="8"/>
        <v>Office Supplies</v>
      </c>
      <c r="V138" s="6" t="s">
        <v>22</v>
      </c>
      <c r="W138" s="6" t="str">
        <f t="shared" si="9"/>
        <v>Binders</v>
      </c>
      <c r="X138" s="6" t="s">
        <v>856</v>
      </c>
      <c r="Y138" s="6" t="s">
        <v>857</v>
      </c>
      <c r="Z138" s="6" t="str">
        <f t="shared" si="10"/>
        <v>Standard Class</v>
      </c>
      <c r="AA138" s="6">
        <v>9</v>
      </c>
      <c r="AB138" s="6">
        <v>4330.33</v>
      </c>
      <c r="AC138" s="6">
        <v>0.2</v>
      </c>
      <c r="AD138" s="6">
        <v>31178.38</v>
      </c>
      <c r="AE138" s="6">
        <v>21421.09</v>
      </c>
      <c r="AF138" s="6">
        <v>9757.2900000000009</v>
      </c>
      <c r="AG138" s="6" t="s">
        <v>52</v>
      </c>
      <c r="AH138" s="6" t="str">
        <f t="shared" si="11"/>
        <v>Paid</v>
      </c>
      <c r="AI138" s="6" t="s">
        <v>134</v>
      </c>
      <c r="AJ138" s="6" t="str">
        <f t="shared" si="12"/>
        <v>Completed</v>
      </c>
      <c r="AK138" s="9" t="str">
        <f>_xlfn.TEXTJOIN("|",FALSE,A138,TEXT(B138,"mm-dd-yyyy"),TEXT(E138,"mm-dd-yyyy"),I138,J138,L138,N138,P138,R138,T138,V138,X138,Y138,AA138,AB138,AC138,AD138,AE138,AF138,AG138,AI138)</f>
        <v>ORD-2025-10137|09-02-2025|15-02-2025|CUST-3350|Mira Das|Home Office|East|Jharkhand|Ranchi|Office Supplies|Binders|Max Binders 362|Standard  Class|9|4330.33|0.2|31178.38|21421.09|9757.29|Paid|Completed</v>
      </c>
      <c r="AL138" s="27" t="str">
        <f>IF(COUNTIF($AK$2:AK138,AK138)&gt;1,"Remove exact duplicate copy","Keep")</f>
        <v>Keep</v>
      </c>
      <c r="AM138" s="9">
        <f t="shared" si="13"/>
        <v>1</v>
      </c>
      <c r="AN138" s="9" t="str">
        <f t="shared" si="14"/>
        <v>Unique</v>
      </c>
      <c r="AO138" s="9" t="str">
        <f t="shared" si="15"/>
        <v/>
      </c>
      <c r="AP138" s="9">
        <f t="shared" si="16"/>
        <v>0.2</v>
      </c>
      <c r="AQ138" s="10">
        <f t="shared" si="17"/>
        <v>31178.376000000004</v>
      </c>
      <c r="AR138" s="10">
        <f t="shared" si="18"/>
        <v>9757.2860000000037</v>
      </c>
      <c r="AS138" s="11">
        <f t="shared" si="19"/>
        <v>0.31295042435821552</v>
      </c>
      <c r="AT138" s="9">
        <f t="shared" si="20"/>
        <v>2</v>
      </c>
      <c r="AU138" s="9">
        <f t="shared" si="21"/>
        <v>2025</v>
      </c>
      <c r="AV138" s="9" t="b">
        <f t="shared" si="22"/>
        <v>0</v>
      </c>
      <c r="AW138" s="9" t="b">
        <f t="shared" si="23"/>
        <v>0</v>
      </c>
      <c r="AX138" s="9" t="str">
        <f t="shared" si="24"/>
        <v>Yes</v>
      </c>
      <c r="AY138" s="9" t="str">
        <f t="shared" si="29"/>
        <v/>
      </c>
      <c r="AZ138" s="9" t="str">
        <f>IF(OR(G138="Missing date",G138="Invalid date",G138="Ship date before order date",NOT(ISNUMBER(AP138)),AP138&lt;0,AP138&gt;0.5,AV138=TRUE,AW138=TRUE),"Invalid",IF(OR(O138="Unknown",Z138="Unknown",AC138="",AH138&lt;&gt;"Paid",AJ138&lt;&gt;"Completed",AO138&lt;&gt;""),"Warning","Clean"))</f>
        <v>Clean</v>
      </c>
    </row>
    <row r="139" spans="1:52" ht="15.75" customHeight="1">
      <c r="A139" s="6" t="s">
        <v>858</v>
      </c>
      <c r="B139" s="7" t="s">
        <v>859</v>
      </c>
      <c r="C139" s="7" t="str">
        <f t="shared" si="28"/>
        <v>2025-01</v>
      </c>
      <c r="D139" s="7" cm="1">
        <f t="array" ref="D139">_xlfn.LET(_xlpm.x,B139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45666</v>
      </c>
      <c r="E139" s="7" t="s">
        <v>860</v>
      </c>
      <c r="F139" s="7" cm="1">
        <f t="array" ref="F139">_xlfn.LET(_xlpm.x,E139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45666</v>
      </c>
      <c r="G139" s="8" t="str">
        <f t="shared" si="1"/>
        <v>OK</v>
      </c>
      <c r="H139" s="6">
        <f t="shared" si="2"/>
        <v>0</v>
      </c>
      <c r="I139" s="6" t="s">
        <v>861</v>
      </c>
      <c r="J139" s="6" t="s">
        <v>245</v>
      </c>
      <c r="K139" s="6" t="str">
        <f t="shared" si="3"/>
        <v>Sneha Kapoor</v>
      </c>
      <c r="L139" s="6" t="s">
        <v>46</v>
      </c>
      <c r="M139" s="8" t="str">
        <f t="shared" si="4"/>
        <v>Small Business</v>
      </c>
      <c r="N139" s="6" t="s">
        <v>7</v>
      </c>
      <c r="O139" s="6" t="str">
        <f t="shared" si="5"/>
        <v>North</v>
      </c>
      <c r="P139" s="6" t="s">
        <v>131</v>
      </c>
      <c r="Q139" s="6" t="str">
        <f t="shared" si="6"/>
        <v>Rajasthan</v>
      </c>
      <c r="R139" s="6" t="s">
        <v>132</v>
      </c>
      <c r="S139" s="6" t="str">
        <f t="shared" si="7"/>
        <v>Jaipur</v>
      </c>
      <c r="T139" s="6" t="s">
        <v>14</v>
      </c>
      <c r="U139" s="8" t="str">
        <f t="shared" si="8"/>
        <v>Furniture</v>
      </c>
      <c r="V139" s="6" t="s">
        <v>16</v>
      </c>
      <c r="W139" s="6" t="str">
        <f t="shared" si="9"/>
        <v>Chairs</v>
      </c>
      <c r="X139" s="6" t="s">
        <v>862</v>
      </c>
      <c r="Y139" s="6" t="s">
        <v>37</v>
      </c>
      <c r="Z139" s="6" t="str">
        <f t="shared" si="10"/>
        <v>Same Day</v>
      </c>
      <c r="AA139" s="6">
        <v>8</v>
      </c>
      <c r="AB139" s="6">
        <v>2667.07</v>
      </c>
      <c r="AC139" s="6">
        <v>0.1</v>
      </c>
      <c r="AD139" s="6">
        <v>19202.900000000001</v>
      </c>
      <c r="AE139" s="6">
        <v>15526.62</v>
      </c>
      <c r="AF139" s="6">
        <v>3676.28</v>
      </c>
      <c r="AG139" s="6" t="s">
        <v>52</v>
      </c>
      <c r="AH139" s="6" t="str">
        <f t="shared" si="11"/>
        <v>Paid</v>
      </c>
      <c r="AI139" s="6" t="s">
        <v>134</v>
      </c>
      <c r="AJ139" s="6" t="str">
        <f t="shared" si="12"/>
        <v>Completed</v>
      </c>
      <c r="AK139" s="9" t="str">
        <f>_xlfn.TEXTJOIN("|",FALSE,A139,TEXT(B139,"mm-dd-yyyy"),TEXT(E139,"mm-dd-yyyy"),I139,J139,L139,N139,P139,R139,T139,V139,X139,Y139,AA139,AB139,AC139,AD139,AE139,AF139,AG139,AI139)</f>
        <v>ORD-2025-10138|01-09-2025|01-09-2025|CUST-7932|Sneha Kapoor|Small Business|North|Rajasthan|Jaipur|Furniture|Chairs|Prime Chairs 261|Same Day|8|2667.07|0.1|19202.9|15526.62|3676.28|Paid|Completed</v>
      </c>
      <c r="AL139" s="27" t="str">
        <f>IF(COUNTIF($AK$2:AK139,AK139)&gt;1,"Remove exact duplicate copy","Keep")</f>
        <v>Keep</v>
      </c>
      <c r="AM139" s="9">
        <f t="shared" si="13"/>
        <v>1</v>
      </c>
      <c r="AN139" s="9" t="str">
        <f t="shared" si="14"/>
        <v>Unique</v>
      </c>
      <c r="AO139" s="9" t="str">
        <f t="shared" si="15"/>
        <v/>
      </c>
      <c r="AP139" s="9">
        <f t="shared" si="16"/>
        <v>0.1</v>
      </c>
      <c r="AQ139" s="10">
        <f t="shared" si="17"/>
        <v>19202.904000000002</v>
      </c>
      <c r="AR139" s="10">
        <f t="shared" si="18"/>
        <v>3676.2840000000015</v>
      </c>
      <c r="AS139" s="11">
        <f t="shared" si="19"/>
        <v>0.19144416906942829</v>
      </c>
      <c r="AT139" s="9">
        <f t="shared" si="20"/>
        <v>1</v>
      </c>
      <c r="AU139" s="9">
        <f t="shared" si="21"/>
        <v>2025</v>
      </c>
      <c r="AV139" s="9" t="b">
        <f t="shared" si="22"/>
        <v>0</v>
      </c>
      <c r="AW139" s="9" t="b">
        <f t="shared" si="23"/>
        <v>0</v>
      </c>
      <c r="AX139" s="9" t="str">
        <f t="shared" si="24"/>
        <v>Yes</v>
      </c>
      <c r="AY139" s="9" t="str">
        <f t="shared" si="29"/>
        <v/>
      </c>
      <c r="AZ139" s="9" t="str">
        <f>IF(OR(G139="Missing date",G139="Invalid date",G139="Ship date before order date",NOT(ISNUMBER(AP139)),AP139&lt;0,AP139&gt;0.5,AV139=TRUE,AW139=TRUE),"Invalid",IF(OR(O139="Unknown",Z139="Unknown",AC139="",AH139&lt;&gt;"Paid",AJ139&lt;&gt;"Completed",AO139&lt;&gt;""),"Warning","Clean"))</f>
        <v>Clean</v>
      </c>
    </row>
    <row r="140" spans="1:52" ht="15.75" customHeight="1">
      <c r="A140" s="6" t="s">
        <v>863</v>
      </c>
      <c r="B140" s="7" t="s">
        <v>864</v>
      </c>
      <c r="C140" s="7" t="str">
        <f t="shared" si="28"/>
        <v>2024-01</v>
      </c>
      <c r="D140" s="7" cm="1">
        <f t="array" ref="D140">_xlfn.LET(_xlpm.x,B140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45311</v>
      </c>
      <c r="E140" s="7" t="s">
        <v>865</v>
      </c>
      <c r="F140" s="7" cm="1">
        <f t="array" ref="F140">_xlfn.LET(_xlpm.x,E140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45317</v>
      </c>
      <c r="G140" s="8" t="str">
        <f t="shared" si="1"/>
        <v>OK</v>
      </c>
      <c r="H140" s="6">
        <f t="shared" si="2"/>
        <v>6</v>
      </c>
      <c r="I140" s="6" t="s">
        <v>866</v>
      </c>
      <c r="J140" s="6" t="s">
        <v>284</v>
      </c>
      <c r="K140" s="6" t="str">
        <f t="shared" si="3"/>
        <v>Diya Patel</v>
      </c>
      <c r="L140" s="6" t="s">
        <v>44</v>
      </c>
      <c r="M140" s="8" t="str">
        <f t="shared" si="4"/>
        <v>Home Office</v>
      </c>
      <c r="N140" s="6" t="s">
        <v>8</v>
      </c>
      <c r="O140" s="6" t="str">
        <f t="shared" si="5"/>
        <v>East</v>
      </c>
      <c r="P140" s="6" t="s">
        <v>385</v>
      </c>
      <c r="Q140" s="6" t="str">
        <f t="shared" si="6"/>
        <v>Jharkhand</v>
      </c>
      <c r="R140" s="6" t="s">
        <v>386</v>
      </c>
      <c r="S140" s="6" t="str">
        <f t="shared" si="7"/>
        <v>Ranchi</v>
      </c>
      <c r="T140" s="6" t="s">
        <v>27</v>
      </c>
      <c r="U140" s="8" t="str">
        <f t="shared" si="8"/>
        <v>Technology</v>
      </c>
      <c r="V140" s="6" t="s">
        <v>30</v>
      </c>
      <c r="W140" s="6" t="str">
        <f t="shared" si="9"/>
        <v>Machines</v>
      </c>
      <c r="X140" s="6" t="s">
        <v>867</v>
      </c>
      <c r="Y140" s="6" t="s">
        <v>34</v>
      </c>
      <c r="Z140" s="6" t="str">
        <f t="shared" si="10"/>
        <v>Standard Class</v>
      </c>
      <c r="AA140" s="6">
        <v>8</v>
      </c>
      <c r="AB140" s="6">
        <v>4003.05</v>
      </c>
      <c r="AC140" s="6">
        <v>0.25</v>
      </c>
      <c r="AD140" s="6">
        <v>24018.3</v>
      </c>
      <c r="AE140" s="6">
        <v>14070.78</v>
      </c>
      <c r="AF140" s="6">
        <v>9947.52</v>
      </c>
      <c r="AG140" s="6" t="s">
        <v>52</v>
      </c>
      <c r="AH140" s="6" t="str">
        <f t="shared" si="11"/>
        <v>Paid</v>
      </c>
      <c r="AI140" s="6" t="s">
        <v>134</v>
      </c>
      <c r="AJ140" s="6" t="str">
        <f t="shared" si="12"/>
        <v>Completed</v>
      </c>
      <c r="AK140" s="9" t="str">
        <f>_xlfn.TEXTJOIN("|",FALSE,A140,TEXT(B140,"mm-dd-yyyy"),TEXT(E140,"mm-dd-yyyy"),I140,J140,L140,N140,P140,R140,T140,V140,X140,Y140,AA140,AB140,AC140,AD140,AE140,AF140,AG140,AI140)</f>
        <v>ORD-2024-10139|01-20-2024|26-01-2024|CUST-7173|Diya Patel|Home Office|East|Jharkhand|Ranchi|Technology|Machines|Basic Machines 185|Standard Class|8|4003.05|0.25|24018.3|14070.78|9947.52|Paid|Completed</v>
      </c>
      <c r="AL140" s="27" t="str">
        <f>IF(COUNTIF($AK$2:AK140,AK140)&gt;1,"Remove exact duplicate copy","Keep")</f>
        <v>Keep</v>
      </c>
      <c r="AM140" s="9">
        <f t="shared" si="13"/>
        <v>1</v>
      </c>
      <c r="AN140" s="9" t="str">
        <f t="shared" si="14"/>
        <v>Unique</v>
      </c>
      <c r="AO140" s="9" t="str">
        <f t="shared" si="15"/>
        <v/>
      </c>
      <c r="AP140" s="9">
        <f t="shared" si="16"/>
        <v>0.25</v>
      </c>
      <c r="AQ140" s="10">
        <f t="shared" si="17"/>
        <v>24018.300000000003</v>
      </c>
      <c r="AR140" s="10">
        <f t="shared" si="18"/>
        <v>9947.5200000000023</v>
      </c>
      <c r="AS140" s="11">
        <f t="shared" si="19"/>
        <v>0.41416419979765434</v>
      </c>
      <c r="AT140" s="9">
        <f t="shared" si="20"/>
        <v>1</v>
      </c>
      <c r="AU140" s="9">
        <f t="shared" si="21"/>
        <v>2024</v>
      </c>
      <c r="AV140" s="9" t="b">
        <f t="shared" si="22"/>
        <v>0</v>
      </c>
      <c r="AW140" s="9" t="b">
        <f t="shared" si="23"/>
        <v>0</v>
      </c>
      <c r="AX140" s="9" t="str">
        <f t="shared" si="24"/>
        <v>Yes</v>
      </c>
      <c r="AY140" s="9" t="str">
        <f t="shared" si="29"/>
        <v/>
      </c>
      <c r="AZ140" s="9" t="str">
        <f>IF(OR(G140="Missing date",G140="Invalid date",G140="Ship date before order date",NOT(ISNUMBER(AP140)),AP140&lt;0,AP140&gt;0.5,AV140=TRUE,AW140=TRUE),"Invalid",IF(OR(O140="Unknown",Z140="Unknown",AC140="",AH140&lt;&gt;"Paid",AJ140&lt;&gt;"Completed",AO140&lt;&gt;""),"Warning","Clean"))</f>
        <v>Clean</v>
      </c>
    </row>
    <row r="141" spans="1:52" ht="15.75" customHeight="1">
      <c r="A141" s="6" t="s">
        <v>868</v>
      </c>
      <c r="B141" s="7" t="s">
        <v>869</v>
      </c>
      <c r="C141" s="7" t="str">
        <f t="shared" si="28"/>
        <v>2025-03</v>
      </c>
      <c r="D141" s="7" cm="1">
        <f t="array" ref="D141">_xlfn.LET(_xlpm.x,B141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45718</v>
      </c>
      <c r="E141" s="7" t="s">
        <v>870</v>
      </c>
      <c r="F141" s="7" cm="1">
        <f t="array" ref="F141">_xlfn.LET(_xlpm.x,E141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45723</v>
      </c>
      <c r="G141" s="8" t="str">
        <f t="shared" si="1"/>
        <v>OK</v>
      </c>
      <c r="H141" s="6">
        <f t="shared" si="2"/>
        <v>5</v>
      </c>
      <c r="I141" s="6" t="s">
        <v>871</v>
      </c>
      <c r="J141" s="6" t="s">
        <v>177</v>
      </c>
      <c r="K141" s="6" t="str">
        <f t="shared" si="3"/>
        <v>Neha Gupta</v>
      </c>
      <c r="L141" s="6" t="s">
        <v>44</v>
      </c>
      <c r="M141" s="8" t="str">
        <f t="shared" si="4"/>
        <v>Home Office</v>
      </c>
      <c r="N141" s="6" t="s">
        <v>10</v>
      </c>
      <c r="O141" s="6" t="str">
        <f t="shared" si="5"/>
        <v>South</v>
      </c>
      <c r="P141" s="6" t="s">
        <v>303</v>
      </c>
      <c r="Q141" s="6" t="str">
        <f t="shared" si="6"/>
        <v>Karnataka</v>
      </c>
      <c r="R141" s="6" t="s">
        <v>304</v>
      </c>
      <c r="S141" s="6" t="str">
        <f t="shared" si="7"/>
        <v>Bengaluru</v>
      </c>
      <c r="T141" s="6" t="s">
        <v>20</v>
      </c>
      <c r="U141" s="8" t="str">
        <f t="shared" si="8"/>
        <v>Office Supplies</v>
      </c>
      <c r="V141" s="6" t="s">
        <v>23</v>
      </c>
      <c r="W141" s="6" t="str">
        <f t="shared" si="9"/>
        <v>Labels</v>
      </c>
      <c r="X141" s="6" t="s">
        <v>872</v>
      </c>
      <c r="Y141" s="6" t="s">
        <v>34</v>
      </c>
      <c r="Z141" s="6" t="str">
        <f t="shared" si="10"/>
        <v>Standard Class</v>
      </c>
      <c r="AA141" s="6">
        <v>8</v>
      </c>
      <c r="AB141" s="6">
        <v>1287.6300000000001</v>
      </c>
      <c r="AC141" s="6">
        <v>0</v>
      </c>
      <c r="AD141" s="6">
        <v>10301.040000000001</v>
      </c>
      <c r="AE141" s="6">
        <v>6564.06</v>
      </c>
      <c r="AF141" s="6">
        <v>3736.98</v>
      </c>
      <c r="AG141" s="6" t="s">
        <v>52</v>
      </c>
      <c r="AH141" s="6" t="str">
        <f t="shared" si="11"/>
        <v>Paid</v>
      </c>
      <c r="AI141" s="6" t="s">
        <v>134</v>
      </c>
      <c r="AJ141" s="6" t="str">
        <f t="shared" si="12"/>
        <v>Completed</v>
      </c>
      <c r="AK141" s="9" t="str">
        <f>_xlfn.TEXTJOIN("|",FALSE,A141,TEXT(B141,"mm-dd-yyyy"),TEXT(E141,"mm-dd-yyyy"),I141,J141,L141,N141,P141,R141,T141,V141,X141,Y141,AA141,AB141,AC141,AD141,AE141,AF141,AG141,AI141)</f>
        <v>ORD-2025-10140|03-02-2025|07-03-2025|CUST-4225|Neha Gupta|Home Office|South|Karnataka|Bengaluru|Office Supplies|Labels|Basic Labels 509|Standard Class|8|1287.63|0|10301.04|6564.06|3736.98|Paid|Completed</v>
      </c>
      <c r="AL141" s="27" t="str">
        <f>IF(COUNTIF($AK$2:AK141,AK141)&gt;1,"Remove exact duplicate copy","Keep")</f>
        <v>Keep</v>
      </c>
      <c r="AM141" s="9">
        <f t="shared" si="13"/>
        <v>1</v>
      </c>
      <c r="AN141" s="9" t="str">
        <f t="shared" si="14"/>
        <v>Unique</v>
      </c>
      <c r="AO141" s="9" t="str">
        <f t="shared" si="15"/>
        <v/>
      </c>
      <c r="AP141" s="9">
        <f t="shared" si="16"/>
        <v>0</v>
      </c>
      <c r="AQ141" s="10">
        <f t="shared" si="17"/>
        <v>10301.040000000001</v>
      </c>
      <c r="AR141" s="10">
        <f t="shared" si="18"/>
        <v>3736.9800000000005</v>
      </c>
      <c r="AS141" s="11">
        <f t="shared" si="19"/>
        <v>0.3627769623261341</v>
      </c>
      <c r="AT141" s="9">
        <f t="shared" si="20"/>
        <v>3</v>
      </c>
      <c r="AU141" s="9">
        <f t="shared" si="21"/>
        <v>2025</v>
      </c>
      <c r="AV141" s="9" t="b">
        <f t="shared" si="22"/>
        <v>0</v>
      </c>
      <c r="AW141" s="9" t="b">
        <f t="shared" si="23"/>
        <v>0</v>
      </c>
      <c r="AX141" s="9" t="str">
        <f t="shared" si="24"/>
        <v>Yes</v>
      </c>
      <c r="AY141" s="9" t="str">
        <f t="shared" si="29"/>
        <v/>
      </c>
      <c r="AZ141" s="9" t="str">
        <f>IF(OR(G141="Missing date",G141="Invalid date",G141="Ship date before order date",NOT(ISNUMBER(AP141)),AP141&lt;0,AP141&gt;0.5,AV141=TRUE,AW141=TRUE),"Invalid",IF(OR(O141="Unknown",Z141="Unknown",AC141="",AH141&lt;&gt;"Paid",AJ141&lt;&gt;"Completed",AO141&lt;&gt;""),"Warning","Clean"))</f>
        <v>Clean</v>
      </c>
    </row>
    <row r="142" spans="1:52" ht="15.75" customHeight="1">
      <c r="A142" s="6" t="s">
        <v>873</v>
      </c>
      <c r="B142" s="7" t="s">
        <v>874</v>
      </c>
      <c r="C142" s="7" t="str">
        <f t="shared" si="28"/>
        <v>2024-05</v>
      </c>
      <c r="D142" s="7" cm="1">
        <f t="array" ref="D142">_xlfn.LET(_xlpm.x,B142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45443</v>
      </c>
      <c r="E142" s="7" t="s">
        <v>875</v>
      </c>
      <c r="F142" s="7" cm="1">
        <f t="array" ref="F142">_xlfn.LET(_xlpm.x,E142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45444</v>
      </c>
      <c r="G142" s="8" t="str">
        <f t="shared" si="1"/>
        <v>OK</v>
      </c>
      <c r="H142" s="6">
        <f t="shared" si="2"/>
        <v>1</v>
      </c>
      <c r="I142" s="6" t="s">
        <v>876</v>
      </c>
      <c r="J142" s="6" t="s">
        <v>139</v>
      </c>
      <c r="K142" s="6" t="str">
        <f t="shared" si="3"/>
        <v>Mira Das</v>
      </c>
      <c r="L142" s="6" t="s">
        <v>45</v>
      </c>
      <c r="M142" s="8" t="str">
        <f t="shared" si="4"/>
        <v>Corporate</v>
      </c>
      <c r="N142" s="6" t="s">
        <v>10</v>
      </c>
      <c r="O142" s="6" t="str">
        <f t="shared" si="5"/>
        <v>South</v>
      </c>
      <c r="P142" s="6" t="s">
        <v>303</v>
      </c>
      <c r="Q142" s="6" t="str">
        <f t="shared" si="6"/>
        <v>Karnataka</v>
      </c>
      <c r="R142" s="6" t="s">
        <v>304</v>
      </c>
      <c r="S142" s="6" t="str">
        <f t="shared" si="7"/>
        <v>Bengaluru</v>
      </c>
      <c r="T142" s="6" t="s">
        <v>14</v>
      </c>
      <c r="U142" s="8" t="str">
        <f t="shared" si="8"/>
        <v>Furniture</v>
      </c>
      <c r="V142" s="6" t="s">
        <v>15</v>
      </c>
      <c r="W142" s="6" t="str">
        <f t="shared" si="9"/>
        <v>Bookcases</v>
      </c>
      <c r="X142" s="6" t="s">
        <v>877</v>
      </c>
      <c r="Y142" s="6" t="s">
        <v>37</v>
      </c>
      <c r="Z142" s="6" t="str">
        <f t="shared" si="10"/>
        <v>Same Day</v>
      </c>
      <c r="AA142" s="6">
        <v>3</v>
      </c>
      <c r="AB142" s="6">
        <v>2914.55</v>
      </c>
      <c r="AC142" s="6">
        <v>0</v>
      </c>
      <c r="AD142" s="6">
        <v>8743.65</v>
      </c>
      <c r="AE142" s="6">
        <v>6603.76</v>
      </c>
      <c r="AF142" s="6">
        <v>2139.89</v>
      </c>
      <c r="AG142" s="6" t="s">
        <v>52</v>
      </c>
      <c r="AH142" s="6" t="str">
        <f t="shared" si="11"/>
        <v>Paid</v>
      </c>
      <c r="AI142" s="6" t="s">
        <v>134</v>
      </c>
      <c r="AJ142" s="6" t="str">
        <f t="shared" si="12"/>
        <v>Completed</v>
      </c>
      <c r="AK142" s="9" t="str">
        <f>_xlfn.TEXTJOIN("|",FALSE,A142,TEXT(B142,"mm-dd-yyyy"),TEXT(E142,"mm-dd-yyyy"),I142,J142,L142,N142,P142,R142,T142,V142,X142,Y142,AA142,AB142,AC142,AD142,AE142,AF142,AG142,AI142)</f>
        <v>ORD-2024-10141|31-05-2024|06-01-2024|CUST-2149|Mira Das|Corporate|South|Karnataka|Bengaluru|Furniture|Bookcases|Elite Bookcases 696|Same Day|3|2914.55|0|8743.65|6603.76|2139.89|Paid|Completed</v>
      </c>
      <c r="AL142" s="27" t="str">
        <f>IF(COUNTIF($AK$2:AK142,AK142)&gt;1,"Remove exact duplicate copy","Keep")</f>
        <v>Keep</v>
      </c>
      <c r="AM142" s="9">
        <f t="shared" si="13"/>
        <v>1</v>
      </c>
      <c r="AN142" s="9" t="str">
        <f t="shared" si="14"/>
        <v>Unique</v>
      </c>
      <c r="AO142" s="9" t="str">
        <f t="shared" si="15"/>
        <v/>
      </c>
      <c r="AP142" s="9">
        <f t="shared" si="16"/>
        <v>0</v>
      </c>
      <c r="AQ142" s="10">
        <f t="shared" si="17"/>
        <v>8743.6500000000015</v>
      </c>
      <c r="AR142" s="10">
        <f t="shared" si="18"/>
        <v>2139.8900000000012</v>
      </c>
      <c r="AS142" s="11">
        <f t="shared" si="19"/>
        <v>0.24473646589239059</v>
      </c>
      <c r="AT142" s="9">
        <f t="shared" si="20"/>
        <v>5</v>
      </c>
      <c r="AU142" s="9">
        <f t="shared" si="21"/>
        <v>2024</v>
      </c>
      <c r="AV142" s="9" t="b">
        <f t="shared" si="22"/>
        <v>0</v>
      </c>
      <c r="AW142" s="9" t="b">
        <f t="shared" si="23"/>
        <v>0</v>
      </c>
      <c r="AX142" s="9" t="str">
        <f t="shared" si="24"/>
        <v>Yes</v>
      </c>
      <c r="AY142" s="9" t="str">
        <f t="shared" si="29"/>
        <v/>
      </c>
      <c r="AZ142" s="9" t="str">
        <f>IF(OR(G142="Missing date",G142="Invalid date",G142="Ship date before order date",NOT(ISNUMBER(AP142)),AP142&lt;0,AP142&gt;0.5,AV142=TRUE,AW142=TRUE),"Invalid",IF(OR(O142="Unknown",Z142="Unknown",AC142="",AH142&lt;&gt;"Paid",AJ142&lt;&gt;"Completed",AO142&lt;&gt;""),"Warning","Clean"))</f>
        <v>Clean</v>
      </c>
    </row>
    <row r="143" spans="1:52" ht="15.75" customHeight="1">
      <c r="A143" s="6" t="s">
        <v>878</v>
      </c>
      <c r="B143" s="7" t="s">
        <v>879</v>
      </c>
      <c r="C143" s="7" t="str">
        <f t="shared" si="28"/>
        <v>2024-03</v>
      </c>
      <c r="D143" s="7" cm="1">
        <f t="array" ref="D143">_xlfn.LET(_xlpm.x,B143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45374</v>
      </c>
      <c r="E143" s="7" t="s">
        <v>880</v>
      </c>
      <c r="F143" s="7" cm="1">
        <f t="array" ref="F143">_xlfn.LET(_xlpm.x,E143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45380</v>
      </c>
      <c r="G143" s="8" t="str">
        <f t="shared" si="1"/>
        <v>OK</v>
      </c>
      <c r="H143" s="6">
        <f t="shared" si="2"/>
        <v>6</v>
      </c>
      <c r="I143" s="6" t="s">
        <v>881</v>
      </c>
      <c r="J143" s="6" t="s">
        <v>220</v>
      </c>
      <c r="K143" s="6" t="str">
        <f t="shared" si="3"/>
        <v>Priya Menon</v>
      </c>
      <c r="L143" s="6" t="s">
        <v>45</v>
      </c>
      <c r="M143" s="8" t="str">
        <f t="shared" si="4"/>
        <v>Corporate</v>
      </c>
      <c r="N143" s="6" t="s">
        <v>7</v>
      </c>
      <c r="O143" s="6" t="str">
        <f t="shared" si="5"/>
        <v>North</v>
      </c>
      <c r="P143" s="6" t="s">
        <v>583</v>
      </c>
      <c r="Q143" s="6" t="str">
        <f t="shared" si="6"/>
        <v>Delhi</v>
      </c>
      <c r="R143" s="6" t="s">
        <v>584</v>
      </c>
      <c r="S143" s="6" t="str">
        <f t="shared" si="7"/>
        <v>New Delhi</v>
      </c>
      <c r="T143" s="6" t="s">
        <v>14</v>
      </c>
      <c r="U143" s="8" t="str">
        <f t="shared" si="8"/>
        <v>Furniture</v>
      </c>
      <c r="V143" s="6" t="s">
        <v>15</v>
      </c>
      <c r="W143" s="6" t="str">
        <f t="shared" si="9"/>
        <v>Bookcases</v>
      </c>
      <c r="X143" s="6" t="s">
        <v>882</v>
      </c>
      <c r="Y143" s="6" t="s">
        <v>37</v>
      </c>
      <c r="Z143" s="6" t="str">
        <f t="shared" si="10"/>
        <v>Same Day</v>
      </c>
      <c r="AA143" s="6">
        <v>7</v>
      </c>
      <c r="AB143" s="6">
        <v>634.29</v>
      </c>
      <c r="AC143" s="6">
        <v>0.1</v>
      </c>
      <c r="AD143" s="6">
        <v>3996.03</v>
      </c>
      <c r="AE143" s="6">
        <v>2859.51</v>
      </c>
      <c r="AF143" s="6">
        <v>1136.52</v>
      </c>
      <c r="AG143" s="6" t="s">
        <v>52</v>
      </c>
      <c r="AH143" s="6" t="str">
        <f t="shared" si="11"/>
        <v>Paid</v>
      </c>
      <c r="AI143" s="6" t="s">
        <v>59</v>
      </c>
      <c r="AJ143" s="6" t="str">
        <f t="shared" si="12"/>
        <v>Returned</v>
      </c>
      <c r="AK143" s="9" t="str">
        <f>_xlfn.TEXTJOIN("|",FALSE,A143,TEXT(B143,"mm-dd-yyyy"),TEXT(E143,"mm-dd-yyyy"),I143,J143,L143,N143,P143,R143,T143,V143,X143,Y143,AA143,AB143,AC143,AD143,AE143,AF143,AG143,AI143)</f>
        <v>ORD-2024-10142|03-23-2024|03-29-2024|CUST-3314|Priya Menon|Corporate|North|Delhi|New Delhi|Furniture|Bookcases|Elite Bookcases 772|Same Day|7|634.29|0.1|3996.03|2859.51|1136.52|Paid|Returned</v>
      </c>
      <c r="AL143" s="27" t="str">
        <f>IF(COUNTIF($AK$2:AK143,AK143)&gt;1,"Remove exact duplicate copy","Keep")</f>
        <v>Keep</v>
      </c>
      <c r="AM143" s="9">
        <f t="shared" si="13"/>
        <v>1</v>
      </c>
      <c r="AN143" s="9" t="str">
        <f t="shared" si="14"/>
        <v>Unique</v>
      </c>
      <c r="AO143" s="9" t="str">
        <f t="shared" si="15"/>
        <v/>
      </c>
      <c r="AP143" s="9">
        <f t="shared" si="16"/>
        <v>0.1</v>
      </c>
      <c r="AQ143" s="10">
        <f t="shared" si="17"/>
        <v>3996.027</v>
      </c>
      <c r="AR143" s="10">
        <f t="shared" si="18"/>
        <v>1136.5169999999998</v>
      </c>
      <c r="AS143" s="11">
        <f t="shared" si="19"/>
        <v>0.28441174196270441</v>
      </c>
      <c r="AT143" s="9">
        <f t="shared" si="20"/>
        <v>3</v>
      </c>
      <c r="AU143" s="9">
        <f t="shared" si="21"/>
        <v>2024</v>
      </c>
      <c r="AV143" s="9" t="b">
        <f t="shared" si="22"/>
        <v>0</v>
      </c>
      <c r="AW143" s="9" t="b">
        <f t="shared" si="23"/>
        <v>0</v>
      </c>
      <c r="AX143" s="9" t="str">
        <f t="shared" si="24"/>
        <v>No</v>
      </c>
      <c r="AY143" s="9" t="str">
        <f t="shared" si="29"/>
        <v>Returned order excluded</v>
      </c>
      <c r="AZ143" s="9" t="str">
        <f>IF(OR(G143="Missing date",G143="Invalid date",G143="Ship date before order date",NOT(ISNUMBER(AP143)),AP143&lt;0,AP143&gt;0.5,AV143=TRUE,AW143=TRUE),"Invalid",IF(OR(O143="Unknown",Z143="Unknown",AC143="",AH143&lt;&gt;"Paid",AJ143&lt;&gt;"Completed",AO143&lt;&gt;""),"Warning","Clean"))</f>
        <v>Warning</v>
      </c>
    </row>
    <row r="144" spans="1:52" ht="15.75" customHeight="1">
      <c r="A144" s="6" t="s">
        <v>883</v>
      </c>
      <c r="B144" s="7" t="s">
        <v>884</v>
      </c>
      <c r="C144" s="7" t="str">
        <f t="shared" si="28"/>
        <v>2024-03</v>
      </c>
      <c r="D144" s="7" cm="1">
        <f t="array" ref="D144">_xlfn.LET(_xlpm.x,B144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45381</v>
      </c>
      <c r="E144" s="7" t="s">
        <v>885</v>
      </c>
      <c r="F144" s="7" cm="1">
        <f t="array" ref="F144">_xlfn.LET(_xlpm.x,E144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45377</v>
      </c>
      <c r="G144" s="8" t="str">
        <f t="shared" si="1"/>
        <v>Ship date before order date</v>
      </c>
      <c r="H144" s="6">
        <f t="shared" si="2"/>
        <v>-4</v>
      </c>
      <c r="I144" s="6" t="s">
        <v>886</v>
      </c>
      <c r="J144" s="6" t="s">
        <v>190</v>
      </c>
      <c r="K144" s="6" t="str">
        <f t="shared" si="3"/>
        <v>Aditi Sen</v>
      </c>
      <c r="L144" s="6" t="s">
        <v>44</v>
      </c>
      <c r="M144" s="8" t="str">
        <f t="shared" si="4"/>
        <v>Home Office</v>
      </c>
      <c r="N144" s="6" t="s">
        <v>7</v>
      </c>
      <c r="O144" s="6" t="str">
        <f t="shared" si="5"/>
        <v>North</v>
      </c>
      <c r="P144" s="6" t="s">
        <v>131</v>
      </c>
      <c r="Q144" s="6" t="str">
        <f t="shared" si="6"/>
        <v>Rajasthan</v>
      </c>
      <c r="R144" s="6" t="s">
        <v>132</v>
      </c>
      <c r="S144" s="6" t="str">
        <f t="shared" si="7"/>
        <v>Jaipur</v>
      </c>
      <c r="T144" s="6" t="s">
        <v>27</v>
      </c>
      <c r="U144" s="8" t="str">
        <f t="shared" si="8"/>
        <v>Technology</v>
      </c>
      <c r="V144" s="6" t="s">
        <v>31</v>
      </c>
      <c r="W144" s="6" t="str">
        <f t="shared" si="9"/>
        <v>Phones</v>
      </c>
      <c r="X144" s="6" t="s">
        <v>887</v>
      </c>
      <c r="Y144" s="6" t="s">
        <v>36</v>
      </c>
      <c r="Z144" s="6" t="str">
        <f t="shared" si="10"/>
        <v>Second Class</v>
      </c>
      <c r="AA144" s="6">
        <v>5</v>
      </c>
      <c r="AB144" s="6">
        <v>907.54</v>
      </c>
      <c r="AC144" s="6">
        <v>0.15</v>
      </c>
      <c r="AD144" s="6">
        <v>3857.04</v>
      </c>
      <c r="AE144" s="6">
        <v>2769.26</v>
      </c>
      <c r="AF144" s="6">
        <v>1087.78</v>
      </c>
      <c r="AG144" s="6" t="s">
        <v>52</v>
      </c>
      <c r="AH144" s="6" t="str">
        <f t="shared" si="11"/>
        <v>Paid</v>
      </c>
      <c r="AI144" s="6" t="s">
        <v>134</v>
      </c>
      <c r="AJ144" s="6" t="str">
        <f t="shared" si="12"/>
        <v>Completed</v>
      </c>
      <c r="AK144" s="9" t="str">
        <f>_xlfn.TEXTJOIN("|",FALSE,A144,TEXT(B144,"mm-dd-yyyy"),TEXT(E144,"mm-dd-yyyy"),I144,J144,L144,N144,P144,R144,T144,V144,X144,Y144,AA144,AB144,AC144,AD144,AE144,AF144,AG144,AI144)</f>
        <v>ORD-2024-10143|03-30-2024|03-26-2024|CUST-8944|Aditi Sen|Home Office|North|Rajasthan|Jaipur|Technology|Phones|Classic Phones 142|Second Class|5|907.54|0.15|3857.04|2769.26|1087.78|Paid|Completed</v>
      </c>
      <c r="AL144" s="27" t="str">
        <f>IF(COUNTIF($AK$2:AK144,AK144)&gt;1,"Remove exact duplicate copy","Keep")</f>
        <v>Keep</v>
      </c>
      <c r="AM144" s="9">
        <f t="shared" si="13"/>
        <v>2</v>
      </c>
      <c r="AN144" s="9" t="str">
        <f t="shared" si="14"/>
        <v>Duplicate order_id</v>
      </c>
      <c r="AO144" s="9" t="str">
        <f t="shared" si="15"/>
        <v>Review conflicting duplicate</v>
      </c>
      <c r="AP144" s="9">
        <f t="shared" si="16"/>
        <v>0.15</v>
      </c>
      <c r="AQ144" s="10">
        <f t="shared" si="17"/>
        <v>3857.0449999999996</v>
      </c>
      <c r="AR144" s="10">
        <f t="shared" si="18"/>
        <v>1087.7849999999994</v>
      </c>
      <c r="AS144" s="11">
        <f t="shared" si="19"/>
        <v>0.28202548842442843</v>
      </c>
      <c r="AT144" s="9">
        <f t="shared" si="20"/>
        <v>3</v>
      </c>
      <c r="AU144" s="9">
        <f t="shared" si="21"/>
        <v>2024</v>
      </c>
      <c r="AV144" s="9" t="b">
        <f t="shared" si="22"/>
        <v>0</v>
      </c>
      <c r="AW144" s="9" t="b">
        <f t="shared" si="23"/>
        <v>0</v>
      </c>
      <c r="AX144" s="9" t="str">
        <f t="shared" si="24"/>
        <v>No</v>
      </c>
      <c r="AY144" s="9" t="str">
        <f t="shared" si="29"/>
        <v>Ship date before order date; Duplicate order ID conflict</v>
      </c>
      <c r="AZ144" s="9" t="str">
        <f>IF(OR(G144="Missing date",G144="Invalid date",G144="Ship date before order date",NOT(ISNUMBER(AP144)),AP144&lt;0,AP144&gt;0.5,AV144=TRUE,AW144=TRUE),"Invalid",IF(OR(O144="Unknown",Z144="Unknown",AC144="",AH144&lt;&gt;"Paid",AJ144&lt;&gt;"Completed",AO144&lt;&gt;""),"Warning","Clean"))</f>
        <v>Invalid</v>
      </c>
    </row>
    <row r="145" spans="1:52" ht="15.75" customHeight="1">
      <c r="A145" s="6" t="s">
        <v>888</v>
      </c>
      <c r="B145" s="7" t="s">
        <v>620</v>
      </c>
      <c r="C145" s="7" t="str">
        <f t="shared" si="28"/>
        <v>2024-03</v>
      </c>
      <c r="D145" s="7" cm="1">
        <f t="array" ref="D145">_xlfn.LET(_xlpm.x,B145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45375</v>
      </c>
      <c r="E145" s="7" t="s">
        <v>889</v>
      </c>
      <c r="F145" s="7" cm="1">
        <f t="array" ref="F145">_xlfn.LET(_xlpm.x,E145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45377</v>
      </c>
      <c r="G145" s="8" t="str">
        <f t="shared" si="1"/>
        <v>OK</v>
      </c>
      <c r="H145" s="6">
        <f t="shared" si="2"/>
        <v>2</v>
      </c>
      <c r="I145" s="6" t="s">
        <v>890</v>
      </c>
      <c r="J145" s="6" t="s">
        <v>220</v>
      </c>
      <c r="K145" s="6" t="str">
        <f t="shared" si="3"/>
        <v>Priya Menon</v>
      </c>
      <c r="L145" s="6" t="s">
        <v>43</v>
      </c>
      <c r="M145" s="8" t="str">
        <f t="shared" si="4"/>
        <v>Consumer</v>
      </c>
      <c r="N145" s="6" t="s">
        <v>9</v>
      </c>
      <c r="O145" s="6" t="str">
        <f t="shared" si="5"/>
        <v>West</v>
      </c>
      <c r="P145" s="6" t="s">
        <v>309</v>
      </c>
      <c r="Q145" s="6" t="str">
        <f t="shared" si="6"/>
        <v>Gujarat</v>
      </c>
      <c r="R145" s="6" t="s">
        <v>310</v>
      </c>
      <c r="S145" s="6" t="str">
        <f t="shared" si="7"/>
        <v>Ahmedabad</v>
      </c>
      <c r="T145" s="6" t="s">
        <v>20</v>
      </c>
      <c r="U145" s="8" t="str">
        <f t="shared" si="8"/>
        <v>Office Supplies</v>
      </c>
      <c r="V145" s="6" t="s">
        <v>24</v>
      </c>
      <c r="W145" s="6" t="str">
        <f t="shared" si="9"/>
        <v>Paper</v>
      </c>
      <c r="X145" s="6" t="s">
        <v>891</v>
      </c>
      <c r="Y145" s="6" t="s">
        <v>36</v>
      </c>
      <c r="Z145" s="6" t="str">
        <f t="shared" si="10"/>
        <v>Second Class</v>
      </c>
      <c r="AA145" s="6">
        <v>1</v>
      </c>
      <c r="AB145" s="6">
        <v>3409.5</v>
      </c>
      <c r="AC145" s="6">
        <v>0.1</v>
      </c>
      <c r="AD145" s="6">
        <v>3068.55</v>
      </c>
      <c r="AE145" s="6">
        <v>1916.16</v>
      </c>
      <c r="AF145" s="6">
        <v>1152.3900000000001</v>
      </c>
      <c r="AG145" s="6" t="s">
        <v>52</v>
      </c>
      <c r="AH145" s="6" t="str">
        <f t="shared" si="11"/>
        <v>Paid</v>
      </c>
      <c r="AI145" s="6" t="s">
        <v>59</v>
      </c>
      <c r="AJ145" s="6" t="str">
        <f t="shared" si="12"/>
        <v>Returned</v>
      </c>
      <c r="AK145" s="9" t="str">
        <f>_xlfn.TEXTJOIN("|",FALSE,A145,TEXT(B145,"mm-dd-yyyy"),TEXT(E145,"mm-dd-yyyy"),I145,J145,L145,N145,P145,R145,T145,V145,X145,Y145,AA145,AB145,AC145,AD145,AE145,AF145,AG145,AI145)</f>
        <v>ORD-2024-10144|03-24-2024|03-26-2024|CUST-3144|Priya Menon|Consumer|West|Gujarat|Ahmedabad|Office Supplies|Paper|Pro Paper 575|Second Class|1|3409.5|0.1|3068.55|1916.16|1152.39|Paid|Returned</v>
      </c>
      <c r="AL145" s="27" t="str">
        <f>IF(COUNTIF($AK$2:AK145,AK145)&gt;1,"Remove exact duplicate copy","Keep")</f>
        <v>Keep</v>
      </c>
      <c r="AM145" s="9">
        <f t="shared" si="13"/>
        <v>1</v>
      </c>
      <c r="AN145" s="9" t="str">
        <f t="shared" si="14"/>
        <v>Unique</v>
      </c>
      <c r="AO145" s="9" t="str">
        <f t="shared" si="15"/>
        <v/>
      </c>
      <c r="AP145" s="9">
        <f t="shared" si="16"/>
        <v>0.1</v>
      </c>
      <c r="AQ145" s="10">
        <f t="shared" si="17"/>
        <v>3068.55</v>
      </c>
      <c r="AR145" s="10">
        <f t="shared" si="18"/>
        <v>1152.3900000000001</v>
      </c>
      <c r="AS145" s="11">
        <f t="shared" si="19"/>
        <v>0.3755487119323459</v>
      </c>
      <c r="AT145" s="9">
        <f t="shared" si="20"/>
        <v>3</v>
      </c>
      <c r="AU145" s="9">
        <f t="shared" si="21"/>
        <v>2024</v>
      </c>
      <c r="AV145" s="9" t="b">
        <f t="shared" si="22"/>
        <v>0</v>
      </c>
      <c r="AW145" s="9" t="b">
        <f t="shared" si="23"/>
        <v>0</v>
      </c>
      <c r="AX145" s="9" t="str">
        <f t="shared" si="24"/>
        <v>No</v>
      </c>
      <c r="AY145" s="9" t="str">
        <f t="shared" si="29"/>
        <v>Returned order excluded</v>
      </c>
      <c r="AZ145" s="9" t="str">
        <f>IF(OR(G145="Missing date",G145="Invalid date",G145="Ship date before order date",NOT(ISNUMBER(AP145)),AP145&lt;0,AP145&gt;0.5,AV145=TRUE,AW145=TRUE),"Invalid",IF(OR(O145="Unknown",Z145="Unknown",AC145="",AH145&lt;&gt;"Paid",AJ145&lt;&gt;"Completed",AO145&lt;&gt;""),"Warning","Clean"))</f>
        <v>Warning</v>
      </c>
    </row>
    <row r="146" spans="1:52" ht="15.75" customHeight="1">
      <c r="A146" s="6" t="s">
        <v>892</v>
      </c>
      <c r="B146" s="7" t="s">
        <v>656</v>
      </c>
      <c r="C146" s="7" t="str">
        <f t="shared" si="28"/>
        <v>2024-06</v>
      </c>
      <c r="D146" s="7" cm="1">
        <f t="array" ref="D146">_xlfn.LET(_xlpm.x,B146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45450</v>
      </c>
      <c r="E146" s="7" t="s">
        <v>893</v>
      </c>
      <c r="F146" s="7" cm="1">
        <f t="array" ref="F146">_xlfn.LET(_xlpm.x,E146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45458</v>
      </c>
      <c r="G146" s="8" t="str">
        <f t="shared" si="1"/>
        <v>OK</v>
      </c>
      <c r="H146" s="6">
        <f t="shared" si="2"/>
        <v>8</v>
      </c>
      <c r="I146" s="6" t="s">
        <v>894</v>
      </c>
      <c r="J146" s="6" t="s">
        <v>442</v>
      </c>
      <c r="K146" s="6" t="str">
        <f t="shared" si="3"/>
        <v>Kabir Singh</v>
      </c>
      <c r="L146" s="6" t="s">
        <v>46</v>
      </c>
      <c r="M146" s="8" t="str">
        <f t="shared" si="4"/>
        <v>Small Business</v>
      </c>
      <c r="N146" s="6" t="s">
        <v>10</v>
      </c>
      <c r="O146" s="6" t="str">
        <f t="shared" si="5"/>
        <v>South</v>
      </c>
      <c r="P146" s="6" t="s">
        <v>154</v>
      </c>
      <c r="Q146" s="6" t="str">
        <f t="shared" si="6"/>
        <v>Telangana</v>
      </c>
      <c r="R146" s="6" t="s">
        <v>155</v>
      </c>
      <c r="S146" s="6" t="str">
        <f t="shared" si="7"/>
        <v>Hyderabad</v>
      </c>
      <c r="T146" s="6" t="s">
        <v>27</v>
      </c>
      <c r="U146" s="8" t="str">
        <f t="shared" si="8"/>
        <v>Technology</v>
      </c>
      <c r="V146" s="6" t="s">
        <v>28</v>
      </c>
      <c r="W146" s="6" t="str">
        <f t="shared" si="9"/>
        <v>Accessories</v>
      </c>
      <c r="X146" s="6" t="s">
        <v>895</v>
      </c>
      <c r="Y146" s="6" t="s">
        <v>35</v>
      </c>
      <c r="Z146" s="6" t="str">
        <f t="shared" si="10"/>
        <v>First Class</v>
      </c>
      <c r="AA146" s="6">
        <v>7</v>
      </c>
      <c r="AB146" s="6">
        <v>2147.9899999999998</v>
      </c>
      <c r="AC146" s="6">
        <v>0.25</v>
      </c>
      <c r="AD146" s="6">
        <v>11276.95</v>
      </c>
      <c r="AE146" s="6">
        <v>6908.76</v>
      </c>
      <c r="AF146" s="6">
        <v>4368.1899999999996</v>
      </c>
      <c r="AG146" s="6" t="s">
        <v>56</v>
      </c>
      <c r="AH146" s="6" t="str">
        <f t="shared" si="11"/>
        <v>Refunded</v>
      </c>
      <c r="AI146" s="6" t="s">
        <v>59</v>
      </c>
      <c r="AJ146" s="6" t="str">
        <f t="shared" si="12"/>
        <v>Returned</v>
      </c>
      <c r="AK146" s="9" t="str">
        <f>_xlfn.TEXTJOIN("|",FALSE,A146,TEXT(B146,"mm-dd-yyyy"),TEXT(E146,"mm-dd-yyyy"),I146,J146,L146,N146,P146,R146,T146,V146,X146,Y146,AA146,AB146,AC146,AD146,AE146,AF146,AG146,AI146)</f>
        <v>ORD-2024-10145|07-06-2024|06-15-2024|CUST-6747|Kabir Singh|Small Business|South|Telangana|Hyderabad|Technology|Accessories|Elite Accessories 905|First Class|7|2147.99|0.25|11276.95|6908.76|4368.19|Refunded|Returned</v>
      </c>
      <c r="AL146" s="27" t="str">
        <f>IF(COUNTIF($AK$2:AK146,AK146)&gt;1,"Remove exact duplicate copy","Keep")</f>
        <v>Keep</v>
      </c>
      <c r="AM146" s="9">
        <f t="shared" si="13"/>
        <v>1</v>
      </c>
      <c r="AN146" s="9" t="str">
        <f t="shared" si="14"/>
        <v>Unique</v>
      </c>
      <c r="AO146" s="9" t="str">
        <f t="shared" si="15"/>
        <v/>
      </c>
      <c r="AP146" s="9">
        <f t="shared" si="16"/>
        <v>0.25</v>
      </c>
      <c r="AQ146" s="10">
        <f t="shared" si="17"/>
        <v>11276.947499999998</v>
      </c>
      <c r="AR146" s="10">
        <f t="shared" si="18"/>
        <v>4368.1874999999982</v>
      </c>
      <c r="AS146" s="11">
        <f t="shared" si="19"/>
        <v>0.38735548782150481</v>
      </c>
      <c r="AT146" s="9">
        <f t="shared" si="20"/>
        <v>6</v>
      </c>
      <c r="AU146" s="9">
        <f t="shared" si="21"/>
        <v>2024</v>
      </c>
      <c r="AV146" s="9" t="b">
        <f t="shared" si="22"/>
        <v>0</v>
      </c>
      <c r="AW146" s="9" t="b">
        <f t="shared" si="23"/>
        <v>0</v>
      </c>
      <c r="AX146" s="9" t="str">
        <f t="shared" si="24"/>
        <v>No</v>
      </c>
      <c r="AY146" s="9" t="str">
        <f t="shared" si="29"/>
        <v>Refunded order summarized separately; Returned order excluded</v>
      </c>
      <c r="AZ146" s="9" t="str">
        <f>IF(OR(G146="Missing date",G146="Invalid date",G146="Ship date before order date",NOT(ISNUMBER(AP146)),AP146&lt;0,AP146&gt;0.5,AV146=TRUE,AW146=TRUE),"Invalid",IF(OR(O146="Unknown",Z146="Unknown",AC146="",AH146&lt;&gt;"Paid",AJ146&lt;&gt;"Completed",AO146&lt;&gt;""),"Warning","Clean"))</f>
        <v>Warning</v>
      </c>
    </row>
    <row r="147" spans="1:52" ht="15.75" customHeight="1">
      <c r="A147" s="6" t="s">
        <v>896</v>
      </c>
      <c r="B147" s="7" t="s">
        <v>897</v>
      </c>
      <c r="C147" s="7" t="str">
        <f t="shared" si="28"/>
        <v>2025-04</v>
      </c>
      <c r="D147" s="7" cm="1">
        <f t="array" ref="D147">_xlfn.LET(_xlpm.x,B147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45758</v>
      </c>
      <c r="E147" s="7" t="s">
        <v>898</v>
      </c>
      <c r="F147" s="7" cm="1">
        <f t="array" ref="F147">_xlfn.LET(_xlpm.x,E147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45760</v>
      </c>
      <c r="G147" s="8" t="str">
        <f t="shared" si="1"/>
        <v>OK</v>
      </c>
      <c r="H147" s="6">
        <f t="shared" si="2"/>
        <v>2</v>
      </c>
      <c r="I147" s="6" t="s">
        <v>899</v>
      </c>
      <c r="J147" s="6" t="s">
        <v>139</v>
      </c>
      <c r="K147" s="6" t="str">
        <f t="shared" si="3"/>
        <v>Mira Das</v>
      </c>
      <c r="L147" s="6" t="s">
        <v>46</v>
      </c>
      <c r="M147" s="8" t="str">
        <f t="shared" si="4"/>
        <v>Small Business</v>
      </c>
      <c r="N147" s="6" t="s">
        <v>9</v>
      </c>
      <c r="O147" s="6" t="str">
        <f t="shared" si="5"/>
        <v>West</v>
      </c>
      <c r="P147" s="6" t="s">
        <v>323</v>
      </c>
      <c r="Q147" s="6" t="str">
        <f t="shared" si="6"/>
        <v>Goa</v>
      </c>
      <c r="R147" s="6" t="s">
        <v>324</v>
      </c>
      <c r="S147" s="6" t="str">
        <f t="shared" si="7"/>
        <v>Panaji</v>
      </c>
      <c r="T147" s="6" t="s">
        <v>20</v>
      </c>
      <c r="U147" s="8" t="str">
        <f t="shared" si="8"/>
        <v>Office Supplies</v>
      </c>
      <c r="V147" s="6" t="s">
        <v>24</v>
      </c>
      <c r="W147" s="6" t="str">
        <f t="shared" si="9"/>
        <v>Paper</v>
      </c>
      <c r="X147" s="6" t="s">
        <v>900</v>
      </c>
      <c r="Y147" s="6" t="s">
        <v>34</v>
      </c>
      <c r="Z147" s="6" t="str">
        <f t="shared" si="10"/>
        <v>Standard Class</v>
      </c>
      <c r="AA147" s="6">
        <v>4</v>
      </c>
      <c r="AB147" s="6">
        <v>4182.1499999999996</v>
      </c>
      <c r="AC147" s="6">
        <v>0.1</v>
      </c>
      <c r="AD147" s="6">
        <v>15055.74</v>
      </c>
      <c r="AE147" s="6">
        <v>9808.83</v>
      </c>
      <c r="AF147" s="6">
        <v>5246.91</v>
      </c>
      <c r="AG147" s="6" t="s">
        <v>52</v>
      </c>
      <c r="AH147" s="6" t="str">
        <f t="shared" si="11"/>
        <v>Paid</v>
      </c>
      <c r="AI147" s="6" t="s">
        <v>134</v>
      </c>
      <c r="AJ147" s="6" t="str">
        <f t="shared" si="12"/>
        <v>Completed</v>
      </c>
      <c r="AK147" s="9" t="str">
        <f>_xlfn.TEXTJOIN("|",FALSE,A147,TEXT(B147,"mm-dd-yyyy"),TEXT(E147,"mm-dd-yyyy"),I147,J147,L147,N147,P147,R147,T147,V147,X147,Y147,AA147,AB147,AC147,AD147,AE147,AF147,AG147,AI147)</f>
        <v>ORD-2025-10146|11-04-2025|04-13-2025|CUST-6161|Mira Das|Small Business|West|Goa|Panaji|Office Supplies|Paper|Smart Paper 899|Standard Class|4|4182.15|0.1|15055.74|9808.83|5246.91|Paid|Completed</v>
      </c>
      <c r="AL147" s="27" t="str">
        <f>IF(COUNTIF($AK$2:AK147,AK147)&gt;1,"Remove exact duplicate copy","Keep")</f>
        <v>Keep</v>
      </c>
      <c r="AM147" s="9">
        <f t="shared" si="13"/>
        <v>1</v>
      </c>
      <c r="AN147" s="9" t="str">
        <f t="shared" si="14"/>
        <v>Unique</v>
      </c>
      <c r="AO147" s="9" t="str">
        <f t="shared" si="15"/>
        <v/>
      </c>
      <c r="AP147" s="9">
        <f t="shared" si="16"/>
        <v>0.1</v>
      </c>
      <c r="AQ147" s="10">
        <f t="shared" si="17"/>
        <v>15055.74</v>
      </c>
      <c r="AR147" s="10">
        <f t="shared" si="18"/>
        <v>5246.91</v>
      </c>
      <c r="AS147" s="11">
        <f t="shared" si="19"/>
        <v>0.34849897779850075</v>
      </c>
      <c r="AT147" s="9">
        <f t="shared" si="20"/>
        <v>4</v>
      </c>
      <c r="AU147" s="9">
        <f t="shared" si="21"/>
        <v>2025</v>
      </c>
      <c r="AV147" s="9" t="b">
        <f t="shared" si="22"/>
        <v>0</v>
      </c>
      <c r="AW147" s="9" t="b">
        <f t="shared" si="23"/>
        <v>0</v>
      </c>
      <c r="AX147" s="9" t="str">
        <f t="shared" si="24"/>
        <v>Yes</v>
      </c>
      <c r="AY147" s="9" t="str">
        <f t="shared" si="29"/>
        <v/>
      </c>
      <c r="AZ147" s="9" t="str">
        <f>IF(OR(G147="Missing date",G147="Invalid date",G147="Ship date before order date",NOT(ISNUMBER(AP147)),AP147&lt;0,AP147&gt;0.5,AV147=TRUE,AW147=TRUE),"Invalid",IF(OR(O147="Unknown",Z147="Unknown",AC147="",AH147&lt;&gt;"Paid",AJ147&lt;&gt;"Completed",AO147&lt;&gt;""),"Warning","Clean"))</f>
        <v>Clean</v>
      </c>
    </row>
    <row r="148" spans="1:52" ht="15.75" customHeight="1">
      <c r="A148" s="6" t="s">
        <v>901</v>
      </c>
      <c r="B148" s="7" t="s">
        <v>902</v>
      </c>
      <c r="C148" s="7" t="str">
        <f t="shared" si="28"/>
        <v>2025-07</v>
      </c>
      <c r="D148" s="7" cm="1">
        <f t="array" ref="D148">_xlfn.LET(_xlpm.x,B148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45868</v>
      </c>
      <c r="E148" s="7" t="s">
        <v>903</v>
      </c>
      <c r="F148" s="7" cm="1">
        <f t="array" ref="F148">_xlfn.LET(_xlpm.x,E148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45870</v>
      </c>
      <c r="G148" s="8" t="str">
        <f t="shared" si="1"/>
        <v>OK</v>
      </c>
      <c r="H148" s="6">
        <f t="shared" si="2"/>
        <v>2</v>
      </c>
      <c r="I148" s="6" t="s">
        <v>904</v>
      </c>
      <c r="J148" s="6" t="s">
        <v>245</v>
      </c>
      <c r="K148" s="6" t="str">
        <f t="shared" si="3"/>
        <v>Sneha Kapoor</v>
      </c>
      <c r="L148" s="6" t="s">
        <v>46</v>
      </c>
      <c r="M148" s="8" t="str">
        <f t="shared" si="4"/>
        <v>Small Business</v>
      </c>
      <c r="N148" s="6" t="s">
        <v>10</v>
      </c>
      <c r="O148" s="6" t="str">
        <f t="shared" si="5"/>
        <v>South</v>
      </c>
      <c r="P148" s="6" t="s">
        <v>413</v>
      </c>
      <c r="Q148" s="6" t="str">
        <f t="shared" si="6"/>
        <v>Tamil Nadu</v>
      </c>
      <c r="R148" s="6" t="s">
        <v>414</v>
      </c>
      <c r="S148" s="6" t="str">
        <f t="shared" si="7"/>
        <v>Chennai</v>
      </c>
      <c r="T148" s="6" t="s">
        <v>20</v>
      </c>
      <c r="U148" s="8" t="str">
        <f t="shared" si="8"/>
        <v>Office Supplies</v>
      </c>
      <c r="V148" s="6" t="s">
        <v>25</v>
      </c>
      <c r="W148" s="6" t="str">
        <f t="shared" si="9"/>
        <v>Storage</v>
      </c>
      <c r="X148" s="6" t="s">
        <v>905</v>
      </c>
      <c r="Y148" s="6" t="s">
        <v>37</v>
      </c>
      <c r="Z148" s="6" t="str">
        <f t="shared" si="10"/>
        <v>Same Day</v>
      </c>
      <c r="AA148" s="6">
        <v>9</v>
      </c>
      <c r="AB148" s="6">
        <v>3165.43</v>
      </c>
      <c r="AC148" s="6">
        <v>0.1</v>
      </c>
      <c r="AD148" s="6">
        <v>25639.98</v>
      </c>
      <c r="AE148" s="6">
        <v>21635.08</v>
      </c>
      <c r="AF148" s="6">
        <v>4004.9</v>
      </c>
      <c r="AG148" s="6" t="s">
        <v>52</v>
      </c>
      <c r="AH148" s="6" t="str">
        <f t="shared" si="11"/>
        <v>Paid</v>
      </c>
      <c r="AI148" s="6" t="s">
        <v>134</v>
      </c>
      <c r="AJ148" s="6" t="str">
        <f t="shared" si="12"/>
        <v>Completed</v>
      </c>
      <c r="AK148" s="9" t="str">
        <f>_xlfn.TEXTJOIN("|",FALSE,A148,TEXT(B148,"mm-dd-yyyy"),TEXT(E148,"mm-dd-yyyy"),I148,J148,L148,N148,P148,R148,T148,V148,X148,Y148,AA148,AB148,AC148,AD148,AE148,AF148,AG148,AI148)</f>
        <v>ORD-2025-10147|07-30-2025|08-01-2025|CUST-1460|Sneha Kapoor|Small Business|South|Tamil Nadu|Chennai|Office Supplies|Storage|Classic Storage 423|Same Day|9|3165.43|0.1|25639.98|21635.08|4004.9|Paid|Completed</v>
      </c>
      <c r="AL148" s="27" t="str">
        <f>IF(COUNTIF($AK$2:AK148,AK148)&gt;1,"Remove exact duplicate copy","Keep")</f>
        <v>Keep</v>
      </c>
      <c r="AM148" s="9">
        <f t="shared" si="13"/>
        <v>1</v>
      </c>
      <c r="AN148" s="9" t="str">
        <f t="shared" si="14"/>
        <v>Unique</v>
      </c>
      <c r="AO148" s="9" t="str">
        <f t="shared" si="15"/>
        <v/>
      </c>
      <c r="AP148" s="9">
        <f t="shared" si="16"/>
        <v>0.1</v>
      </c>
      <c r="AQ148" s="10">
        <f t="shared" si="17"/>
        <v>25639.983</v>
      </c>
      <c r="AR148" s="10">
        <f t="shared" si="18"/>
        <v>4004.9029999999984</v>
      </c>
      <c r="AS148" s="11">
        <f t="shared" si="19"/>
        <v>0.1561975684617263</v>
      </c>
      <c r="AT148" s="9">
        <f t="shared" si="20"/>
        <v>7</v>
      </c>
      <c r="AU148" s="9">
        <f t="shared" si="21"/>
        <v>2025</v>
      </c>
      <c r="AV148" s="9" t="b">
        <f t="shared" si="22"/>
        <v>0</v>
      </c>
      <c r="AW148" s="9" t="b">
        <f t="shared" si="23"/>
        <v>0</v>
      </c>
      <c r="AX148" s="9" t="str">
        <f t="shared" si="24"/>
        <v>Yes</v>
      </c>
      <c r="AY148" s="9" t="str">
        <f t="shared" si="29"/>
        <v/>
      </c>
      <c r="AZ148" s="9" t="str">
        <f>IF(OR(G148="Missing date",G148="Invalid date",G148="Ship date before order date",NOT(ISNUMBER(AP148)),AP148&lt;0,AP148&gt;0.5,AV148=TRUE,AW148=TRUE),"Invalid",IF(OR(O148="Unknown",Z148="Unknown",AC148="",AH148&lt;&gt;"Paid",AJ148&lt;&gt;"Completed",AO148&lt;&gt;""),"Warning","Clean"))</f>
        <v>Clean</v>
      </c>
    </row>
    <row r="149" spans="1:52" ht="15.75" customHeight="1">
      <c r="A149" s="6" t="s">
        <v>906</v>
      </c>
      <c r="B149" s="7" t="s">
        <v>907</v>
      </c>
      <c r="C149" s="7" t="str">
        <f t="shared" si="28"/>
        <v>2024-12</v>
      </c>
      <c r="D149" s="7" cm="1">
        <f t="array" ref="D149">_xlfn.LET(_xlpm.x,B149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45649</v>
      </c>
      <c r="E149" s="7" t="s">
        <v>908</v>
      </c>
      <c r="F149" s="7" cm="1">
        <f t="array" ref="F149">_xlfn.LET(_xlpm.x,E149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45656</v>
      </c>
      <c r="G149" s="8" t="str">
        <f t="shared" si="1"/>
        <v>OK</v>
      </c>
      <c r="H149" s="6">
        <f t="shared" si="2"/>
        <v>7</v>
      </c>
      <c r="I149" s="6" t="s">
        <v>909</v>
      </c>
      <c r="J149" s="6" t="s">
        <v>220</v>
      </c>
      <c r="K149" s="6" t="str">
        <f t="shared" si="3"/>
        <v>Priya Menon</v>
      </c>
      <c r="L149" s="6" t="s">
        <v>44</v>
      </c>
      <c r="M149" s="8" t="str">
        <f t="shared" si="4"/>
        <v>Home Office</v>
      </c>
      <c r="N149" s="6" t="s">
        <v>9</v>
      </c>
      <c r="O149" s="6" t="str">
        <f t="shared" si="5"/>
        <v>West</v>
      </c>
      <c r="P149" s="6" t="s">
        <v>323</v>
      </c>
      <c r="Q149" s="6" t="str">
        <f t="shared" si="6"/>
        <v>Goa</v>
      </c>
      <c r="R149" s="6" t="s">
        <v>324</v>
      </c>
      <c r="S149" s="6" t="str">
        <f t="shared" si="7"/>
        <v>Panaji</v>
      </c>
      <c r="T149" s="6" t="s">
        <v>14</v>
      </c>
      <c r="U149" s="8" t="str">
        <f t="shared" si="8"/>
        <v>Furniture</v>
      </c>
      <c r="V149" s="6" t="s">
        <v>17</v>
      </c>
      <c r="W149" s="6" t="str">
        <f t="shared" si="9"/>
        <v>Furnishings</v>
      </c>
      <c r="X149" s="6" t="s">
        <v>910</v>
      </c>
      <c r="Y149" s="6" t="s">
        <v>35</v>
      </c>
      <c r="Z149" s="6" t="str">
        <f t="shared" si="10"/>
        <v>First Class</v>
      </c>
      <c r="AA149" s="6">
        <v>8</v>
      </c>
      <c r="AB149" s="6">
        <v>386.1</v>
      </c>
      <c r="AC149" s="6">
        <v>0.1</v>
      </c>
      <c r="AD149" s="6">
        <v>2779.92</v>
      </c>
      <c r="AE149" s="6">
        <v>1744.05</v>
      </c>
      <c r="AF149" s="6">
        <v>1035.8699999999999</v>
      </c>
      <c r="AG149" s="6" t="s">
        <v>52</v>
      </c>
      <c r="AH149" s="6" t="str">
        <f t="shared" si="11"/>
        <v>Paid</v>
      </c>
      <c r="AI149" s="6" t="s">
        <v>134</v>
      </c>
      <c r="AJ149" s="6" t="str">
        <f t="shared" si="12"/>
        <v>Completed</v>
      </c>
      <c r="AK149" s="9" t="str">
        <f>_xlfn.TEXTJOIN("|",FALSE,A149,TEXT(B149,"mm-dd-yyyy"),TEXT(E149,"mm-dd-yyyy"),I149,J149,L149,N149,P149,R149,T149,V149,X149,Y149,AA149,AB149,AC149,AD149,AE149,AF149,AG149,AI149)</f>
        <v>ORD-2024-10148|23-12-2024|12-30-2024|CUST-2692|Priya Menon|Home Office|West|Goa|Panaji|Furniture|Furnishings|Classic Furnishings 743|First Class|8|386.1|0.1|2779.92|1744.05|1035.87|Paid|Completed</v>
      </c>
      <c r="AL149" s="27" t="str">
        <f>IF(COUNTIF($AK$2:AK149,AK149)&gt;1,"Remove exact duplicate copy","Keep")</f>
        <v>Keep</v>
      </c>
      <c r="AM149" s="9">
        <f t="shared" si="13"/>
        <v>1</v>
      </c>
      <c r="AN149" s="9" t="str">
        <f t="shared" si="14"/>
        <v>Unique</v>
      </c>
      <c r="AO149" s="9" t="str">
        <f t="shared" si="15"/>
        <v/>
      </c>
      <c r="AP149" s="9">
        <f t="shared" si="16"/>
        <v>0.1</v>
      </c>
      <c r="AQ149" s="10">
        <f t="shared" si="17"/>
        <v>2779.92</v>
      </c>
      <c r="AR149" s="10">
        <f t="shared" si="18"/>
        <v>1035.8700000000001</v>
      </c>
      <c r="AS149" s="11">
        <f t="shared" si="19"/>
        <v>0.37262583095916435</v>
      </c>
      <c r="AT149" s="9">
        <f t="shared" si="20"/>
        <v>12</v>
      </c>
      <c r="AU149" s="9">
        <f t="shared" si="21"/>
        <v>2024</v>
      </c>
      <c r="AV149" s="9" t="b">
        <f t="shared" si="22"/>
        <v>0</v>
      </c>
      <c r="AW149" s="9" t="b">
        <f t="shared" si="23"/>
        <v>0</v>
      </c>
      <c r="AX149" s="9" t="str">
        <f t="shared" si="24"/>
        <v>Yes</v>
      </c>
      <c r="AY149" s="9" t="str">
        <f t="shared" si="29"/>
        <v/>
      </c>
      <c r="AZ149" s="9" t="str">
        <f>IF(OR(G149="Missing date",G149="Invalid date",G149="Ship date before order date",NOT(ISNUMBER(AP149)),AP149&lt;0,AP149&gt;0.5,AV149=TRUE,AW149=TRUE),"Invalid",IF(OR(O149="Unknown",Z149="Unknown",AC149="",AH149&lt;&gt;"Paid",AJ149&lt;&gt;"Completed",AO149&lt;&gt;""),"Warning","Clean"))</f>
        <v>Clean</v>
      </c>
    </row>
    <row r="150" spans="1:52" ht="15.75" customHeight="1">
      <c r="A150" s="6" t="s">
        <v>911</v>
      </c>
      <c r="B150" s="7" t="s">
        <v>912</v>
      </c>
      <c r="C150" s="7" t="str">
        <f t="shared" si="28"/>
        <v>2025-02</v>
      </c>
      <c r="D150" s="7" cm="1">
        <f t="array" ref="D150">_xlfn.LET(_xlpm.x,B150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45697</v>
      </c>
      <c r="E150" s="7" t="s">
        <v>913</v>
      </c>
      <c r="F150" s="7" cm="1">
        <f t="array" ref="F150">_xlfn.LET(_xlpm.x,E150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45701</v>
      </c>
      <c r="G150" s="8" t="str">
        <f t="shared" si="1"/>
        <v>OK</v>
      </c>
      <c r="H150" s="6">
        <f t="shared" si="2"/>
        <v>4</v>
      </c>
      <c r="I150" s="6" t="s">
        <v>914</v>
      </c>
      <c r="J150" s="6" t="s">
        <v>139</v>
      </c>
      <c r="K150" s="6" t="str">
        <f t="shared" si="3"/>
        <v>Mira Das</v>
      </c>
      <c r="L150" s="6" t="s">
        <v>44</v>
      </c>
      <c r="M150" s="8" t="str">
        <f t="shared" si="4"/>
        <v>Home Office</v>
      </c>
      <c r="N150" s="6" t="s">
        <v>9</v>
      </c>
      <c r="O150" s="6" t="str">
        <f t="shared" si="5"/>
        <v>West</v>
      </c>
      <c r="P150" s="6" t="s">
        <v>170</v>
      </c>
      <c r="Q150" s="6" t="str">
        <f t="shared" si="6"/>
        <v>Madhya Pradesh</v>
      </c>
      <c r="R150" s="6" t="s">
        <v>171</v>
      </c>
      <c r="S150" s="6" t="str">
        <f t="shared" si="7"/>
        <v>Indore</v>
      </c>
      <c r="T150" s="6" t="s">
        <v>27</v>
      </c>
      <c r="U150" s="8" t="str">
        <f t="shared" si="8"/>
        <v>Technology</v>
      </c>
      <c r="V150" s="6" t="s">
        <v>31</v>
      </c>
      <c r="W150" s="6" t="str">
        <f t="shared" si="9"/>
        <v>Phones</v>
      </c>
      <c r="X150" s="6" t="s">
        <v>915</v>
      </c>
      <c r="Y150" s="6"/>
      <c r="Z150" s="6" t="str">
        <f t="shared" si="10"/>
        <v>Unknown</v>
      </c>
      <c r="AA150" s="6">
        <v>8</v>
      </c>
      <c r="AB150" s="6">
        <v>1696.07</v>
      </c>
      <c r="AC150" s="6">
        <v>0.25</v>
      </c>
      <c r="AD150" s="6">
        <v>10176.42</v>
      </c>
      <c r="AE150" s="6">
        <v>7604.47</v>
      </c>
      <c r="AF150" s="6">
        <v>2571.9499999999998</v>
      </c>
      <c r="AG150" s="6" t="s">
        <v>52</v>
      </c>
      <c r="AH150" s="6" t="str">
        <f t="shared" si="11"/>
        <v>Paid</v>
      </c>
      <c r="AI150" s="6" t="s">
        <v>134</v>
      </c>
      <c r="AJ150" s="6" t="str">
        <f t="shared" si="12"/>
        <v>Completed</v>
      </c>
      <c r="AK150" s="9" t="str">
        <f>_xlfn.TEXTJOIN("|",FALSE,A150,TEXT(B150,"mm-dd-yyyy"),TEXT(E150,"mm-dd-yyyy"),I150,J150,L150,N150,P150,R150,T150,V150,X150,Y150,AA150,AB150,AC150,AD150,AE150,AF150,AG150,AI150)</f>
        <v>ORD-2025-10149|02-09-2025|13-02-2025|CUST-2822|Mira Das|Home Office|West|Madhya Pradesh|Indore|Technology|Phones|Smart Phones 336||8|1696.07|0.25|10176.42|7604.47|2571.95|Paid|Completed</v>
      </c>
      <c r="AL150" s="27" t="str">
        <f>IF(COUNTIF($AK$2:AK150,AK150)&gt;1,"Remove exact duplicate copy","Keep")</f>
        <v>Keep</v>
      </c>
      <c r="AM150" s="9">
        <f t="shared" si="13"/>
        <v>1</v>
      </c>
      <c r="AN150" s="9" t="str">
        <f t="shared" si="14"/>
        <v>Unique</v>
      </c>
      <c r="AO150" s="9" t="str">
        <f t="shared" si="15"/>
        <v/>
      </c>
      <c r="AP150" s="9">
        <f t="shared" si="16"/>
        <v>0.25</v>
      </c>
      <c r="AQ150" s="10">
        <f t="shared" si="17"/>
        <v>10176.42</v>
      </c>
      <c r="AR150" s="10">
        <f t="shared" si="18"/>
        <v>2571.9499999999998</v>
      </c>
      <c r="AS150" s="11">
        <f t="shared" si="19"/>
        <v>0.252736227474888</v>
      </c>
      <c r="AT150" s="9">
        <f t="shared" si="20"/>
        <v>2</v>
      </c>
      <c r="AU150" s="9">
        <f t="shared" si="21"/>
        <v>2025</v>
      </c>
      <c r="AV150" s="9" t="b">
        <f t="shared" si="22"/>
        <v>0</v>
      </c>
      <c r="AW150" s="9" t="b">
        <f t="shared" si="23"/>
        <v>0</v>
      </c>
      <c r="AX150" s="9" t="str">
        <f t="shared" si="24"/>
        <v>Yes</v>
      </c>
      <c r="AY150" s="9" t="str">
        <f t="shared" si="29"/>
        <v>Missing ship mode filled as Unknown</v>
      </c>
      <c r="AZ150" s="9" t="str">
        <f>IF(OR(G150="Missing date",G150="Invalid date",G150="Ship date before order date",NOT(ISNUMBER(AP150)),AP150&lt;0,AP150&gt;0.5,AV150=TRUE,AW150=TRUE),"Invalid",IF(OR(O150="Unknown",Z150="Unknown",AC150="",AH150&lt;&gt;"Paid",AJ150&lt;&gt;"Completed",AO150&lt;&gt;""),"Warning","Clean"))</f>
        <v>Warning</v>
      </c>
    </row>
    <row r="151" spans="1:52" ht="15.75" customHeight="1">
      <c r="A151" s="6" t="s">
        <v>916</v>
      </c>
      <c r="B151" s="7" t="s">
        <v>917</v>
      </c>
      <c r="C151" s="7" t="str">
        <f t="shared" si="28"/>
        <v>2024-01</v>
      </c>
      <c r="D151" s="7" cm="1">
        <f t="array" ref="D151">_xlfn.LET(_xlpm.x,B151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45321</v>
      </c>
      <c r="E151" s="7" t="s">
        <v>917</v>
      </c>
      <c r="F151" s="7" cm="1">
        <f t="array" ref="F151">_xlfn.LET(_xlpm.x,E151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45321</v>
      </c>
      <c r="G151" s="8" t="str">
        <f t="shared" si="1"/>
        <v>OK</v>
      </c>
      <c r="H151" s="6">
        <f t="shared" si="2"/>
        <v>0</v>
      </c>
      <c r="I151" s="6" t="s">
        <v>918</v>
      </c>
      <c r="J151" s="6" t="s">
        <v>239</v>
      </c>
      <c r="K151" s="6" t="str">
        <f t="shared" si="3"/>
        <v>Aarav Sharma</v>
      </c>
      <c r="L151" s="6" t="s">
        <v>46</v>
      </c>
      <c r="M151" s="8" t="str">
        <f t="shared" si="4"/>
        <v>Small Business</v>
      </c>
      <c r="N151" s="6" t="s">
        <v>919</v>
      </c>
      <c r="O151" s="6" t="str">
        <f t="shared" si="5"/>
        <v>West</v>
      </c>
      <c r="P151" s="6" t="s">
        <v>131</v>
      </c>
      <c r="Q151" s="6" t="str">
        <f t="shared" si="6"/>
        <v>Rajasthan</v>
      </c>
      <c r="R151" s="6" t="s">
        <v>214</v>
      </c>
      <c r="S151" s="6" t="str">
        <f t="shared" si="7"/>
        <v>Udaipur</v>
      </c>
      <c r="T151" s="6" t="s">
        <v>27</v>
      </c>
      <c r="U151" s="8" t="str">
        <f t="shared" si="8"/>
        <v>Technology</v>
      </c>
      <c r="V151" s="6" t="s">
        <v>29</v>
      </c>
      <c r="W151" s="6" t="str">
        <f t="shared" si="9"/>
        <v>Copiers</v>
      </c>
      <c r="X151" s="6" t="s">
        <v>920</v>
      </c>
      <c r="Y151" s="6" t="s">
        <v>37</v>
      </c>
      <c r="Z151" s="6" t="str">
        <f t="shared" si="10"/>
        <v>Same Day</v>
      </c>
      <c r="AA151" s="6">
        <v>7</v>
      </c>
      <c r="AB151" s="6">
        <v>2527.61</v>
      </c>
      <c r="AC151" s="6">
        <v>0.25</v>
      </c>
      <c r="AD151" s="6">
        <v>13269.95</v>
      </c>
      <c r="AE151" s="6">
        <v>8977.1</v>
      </c>
      <c r="AF151" s="6">
        <v>4292.8500000000004</v>
      </c>
      <c r="AG151" s="6" t="s">
        <v>52</v>
      </c>
      <c r="AH151" s="6" t="str">
        <f t="shared" si="11"/>
        <v>Paid</v>
      </c>
      <c r="AI151" s="6" t="s">
        <v>134</v>
      </c>
      <c r="AJ151" s="6" t="str">
        <f t="shared" si="12"/>
        <v>Completed</v>
      </c>
      <c r="AK151" s="9" t="str">
        <f>_xlfn.TEXTJOIN("|",FALSE,A151,TEXT(B151,"mm-dd-yyyy"),TEXT(E151,"mm-dd-yyyy"),I151,J151,L151,N151,P151,R151,T151,V151,X151,Y151,AA151,AB151,AC151,AD151,AE151,AF151,AG151,AI151)</f>
        <v>ORD-2024-10150|30-01-2024|30-01-2024|CUST-5876|Aarav Sharma|Small Business|west|Rajasthan|Udaipur|Technology|Copiers|Eco Copiers 381|Same Day|7|2527.61|0.25|13269.95|8977.1|4292.85|Paid|Completed</v>
      </c>
      <c r="AL151" s="27" t="str">
        <f>IF(COUNTIF($AK$2:AK151,AK151)&gt;1,"Remove exact duplicate copy","Keep")</f>
        <v>Keep</v>
      </c>
      <c r="AM151" s="9">
        <f t="shared" si="13"/>
        <v>1</v>
      </c>
      <c r="AN151" s="9" t="str">
        <f t="shared" si="14"/>
        <v>Unique</v>
      </c>
      <c r="AO151" s="9" t="str">
        <f t="shared" si="15"/>
        <v/>
      </c>
      <c r="AP151" s="9">
        <f t="shared" si="16"/>
        <v>0.25</v>
      </c>
      <c r="AQ151" s="10">
        <f t="shared" si="17"/>
        <v>13269.952499999999</v>
      </c>
      <c r="AR151" s="10">
        <f t="shared" si="18"/>
        <v>4292.8524999999991</v>
      </c>
      <c r="AS151" s="11">
        <f t="shared" si="19"/>
        <v>0.32350172315989822</v>
      </c>
      <c r="AT151" s="9">
        <f t="shared" si="20"/>
        <v>1</v>
      </c>
      <c r="AU151" s="9">
        <f t="shared" si="21"/>
        <v>2024</v>
      </c>
      <c r="AV151" s="9" t="b">
        <f t="shared" si="22"/>
        <v>0</v>
      </c>
      <c r="AW151" s="9" t="b">
        <f t="shared" si="23"/>
        <v>0</v>
      </c>
      <c r="AX151" s="9" t="str">
        <f t="shared" si="24"/>
        <v>Yes</v>
      </c>
      <c r="AY151" s="9" t="str">
        <f t="shared" si="29"/>
        <v/>
      </c>
      <c r="AZ151" s="9" t="str">
        <f>IF(OR(G151="Missing date",G151="Invalid date",G151="Ship date before order date",NOT(ISNUMBER(AP151)),AP151&lt;0,AP151&gt;0.5,AV151=TRUE,AW151=TRUE),"Invalid",IF(OR(O151="Unknown",Z151="Unknown",AC151="",AH151&lt;&gt;"Paid",AJ151&lt;&gt;"Completed",AO151&lt;&gt;""),"Warning","Clean"))</f>
        <v>Clean</v>
      </c>
    </row>
    <row r="152" spans="1:52" ht="15.75" customHeight="1">
      <c r="A152" s="6" t="s">
        <v>921</v>
      </c>
      <c r="B152" s="7" t="s">
        <v>922</v>
      </c>
      <c r="C152" s="7" t="str">
        <f t="shared" si="28"/>
        <v>2024-03</v>
      </c>
      <c r="D152" s="7" cm="1">
        <f t="array" ref="D152">_xlfn.LET(_xlpm.x,B152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45355</v>
      </c>
      <c r="E152" s="7" t="s">
        <v>923</v>
      </c>
      <c r="F152" s="7" cm="1">
        <f t="array" ref="F152">_xlfn.LET(_xlpm.x,E152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45363</v>
      </c>
      <c r="G152" s="8" t="str">
        <f t="shared" si="1"/>
        <v>OK</v>
      </c>
      <c r="H152" s="6">
        <f t="shared" si="2"/>
        <v>8</v>
      </c>
      <c r="I152" s="6" t="s">
        <v>924</v>
      </c>
      <c r="J152" s="6" t="s">
        <v>153</v>
      </c>
      <c r="K152" s="6" t="str">
        <f t="shared" si="3"/>
        <v>Arjun Bose</v>
      </c>
      <c r="L152" s="6" t="s">
        <v>43</v>
      </c>
      <c r="M152" s="8" t="str">
        <f t="shared" si="4"/>
        <v>Consumer</v>
      </c>
      <c r="N152" s="6"/>
      <c r="O152" s="6" t="str">
        <f t="shared" si="5"/>
        <v>Unknown</v>
      </c>
      <c r="P152" s="6" t="s">
        <v>309</v>
      </c>
      <c r="Q152" s="6" t="str">
        <f t="shared" si="6"/>
        <v>Gujarat</v>
      </c>
      <c r="R152" s="6" t="s">
        <v>310</v>
      </c>
      <c r="S152" s="6" t="str">
        <f t="shared" si="7"/>
        <v>Ahmedabad</v>
      </c>
      <c r="T152" s="6" t="s">
        <v>14</v>
      </c>
      <c r="U152" s="8" t="str">
        <f t="shared" si="8"/>
        <v>Furniture</v>
      </c>
      <c r="V152" s="6" t="s">
        <v>15</v>
      </c>
      <c r="W152" s="6" t="str">
        <f t="shared" si="9"/>
        <v>Bookcases</v>
      </c>
      <c r="X152" s="6" t="s">
        <v>925</v>
      </c>
      <c r="Y152" s="6" t="s">
        <v>35</v>
      </c>
      <c r="Z152" s="6" t="str">
        <f t="shared" si="10"/>
        <v>First Class</v>
      </c>
      <c r="AA152" s="6">
        <v>1</v>
      </c>
      <c r="AB152" s="6">
        <v>1554.12</v>
      </c>
      <c r="AC152" s="6">
        <v>0.1</v>
      </c>
      <c r="AD152" s="6">
        <v>1398.71</v>
      </c>
      <c r="AE152" s="6">
        <v>1056.92</v>
      </c>
      <c r="AF152" s="6">
        <v>341.79</v>
      </c>
      <c r="AG152" s="6" t="s">
        <v>52</v>
      </c>
      <c r="AH152" s="6" t="str">
        <f t="shared" si="11"/>
        <v>Paid</v>
      </c>
      <c r="AI152" s="6" t="s">
        <v>134</v>
      </c>
      <c r="AJ152" s="6" t="str">
        <f t="shared" si="12"/>
        <v>Completed</v>
      </c>
      <c r="AK152" s="9" t="str">
        <f>_xlfn.TEXTJOIN("|",FALSE,A152,TEXT(B152,"mm-dd-yyyy"),TEXT(E152,"mm-dd-yyyy"),I152,J152,L152,N152,P152,R152,T152,V152,X152,Y152,AA152,AB152,AC152,AD152,AE152,AF152,AG152,AI152)</f>
        <v>ORD-2024-10151|04-03-2024|03-12-2024|CUST-4661|Arjun Bose|Consumer||Gujarat|Ahmedabad|Furniture|Bookcases|Max Bookcases 595|First Class|1|1554.12|0.1|1398.71|1056.92|341.79|Paid|Completed</v>
      </c>
      <c r="AL152" s="27" t="str">
        <f>IF(COUNTIF($AK$2:AK152,AK152)&gt;1,"Remove exact duplicate copy","Keep")</f>
        <v>Keep</v>
      </c>
      <c r="AM152" s="9">
        <f t="shared" si="13"/>
        <v>1</v>
      </c>
      <c r="AN152" s="9" t="str">
        <f t="shared" si="14"/>
        <v>Unique</v>
      </c>
      <c r="AO152" s="9" t="str">
        <f t="shared" si="15"/>
        <v/>
      </c>
      <c r="AP152" s="9">
        <f t="shared" si="16"/>
        <v>0.1</v>
      </c>
      <c r="AQ152" s="10">
        <f t="shared" si="17"/>
        <v>1398.7079999999999</v>
      </c>
      <c r="AR152" s="10">
        <f t="shared" si="18"/>
        <v>341.78799999999978</v>
      </c>
      <c r="AS152" s="11">
        <f t="shared" si="19"/>
        <v>0.24435979489643286</v>
      </c>
      <c r="AT152" s="9">
        <f t="shared" si="20"/>
        <v>3</v>
      </c>
      <c r="AU152" s="9">
        <f t="shared" si="21"/>
        <v>2024</v>
      </c>
      <c r="AV152" s="9" t="b">
        <f t="shared" si="22"/>
        <v>0</v>
      </c>
      <c r="AW152" s="9" t="b">
        <f t="shared" si="23"/>
        <v>0</v>
      </c>
      <c r="AX152" s="9" t="str">
        <f t="shared" si="24"/>
        <v>Yes</v>
      </c>
      <c r="AY152" s="9" t="str">
        <f t="shared" si="29"/>
        <v>Missing region filled as Unknown</v>
      </c>
      <c r="AZ152" s="9" t="str">
        <f>IF(OR(G152="Missing date",G152="Invalid date",G152="Ship date before order date",NOT(ISNUMBER(AP152)),AP152&lt;0,AP152&gt;0.5,AV152=TRUE,AW152=TRUE),"Invalid",IF(OR(O152="Unknown",Z152="Unknown",AC152="",AH152&lt;&gt;"Paid",AJ152&lt;&gt;"Completed",AO152&lt;&gt;""),"Warning","Clean"))</f>
        <v>Warning</v>
      </c>
    </row>
    <row r="153" spans="1:52" ht="15.75" customHeight="1">
      <c r="A153" s="6" t="s">
        <v>926</v>
      </c>
      <c r="B153" s="7" t="s">
        <v>927</v>
      </c>
      <c r="C153" s="7" t="str">
        <f t="shared" si="28"/>
        <v>2024-06</v>
      </c>
      <c r="D153" s="7" cm="1">
        <f t="array" ref="D153">_xlfn.LET(_xlpm.x,B153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45470</v>
      </c>
      <c r="E153" s="7" t="s">
        <v>928</v>
      </c>
      <c r="F153" s="7" cm="1">
        <f t="array" ref="F153">_xlfn.LET(_xlpm.x,E153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45470</v>
      </c>
      <c r="G153" s="8" t="str">
        <f t="shared" si="1"/>
        <v>OK</v>
      </c>
      <c r="H153" s="6">
        <f t="shared" si="2"/>
        <v>0</v>
      </c>
      <c r="I153" s="6" t="s">
        <v>929</v>
      </c>
      <c r="J153" s="6" t="s">
        <v>177</v>
      </c>
      <c r="K153" s="6" t="str">
        <f t="shared" si="3"/>
        <v>Neha Gupta</v>
      </c>
      <c r="L153" s="6" t="s">
        <v>44</v>
      </c>
      <c r="M153" s="8" t="str">
        <f t="shared" si="4"/>
        <v>Home Office</v>
      </c>
      <c r="N153" s="6"/>
      <c r="O153" s="6" t="str">
        <f t="shared" si="5"/>
        <v>Unknown</v>
      </c>
      <c r="P153" s="6" t="s">
        <v>170</v>
      </c>
      <c r="Q153" s="6" t="str">
        <f t="shared" si="6"/>
        <v>Madhya Pradesh</v>
      </c>
      <c r="R153" s="6" t="s">
        <v>171</v>
      </c>
      <c r="S153" s="6" t="str">
        <f t="shared" si="7"/>
        <v>Indore</v>
      </c>
      <c r="T153" s="6" t="s">
        <v>27</v>
      </c>
      <c r="U153" s="8" t="str">
        <f t="shared" si="8"/>
        <v>Technology</v>
      </c>
      <c r="V153" s="6" t="s">
        <v>29</v>
      </c>
      <c r="W153" s="6" t="str">
        <f t="shared" si="9"/>
        <v>Copiers</v>
      </c>
      <c r="X153" s="6" t="s">
        <v>930</v>
      </c>
      <c r="Y153" s="6" t="s">
        <v>34</v>
      </c>
      <c r="Z153" s="6" t="str">
        <f t="shared" si="10"/>
        <v>Standard Class</v>
      </c>
      <c r="AA153" s="6">
        <v>2</v>
      </c>
      <c r="AB153" s="6">
        <v>3859.11</v>
      </c>
      <c r="AC153" s="6">
        <v>0</v>
      </c>
      <c r="AD153" s="6">
        <v>7718.22</v>
      </c>
      <c r="AE153" s="6">
        <v>5355.93</v>
      </c>
      <c r="AF153" s="6">
        <v>2362.29</v>
      </c>
      <c r="AG153" s="6" t="s">
        <v>54</v>
      </c>
      <c r="AH153" s="6" t="str">
        <f t="shared" si="11"/>
        <v>Pending</v>
      </c>
      <c r="AI153" s="6" t="s">
        <v>59</v>
      </c>
      <c r="AJ153" s="6" t="str">
        <f t="shared" si="12"/>
        <v>Returned</v>
      </c>
      <c r="AK153" s="9" t="str">
        <f>_xlfn.TEXTJOIN("|",FALSE,A153,TEXT(B153,"mm-dd-yyyy"),TEXT(E153,"mm-dd-yyyy"),I153,J153,L153,N153,P153,R153,T153,V153,X153,Y153,AA153,AB153,AC153,AD153,AE153,AF153,AG153,AI153)</f>
        <v>ORD-2024-10152|06-27-2024|06-27-2024|CUST-6011|Neha Gupta|Home Office||Madhya Pradesh|Indore|Technology|Copiers|Max Copiers 992|Standard Class|2|3859.11|0|7718.22|5355.93|2362.29|Pending|Returned</v>
      </c>
      <c r="AL153" s="27" t="str">
        <f>IF(COUNTIF($AK$2:AK153,AK153)&gt;1,"Remove exact duplicate copy","Keep")</f>
        <v>Keep</v>
      </c>
      <c r="AM153" s="9">
        <f t="shared" si="13"/>
        <v>1</v>
      </c>
      <c r="AN153" s="9" t="str">
        <f t="shared" si="14"/>
        <v>Unique</v>
      </c>
      <c r="AO153" s="9" t="str">
        <f t="shared" si="15"/>
        <v/>
      </c>
      <c r="AP153" s="9">
        <f t="shared" si="16"/>
        <v>0</v>
      </c>
      <c r="AQ153" s="10">
        <f t="shared" si="17"/>
        <v>7718.22</v>
      </c>
      <c r="AR153" s="10">
        <f t="shared" si="18"/>
        <v>2362.29</v>
      </c>
      <c r="AS153" s="11">
        <f t="shared" si="19"/>
        <v>0.30606668376905555</v>
      </c>
      <c r="AT153" s="9">
        <f t="shared" si="20"/>
        <v>6</v>
      </c>
      <c r="AU153" s="9">
        <f t="shared" si="21"/>
        <v>2024</v>
      </c>
      <c r="AV153" s="9" t="b">
        <f t="shared" si="22"/>
        <v>0</v>
      </c>
      <c r="AW153" s="9" t="b">
        <f t="shared" si="23"/>
        <v>0</v>
      </c>
      <c r="AX153" s="9" t="str">
        <f t="shared" si="24"/>
        <v>No</v>
      </c>
      <c r="AY153" s="9" t="str">
        <f t="shared" si="29"/>
        <v>Missing region filled as Unknown; Returned order excluded</v>
      </c>
      <c r="AZ153" s="9" t="str">
        <f>IF(OR(G153="Missing date",G153="Invalid date",G153="Ship date before order date",NOT(ISNUMBER(AP153)),AP153&lt;0,AP153&gt;0.5,AV153=TRUE,AW153=TRUE),"Invalid",IF(OR(O153="Unknown",Z153="Unknown",AC153="",AH153&lt;&gt;"Paid",AJ153&lt;&gt;"Completed",AO153&lt;&gt;""),"Warning","Clean"))</f>
        <v>Warning</v>
      </c>
    </row>
    <row r="154" spans="1:52" ht="15.75" customHeight="1">
      <c r="A154" s="6" t="s">
        <v>931</v>
      </c>
      <c r="B154" s="7" t="s">
        <v>932</v>
      </c>
      <c r="C154" s="7" t="str">
        <f t="shared" si="28"/>
        <v>2024-06</v>
      </c>
      <c r="D154" s="7" cm="1">
        <f t="array" ref="D154">_xlfn.LET(_xlpm.x,B154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45457</v>
      </c>
      <c r="E154" s="7" t="s">
        <v>933</v>
      </c>
      <c r="F154" s="7" cm="1">
        <f t="array" ref="F154">_xlfn.LET(_xlpm.x,E154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45460</v>
      </c>
      <c r="G154" s="8" t="str">
        <f t="shared" si="1"/>
        <v>OK</v>
      </c>
      <c r="H154" s="6">
        <f t="shared" si="2"/>
        <v>3</v>
      </c>
      <c r="I154" s="6" t="s">
        <v>934</v>
      </c>
      <c r="J154" s="6" t="s">
        <v>442</v>
      </c>
      <c r="K154" s="6" t="str">
        <f t="shared" si="3"/>
        <v>Kabir Singh</v>
      </c>
      <c r="L154" s="6" t="s">
        <v>46</v>
      </c>
      <c r="M154" s="8" t="str">
        <f t="shared" si="4"/>
        <v>Small Business</v>
      </c>
      <c r="N154" s="6" t="s">
        <v>10</v>
      </c>
      <c r="O154" s="6" t="str">
        <f t="shared" si="5"/>
        <v>South</v>
      </c>
      <c r="P154" s="6" t="s">
        <v>316</v>
      </c>
      <c r="Q154" s="6" t="str">
        <f t="shared" si="6"/>
        <v>Kerala</v>
      </c>
      <c r="R154" s="6" t="s">
        <v>317</v>
      </c>
      <c r="S154" s="6" t="str">
        <f t="shared" si="7"/>
        <v>Kochi</v>
      </c>
      <c r="T154" s="6" t="s">
        <v>14</v>
      </c>
      <c r="U154" s="8" t="str">
        <f t="shared" si="8"/>
        <v>Furniture</v>
      </c>
      <c r="V154" s="6" t="s">
        <v>18</v>
      </c>
      <c r="W154" s="6" t="str">
        <f t="shared" si="9"/>
        <v>Tables</v>
      </c>
      <c r="X154" s="6" t="s">
        <v>935</v>
      </c>
      <c r="Y154" s="6" t="s">
        <v>36</v>
      </c>
      <c r="Z154" s="6" t="str">
        <f t="shared" si="10"/>
        <v>Second Class</v>
      </c>
      <c r="AA154" s="6">
        <v>6</v>
      </c>
      <c r="AB154" s="6">
        <v>1088.04</v>
      </c>
      <c r="AC154" s="6">
        <v>0.1</v>
      </c>
      <c r="AD154" s="6">
        <v>5875.42</v>
      </c>
      <c r="AE154" s="6">
        <v>4380.55</v>
      </c>
      <c r="AF154" s="6">
        <v>1494.87</v>
      </c>
      <c r="AG154" s="6" t="s">
        <v>54</v>
      </c>
      <c r="AH154" s="6" t="str">
        <f t="shared" si="11"/>
        <v>Pending</v>
      </c>
      <c r="AI154" s="6" t="s">
        <v>59</v>
      </c>
      <c r="AJ154" s="6" t="str">
        <f t="shared" si="12"/>
        <v>Returned</v>
      </c>
      <c r="AK154" s="9" t="str">
        <f>_xlfn.TEXTJOIN("|",FALSE,A154,TEXT(B154,"mm-dd-yyyy"),TEXT(E154,"mm-dd-yyyy"),I154,J154,L154,N154,P154,R154,T154,V154,X154,Y154,AA154,AB154,AC154,AD154,AE154,AF154,AG154,AI154)</f>
        <v>ORD-2024-10153|06-14-2024|06-17-2024|CUST-6160|Kabir Singh|Small Business|South|Kerala|Kochi|Furniture|Tables|Pro Tables 407|Second Class|6|1088.04|0.1|5875.42|4380.55|1494.87|Pending|Returned</v>
      </c>
      <c r="AL154" s="27" t="str">
        <f>IF(COUNTIF($AK$2:AK154,AK154)&gt;1,"Remove exact duplicate copy","Keep")</f>
        <v>Keep</v>
      </c>
      <c r="AM154" s="9">
        <f t="shared" si="13"/>
        <v>1</v>
      </c>
      <c r="AN154" s="9" t="str">
        <f t="shared" si="14"/>
        <v>Unique</v>
      </c>
      <c r="AO154" s="9" t="str">
        <f t="shared" si="15"/>
        <v/>
      </c>
      <c r="AP154" s="9">
        <f t="shared" si="16"/>
        <v>0.1</v>
      </c>
      <c r="AQ154" s="10">
        <f t="shared" si="17"/>
        <v>5875.4160000000002</v>
      </c>
      <c r="AR154" s="10">
        <f t="shared" si="18"/>
        <v>1494.866</v>
      </c>
      <c r="AS154" s="11">
        <f t="shared" si="19"/>
        <v>0.25442726098032886</v>
      </c>
      <c r="AT154" s="9">
        <f t="shared" si="20"/>
        <v>6</v>
      </c>
      <c r="AU154" s="9">
        <f t="shared" si="21"/>
        <v>2024</v>
      </c>
      <c r="AV154" s="9" t="b">
        <f t="shared" si="22"/>
        <v>0</v>
      </c>
      <c r="AW154" s="9" t="b">
        <f t="shared" si="23"/>
        <v>0</v>
      </c>
      <c r="AX154" s="9" t="str">
        <f t="shared" si="24"/>
        <v>No</v>
      </c>
      <c r="AY154" s="9" t="str">
        <f t="shared" si="29"/>
        <v>Returned order excluded</v>
      </c>
      <c r="AZ154" s="9" t="str">
        <f>IF(OR(G154="Missing date",G154="Invalid date",G154="Ship date before order date",NOT(ISNUMBER(AP154)),AP154&lt;0,AP154&gt;0.5,AV154=TRUE,AW154=TRUE),"Invalid",IF(OR(O154="Unknown",Z154="Unknown",AC154="",AH154&lt;&gt;"Paid",AJ154&lt;&gt;"Completed",AO154&lt;&gt;""),"Warning","Clean"))</f>
        <v>Warning</v>
      </c>
    </row>
    <row r="155" spans="1:52" ht="15.75" customHeight="1">
      <c r="A155" s="6" t="s">
        <v>936</v>
      </c>
      <c r="B155" s="7" t="s">
        <v>937</v>
      </c>
      <c r="C155" s="7" t="str">
        <f t="shared" si="28"/>
        <v>2025-09</v>
      </c>
      <c r="D155" s="7" cm="1">
        <f t="array" ref="D155">_xlfn.LET(_xlpm.x,B155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45923</v>
      </c>
      <c r="E155" s="7" t="s">
        <v>938</v>
      </c>
      <c r="F155" s="7" cm="1">
        <f t="array" ref="F155">_xlfn.LET(_xlpm.x,E155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45925</v>
      </c>
      <c r="G155" s="8" t="str">
        <f t="shared" si="1"/>
        <v>OK</v>
      </c>
      <c r="H155" s="6">
        <f t="shared" si="2"/>
        <v>2</v>
      </c>
      <c r="I155" s="6" t="s">
        <v>939</v>
      </c>
      <c r="J155" s="6" t="s">
        <v>190</v>
      </c>
      <c r="K155" s="6" t="str">
        <f t="shared" si="3"/>
        <v>Aditi Sen</v>
      </c>
      <c r="L155" s="6" t="s">
        <v>43</v>
      </c>
      <c r="M155" s="8" t="str">
        <f t="shared" si="4"/>
        <v>Consumer</v>
      </c>
      <c r="N155" s="6" t="s">
        <v>8</v>
      </c>
      <c r="O155" s="6" t="str">
        <f t="shared" si="5"/>
        <v>East</v>
      </c>
      <c r="P155" s="6" t="s">
        <v>140</v>
      </c>
      <c r="Q155" s="6" t="str">
        <f t="shared" si="6"/>
        <v>Odisha</v>
      </c>
      <c r="R155" s="6" t="s">
        <v>141</v>
      </c>
      <c r="S155" s="6" t="str">
        <f t="shared" si="7"/>
        <v>Bhubaneswar</v>
      </c>
      <c r="T155" s="6" t="s">
        <v>20</v>
      </c>
      <c r="U155" s="8" t="str">
        <f t="shared" si="8"/>
        <v>Office Supplies</v>
      </c>
      <c r="V155" s="6" t="s">
        <v>23</v>
      </c>
      <c r="W155" s="6" t="str">
        <f t="shared" si="9"/>
        <v>Labels</v>
      </c>
      <c r="X155" s="6" t="s">
        <v>940</v>
      </c>
      <c r="Y155" s="6" t="s">
        <v>34</v>
      </c>
      <c r="Z155" s="6" t="str">
        <f t="shared" si="10"/>
        <v>Standard Class</v>
      </c>
      <c r="AA155" s="6">
        <v>7</v>
      </c>
      <c r="AB155" s="6">
        <v>3280.31</v>
      </c>
      <c r="AC155" s="6">
        <v>0</v>
      </c>
      <c r="AD155" s="6">
        <v>22962.17</v>
      </c>
      <c r="AE155" s="6">
        <v>15716.5</v>
      </c>
      <c r="AF155" s="6">
        <v>7245.67</v>
      </c>
      <c r="AG155" s="6" t="s">
        <v>56</v>
      </c>
      <c r="AH155" s="6" t="str">
        <f t="shared" si="11"/>
        <v>Refunded</v>
      </c>
      <c r="AI155" s="6" t="s">
        <v>59</v>
      </c>
      <c r="AJ155" s="6" t="str">
        <f t="shared" si="12"/>
        <v>Returned</v>
      </c>
      <c r="AK155" s="9" t="str">
        <f>_xlfn.TEXTJOIN("|",FALSE,A155,TEXT(B155,"mm-dd-yyyy"),TEXT(E155,"mm-dd-yyyy"),I155,J155,L155,N155,P155,R155,T155,V155,X155,Y155,AA155,AB155,AC155,AD155,AE155,AF155,AG155,AI155)</f>
        <v>ORD-2025-10154|09-23-2025|09-25-2025|CUST-6971|Aditi Sen|Consumer|East|Odisha|Bhubaneswar|Office Supplies|Labels|Prime Labels 559|Standard Class|7|3280.31|0|22962.17|15716.5|7245.67|Refunded|Returned</v>
      </c>
      <c r="AL155" s="27" t="str">
        <f>IF(COUNTIF($AK$2:AK155,AK155)&gt;1,"Remove exact duplicate copy","Keep")</f>
        <v>Keep</v>
      </c>
      <c r="AM155" s="9">
        <f t="shared" si="13"/>
        <v>1</v>
      </c>
      <c r="AN155" s="9" t="str">
        <f t="shared" si="14"/>
        <v>Unique</v>
      </c>
      <c r="AO155" s="9" t="str">
        <f t="shared" si="15"/>
        <v/>
      </c>
      <c r="AP155" s="9">
        <f t="shared" si="16"/>
        <v>0</v>
      </c>
      <c r="AQ155" s="10">
        <f t="shared" si="17"/>
        <v>22962.17</v>
      </c>
      <c r="AR155" s="10">
        <f t="shared" si="18"/>
        <v>7245.6699999999983</v>
      </c>
      <c r="AS155" s="11">
        <f t="shared" si="19"/>
        <v>0.31554813852523517</v>
      </c>
      <c r="AT155" s="9">
        <f t="shared" si="20"/>
        <v>9</v>
      </c>
      <c r="AU155" s="9">
        <f t="shared" si="21"/>
        <v>2025</v>
      </c>
      <c r="AV155" s="9" t="b">
        <f t="shared" si="22"/>
        <v>0</v>
      </c>
      <c r="AW155" s="9" t="b">
        <f t="shared" si="23"/>
        <v>0</v>
      </c>
      <c r="AX155" s="9" t="str">
        <f t="shared" si="24"/>
        <v>No</v>
      </c>
      <c r="AY155" s="9" t="str">
        <f t="shared" si="29"/>
        <v>Refunded order summarized separately; Returned order excluded</v>
      </c>
      <c r="AZ155" s="9" t="str">
        <f>IF(OR(G155="Missing date",G155="Invalid date",G155="Ship date before order date",NOT(ISNUMBER(AP155)),AP155&lt;0,AP155&gt;0.5,AV155=TRUE,AW155=TRUE),"Invalid",IF(OR(O155="Unknown",Z155="Unknown",AC155="",AH155&lt;&gt;"Paid",AJ155&lt;&gt;"Completed",AO155&lt;&gt;""),"Warning","Clean"))</f>
        <v>Warning</v>
      </c>
    </row>
    <row r="156" spans="1:52" ht="15.75" customHeight="1">
      <c r="A156" s="6" t="s">
        <v>941</v>
      </c>
      <c r="B156" s="7" t="s">
        <v>942</v>
      </c>
      <c r="C156" s="7" t="str">
        <f t="shared" si="28"/>
        <v>2024-02</v>
      </c>
      <c r="D156" s="7" cm="1">
        <f t="array" ref="D156">_xlfn.LET(_xlpm.x,B156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45334</v>
      </c>
      <c r="E156" s="7" t="s">
        <v>943</v>
      </c>
      <c r="F156" s="7" cm="1">
        <f t="array" ref="F156">_xlfn.LET(_xlpm.x,E156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45333</v>
      </c>
      <c r="G156" s="8" t="str">
        <f t="shared" si="1"/>
        <v>Ship date before order date</v>
      </c>
      <c r="H156" s="6">
        <f t="shared" si="2"/>
        <v>-1</v>
      </c>
      <c r="I156" s="6" t="s">
        <v>749</v>
      </c>
      <c r="J156" s="6" t="s">
        <v>220</v>
      </c>
      <c r="K156" s="6" t="str">
        <f t="shared" si="3"/>
        <v>Priya Menon</v>
      </c>
      <c r="L156" s="6" t="s">
        <v>43</v>
      </c>
      <c r="M156" s="8" t="str">
        <f t="shared" si="4"/>
        <v>Consumer</v>
      </c>
      <c r="N156" s="6" t="s">
        <v>10</v>
      </c>
      <c r="O156" s="6" t="str">
        <f t="shared" si="5"/>
        <v>South</v>
      </c>
      <c r="P156" s="6" t="s">
        <v>413</v>
      </c>
      <c r="Q156" s="6" t="str">
        <f t="shared" si="6"/>
        <v>Tamil Nadu</v>
      </c>
      <c r="R156" s="6" t="s">
        <v>414</v>
      </c>
      <c r="S156" s="6" t="str">
        <f t="shared" si="7"/>
        <v>Chennai</v>
      </c>
      <c r="T156" s="6" t="s">
        <v>14</v>
      </c>
      <c r="U156" s="8" t="str">
        <f t="shared" si="8"/>
        <v>Furniture</v>
      </c>
      <c r="V156" s="6" t="s">
        <v>15</v>
      </c>
      <c r="W156" s="6" t="str">
        <f t="shared" si="9"/>
        <v>Bookcases</v>
      </c>
      <c r="X156" s="6" t="s">
        <v>944</v>
      </c>
      <c r="Y156" s="6" t="s">
        <v>37</v>
      </c>
      <c r="Z156" s="6" t="str">
        <f t="shared" si="10"/>
        <v>Same Day</v>
      </c>
      <c r="AA156" s="6">
        <v>1</v>
      </c>
      <c r="AB156" s="6">
        <v>2599.12</v>
      </c>
      <c r="AC156" s="6">
        <v>0.15</v>
      </c>
      <c r="AD156" s="6">
        <v>2209.25</v>
      </c>
      <c r="AE156" s="6">
        <v>1523.78</v>
      </c>
      <c r="AF156" s="6">
        <v>685.47</v>
      </c>
      <c r="AG156" s="6" t="s">
        <v>52</v>
      </c>
      <c r="AH156" s="6" t="str">
        <f t="shared" si="11"/>
        <v>Paid</v>
      </c>
      <c r="AI156" s="6" t="s">
        <v>134</v>
      </c>
      <c r="AJ156" s="6" t="str">
        <f t="shared" si="12"/>
        <v>Completed</v>
      </c>
      <c r="AK156" s="9" t="str">
        <f>_xlfn.TEXTJOIN("|",FALSE,A156,TEXT(B156,"mm-dd-yyyy"),TEXT(E156,"mm-dd-yyyy"),I156,J156,L156,N156,P156,R156,T156,V156,X156,Y156,AA156,AB156,AC156,AD156,AE156,AF156,AG156,AI156)</f>
        <v>ORD-2024-10155|02-12-2024|02-11-2024|CUST-7764|Priya Menon|Consumer|South|Tamil Nadu|Chennai|Furniture|Bookcases|Classic Bookcases 847|Same Day|1|2599.12|0.15|2209.25|1523.78|685.47|Paid|Completed</v>
      </c>
      <c r="AL156" s="27" t="str">
        <f>IF(COUNTIF($AK$2:AK156,AK156)&gt;1,"Remove exact duplicate copy","Keep")</f>
        <v>Keep</v>
      </c>
      <c r="AM156" s="9">
        <f t="shared" si="13"/>
        <v>1</v>
      </c>
      <c r="AN156" s="9" t="str">
        <f t="shared" si="14"/>
        <v>Unique</v>
      </c>
      <c r="AO156" s="9" t="str">
        <f t="shared" si="15"/>
        <v/>
      </c>
      <c r="AP156" s="9">
        <f t="shared" si="16"/>
        <v>0.15</v>
      </c>
      <c r="AQ156" s="10">
        <f t="shared" si="17"/>
        <v>2209.252</v>
      </c>
      <c r="AR156" s="10">
        <f t="shared" si="18"/>
        <v>685.47199999999998</v>
      </c>
      <c r="AS156" s="11">
        <f t="shared" si="19"/>
        <v>0.31027334138432372</v>
      </c>
      <c r="AT156" s="9">
        <f t="shared" si="20"/>
        <v>2</v>
      </c>
      <c r="AU156" s="9">
        <f t="shared" si="21"/>
        <v>2024</v>
      </c>
      <c r="AV156" s="9" t="b">
        <f t="shared" si="22"/>
        <v>0</v>
      </c>
      <c r="AW156" s="9" t="b">
        <f t="shared" si="23"/>
        <v>0</v>
      </c>
      <c r="AX156" s="9" t="str">
        <f t="shared" si="24"/>
        <v>No</v>
      </c>
      <c r="AY156" s="9" t="str">
        <f t="shared" si="29"/>
        <v>Ship date before order date</v>
      </c>
      <c r="AZ156" s="9" t="str">
        <f>IF(OR(G156="Missing date",G156="Invalid date",G156="Ship date before order date",NOT(ISNUMBER(AP156)),AP156&lt;0,AP156&gt;0.5,AV156=TRUE,AW156=TRUE),"Invalid",IF(OR(O156="Unknown",Z156="Unknown",AC156="",AH156&lt;&gt;"Paid",AJ156&lt;&gt;"Completed",AO156&lt;&gt;""),"Warning","Clean"))</f>
        <v>Invalid</v>
      </c>
    </row>
    <row r="157" spans="1:52" ht="15.75" customHeight="1">
      <c r="A157" s="6" t="s">
        <v>945</v>
      </c>
      <c r="B157" s="7" t="s">
        <v>637</v>
      </c>
      <c r="C157" s="7" t="str">
        <f t="shared" si="28"/>
        <v>2025-01</v>
      </c>
      <c r="D157" s="7" cm="1">
        <f t="array" ref="D157">_xlfn.LET(_xlpm.x,B157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45683</v>
      </c>
      <c r="E157" s="7" t="s">
        <v>515</v>
      </c>
      <c r="F157" s="7" cm="1">
        <f t="array" ref="F157">_xlfn.LET(_xlpm.x,E157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45691</v>
      </c>
      <c r="G157" s="8" t="str">
        <f t="shared" si="1"/>
        <v>OK</v>
      </c>
      <c r="H157" s="6">
        <f t="shared" si="2"/>
        <v>8</v>
      </c>
      <c r="I157" s="6" t="s">
        <v>946</v>
      </c>
      <c r="J157" s="6" t="s">
        <v>129</v>
      </c>
      <c r="K157" s="6" t="str">
        <f t="shared" si="3"/>
        <v>Karan Malhotra</v>
      </c>
      <c r="L157" s="6" t="s">
        <v>45</v>
      </c>
      <c r="M157" s="8" t="str">
        <f t="shared" si="4"/>
        <v>Corporate</v>
      </c>
      <c r="N157" s="6" t="s">
        <v>9</v>
      </c>
      <c r="O157" s="6" t="str">
        <f t="shared" si="5"/>
        <v>West</v>
      </c>
      <c r="P157" s="6" t="s">
        <v>131</v>
      </c>
      <c r="Q157" s="6" t="str">
        <f t="shared" si="6"/>
        <v>Rajasthan</v>
      </c>
      <c r="R157" s="6" t="s">
        <v>214</v>
      </c>
      <c r="S157" s="6" t="str">
        <f t="shared" si="7"/>
        <v>Udaipur</v>
      </c>
      <c r="T157" s="6" t="s">
        <v>14</v>
      </c>
      <c r="U157" s="8" t="str">
        <f t="shared" si="8"/>
        <v>Furniture</v>
      </c>
      <c r="V157" s="6" t="s">
        <v>17</v>
      </c>
      <c r="W157" s="6" t="str">
        <f t="shared" si="9"/>
        <v>Furnishings</v>
      </c>
      <c r="X157" s="6" t="s">
        <v>947</v>
      </c>
      <c r="Y157" s="6" t="s">
        <v>37</v>
      </c>
      <c r="Z157" s="6" t="str">
        <f t="shared" si="10"/>
        <v>Same Day</v>
      </c>
      <c r="AA157" s="6">
        <v>3</v>
      </c>
      <c r="AB157" s="6">
        <v>2859.32</v>
      </c>
      <c r="AC157" s="6">
        <v>0.1</v>
      </c>
      <c r="AD157" s="6">
        <v>7720.16</v>
      </c>
      <c r="AE157" s="6">
        <v>5881</v>
      </c>
      <c r="AF157" s="6">
        <v>1839.16</v>
      </c>
      <c r="AG157" s="6" t="s">
        <v>56</v>
      </c>
      <c r="AH157" s="6" t="str">
        <f t="shared" si="11"/>
        <v>Refunded</v>
      </c>
      <c r="AI157" s="6" t="s">
        <v>59</v>
      </c>
      <c r="AJ157" s="6" t="str">
        <f t="shared" si="12"/>
        <v>Returned</v>
      </c>
      <c r="AK157" s="9" t="str">
        <f>_xlfn.TEXTJOIN("|",FALSE,A157,TEXT(B157,"mm-dd-yyyy"),TEXT(E157,"mm-dd-yyyy"),I157,J157,L157,N157,P157,R157,T157,V157,X157,Y157,AA157,AB157,AC157,AD157,AE157,AF157,AG157,AI157)</f>
        <v>ORD-2025-10156|01-26-2025|02-03-2025|CUST-8327|Karan Malhotra|Corporate|West|Rajasthan|Udaipur|Furniture|Furnishings|Classic Furnishings 655|Same Day|3|2859.32|0.1|7720.16|5881|1839.16|Refunded|Returned</v>
      </c>
      <c r="AL157" s="27" t="str">
        <f>IF(COUNTIF($AK$2:AK157,AK157)&gt;1,"Remove exact duplicate copy","Keep")</f>
        <v>Keep</v>
      </c>
      <c r="AM157" s="9">
        <f t="shared" si="13"/>
        <v>1</v>
      </c>
      <c r="AN157" s="9" t="str">
        <f t="shared" si="14"/>
        <v>Unique</v>
      </c>
      <c r="AO157" s="9" t="str">
        <f t="shared" si="15"/>
        <v/>
      </c>
      <c r="AP157" s="9">
        <f t="shared" si="16"/>
        <v>0.1</v>
      </c>
      <c r="AQ157" s="10">
        <f t="shared" si="17"/>
        <v>7720.1640000000007</v>
      </c>
      <c r="AR157" s="10">
        <f t="shared" si="18"/>
        <v>1839.1640000000007</v>
      </c>
      <c r="AS157" s="11">
        <f t="shared" si="19"/>
        <v>0.23822861794127695</v>
      </c>
      <c r="AT157" s="9">
        <f t="shared" si="20"/>
        <v>1</v>
      </c>
      <c r="AU157" s="9">
        <f t="shared" si="21"/>
        <v>2025</v>
      </c>
      <c r="AV157" s="9" t="b">
        <f t="shared" si="22"/>
        <v>0</v>
      </c>
      <c r="AW157" s="9" t="b">
        <f t="shared" si="23"/>
        <v>0</v>
      </c>
      <c r="AX157" s="9" t="str">
        <f t="shared" si="24"/>
        <v>No</v>
      </c>
      <c r="AY157" s="9" t="str">
        <f t="shared" si="29"/>
        <v>Refunded order summarized separately; Returned order excluded</v>
      </c>
      <c r="AZ157" s="9" t="str">
        <f>IF(OR(G157="Missing date",G157="Invalid date",G157="Ship date before order date",NOT(ISNUMBER(AP157)),AP157&lt;0,AP157&gt;0.5,AV157=TRUE,AW157=TRUE),"Invalid",IF(OR(O157="Unknown",Z157="Unknown",AC157="",AH157&lt;&gt;"Paid",AJ157&lt;&gt;"Completed",AO157&lt;&gt;""),"Warning","Clean"))</f>
        <v>Warning</v>
      </c>
    </row>
    <row r="158" spans="1:52" ht="15.75" customHeight="1">
      <c r="A158" s="6" t="s">
        <v>948</v>
      </c>
      <c r="B158" s="7" t="s">
        <v>949</v>
      </c>
      <c r="C158" s="7" t="str">
        <f t="shared" si="28"/>
        <v>2025-03</v>
      </c>
      <c r="D158" s="7" cm="1">
        <f t="array" ref="D158">_xlfn.LET(_xlpm.x,B158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45743</v>
      </c>
      <c r="E158" s="7" t="s">
        <v>950</v>
      </c>
      <c r="F158" s="7" cm="1">
        <f t="array" ref="F158">_xlfn.LET(_xlpm.x,E158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45743</v>
      </c>
      <c r="G158" s="8" t="str">
        <f t="shared" si="1"/>
        <v>OK</v>
      </c>
      <c r="H158" s="6">
        <f t="shared" si="2"/>
        <v>0</v>
      </c>
      <c r="I158" s="6" t="s">
        <v>951</v>
      </c>
      <c r="J158" s="6" t="s">
        <v>169</v>
      </c>
      <c r="K158" s="6" t="str">
        <f t="shared" si="3"/>
        <v>Vikram Iyer</v>
      </c>
      <c r="L158" s="6" t="s">
        <v>46</v>
      </c>
      <c r="M158" s="8" t="str">
        <f t="shared" si="4"/>
        <v>Small Business</v>
      </c>
      <c r="N158" s="6" t="s">
        <v>8</v>
      </c>
      <c r="O158" s="6" t="str">
        <f t="shared" si="5"/>
        <v>East</v>
      </c>
      <c r="P158" s="6" t="s">
        <v>263</v>
      </c>
      <c r="Q158" s="6" t="str">
        <f t="shared" si="6"/>
        <v>Bihar</v>
      </c>
      <c r="R158" s="6" t="s">
        <v>264</v>
      </c>
      <c r="S158" s="6" t="str">
        <f t="shared" si="7"/>
        <v>Patna</v>
      </c>
      <c r="T158" s="6" t="s">
        <v>27</v>
      </c>
      <c r="U158" s="8" t="str">
        <f t="shared" si="8"/>
        <v>Technology</v>
      </c>
      <c r="V158" s="6" t="s">
        <v>30</v>
      </c>
      <c r="W158" s="6" t="str">
        <f t="shared" si="9"/>
        <v>Machines</v>
      </c>
      <c r="X158" s="6" t="s">
        <v>952</v>
      </c>
      <c r="Y158" s="6" t="s">
        <v>36</v>
      </c>
      <c r="Z158" s="6" t="str">
        <f t="shared" si="10"/>
        <v>Second Class</v>
      </c>
      <c r="AA158" s="6">
        <v>7</v>
      </c>
      <c r="AB158" s="6">
        <v>2305.37</v>
      </c>
      <c r="AC158" s="6">
        <v>0.25</v>
      </c>
      <c r="AD158" s="6">
        <v>12103.19</v>
      </c>
      <c r="AE158" s="6">
        <v>6717.87</v>
      </c>
      <c r="AF158" s="6">
        <v>5385.32</v>
      </c>
      <c r="AG158" s="6" t="s">
        <v>52</v>
      </c>
      <c r="AH158" s="6" t="str">
        <f t="shared" si="11"/>
        <v>Paid</v>
      </c>
      <c r="AI158" s="6" t="s">
        <v>799</v>
      </c>
      <c r="AJ158" s="6" t="str">
        <f t="shared" si="12"/>
        <v>Completed</v>
      </c>
      <c r="AK158" s="9" t="str">
        <f>_xlfn.TEXTJOIN("|",FALSE,A158,TEXT(B158,"mm-dd-yyyy"),TEXT(E158,"mm-dd-yyyy"),I158,J158,L158,N158,P158,R158,T158,V158,X158,Y158,AA158,AB158,AC158,AD158,AE158,AF158,AG158,AI158)</f>
        <v xml:space="preserve">ORD-2025-10157|27-03-2025|03-27-2025|CUST-4058|Vikram Iyer|Small Business|East|Bihar|Patna|Technology|Machines|Eco Machines 657|Second Class|7|2305.37|0.25|12103.19|6717.87|5385.32|Paid|Completed </v>
      </c>
      <c r="AL158" s="27" t="str">
        <f>IF(COUNTIF($AK$2:AK158,AK158)&gt;1,"Remove exact duplicate copy","Keep")</f>
        <v>Keep</v>
      </c>
      <c r="AM158" s="9">
        <f t="shared" si="13"/>
        <v>1</v>
      </c>
      <c r="AN158" s="9" t="str">
        <f t="shared" si="14"/>
        <v>Unique</v>
      </c>
      <c r="AO158" s="9" t="str">
        <f t="shared" si="15"/>
        <v/>
      </c>
      <c r="AP158" s="9">
        <f t="shared" si="16"/>
        <v>0.25</v>
      </c>
      <c r="AQ158" s="10">
        <f t="shared" si="17"/>
        <v>12103.192500000001</v>
      </c>
      <c r="AR158" s="10">
        <f t="shared" si="18"/>
        <v>5385.3225000000011</v>
      </c>
      <c r="AS158" s="11">
        <f t="shared" si="19"/>
        <v>0.44495057812225997</v>
      </c>
      <c r="AT158" s="9">
        <f t="shared" si="20"/>
        <v>3</v>
      </c>
      <c r="AU158" s="9">
        <f t="shared" si="21"/>
        <v>2025</v>
      </c>
      <c r="AV158" s="9" t="b">
        <f t="shared" si="22"/>
        <v>0</v>
      </c>
      <c r="AW158" s="9" t="b">
        <f t="shared" si="23"/>
        <v>0</v>
      </c>
      <c r="AX158" s="9" t="str">
        <f t="shared" si="24"/>
        <v>Yes</v>
      </c>
      <c r="AY158" s="9" t="str">
        <f t="shared" si="29"/>
        <v/>
      </c>
      <c r="AZ158" s="9" t="str">
        <f>IF(OR(G158="Missing date",G158="Invalid date",G158="Ship date before order date",NOT(ISNUMBER(AP158)),AP158&lt;0,AP158&gt;0.5,AV158=TRUE,AW158=TRUE),"Invalid",IF(OR(O158="Unknown",Z158="Unknown",AC158="",AH158&lt;&gt;"Paid",AJ158&lt;&gt;"Completed",AO158&lt;&gt;""),"Warning","Clean"))</f>
        <v>Clean</v>
      </c>
    </row>
    <row r="159" spans="1:52" ht="15.75" customHeight="1">
      <c r="A159" s="6" t="s">
        <v>953</v>
      </c>
      <c r="B159" s="7" t="s">
        <v>954</v>
      </c>
      <c r="C159" s="7" t="str">
        <f t="shared" si="28"/>
        <v>2024-10</v>
      </c>
      <c r="D159" s="7" cm="1">
        <f t="array" ref="D159">_xlfn.LET(_xlpm.x,B159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45587</v>
      </c>
      <c r="E159" s="7" t="s">
        <v>955</v>
      </c>
      <c r="F159" s="7" cm="1">
        <f t="array" ref="F159">_xlfn.LET(_xlpm.x,E159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45589</v>
      </c>
      <c r="G159" s="8" t="str">
        <f t="shared" si="1"/>
        <v>OK</v>
      </c>
      <c r="H159" s="6">
        <f t="shared" si="2"/>
        <v>2</v>
      </c>
      <c r="I159" s="6" t="s">
        <v>956</v>
      </c>
      <c r="J159" s="6" t="s">
        <v>257</v>
      </c>
      <c r="K159" s="6" t="str">
        <f t="shared" si="3"/>
        <v>Rohan Mehta</v>
      </c>
      <c r="L159" s="6" t="s">
        <v>46</v>
      </c>
      <c r="M159" s="8" t="str">
        <f t="shared" si="4"/>
        <v>Small Business</v>
      </c>
      <c r="N159" s="6" t="s">
        <v>10</v>
      </c>
      <c r="O159" s="6" t="str">
        <f t="shared" si="5"/>
        <v>South</v>
      </c>
      <c r="P159" s="6" t="s">
        <v>183</v>
      </c>
      <c r="Q159" s="6" t="str">
        <f t="shared" si="6"/>
        <v>Andhra Pradesh</v>
      </c>
      <c r="R159" s="6" t="s">
        <v>184</v>
      </c>
      <c r="S159" s="6" t="str">
        <f t="shared" si="7"/>
        <v>Vijayawada</v>
      </c>
      <c r="T159" s="6" t="s">
        <v>14</v>
      </c>
      <c r="U159" s="8" t="str">
        <f t="shared" si="8"/>
        <v>Furniture</v>
      </c>
      <c r="V159" s="6" t="s">
        <v>15</v>
      </c>
      <c r="W159" s="6" t="str">
        <f t="shared" si="9"/>
        <v>Bookcases</v>
      </c>
      <c r="X159" s="6" t="s">
        <v>957</v>
      </c>
      <c r="Y159" s="6" t="s">
        <v>34</v>
      </c>
      <c r="Z159" s="6" t="str">
        <f t="shared" si="10"/>
        <v>Standard Class</v>
      </c>
      <c r="AA159" s="6">
        <v>3</v>
      </c>
      <c r="AB159" s="6">
        <v>915.84</v>
      </c>
      <c r="AC159" s="6">
        <v>0.15</v>
      </c>
      <c r="AD159" s="6">
        <v>2335.39</v>
      </c>
      <c r="AE159" s="6">
        <v>1466.15</v>
      </c>
      <c r="AF159" s="6">
        <v>869.24</v>
      </c>
      <c r="AG159" s="6" t="s">
        <v>52</v>
      </c>
      <c r="AH159" s="6" t="str">
        <f t="shared" si="11"/>
        <v>Paid</v>
      </c>
      <c r="AI159" s="6" t="s">
        <v>134</v>
      </c>
      <c r="AJ159" s="6" t="str">
        <f t="shared" si="12"/>
        <v>Completed</v>
      </c>
      <c r="AK159" s="9" t="str">
        <f>_xlfn.TEXTJOIN("|",FALSE,A159,TEXT(B159,"mm-dd-yyyy"),TEXT(E159,"mm-dd-yyyy"),I159,J159,L159,N159,P159,R159,T159,V159,X159,Y159,AA159,AB159,AC159,AD159,AE159,AF159,AG159,AI159)</f>
        <v>ORD-2024-10158|10-22-2024|24-10-2024|CUST-1142|Rohan Mehta|Small Business|South|Andhra Pradesh|Vijayawada|Furniture|Bookcases|Pro Bookcases 430|Standard Class|3|915.84|0.15|2335.39|1466.15|869.24|Paid|Completed</v>
      </c>
      <c r="AL159" s="27" t="str">
        <f>IF(COUNTIF($AK$2:AK159,AK159)&gt;1,"Remove exact duplicate copy","Keep")</f>
        <v>Keep</v>
      </c>
      <c r="AM159" s="9">
        <f t="shared" si="13"/>
        <v>1</v>
      </c>
      <c r="AN159" s="9" t="str">
        <f t="shared" si="14"/>
        <v>Unique</v>
      </c>
      <c r="AO159" s="9" t="str">
        <f t="shared" si="15"/>
        <v/>
      </c>
      <c r="AP159" s="9">
        <f t="shared" si="16"/>
        <v>0.15</v>
      </c>
      <c r="AQ159" s="10">
        <f t="shared" si="17"/>
        <v>2335.3919999999998</v>
      </c>
      <c r="AR159" s="10">
        <f t="shared" si="18"/>
        <v>869.24199999999973</v>
      </c>
      <c r="AS159" s="11">
        <f t="shared" si="19"/>
        <v>0.3722038955344541</v>
      </c>
      <c r="AT159" s="9">
        <f t="shared" si="20"/>
        <v>10</v>
      </c>
      <c r="AU159" s="9">
        <f t="shared" si="21"/>
        <v>2024</v>
      </c>
      <c r="AV159" s="9" t="b">
        <f t="shared" si="22"/>
        <v>0</v>
      </c>
      <c r="AW159" s="9" t="b">
        <f t="shared" si="23"/>
        <v>0</v>
      </c>
      <c r="AX159" s="9" t="str">
        <f t="shared" si="24"/>
        <v>Yes</v>
      </c>
      <c r="AY159" s="9" t="str">
        <f t="shared" si="29"/>
        <v/>
      </c>
      <c r="AZ159" s="9" t="str">
        <f>IF(OR(G159="Missing date",G159="Invalid date",G159="Ship date before order date",NOT(ISNUMBER(AP159)),AP159&lt;0,AP159&gt;0.5,AV159=TRUE,AW159=TRUE),"Invalid",IF(OR(O159="Unknown",Z159="Unknown",AC159="",AH159&lt;&gt;"Paid",AJ159&lt;&gt;"Completed",AO159&lt;&gt;""),"Warning","Clean"))</f>
        <v>Clean</v>
      </c>
    </row>
    <row r="160" spans="1:52" ht="15.75" customHeight="1">
      <c r="A160" s="6" t="s">
        <v>958</v>
      </c>
      <c r="B160" s="7" t="s">
        <v>959</v>
      </c>
      <c r="C160" s="7" t="str">
        <f t="shared" si="28"/>
        <v>2024-09</v>
      </c>
      <c r="D160" s="7" cm="1">
        <f t="array" ref="D160">_xlfn.LET(_xlpm.x,B160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45544</v>
      </c>
      <c r="E160" s="7" t="s">
        <v>960</v>
      </c>
      <c r="F160" s="7" cm="1">
        <f t="array" ref="F160">_xlfn.LET(_xlpm.x,E160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45546</v>
      </c>
      <c r="G160" s="8" t="str">
        <f t="shared" si="1"/>
        <v>OK</v>
      </c>
      <c r="H160" s="6">
        <f t="shared" si="2"/>
        <v>2</v>
      </c>
      <c r="I160" s="6" t="s">
        <v>961</v>
      </c>
      <c r="J160" s="6" t="s">
        <v>177</v>
      </c>
      <c r="K160" s="6" t="str">
        <f t="shared" si="3"/>
        <v>Neha Gupta</v>
      </c>
      <c r="L160" s="6" t="s">
        <v>44</v>
      </c>
      <c r="M160" s="8" t="str">
        <f t="shared" si="4"/>
        <v>Home Office</v>
      </c>
      <c r="N160" s="6" t="s">
        <v>10</v>
      </c>
      <c r="O160" s="6" t="str">
        <f t="shared" si="5"/>
        <v>South</v>
      </c>
      <c r="P160" s="6" t="s">
        <v>154</v>
      </c>
      <c r="Q160" s="6" t="str">
        <f t="shared" si="6"/>
        <v>Telangana</v>
      </c>
      <c r="R160" s="6" t="s">
        <v>155</v>
      </c>
      <c r="S160" s="6" t="str">
        <f t="shared" si="7"/>
        <v>Hyderabad</v>
      </c>
      <c r="T160" s="6" t="s">
        <v>14</v>
      </c>
      <c r="U160" s="8" t="str">
        <f t="shared" si="8"/>
        <v>Furniture</v>
      </c>
      <c r="V160" s="6" t="s">
        <v>15</v>
      </c>
      <c r="W160" s="6" t="str">
        <f t="shared" si="9"/>
        <v>Bookcases</v>
      </c>
      <c r="X160" s="6" t="s">
        <v>962</v>
      </c>
      <c r="Y160" s="6" t="s">
        <v>35</v>
      </c>
      <c r="Z160" s="6" t="str">
        <f t="shared" si="10"/>
        <v>First Class</v>
      </c>
      <c r="AA160" s="6">
        <v>1</v>
      </c>
      <c r="AB160" s="6">
        <v>4199.54</v>
      </c>
      <c r="AC160" s="6">
        <v>0.05</v>
      </c>
      <c r="AD160" s="6">
        <v>3989.56</v>
      </c>
      <c r="AE160" s="6">
        <v>2381.38</v>
      </c>
      <c r="AF160" s="6">
        <v>1608.18</v>
      </c>
      <c r="AG160" s="6" t="s">
        <v>52</v>
      </c>
      <c r="AH160" s="6" t="str">
        <f t="shared" si="11"/>
        <v>Paid</v>
      </c>
      <c r="AI160" s="6" t="s">
        <v>134</v>
      </c>
      <c r="AJ160" s="6" t="str">
        <f t="shared" si="12"/>
        <v>Completed</v>
      </c>
      <c r="AK160" s="9" t="str">
        <f>_xlfn.TEXTJOIN("|",FALSE,A160,TEXT(B160,"mm-dd-yyyy"),TEXT(E160,"mm-dd-yyyy"),I160,J160,L160,N160,P160,R160,T160,V160,X160,Y160,AA160,AB160,AC160,AD160,AE160,AF160,AG160,AI160)</f>
        <v>ORD-2024-10159|09-09-2024|09-11-2024|CUST-2324|Neha Gupta|Home Office|South|Telangana|Hyderabad|Furniture|Bookcases|Max Bookcases 881|First Class|1|4199.54|0.05|3989.56|2381.38|1608.18|Paid|Completed</v>
      </c>
      <c r="AL160" s="27" t="str">
        <f>IF(COUNTIF($AK$2:AK160,AK160)&gt;1,"Remove exact duplicate copy","Keep")</f>
        <v>Keep</v>
      </c>
      <c r="AM160" s="9">
        <f t="shared" si="13"/>
        <v>1</v>
      </c>
      <c r="AN160" s="9" t="str">
        <f t="shared" si="14"/>
        <v>Unique</v>
      </c>
      <c r="AO160" s="9" t="str">
        <f t="shared" si="15"/>
        <v/>
      </c>
      <c r="AP160" s="9">
        <f t="shared" si="16"/>
        <v>0.05</v>
      </c>
      <c r="AQ160" s="10">
        <f t="shared" si="17"/>
        <v>3989.5629999999996</v>
      </c>
      <c r="AR160" s="10">
        <f t="shared" si="18"/>
        <v>1608.1829999999995</v>
      </c>
      <c r="AS160" s="11">
        <f t="shared" si="19"/>
        <v>0.40309753223598666</v>
      </c>
      <c r="AT160" s="9">
        <f t="shared" si="20"/>
        <v>9</v>
      </c>
      <c r="AU160" s="9">
        <f t="shared" si="21"/>
        <v>2024</v>
      </c>
      <c r="AV160" s="9" t="b">
        <f t="shared" si="22"/>
        <v>0</v>
      </c>
      <c r="AW160" s="9" t="b">
        <f t="shared" si="23"/>
        <v>0</v>
      </c>
      <c r="AX160" s="9" t="str">
        <f t="shared" si="24"/>
        <v>Yes</v>
      </c>
      <c r="AY160" s="9" t="str">
        <f t="shared" si="29"/>
        <v/>
      </c>
      <c r="AZ160" s="9" t="str">
        <f>IF(OR(G160="Missing date",G160="Invalid date",G160="Ship date before order date",NOT(ISNUMBER(AP160)),AP160&lt;0,AP160&gt;0.5,AV160=TRUE,AW160=TRUE),"Invalid",IF(OR(O160="Unknown",Z160="Unknown",AC160="",AH160&lt;&gt;"Paid",AJ160&lt;&gt;"Completed",AO160&lt;&gt;""),"Warning","Clean"))</f>
        <v>Clean</v>
      </c>
    </row>
    <row r="161" spans="1:52" ht="15.75" customHeight="1">
      <c r="A161" s="6" t="s">
        <v>963</v>
      </c>
      <c r="B161" s="7" t="s">
        <v>964</v>
      </c>
      <c r="C161" s="7" t="str">
        <f t="shared" si="28"/>
        <v>2025-01</v>
      </c>
      <c r="D161" s="7" cm="1">
        <f t="array" ref="D161">_xlfn.LET(_xlpm.x,B161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45687</v>
      </c>
      <c r="E161" s="7" t="s">
        <v>965</v>
      </c>
      <c r="F161" s="7" cm="1">
        <f t="array" ref="F161">_xlfn.LET(_xlpm.x,E161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45692</v>
      </c>
      <c r="G161" s="8" t="str">
        <f t="shared" si="1"/>
        <v>OK</v>
      </c>
      <c r="H161" s="6">
        <f t="shared" si="2"/>
        <v>5</v>
      </c>
      <c r="I161" s="6" t="s">
        <v>966</v>
      </c>
      <c r="J161" s="6" t="s">
        <v>220</v>
      </c>
      <c r="K161" s="6" t="str">
        <f t="shared" si="3"/>
        <v>Priya Menon</v>
      </c>
      <c r="L161" s="6" t="s">
        <v>45</v>
      </c>
      <c r="M161" s="8" t="str">
        <f t="shared" si="4"/>
        <v>Corporate</v>
      </c>
      <c r="N161" s="6" t="s">
        <v>7</v>
      </c>
      <c r="O161" s="6" t="str">
        <f t="shared" si="5"/>
        <v>North</v>
      </c>
      <c r="P161" s="6" t="s">
        <v>397</v>
      </c>
      <c r="Q161" s="6" t="str">
        <f t="shared" si="6"/>
        <v>Haryana</v>
      </c>
      <c r="R161" s="6" t="s">
        <v>398</v>
      </c>
      <c r="S161" s="6" t="str">
        <f t="shared" si="7"/>
        <v>Gurugram</v>
      </c>
      <c r="T161" s="6" t="s">
        <v>14</v>
      </c>
      <c r="U161" s="8" t="str">
        <f t="shared" si="8"/>
        <v>Furniture</v>
      </c>
      <c r="V161" s="6" t="s">
        <v>16</v>
      </c>
      <c r="W161" s="6" t="str">
        <f t="shared" si="9"/>
        <v>Chairs</v>
      </c>
      <c r="X161" s="6" t="s">
        <v>967</v>
      </c>
      <c r="Y161" s="6" t="s">
        <v>37</v>
      </c>
      <c r="Z161" s="6" t="str">
        <f t="shared" si="10"/>
        <v>Same Day</v>
      </c>
      <c r="AA161" s="6">
        <v>9</v>
      </c>
      <c r="AB161" s="6">
        <v>4430.5</v>
      </c>
      <c r="AC161" s="6">
        <v>0.15</v>
      </c>
      <c r="AD161" s="6">
        <v>33893.32</v>
      </c>
      <c r="AE161" s="6">
        <v>25750.35</v>
      </c>
      <c r="AF161" s="6">
        <v>8142.97</v>
      </c>
      <c r="AG161" s="6" t="s">
        <v>54</v>
      </c>
      <c r="AH161" s="6" t="str">
        <f t="shared" si="11"/>
        <v>Pending</v>
      </c>
      <c r="AI161" s="6" t="s">
        <v>58</v>
      </c>
      <c r="AJ161" s="6" t="str">
        <f t="shared" si="12"/>
        <v>Cancelled</v>
      </c>
      <c r="AK161" s="9" t="str">
        <f>_xlfn.TEXTJOIN("|",FALSE,A161,TEXT(B161,"mm-dd-yyyy"),TEXT(E161,"mm-dd-yyyy"),I161,J161,L161,N161,P161,R161,T161,V161,X161,Y161,AA161,AB161,AC161,AD161,AE161,AF161,AG161,AI161)</f>
        <v>ORD-2025-10160|01-30-2025|04-02-2025|CUST-7717|Priya Menon|Corporate|North|Haryana|Gurugram|Furniture|Chairs|Elite Chairs 998|Same Day|9|4430.5|0.15|33893.32|25750.35|8142.97|Pending|Cancelled</v>
      </c>
      <c r="AL161" s="27" t="str">
        <f>IF(COUNTIF($AK$2:AK161,AK161)&gt;1,"Remove exact duplicate copy","Keep")</f>
        <v>Keep</v>
      </c>
      <c r="AM161" s="9">
        <f t="shared" si="13"/>
        <v>1</v>
      </c>
      <c r="AN161" s="9" t="str">
        <f t="shared" si="14"/>
        <v>Unique</v>
      </c>
      <c r="AO161" s="9" t="str">
        <f t="shared" si="15"/>
        <v/>
      </c>
      <c r="AP161" s="9">
        <f t="shared" si="16"/>
        <v>0.15</v>
      </c>
      <c r="AQ161" s="10">
        <f t="shared" si="17"/>
        <v>33893.324999999997</v>
      </c>
      <c r="AR161" s="10">
        <f t="shared" si="18"/>
        <v>8142.9749999999985</v>
      </c>
      <c r="AS161" s="11">
        <f t="shared" si="19"/>
        <v>0.24025305867748292</v>
      </c>
      <c r="AT161" s="9">
        <f t="shared" si="20"/>
        <v>1</v>
      </c>
      <c r="AU161" s="9">
        <f t="shared" si="21"/>
        <v>2025</v>
      </c>
      <c r="AV161" s="9" t="b">
        <f t="shared" si="22"/>
        <v>0</v>
      </c>
      <c r="AW161" s="9" t="b">
        <f t="shared" si="23"/>
        <v>0</v>
      </c>
      <c r="AX161" s="9" t="str">
        <f t="shared" si="24"/>
        <v>No</v>
      </c>
      <c r="AY161" s="9" t="str">
        <f t="shared" si="29"/>
        <v>Cancelled order excluded</v>
      </c>
      <c r="AZ161" s="9" t="str">
        <f>IF(OR(G161="Missing date",G161="Invalid date",G161="Ship date before order date",NOT(ISNUMBER(AP161)),AP161&lt;0,AP161&gt;0.5,AV161=TRUE,AW161=TRUE),"Invalid",IF(OR(O161="Unknown",Z161="Unknown",AC161="",AH161&lt;&gt;"Paid",AJ161&lt;&gt;"Completed",AO161&lt;&gt;""),"Warning","Clean"))</f>
        <v>Warning</v>
      </c>
    </row>
    <row r="162" spans="1:52" ht="15.75" customHeight="1">
      <c r="A162" s="6" t="s">
        <v>968</v>
      </c>
      <c r="B162" s="7" t="s">
        <v>969</v>
      </c>
      <c r="C162" s="7" t="str">
        <f t="shared" si="28"/>
        <v>2025-10</v>
      </c>
      <c r="D162" s="7" cm="1">
        <f t="array" ref="D162">_xlfn.LET(_xlpm.x,B162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45938</v>
      </c>
      <c r="E162" s="7" t="s">
        <v>970</v>
      </c>
      <c r="F162" s="7" cm="1">
        <f t="array" ref="F162">_xlfn.LET(_xlpm.x,E162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45936</v>
      </c>
      <c r="G162" s="8" t="str">
        <f t="shared" si="1"/>
        <v>Ship date before order date</v>
      </c>
      <c r="H162" s="6">
        <f t="shared" si="2"/>
        <v>-2</v>
      </c>
      <c r="I162" s="6" t="s">
        <v>971</v>
      </c>
      <c r="J162" s="6" t="s">
        <v>169</v>
      </c>
      <c r="K162" s="6" t="str">
        <f t="shared" si="3"/>
        <v>Vikram Iyer</v>
      </c>
      <c r="L162" s="6" t="s">
        <v>46</v>
      </c>
      <c r="M162" s="8" t="str">
        <f t="shared" si="4"/>
        <v>Small Business</v>
      </c>
      <c r="N162" s="6" t="s">
        <v>9</v>
      </c>
      <c r="O162" s="6" t="str">
        <f t="shared" si="5"/>
        <v>West</v>
      </c>
      <c r="P162" s="6" t="s">
        <v>162</v>
      </c>
      <c r="Q162" s="6" t="str">
        <f t="shared" si="6"/>
        <v>Maharashtra</v>
      </c>
      <c r="R162" s="6" t="s">
        <v>163</v>
      </c>
      <c r="S162" s="6" t="str">
        <f t="shared" si="7"/>
        <v>Mumbai</v>
      </c>
      <c r="T162" s="6" t="s">
        <v>20</v>
      </c>
      <c r="U162" s="8" t="str">
        <f t="shared" si="8"/>
        <v>Office Supplies</v>
      </c>
      <c r="V162" s="6" t="s">
        <v>24</v>
      </c>
      <c r="W162" s="6" t="str">
        <f t="shared" si="9"/>
        <v>Paper</v>
      </c>
      <c r="X162" s="6" t="s">
        <v>972</v>
      </c>
      <c r="Y162" s="6" t="s">
        <v>36</v>
      </c>
      <c r="Z162" s="6" t="str">
        <f t="shared" si="10"/>
        <v>Second Class</v>
      </c>
      <c r="AA162" s="6">
        <v>4</v>
      </c>
      <c r="AB162" s="6">
        <v>1260.42</v>
      </c>
      <c r="AC162" s="6">
        <v>0.05</v>
      </c>
      <c r="AD162" s="6">
        <v>4789.6000000000004</v>
      </c>
      <c r="AE162" s="6">
        <v>4037.64</v>
      </c>
      <c r="AF162" s="6">
        <v>751.96</v>
      </c>
      <c r="AG162" s="6" t="s">
        <v>54</v>
      </c>
      <c r="AH162" s="6" t="str">
        <f t="shared" si="11"/>
        <v>Pending</v>
      </c>
      <c r="AI162" s="6" t="s">
        <v>58</v>
      </c>
      <c r="AJ162" s="6" t="str">
        <f t="shared" si="12"/>
        <v>Cancelled</v>
      </c>
      <c r="AK162" s="9" t="str">
        <f>_xlfn.TEXTJOIN("|",FALSE,A162,TEXT(B162,"mm-dd-yyyy"),TEXT(E162,"mm-dd-yyyy"),I162,J162,L162,N162,P162,R162,T162,V162,X162,Y162,AA162,AB162,AC162,AD162,AE162,AF162,AG162,AI162)</f>
        <v>ORD-2025-10161|08-10-2025|10-06-2025|CUST-4932|Vikram Iyer|Small Business|West|Maharashtra|Mumbai|Office Supplies|Paper|Max Paper 113|Second Class|4|1260.42|0.05|4789.6|4037.64|751.96|Pending|Cancelled</v>
      </c>
      <c r="AL162" s="27" t="str">
        <f>IF(COUNTIF($AK$2:AK162,AK162)&gt;1,"Remove exact duplicate copy","Keep")</f>
        <v>Keep</v>
      </c>
      <c r="AM162" s="9">
        <f t="shared" si="13"/>
        <v>1</v>
      </c>
      <c r="AN162" s="9" t="str">
        <f t="shared" si="14"/>
        <v>Unique</v>
      </c>
      <c r="AO162" s="9" t="str">
        <f t="shared" si="15"/>
        <v/>
      </c>
      <c r="AP162" s="9">
        <f t="shared" si="16"/>
        <v>0.05</v>
      </c>
      <c r="AQ162" s="10">
        <f t="shared" si="17"/>
        <v>4789.5960000000005</v>
      </c>
      <c r="AR162" s="10">
        <f t="shared" si="18"/>
        <v>751.95600000000059</v>
      </c>
      <c r="AS162" s="11">
        <f t="shared" si="19"/>
        <v>0.1569977927157114</v>
      </c>
      <c r="AT162" s="9">
        <f t="shared" si="20"/>
        <v>10</v>
      </c>
      <c r="AU162" s="9">
        <f t="shared" si="21"/>
        <v>2025</v>
      </c>
      <c r="AV162" s="9" t="b">
        <f t="shared" si="22"/>
        <v>0</v>
      </c>
      <c r="AW162" s="9" t="b">
        <f t="shared" si="23"/>
        <v>0</v>
      </c>
      <c r="AX162" s="9" t="str">
        <f t="shared" si="24"/>
        <v>No</v>
      </c>
      <c r="AY162" s="9" t="str">
        <f t="shared" si="29"/>
        <v>Ship date before order date; Cancelled order excluded</v>
      </c>
      <c r="AZ162" s="9" t="str">
        <f>IF(OR(G162="Missing date",G162="Invalid date",G162="Ship date before order date",NOT(ISNUMBER(AP162)),AP162&lt;0,AP162&gt;0.5,AV162=TRUE,AW162=TRUE),"Invalid",IF(OR(O162="Unknown",Z162="Unknown",AC162="",AH162&lt;&gt;"Paid",AJ162&lt;&gt;"Completed",AO162&lt;&gt;""),"Warning","Clean"))</f>
        <v>Invalid</v>
      </c>
    </row>
    <row r="163" spans="1:52" ht="15.75" customHeight="1">
      <c r="A163" s="6" t="s">
        <v>973</v>
      </c>
      <c r="B163" s="7" t="s">
        <v>974</v>
      </c>
      <c r="C163" s="7" t="str">
        <f t="shared" si="28"/>
        <v>2025-07</v>
      </c>
      <c r="D163" s="7" cm="1">
        <f t="array" ref="D163">_xlfn.LET(_xlpm.x,B163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45862</v>
      </c>
      <c r="E163" s="7" t="s">
        <v>975</v>
      </c>
      <c r="F163" s="7" cm="1">
        <f t="array" ref="F163">_xlfn.LET(_xlpm.x,E163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45868</v>
      </c>
      <c r="G163" s="8" t="str">
        <f t="shared" si="1"/>
        <v>OK</v>
      </c>
      <c r="H163" s="6">
        <f t="shared" si="2"/>
        <v>6</v>
      </c>
      <c r="I163" s="6" t="s">
        <v>976</v>
      </c>
      <c r="J163" s="6" t="s">
        <v>153</v>
      </c>
      <c r="K163" s="6" t="str">
        <f t="shared" si="3"/>
        <v>Arjun Bose</v>
      </c>
      <c r="L163" s="6" t="s">
        <v>43</v>
      </c>
      <c r="M163" s="8" t="str">
        <f t="shared" si="4"/>
        <v>Consumer</v>
      </c>
      <c r="N163" s="6" t="s">
        <v>9</v>
      </c>
      <c r="O163" s="6" t="str">
        <f t="shared" si="5"/>
        <v>West</v>
      </c>
      <c r="P163" s="6" t="s">
        <v>131</v>
      </c>
      <c r="Q163" s="6" t="str">
        <f t="shared" si="6"/>
        <v>Rajasthan</v>
      </c>
      <c r="R163" s="6" t="s">
        <v>214</v>
      </c>
      <c r="S163" s="6" t="str">
        <f t="shared" si="7"/>
        <v>Udaipur</v>
      </c>
      <c r="T163" s="6" t="s">
        <v>20</v>
      </c>
      <c r="U163" s="8" t="str">
        <f t="shared" si="8"/>
        <v>Office Supplies</v>
      </c>
      <c r="V163" s="6" t="s">
        <v>22</v>
      </c>
      <c r="W163" s="6" t="str">
        <f t="shared" si="9"/>
        <v>Binders</v>
      </c>
      <c r="X163" s="6" t="s">
        <v>977</v>
      </c>
      <c r="Y163" s="6" t="s">
        <v>34</v>
      </c>
      <c r="Z163" s="6" t="str">
        <f t="shared" si="10"/>
        <v>Standard Class</v>
      </c>
      <c r="AA163" s="6">
        <v>1</v>
      </c>
      <c r="AB163" s="6">
        <v>1643.41</v>
      </c>
      <c r="AC163" s="6">
        <v>0</v>
      </c>
      <c r="AD163" s="6">
        <v>1643.41</v>
      </c>
      <c r="AE163" s="6">
        <v>907.4</v>
      </c>
      <c r="AF163" s="6">
        <v>736.01</v>
      </c>
      <c r="AG163" s="6" t="s">
        <v>54</v>
      </c>
      <c r="AH163" s="6" t="str">
        <f t="shared" si="11"/>
        <v>Pending</v>
      </c>
      <c r="AI163" s="6" t="s">
        <v>58</v>
      </c>
      <c r="AJ163" s="6" t="str">
        <f t="shared" si="12"/>
        <v>Cancelled</v>
      </c>
      <c r="AK163" s="9" t="str">
        <f>_xlfn.TEXTJOIN("|",FALSE,A163,TEXT(B163,"mm-dd-yyyy"),TEXT(E163,"mm-dd-yyyy"),I163,J163,L163,N163,P163,R163,T163,V163,X163,Y163,AA163,AB163,AC163,AD163,AE163,AF163,AG163,AI163)</f>
        <v>ORD-2025-10162|07-24-2025|30-07-2025|CUST-2367|Arjun Bose|Consumer|West|Rajasthan|Udaipur|Office Supplies|Binders|Smart Binders 267|Standard Class|1|1643.41|0|1643.41|907.4|736.01|Pending|Cancelled</v>
      </c>
      <c r="AL163" s="27" t="str">
        <f>IF(COUNTIF($AK$2:AK163,AK163)&gt;1,"Remove exact duplicate copy","Keep")</f>
        <v>Keep</v>
      </c>
      <c r="AM163" s="9">
        <f t="shared" si="13"/>
        <v>1</v>
      </c>
      <c r="AN163" s="9" t="str">
        <f t="shared" si="14"/>
        <v>Unique</v>
      </c>
      <c r="AO163" s="9" t="str">
        <f t="shared" si="15"/>
        <v/>
      </c>
      <c r="AP163" s="9">
        <f t="shared" si="16"/>
        <v>0</v>
      </c>
      <c r="AQ163" s="10">
        <f t="shared" si="17"/>
        <v>1643.41</v>
      </c>
      <c r="AR163" s="10">
        <f t="shared" si="18"/>
        <v>736.0100000000001</v>
      </c>
      <c r="AS163" s="11">
        <f t="shared" si="19"/>
        <v>0.44785537388722235</v>
      </c>
      <c r="AT163" s="9">
        <f t="shared" si="20"/>
        <v>7</v>
      </c>
      <c r="AU163" s="9">
        <f t="shared" si="21"/>
        <v>2025</v>
      </c>
      <c r="AV163" s="9" t="b">
        <f t="shared" si="22"/>
        <v>0</v>
      </c>
      <c r="AW163" s="9" t="b">
        <f t="shared" si="23"/>
        <v>0</v>
      </c>
      <c r="AX163" s="9" t="str">
        <f t="shared" si="24"/>
        <v>No</v>
      </c>
      <c r="AY163" s="9" t="str">
        <f t="shared" si="29"/>
        <v>Cancelled order excluded</v>
      </c>
      <c r="AZ163" s="9" t="str">
        <f>IF(OR(G163="Missing date",G163="Invalid date",G163="Ship date before order date",NOT(ISNUMBER(AP163)),AP163&lt;0,AP163&gt;0.5,AV163=TRUE,AW163=TRUE),"Invalid",IF(OR(O163="Unknown",Z163="Unknown",AC163="",AH163&lt;&gt;"Paid",AJ163&lt;&gt;"Completed",AO163&lt;&gt;""),"Warning","Clean"))</f>
        <v>Warning</v>
      </c>
    </row>
    <row r="164" spans="1:52" ht="15.75" customHeight="1">
      <c r="A164" s="6" t="s">
        <v>978</v>
      </c>
      <c r="B164" s="7" t="s">
        <v>979</v>
      </c>
      <c r="C164" s="7" t="str">
        <f t="shared" si="28"/>
        <v>2024-03</v>
      </c>
      <c r="D164" s="7" cm="1">
        <f t="array" ref="D164">_xlfn.LET(_xlpm.x,B164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45360</v>
      </c>
      <c r="E164" s="7" t="s">
        <v>980</v>
      </c>
      <c r="F164" s="7" cm="1">
        <f t="array" ref="F164">_xlfn.LET(_xlpm.x,E164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45365</v>
      </c>
      <c r="G164" s="8" t="str">
        <f t="shared" si="1"/>
        <v>OK</v>
      </c>
      <c r="H164" s="6">
        <f t="shared" si="2"/>
        <v>5</v>
      </c>
      <c r="I164" s="6" t="s">
        <v>981</v>
      </c>
      <c r="J164" s="6" t="s">
        <v>177</v>
      </c>
      <c r="K164" s="6" t="str">
        <f t="shared" si="3"/>
        <v>Neha Gupta</v>
      </c>
      <c r="L164" s="6" t="s">
        <v>46</v>
      </c>
      <c r="M164" s="8" t="str">
        <f t="shared" si="4"/>
        <v>Small Business</v>
      </c>
      <c r="N164" s="6" t="s">
        <v>9</v>
      </c>
      <c r="O164" s="6" t="str">
        <f t="shared" si="5"/>
        <v>West</v>
      </c>
      <c r="P164" s="6" t="s">
        <v>323</v>
      </c>
      <c r="Q164" s="6" t="str">
        <f t="shared" si="6"/>
        <v>Goa</v>
      </c>
      <c r="R164" s="6" t="s">
        <v>324</v>
      </c>
      <c r="S164" s="6" t="str">
        <f t="shared" si="7"/>
        <v>Panaji</v>
      </c>
      <c r="T164" s="6" t="s">
        <v>14</v>
      </c>
      <c r="U164" s="8" t="str">
        <f t="shared" si="8"/>
        <v>Furniture</v>
      </c>
      <c r="V164" s="6" t="s">
        <v>17</v>
      </c>
      <c r="W164" s="6" t="str">
        <f t="shared" si="9"/>
        <v>Furnishings</v>
      </c>
      <c r="X164" s="6" t="s">
        <v>982</v>
      </c>
      <c r="Y164" s="6" t="s">
        <v>36</v>
      </c>
      <c r="Z164" s="6" t="str">
        <f t="shared" si="10"/>
        <v>Second Class</v>
      </c>
      <c r="AA164" s="6">
        <v>8</v>
      </c>
      <c r="AB164" s="6">
        <v>4472.84</v>
      </c>
      <c r="AC164" s="6">
        <v>0</v>
      </c>
      <c r="AD164" s="6">
        <v>35997.620000000003</v>
      </c>
      <c r="AE164" s="6">
        <v>26424.41</v>
      </c>
      <c r="AF164" s="6">
        <v>9358.31</v>
      </c>
      <c r="AG164" s="6" t="s">
        <v>54</v>
      </c>
      <c r="AH164" s="6" t="str">
        <f t="shared" si="11"/>
        <v>Pending</v>
      </c>
      <c r="AI164" s="6" t="s">
        <v>59</v>
      </c>
      <c r="AJ164" s="6" t="str">
        <f t="shared" si="12"/>
        <v>Returned</v>
      </c>
      <c r="AK164" s="9" t="str">
        <f>_xlfn.TEXTJOIN("|",FALSE,A164,TEXT(B164,"mm-dd-yyyy"),TEXT(E164,"mm-dd-yyyy"),I164,J164,L164,N164,P164,R164,T164,V164,X164,Y164,AA164,AB164,AC164,AD164,AE164,AF164,AG164,AI164)</f>
        <v>ORD-2024-10163|03-09-2024|03-14-2024|CUST-4830|Neha Gupta|Small Business|West|Goa|Panaji|Furniture|Furnishings|Pro Furnishings 108|Second Class|8|4472.84|0|35997.62|26424.41|9358.31|Pending|Returned</v>
      </c>
      <c r="AL164" s="27" t="str">
        <f>IF(COUNTIF($AK$2:AK164,AK164)&gt;1,"Remove exact duplicate copy","Keep")</f>
        <v>Keep</v>
      </c>
      <c r="AM164" s="9">
        <f t="shared" si="13"/>
        <v>1</v>
      </c>
      <c r="AN164" s="9" t="str">
        <f t="shared" si="14"/>
        <v>Unique</v>
      </c>
      <c r="AO164" s="9" t="str">
        <f t="shared" si="15"/>
        <v/>
      </c>
      <c r="AP164" s="9">
        <f t="shared" si="16"/>
        <v>0</v>
      </c>
      <c r="AQ164" s="10">
        <f t="shared" si="17"/>
        <v>35782.720000000001</v>
      </c>
      <c r="AR164" s="10">
        <f t="shared" si="18"/>
        <v>9358.3100000000013</v>
      </c>
      <c r="AS164" s="11">
        <f t="shared" si="19"/>
        <v>0.2615315437171909</v>
      </c>
      <c r="AT164" s="9">
        <f t="shared" si="20"/>
        <v>3</v>
      </c>
      <c r="AU164" s="9">
        <f t="shared" si="21"/>
        <v>2024</v>
      </c>
      <c r="AV164" s="9" t="b">
        <f t="shared" si="22"/>
        <v>1</v>
      </c>
      <c r="AW164" s="9" t="b">
        <f t="shared" si="23"/>
        <v>0</v>
      </c>
      <c r="AX164" s="9" t="str">
        <f t="shared" si="24"/>
        <v>No</v>
      </c>
      <c r="AY164" s="9" t="str">
        <f t="shared" si="29"/>
        <v>Returned order excluded; Sales mismatch</v>
      </c>
      <c r="AZ164" s="9" t="str">
        <f>IF(OR(G164="Missing date",G164="Invalid date",G164="Ship date before order date",NOT(ISNUMBER(AP164)),AP164&lt;0,AP164&gt;0.5,AV164=TRUE,AW164=TRUE),"Invalid",IF(OR(O164="Unknown",Z164="Unknown",AC164="",AH164&lt;&gt;"Paid",AJ164&lt;&gt;"Completed",AO164&lt;&gt;""),"Warning","Clean"))</f>
        <v>Invalid</v>
      </c>
    </row>
    <row r="165" spans="1:52" ht="15.75" customHeight="1">
      <c r="A165" s="6" t="s">
        <v>983</v>
      </c>
      <c r="B165" s="7" t="s">
        <v>984</v>
      </c>
      <c r="C165" s="7" t="str">
        <f t="shared" si="28"/>
        <v>2025-09</v>
      </c>
      <c r="D165" s="7" cm="1">
        <f t="array" ref="D165">_xlfn.LET(_xlpm.x,B165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45921</v>
      </c>
      <c r="E165" s="7" t="s">
        <v>807</v>
      </c>
      <c r="F165" s="7" cm="1">
        <f t="array" ref="F165">_xlfn.LET(_xlpm.x,E165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45926</v>
      </c>
      <c r="G165" s="8" t="str">
        <f t="shared" si="1"/>
        <v>OK</v>
      </c>
      <c r="H165" s="6">
        <f t="shared" si="2"/>
        <v>5</v>
      </c>
      <c r="I165" s="6" t="s">
        <v>985</v>
      </c>
      <c r="J165" s="6" t="s">
        <v>257</v>
      </c>
      <c r="K165" s="6" t="str">
        <f t="shared" si="3"/>
        <v>Rohan Mehta</v>
      </c>
      <c r="L165" s="6" t="s">
        <v>44</v>
      </c>
      <c r="M165" s="8" t="str">
        <f t="shared" si="4"/>
        <v>Home Office</v>
      </c>
      <c r="N165" s="6" t="s">
        <v>9</v>
      </c>
      <c r="O165" s="6" t="str">
        <f t="shared" si="5"/>
        <v>West</v>
      </c>
      <c r="P165" s="6" t="s">
        <v>309</v>
      </c>
      <c r="Q165" s="6" t="str">
        <f t="shared" si="6"/>
        <v>Gujarat</v>
      </c>
      <c r="R165" s="6" t="s">
        <v>310</v>
      </c>
      <c r="S165" s="6" t="str">
        <f t="shared" si="7"/>
        <v>Ahmedabad</v>
      </c>
      <c r="T165" s="6" t="s">
        <v>14</v>
      </c>
      <c r="U165" s="8" t="str">
        <f t="shared" si="8"/>
        <v>Furniture</v>
      </c>
      <c r="V165" s="6" t="s">
        <v>18</v>
      </c>
      <c r="W165" s="6" t="str">
        <f t="shared" si="9"/>
        <v>Tables</v>
      </c>
      <c r="X165" s="6" t="s">
        <v>986</v>
      </c>
      <c r="Y165" s="6"/>
      <c r="Z165" s="6" t="str">
        <f t="shared" si="10"/>
        <v>Unknown</v>
      </c>
      <c r="AA165" s="6">
        <v>6</v>
      </c>
      <c r="AB165" s="6">
        <v>2903.58</v>
      </c>
      <c r="AC165" s="6">
        <v>0.1</v>
      </c>
      <c r="AD165" s="6">
        <v>15679.33</v>
      </c>
      <c r="AE165" s="6">
        <v>12477.82</v>
      </c>
      <c r="AF165" s="6">
        <v>3201.51</v>
      </c>
      <c r="AG165" s="6" t="s">
        <v>54</v>
      </c>
      <c r="AH165" s="6" t="str">
        <f t="shared" si="11"/>
        <v>Pending</v>
      </c>
      <c r="AI165" s="6" t="s">
        <v>59</v>
      </c>
      <c r="AJ165" s="6" t="str">
        <f t="shared" si="12"/>
        <v>Returned</v>
      </c>
      <c r="AK165" s="9" t="str">
        <f>_xlfn.TEXTJOIN("|",FALSE,A165,TEXT(B165,"mm-dd-yyyy"),TEXT(E165,"mm-dd-yyyy"),I165,J165,L165,N165,P165,R165,T165,V165,X165,Y165,AA165,AB165,AC165,AD165,AE165,AF165,AG165,AI165)</f>
        <v>ORD-2025-10164|09-21-2025|09-26-2025|CUST-2548|Rohan Mehta|Home Office|West|Gujarat|Ahmedabad|Furniture|Tables|Elite Tables 389||6|2903.58|0.1|15679.33|12477.82|3201.51|Pending|Returned</v>
      </c>
      <c r="AL165" s="27" t="str">
        <f>IF(COUNTIF($AK$2:AK165,AK165)&gt;1,"Remove exact duplicate copy","Keep")</f>
        <v>Keep</v>
      </c>
      <c r="AM165" s="9">
        <f t="shared" si="13"/>
        <v>1</v>
      </c>
      <c r="AN165" s="9" t="str">
        <f t="shared" si="14"/>
        <v>Unique</v>
      </c>
      <c r="AO165" s="9" t="str">
        <f t="shared" si="15"/>
        <v/>
      </c>
      <c r="AP165" s="9">
        <f t="shared" si="16"/>
        <v>0.1</v>
      </c>
      <c r="AQ165" s="10">
        <f t="shared" si="17"/>
        <v>15679.332</v>
      </c>
      <c r="AR165" s="10">
        <f t="shared" si="18"/>
        <v>3201.5120000000006</v>
      </c>
      <c r="AS165" s="11">
        <f t="shared" si="19"/>
        <v>0.20418675999717339</v>
      </c>
      <c r="AT165" s="9">
        <f t="shared" si="20"/>
        <v>9</v>
      </c>
      <c r="AU165" s="9">
        <f t="shared" si="21"/>
        <v>2025</v>
      </c>
      <c r="AV165" s="9" t="b">
        <f t="shared" si="22"/>
        <v>0</v>
      </c>
      <c r="AW165" s="9" t="b">
        <f t="shared" si="23"/>
        <v>0</v>
      </c>
      <c r="AX165" s="9" t="str">
        <f t="shared" si="24"/>
        <v>No</v>
      </c>
      <c r="AY165" s="9" t="str">
        <f t="shared" si="29"/>
        <v>Missing ship mode filled as Unknown; Returned order excluded</v>
      </c>
      <c r="AZ165" s="9" t="str">
        <f>IF(OR(G165="Missing date",G165="Invalid date",G165="Ship date before order date",NOT(ISNUMBER(AP165)),AP165&lt;0,AP165&gt;0.5,AV165=TRUE,AW165=TRUE),"Invalid",IF(OR(O165="Unknown",Z165="Unknown",AC165="",AH165&lt;&gt;"Paid",AJ165&lt;&gt;"Completed",AO165&lt;&gt;""),"Warning","Clean"))</f>
        <v>Warning</v>
      </c>
    </row>
    <row r="166" spans="1:52" ht="15.75" customHeight="1">
      <c r="A166" s="6" t="s">
        <v>987</v>
      </c>
      <c r="B166" s="7" t="s">
        <v>988</v>
      </c>
      <c r="C166" s="7" t="str">
        <f t="shared" si="28"/>
        <v>2025-09</v>
      </c>
      <c r="D166" s="7" cm="1">
        <f t="array" ref="D166">_xlfn.LET(_xlpm.x,B166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45909</v>
      </c>
      <c r="E166" s="7" t="s">
        <v>989</v>
      </c>
      <c r="F166" s="7" cm="1">
        <f t="array" ref="F166">_xlfn.LET(_xlpm.x,E166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45914</v>
      </c>
      <c r="G166" s="8" t="str">
        <f t="shared" si="1"/>
        <v>OK</v>
      </c>
      <c r="H166" s="6">
        <f t="shared" si="2"/>
        <v>5</v>
      </c>
      <c r="I166" s="6" t="s">
        <v>990</v>
      </c>
      <c r="J166" s="6" t="s">
        <v>226</v>
      </c>
      <c r="K166" s="6" t="str">
        <f t="shared" si="3"/>
        <v>Rahul Verma</v>
      </c>
      <c r="L166" s="6" t="s">
        <v>46</v>
      </c>
      <c r="M166" s="8" t="str">
        <f t="shared" si="4"/>
        <v>Small Business</v>
      </c>
      <c r="N166" s="6" t="s">
        <v>8</v>
      </c>
      <c r="O166" s="6" t="str">
        <f t="shared" si="5"/>
        <v>East</v>
      </c>
      <c r="P166" s="6" t="s">
        <v>201</v>
      </c>
      <c r="Q166" s="6" t="str">
        <f t="shared" si="6"/>
        <v>West Bengal</v>
      </c>
      <c r="R166" s="6" t="s">
        <v>202</v>
      </c>
      <c r="S166" s="6" t="str">
        <f t="shared" si="7"/>
        <v>Kolkata</v>
      </c>
      <c r="T166" s="6" t="s">
        <v>14</v>
      </c>
      <c r="U166" s="8" t="str">
        <f t="shared" si="8"/>
        <v>Furniture</v>
      </c>
      <c r="V166" s="6" t="s">
        <v>15</v>
      </c>
      <c r="W166" s="6" t="str">
        <f t="shared" si="9"/>
        <v>Bookcases</v>
      </c>
      <c r="X166" s="6" t="s">
        <v>991</v>
      </c>
      <c r="Y166" s="6" t="s">
        <v>36</v>
      </c>
      <c r="Z166" s="6" t="str">
        <f t="shared" si="10"/>
        <v>Second Class</v>
      </c>
      <c r="AA166" s="6">
        <v>1</v>
      </c>
      <c r="AB166" s="6">
        <v>3154.42</v>
      </c>
      <c r="AC166" s="6">
        <v>0.25</v>
      </c>
      <c r="AD166" s="6">
        <v>2365.8200000000002</v>
      </c>
      <c r="AE166" s="6">
        <v>1547.99</v>
      </c>
      <c r="AF166" s="6">
        <v>817.83</v>
      </c>
      <c r="AG166" s="6" t="s">
        <v>52</v>
      </c>
      <c r="AH166" s="6" t="str">
        <f t="shared" si="11"/>
        <v>Paid</v>
      </c>
      <c r="AI166" s="6" t="s">
        <v>134</v>
      </c>
      <c r="AJ166" s="6" t="str">
        <f t="shared" si="12"/>
        <v>Completed</v>
      </c>
      <c r="AK166" s="9" t="str">
        <f>_xlfn.TEXTJOIN("|",FALSE,A166,TEXT(B166,"mm-dd-yyyy"),TEXT(E166,"mm-dd-yyyy"),I166,J166,L166,N166,P166,R166,T166,V166,X166,Y166,AA166,AB166,AC166,AD166,AE166,AF166,AG166,AI166)</f>
        <v>ORD-2025-10165|09-09-2025|09-14-2025|CUST-3833|Rahul Verma|Small Business|East|West Bengal|Kolkata|Furniture|Bookcases|Pro Bookcases 595|Second Class|1|3154.42|0.25|2365.82|1547.99|817.83|Paid|Completed</v>
      </c>
      <c r="AL166" s="27" t="str">
        <f>IF(COUNTIF($AK$2:AK166,AK166)&gt;1,"Remove exact duplicate copy","Keep")</f>
        <v>Keep</v>
      </c>
      <c r="AM166" s="9">
        <f t="shared" si="13"/>
        <v>1</v>
      </c>
      <c r="AN166" s="9" t="str">
        <f t="shared" si="14"/>
        <v>Unique</v>
      </c>
      <c r="AO166" s="9" t="str">
        <f t="shared" si="15"/>
        <v/>
      </c>
      <c r="AP166" s="9">
        <f t="shared" si="16"/>
        <v>0.25</v>
      </c>
      <c r="AQ166" s="10">
        <f t="shared" si="17"/>
        <v>2365.8150000000001</v>
      </c>
      <c r="AR166" s="10">
        <f t="shared" si="18"/>
        <v>817.82500000000005</v>
      </c>
      <c r="AS166" s="11">
        <f t="shared" si="19"/>
        <v>0.34568425679945392</v>
      </c>
      <c r="AT166" s="9">
        <f t="shared" si="20"/>
        <v>9</v>
      </c>
      <c r="AU166" s="9">
        <f t="shared" si="21"/>
        <v>2025</v>
      </c>
      <c r="AV166" s="9" t="b">
        <f t="shared" si="22"/>
        <v>0</v>
      </c>
      <c r="AW166" s="9" t="b">
        <f t="shared" si="23"/>
        <v>0</v>
      </c>
      <c r="AX166" s="9" t="str">
        <f t="shared" si="24"/>
        <v>Yes</v>
      </c>
      <c r="AY166" s="9" t="str">
        <f t="shared" si="29"/>
        <v/>
      </c>
      <c r="AZ166" s="9" t="str">
        <f>IF(OR(G166="Missing date",G166="Invalid date",G166="Ship date before order date",NOT(ISNUMBER(AP166)),AP166&lt;0,AP166&gt;0.5,AV166=TRUE,AW166=TRUE),"Invalid",IF(OR(O166="Unknown",Z166="Unknown",AC166="",AH166&lt;&gt;"Paid",AJ166&lt;&gt;"Completed",AO166&lt;&gt;""),"Warning","Clean"))</f>
        <v>Clean</v>
      </c>
    </row>
    <row r="167" spans="1:52" ht="15.75" customHeight="1">
      <c r="A167" s="6" t="s">
        <v>992</v>
      </c>
      <c r="B167" s="7" t="s">
        <v>993</v>
      </c>
      <c r="C167" s="7" t="str">
        <f t="shared" si="28"/>
        <v>2024-11</v>
      </c>
      <c r="D167" s="7" cm="1">
        <f t="array" ref="D167">_xlfn.LET(_xlpm.x,B167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45618</v>
      </c>
      <c r="E167" s="7" t="s">
        <v>994</v>
      </c>
      <c r="F167" s="7" cm="1">
        <f t="array" ref="F167">_xlfn.LET(_xlpm.x,E167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45625</v>
      </c>
      <c r="G167" s="8" t="str">
        <f t="shared" si="1"/>
        <v>OK</v>
      </c>
      <c r="H167" s="6">
        <f t="shared" si="2"/>
        <v>7</v>
      </c>
      <c r="I167" s="6" t="s">
        <v>995</v>
      </c>
      <c r="J167" s="6" t="s">
        <v>139</v>
      </c>
      <c r="K167" s="6" t="str">
        <f t="shared" si="3"/>
        <v>Mira Das</v>
      </c>
      <c r="L167" s="6" t="s">
        <v>44</v>
      </c>
      <c r="M167" s="8" t="str">
        <f t="shared" si="4"/>
        <v>Home Office</v>
      </c>
      <c r="N167" s="6" t="s">
        <v>8</v>
      </c>
      <c r="O167" s="6" t="str">
        <f t="shared" si="5"/>
        <v>East</v>
      </c>
      <c r="P167" s="6" t="s">
        <v>263</v>
      </c>
      <c r="Q167" s="6" t="str">
        <f t="shared" si="6"/>
        <v>Bihar</v>
      </c>
      <c r="R167" s="6" t="s">
        <v>264</v>
      </c>
      <c r="S167" s="6" t="str">
        <f t="shared" si="7"/>
        <v>Patna</v>
      </c>
      <c r="T167" s="6" t="s">
        <v>14</v>
      </c>
      <c r="U167" s="8" t="str">
        <f t="shared" si="8"/>
        <v>Furniture</v>
      </c>
      <c r="V167" s="6" t="s">
        <v>16</v>
      </c>
      <c r="W167" s="6" t="str">
        <f t="shared" si="9"/>
        <v>Chairs</v>
      </c>
      <c r="X167" s="6" t="s">
        <v>996</v>
      </c>
      <c r="Y167" s="6" t="s">
        <v>34</v>
      </c>
      <c r="Z167" s="6" t="str">
        <f t="shared" si="10"/>
        <v>Standard Class</v>
      </c>
      <c r="AA167" s="6">
        <v>4</v>
      </c>
      <c r="AB167" s="6">
        <v>3422.99</v>
      </c>
      <c r="AC167" s="6">
        <v>0.25</v>
      </c>
      <c r="AD167" s="6">
        <v>10268.969999999999</v>
      </c>
      <c r="AE167" s="6">
        <v>6470.92</v>
      </c>
      <c r="AF167" s="6">
        <v>3798.05</v>
      </c>
      <c r="AG167" s="6" t="s">
        <v>52</v>
      </c>
      <c r="AH167" s="6" t="str">
        <f t="shared" si="11"/>
        <v>Paid</v>
      </c>
      <c r="AI167" s="6" t="s">
        <v>134</v>
      </c>
      <c r="AJ167" s="6" t="str">
        <f t="shared" si="12"/>
        <v>Completed</v>
      </c>
      <c r="AK167" s="9" t="str">
        <f>_xlfn.TEXTJOIN("|",FALSE,A167,TEXT(B167,"mm-dd-yyyy"),TEXT(E167,"mm-dd-yyyy"),I167,J167,L167,N167,P167,R167,T167,V167,X167,Y167,AA167,AB167,AC167,AD167,AE167,AF167,AG167,AI167)</f>
        <v>ORD-2024-10166|11-22-2024|29-11-2024|CUST-4598|Mira Das|Home Office|East|Bihar|Patna|Furniture|Chairs|Max Chairs 148|Standard Class|4|3422.99|0.25|10268.97|6470.92|3798.05|Paid|Completed</v>
      </c>
      <c r="AL167" s="27" t="str">
        <f>IF(COUNTIF($AK$2:AK167,AK167)&gt;1,"Remove exact duplicate copy","Keep")</f>
        <v>Keep</v>
      </c>
      <c r="AM167" s="9">
        <f t="shared" si="13"/>
        <v>1</v>
      </c>
      <c r="AN167" s="9" t="str">
        <f t="shared" si="14"/>
        <v>Unique</v>
      </c>
      <c r="AO167" s="9" t="str">
        <f t="shared" si="15"/>
        <v/>
      </c>
      <c r="AP167" s="9">
        <f t="shared" si="16"/>
        <v>0.25</v>
      </c>
      <c r="AQ167" s="10">
        <f t="shared" si="17"/>
        <v>10268.969999999999</v>
      </c>
      <c r="AR167" s="10">
        <f t="shared" si="18"/>
        <v>3798.0499999999993</v>
      </c>
      <c r="AS167" s="11">
        <f t="shared" si="19"/>
        <v>0.36985695741637181</v>
      </c>
      <c r="AT167" s="9">
        <f t="shared" si="20"/>
        <v>11</v>
      </c>
      <c r="AU167" s="9">
        <f t="shared" si="21"/>
        <v>2024</v>
      </c>
      <c r="AV167" s="9" t="b">
        <f t="shared" si="22"/>
        <v>0</v>
      </c>
      <c r="AW167" s="9" t="b">
        <f t="shared" si="23"/>
        <v>0</v>
      </c>
      <c r="AX167" s="9" t="str">
        <f t="shared" si="24"/>
        <v>Yes</v>
      </c>
      <c r="AY167" s="9" t="str">
        <f t="shared" si="29"/>
        <v/>
      </c>
      <c r="AZ167" s="9" t="str">
        <f>IF(OR(G167="Missing date",G167="Invalid date",G167="Ship date before order date",NOT(ISNUMBER(AP167)),AP167&lt;0,AP167&gt;0.5,AV167=TRUE,AW167=TRUE),"Invalid",IF(OR(O167="Unknown",Z167="Unknown",AC167="",AH167&lt;&gt;"Paid",AJ167&lt;&gt;"Completed",AO167&lt;&gt;""),"Warning","Clean"))</f>
        <v>Clean</v>
      </c>
    </row>
    <row r="168" spans="1:52" ht="15.75" customHeight="1">
      <c r="A168" s="6" t="s">
        <v>997</v>
      </c>
      <c r="B168" s="7" t="s">
        <v>998</v>
      </c>
      <c r="C168" s="7" t="str">
        <f t="shared" si="28"/>
        <v>2025-02</v>
      </c>
      <c r="D168" s="7" cm="1">
        <f t="array" ref="D168">_xlfn.LET(_xlpm.x,B168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45708</v>
      </c>
      <c r="E168" s="7" t="s">
        <v>181</v>
      </c>
      <c r="F168" s="7" cm="1">
        <f t="array" ref="F168">_xlfn.LET(_xlpm.x,E168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45714</v>
      </c>
      <c r="G168" s="8" t="str">
        <f t="shared" si="1"/>
        <v>OK</v>
      </c>
      <c r="H168" s="6">
        <f t="shared" si="2"/>
        <v>6</v>
      </c>
      <c r="I168" s="6" t="s">
        <v>999</v>
      </c>
      <c r="J168" s="6" t="s">
        <v>129</v>
      </c>
      <c r="K168" s="6" t="str">
        <f t="shared" si="3"/>
        <v>Karan Malhotra</v>
      </c>
      <c r="L168" s="6" t="s">
        <v>46</v>
      </c>
      <c r="M168" s="8" t="str">
        <f t="shared" si="4"/>
        <v>Small Business</v>
      </c>
      <c r="N168" s="6" t="s">
        <v>9</v>
      </c>
      <c r="O168" s="6" t="str">
        <f t="shared" si="5"/>
        <v>West</v>
      </c>
      <c r="P168" s="6" t="s">
        <v>309</v>
      </c>
      <c r="Q168" s="6" t="str">
        <f t="shared" si="6"/>
        <v>Gujarat</v>
      </c>
      <c r="R168" s="6" t="s">
        <v>310</v>
      </c>
      <c r="S168" s="6" t="str">
        <f t="shared" si="7"/>
        <v>Ahmedabad</v>
      </c>
      <c r="T168" s="6" t="s">
        <v>1000</v>
      </c>
      <c r="U168" s="8" t="str">
        <f t="shared" si="8"/>
        <v>Office Supplies</v>
      </c>
      <c r="V168" s="6" t="s">
        <v>23</v>
      </c>
      <c r="W168" s="6" t="str">
        <f t="shared" si="9"/>
        <v>Labels</v>
      </c>
      <c r="X168" s="6" t="s">
        <v>1001</v>
      </c>
      <c r="Y168" s="6" t="s">
        <v>35</v>
      </c>
      <c r="Z168" s="6" t="str">
        <f t="shared" si="10"/>
        <v>First Class</v>
      </c>
      <c r="AA168" s="6">
        <v>1</v>
      </c>
      <c r="AB168" s="6">
        <v>2557.85</v>
      </c>
      <c r="AC168" s="6">
        <v>0.2</v>
      </c>
      <c r="AD168" s="6">
        <v>2046.28</v>
      </c>
      <c r="AE168" s="6">
        <v>1449.54</v>
      </c>
      <c r="AF168" s="6">
        <v>596.74</v>
      </c>
      <c r="AG168" s="6" t="s">
        <v>52</v>
      </c>
      <c r="AH168" s="6" t="str">
        <f t="shared" si="11"/>
        <v>Paid</v>
      </c>
      <c r="AI168" s="6" t="s">
        <v>134</v>
      </c>
      <c r="AJ168" s="6" t="str">
        <f t="shared" si="12"/>
        <v>Completed</v>
      </c>
      <c r="AK168" s="9" t="str">
        <f>_xlfn.TEXTJOIN("|",FALSE,A168,TEXT(B168,"mm-dd-yyyy"),TEXT(E168,"mm-dd-yyyy"),I168,J168,L168,N168,P168,R168,T168,V168,X168,Y168,AA168,AB168,AC168,AD168,AE168,AF168,AG168,AI168)</f>
        <v>ORD-2025-10167|20-02-2025|26-02-2025|CUST-7215|Karan Malhotra|Small Business|West|Gujarat|Ahmedabad|OFFICE SUPPLIES|Labels|Basic Labels 671|First Class|1|2557.85|0.2|2046.28|1449.54|596.74|Paid|Completed</v>
      </c>
      <c r="AL168" s="27" t="str">
        <f>IF(COUNTIF($AK$2:AK168,AK168)&gt;1,"Remove exact duplicate copy","Keep")</f>
        <v>Keep</v>
      </c>
      <c r="AM168" s="9">
        <f t="shared" si="13"/>
        <v>1</v>
      </c>
      <c r="AN168" s="9" t="str">
        <f t="shared" si="14"/>
        <v>Unique</v>
      </c>
      <c r="AO168" s="9" t="str">
        <f t="shared" si="15"/>
        <v/>
      </c>
      <c r="AP168" s="9">
        <f t="shared" si="16"/>
        <v>0.2</v>
      </c>
      <c r="AQ168" s="10">
        <f t="shared" si="17"/>
        <v>2046.28</v>
      </c>
      <c r="AR168" s="10">
        <f t="shared" si="18"/>
        <v>596.74</v>
      </c>
      <c r="AS168" s="11">
        <f t="shared" si="19"/>
        <v>0.29162186992982386</v>
      </c>
      <c r="AT168" s="9">
        <f t="shared" si="20"/>
        <v>2</v>
      </c>
      <c r="AU168" s="9">
        <f t="shared" si="21"/>
        <v>2025</v>
      </c>
      <c r="AV168" s="9" t="b">
        <f t="shared" si="22"/>
        <v>0</v>
      </c>
      <c r="AW168" s="9" t="b">
        <f t="shared" si="23"/>
        <v>0</v>
      </c>
      <c r="AX168" s="9" t="str">
        <f t="shared" si="24"/>
        <v>Yes</v>
      </c>
      <c r="AY168" s="9" t="str">
        <f t="shared" si="29"/>
        <v/>
      </c>
      <c r="AZ168" s="9" t="str">
        <f>IF(OR(G168="Missing date",G168="Invalid date",G168="Ship date before order date",NOT(ISNUMBER(AP168)),AP168&lt;0,AP168&gt;0.5,AV168=TRUE,AW168=TRUE),"Invalid",IF(OR(O168="Unknown",Z168="Unknown",AC168="",AH168&lt;&gt;"Paid",AJ168&lt;&gt;"Completed",AO168&lt;&gt;""),"Warning","Clean"))</f>
        <v>Clean</v>
      </c>
    </row>
    <row r="169" spans="1:52" ht="15.75" customHeight="1">
      <c r="A169" s="6" t="s">
        <v>1002</v>
      </c>
      <c r="B169" s="7" t="s">
        <v>1003</v>
      </c>
      <c r="C169" s="7" t="str">
        <f t="shared" si="28"/>
        <v>2025-08</v>
      </c>
      <c r="D169" s="7" cm="1">
        <f t="array" ref="D169">_xlfn.LET(_xlpm.x,B169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45887</v>
      </c>
      <c r="E169" s="7" t="s">
        <v>1004</v>
      </c>
      <c r="F169" s="7" cm="1">
        <f t="array" ref="F169">_xlfn.LET(_xlpm.x,E169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45887</v>
      </c>
      <c r="G169" s="8" t="str">
        <f t="shared" si="1"/>
        <v>OK</v>
      </c>
      <c r="H169" s="6">
        <f t="shared" si="2"/>
        <v>0</v>
      </c>
      <c r="I169" s="6" t="s">
        <v>1005</v>
      </c>
      <c r="J169" s="6" t="s">
        <v>153</v>
      </c>
      <c r="K169" s="6" t="str">
        <f t="shared" si="3"/>
        <v>Arjun Bose</v>
      </c>
      <c r="L169" s="6" t="s">
        <v>44</v>
      </c>
      <c r="M169" s="8" t="str">
        <f t="shared" si="4"/>
        <v>Home Office</v>
      </c>
      <c r="N169" s="6" t="s">
        <v>10</v>
      </c>
      <c r="O169" s="6" t="str">
        <f t="shared" si="5"/>
        <v>South</v>
      </c>
      <c r="P169" s="6" t="s">
        <v>303</v>
      </c>
      <c r="Q169" s="6" t="str">
        <f t="shared" si="6"/>
        <v>Karnataka</v>
      </c>
      <c r="R169" s="6" t="s">
        <v>304</v>
      </c>
      <c r="S169" s="6" t="str">
        <f t="shared" si="7"/>
        <v>Bengaluru</v>
      </c>
      <c r="T169" s="6" t="s">
        <v>20</v>
      </c>
      <c r="U169" s="8" t="str">
        <f t="shared" si="8"/>
        <v>Office Supplies</v>
      </c>
      <c r="V169" s="6" t="s">
        <v>25</v>
      </c>
      <c r="W169" s="6" t="str">
        <f t="shared" si="9"/>
        <v>Storage</v>
      </c>
      <c r="X169" s="6" t="s">
        <v>1006</v>
      </c>
      <c r="Y169" s="6" t="s">
        <v>35</v>
      </c>
      <c r="Z169" s="6" t="str">
        <f t="shared" si="10"/>
        <v>First Class</v>
      </c>
      <c r="AA169" s="6">
        <v>9</v>
      </c>
      <c r="AB169" s="6">
        <v>3030.93</v>
      </c>
      <c r="AC169" s="6">
        <v>0.15</v>
      </c>
      <c r="AD169" s="6">
        <v>23186.61</v>
      </c>
      <c r="AE169" s="6">
        <v>17906.54</v>
      </c>
      <c r="AF169" s="6">
        <v>5280.07</v>
      </c>
      <c r="AG169" s="6" t="s">
        <v>52</v>
      </c>
      <c r="AH169" s="6" t="str">
        <f t="shared" si="11"/>
        <v>Paid</v>
      </c>
      <c r="AI169" s="6" t="s">
        <v>59</v>
      </c>
      <c r="AJ169" s="6" t="str">
        <f t="shared" si="12"/>
        <v>Returned</v>
      </c>
      <c r="AK169" s="9" t="str">
        <f>_xlfn.TEXTJOIN("|",FALSE,A169,TEXT(B169,"mm-dd-yyyy"),TEXT(E169,"mm-dd-yyyy"),I169,J169,L169,N169,P169,R169,T169,V169,X169,Y169,AA169,AB169,AC169,AD169,AE169,AF169,AG169,AI169)</f>
        <v>ORD-2025-10168|08-18-2025|08-18-2025|CUST-7770|Arjun Bose|Home Office|South|Karnataka|Bengaluru|Office Supplies|Storage|Elite Storage 628|First Class|9|3030.93|0.15|23186.61|17906.54|5280.07|Paid|Returned</v>
      </c>
      <c r="AL169" s="27" t="str">
        <f>IF(COUNTIF($AK$2:AK169,AK169)&gt;1,"Remove exact duplicate copy","Keep")</f>
        <v>Keep</v>
      </c>
      <c r="AM169" s="9">
        <f t="shared" si="13"/>
        <v>1</v>
      </c>
      <c r="AN169" s="9" t="str">
        <f t="shared" si="14"/>
        <v>Unique</v>
      </c>
      <c r="AO169" s="9" t="str">
        <f t="shared" si="15"/>
        <v/>
      </c>
      <c r="AP169" s="9">
        <f t="shared" si="16"/>
        <v>0.15</v>
      </c>
      <c r="AQ169" s="10">
        <f t="shared" si="17"/>
        <v>23186.6145</v>
      </c>
      <c r="AR169" s="10">
        <f t="shared" si="18"/>
        <v>5280.0744999999988</v>
      </c>
      <c r="AS169" s="11">
        <f t="shared" si="19"/>
        <v>0.22772080417345961</v>
      </c>
      <c r="AT169" s="9">
        <f t="shared" si="20"/>
        <v>8</v>
      </c>
      <c r="AU169" s="9">
        <f t="shared" si="21"/>
        <v>2025</v>
      </c>
      <c r="AV169" s="9" t="b">
        <f t="shared" si="22"/>
        <v>0</v>
      </c>
      <c r="AW169" s="9" t="b">
        <f t="shared" si="23"/>
        <v>0</v>
      </c>
      <c r="AX169" s="9" t="str">
        <f t="shared" si="24"/>
        <v>No</v>
      </c>
      <c r="AY169" s="9" t="str">
        <f t="shared" si="29"/>
        <v>Returned order excluded</v>
      </c>
      <c r="AZ169" s="9" t="str">
        <f>IF(OR(G169="Missing date",G169="Invalid date",G169="Ship date before order date",NOT(ISNUMBER(AP169)),AP169&lt;0,AP169&gt;0.5,AV169=TRUE,AW169=TRUE),"Invalid",IF(OR(O169="Unknown",Z169="Unknown",AC169="",AH169&lt;&gt;"Paid",AJ169&lt;&gt;"Completed",AO169&lt;&gt;""),"Warning","Clean"))</f>
        <v>Warning</v>
      </c>
    </row>
    <row r="170" spans="1:52" ht="15.75" customHeight="1">
      <c r="A170" s="6" t="s">
        <v>1007</v>
      </c>
      <c r="B170" s="7" t="s">
        <v>1008</v>
      </c>
      <c r="C170" s="7" t="str">
        <f t="shared" si="28"/>
        <v>2025-01</v>
      </c>
      <c r="D170" s="7" cm="1">
        <f t="array" ref="D170">_xlfn.LET(_xlpm.x,B170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45677</v>
      </c>
      <c r="E170" s="7" t="s">
        <v>261</v>
      </c>
      <c r="F170" s="7" cm="1">
        <f t="array" ref="F170">_xlfn.LET(_xlpm.x,E170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45680</v>
      </c>
      <c r="G170" s="8" t="str">
        <f t="shared" si="1"/>
        <v>OK</v>
      </c>
      <c r="H170" s="6">
        <f t="shared" si="2"/>
        <v>3</v>
      </c>
      <c r="I170" s="6" t="s">
        <v>1009</v>
      </c>
      <c r="J170" s="6" t="s">
        <v>442</v>
      </c>
      <c r="K170" s="6" t="str">
        <f t="shared" si="3"/>
        <v>Kabir Singh</v>
      </c>
      <c r="L170" s="6" t="s">
        <v>43</v>
      </c>
      <c r="M170" s="8" t="str">
        <f t="shared" si="4"/>
        <v>Consumer</v>
      </c>
      <c r="N170" s="6" t="s">
        <v>9</v>
      </c>
      <c r="O170" s="6" t="str">
        <f t="shared" si="5"/>
        <v>West</v>
      </c>
      <c r="P170" s="6" t="s">
        <v>162</v>
      </c>
      <c r="Q170" s="6" t="str">
        <f t="shared" si="6"/>
        <v>Maharashtra</v>
      </c>
      <c r="R170" s="6" t="s">
        <v>163</v>
      </c>
      <c r="S170" s="6" t="str">
        <f t="shared" si="7"/>
        <v>Mumbai</v>
      </c>
      <c r="T170" s="6" t="s">
        <v>27</v>
      </c>
      <c r="U170" s="8" t="str">
        <f t="shared" si="8"/>
        <v>Technology</v>
      </c>
      <c r="V170" s="6" t="s">
        <v>28</v>
      </c>
      <c r="W170" s="6" t="str">
        <f t="shared" si="9"/>
        <v>Accessories</v>
      </c>
      <c r="X170" s="6" t="s">
        <v>1010</v>
      </c>
      <c r="Y170" s="6" t="s">
        <v>37</v>
      </c>
      <c r="Z170" s="6" t="str">
        <f t="shared" si="10"/>
        <v>Same Day</v>
      </c>
      <c r="AA170" s="6">
        <v>5</v>
      </c>
      <c r="AB170" s="6">
        <v>639.27</v>
      </c>
      <c r="AC170" s="6">
        <v>0.2</v>
      </c>
      <c r="AD170" s="6">
        <v>2557.08</v>
      </c>
      <c r="AE170" s="6">
        <v>2025.69</v>
      </c>
      <c r="AF170" s="6">
        <v>531.39</v>
      </c>
      <c r="AG170" s="6" t="s">
        <v>52</v>
      </c>
      <c r="AH170" s="6" t="str">
        <f t="shared" si="11"/>
        <v>Paid</v>
      </c>
      <c r="AI170" s="6" t="s">
        <v>58</v>
      </c>
      <c r="AJ170" s="6" t="str">
        <f t="shared" si="12"/>
        <v>Cancelled</v>
      </c>
      <c r="AK170" s="9" t="str">
        <f>_xlfn.TEXTJOIN("|",FALSE,A170,TEXT(B170,"mm-dd-yyyy"),TEXT(E170,"mm-dd-yyyy"),I170,J170,L170,N170,P170,R170,T170,V170,X170,Y170,AA170,AB170,AC170,AD170,AE170,AF170,AG170,AI170)</f>
        <v>ORD-2025-10169|01-20-2025|01-23-2025|CUST-9756|Kabir Singh|Consumer|West|Maharashtra|Mumbai|Technology|Accessories|Eco Accessories 590|Same Day|5|639.27|0.2|2557.08|2025.69|531.39|Paid|Cancelled</v>
      </c>
      <c r="AL170" s="27" t="str">
        <f>IF(COUNTIF($AK$2:AK170,AK170)&gt;1,"Remove exact duplicate copy","Keep")</f>
        <v>Keep</v>
      </c>
      <c r="AM170" s="9">
        <f t="shared" si="13"/>
        <v>1</v>
      </c>
      <c r="AN170" s="9" t="str">
        <f t="shared" si="14"/>
        <v>Unique</v>
      </c>
      <c r="AO170" s="9" t="str">
        <f t="shared" si="15"/>
        <v/>
      </c>
      <c r="AP170" s="9">
        <f t="shared" si="16"/>
        <v>0.2</v>
      </c>
      <c r="AQ170" s="10">
        <f t="shared" si="17"/>
        <v>2557.08</v>
      </c>
      <c r="AR170" s="10">
        <f t="shared" si="18"/>
        <v>531.38999999999987</v>
      </c>
      <c r="AS170" s="11">
        <f t="shared" si="19"/>
        <v>0.2078112534609789</v>
      </c>
      <c r="AT170" s="9">
        <f t="shared" si="20"/>
        <v>1</v>
      </c>
      <c r="AU170" s="9">
        <f t="shared" si="21"/>
        <v>2025</v>
      </c>
      <c r="AV170" s="9" t="b">
        <f t="shared" si="22"/>
        <v>0</v>
      </c>
      <c r="AW170" s="9" t="b">
        <f t="shared" si="23"/>
        <v>0</v>
      </c>
      <c r="AX170" s="9" t="str">
        <f t="shared" si="24"/>
        <v>No</v>
      </c>
      <c r="AY170" s="9" t="str">
        <f t="shared" si="29"/>
        <v>Cancelled order excluded</v>
      </c>
      <c r="AZ170" s="9" t="str">
        <f>IF(OR(G170="Missing date",G170="Invalid date",G170="Ship date before order date",NOT(ISNUMBER(AP170)),AP170&lt;0,AP170&gt;0.5,AV170=TRUE,AW170=TRUE),"Invalid",IF(OR(O170="Unknown",Z170="Unknown",AC170="",AH170&lt;&gt;"Paid",AJ170&lt;&gt;"Completed",AO170&lt;&gt;""),"Warning","Clean"))</f>
        <v>Warning</v>
      </c>
    </row>
    <row r="171" spans="1:52" ht="15.75" customHeight="1">
      <c r="A171" s="6" t="s">
        <v>1011</v>
      </c>
      <c r="B171" s="7" t="s">
        <v>1012</v>
      </c>
      <c r="C171" s="7" t="str">
        <f t="shared" si="28"/>
        <v>2025-09</v>
      </c>
      <c r="D171" s="7" cm="1">
        <f t="array" ref="D171">_xlfn.LET(_xlpm.x,B171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45913</v>
      </c>
      <c r="E171" s="7" t="s">
        <v>1013</v>
      </c>
      <c r="F171" s="7" cm="1">
        <f t="array" ref="F171">_xlfn.LET(_xlpm.x,E171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45913</v>
      </c>
      <c r="G171" s="8" t="str">
        <f t="shared" si="1"/>
        <v>OK</v>
      </c>
      <c r="H171" s="6">
        <f t="shared" si="2"/>
        <v>0</v>
      </c>
      <c r="I171" s="6" t="s">
        <v>1014</v>
      </c>
      <c r="J171" s="6" t="s">
        <v>284</v>
      </c>
      <c r="K171" s="6" t="str">
        <f t="shared" si="3"/>
        <v>Diya Patel</v>
      </c>
      <c r="L171" s="6" t="s">
        <v>43</v>
      </c>
      <c r="M171" s="8" t="str">
        <f t="shared" si="4"/>
        <v>Consumer</v>
      </c>
      <c r="N171" s="6" t="s">
        <v>8</v>
      </c>
      <c r="O171" s="6" t="str">
        <f t="shared" si="5"/>
        <v>East</v>
      </c>
      <c r="P171" s="6" t="s">
        <v>290</v>
      </c>
      <c r="Q171" s="6" t="str">
        <f t="shared" si="6"/>
        <v>Assam</v>
      </c>
      <c r="R171" s="6" t="s">
        <v>291</v>
      </c>
      <c r="S171" s="6" t="str">
        <f t="shared" si="7"/>
        <v>Guwahati</v>
      </c>
      <c r="T171" s="6" t="s">
        <v>20</v>
      </c>
      <c r="U171" s="8" t="str">
        <f t="shared" si="8"/>
        <v>Office Supplies</v>
      </c>
      <c r="V171" s="6" t="s">
        <v>21</v>
      </c>
      <c r="W171" s="6" t="str">
        <f t="shared" si="9"/>
        <v>Art</v>
      </c>
      <c r="X171" s="6" t="s">
        <v>1015</v>
      </c>
      <c r="Y171" s="6" t="s">
        <v>34</v>
      </c>
      <c r="Z171" s="6" t="str">
        <f t="shared" si="10"/>
        <v>Standard Class</v>
      </c>
      <c r="AA171" s="6">
        <v>8</v>
      </c>
      <c r="AB171" s="6">
        <v>733.9</v>
      </c>
      <c r="AC171" s="6">
        <v>0.05</v>
      </c>
      <c r="AD171" s="6">
        <v>5577.64</v>
      </c>
      <c r="AE171" s="6">
        <v>3541.29</v>
      </c>
      <c r="AF171" s="6">
        <v>2036.35</v>
      </c>
      <c r="AG171" s="6" t="s">
        <v>54</v>
      </c>
      <c r="AH171" s="6" t="str">
        <f t="shared" si="11"/>
        <v>Pending</v>
      </c>
      <c r="AI171" s="6" t="s">
        <v>59</v>
      </c>
      <c r="AJ171" s="6" t="str">
        <f t="shared" si="12"/>
        <v>Returned</v>
      </c>
      <c r="AK171" s="9" t="str">
        <f>_xlfn.TEXTJOIN("|",FALSE,A171,TEXT(B171,"mm-dd-yyyy"),TEXT(E171,"mm-dd-yyyy"),I171,J171,L171,N171,P171,R171,T171,V171,X171,Y171,AA171,AB171,AC171,AD171,AE171,AF171,AG171,AI171)</f>
        <v>ORD-2025-10170|09-13-2025|09-13-2025|CUST-2261|Diya Patel|Consumer|East|Assam|Guwahati|Office Supplies|Art|Pro Art 734|Standard Class|8|733.9|0.05|5577.64|3541.29|2036.35|Pending|Returned</v>
      </c>
      <c r="AL171" s="27" t="str">
        <f>IF(COUNTIF($AK$2:AK171,AK171)&gt;1,"Remove exact duplicate copy","Keep")</f>
        <v>Keep</v>
      </c>
      <c r="AM171" s="9">
        <f t="shared" si="13"/>
        <v>1</v>
      </c>
      <c r="AN171" s="9" t="str">
        <f t="shared" si="14"/>
        <v>Unique</v>
      </c>
      <c r="AO171" s="9" t="str">
        <f t="shared" si="15"/>
        <v/>
      </c>
      <c r="AP171" s="9">
        <f t="shared" si="16"/>
        <v>0.05</v>
      </c>
      <c r="AQ171" s="10">
        <f t="shared" si="17"/>
        <v>5577.6399999999994</v>
      </c>
      <c r="AR171" s="10">
        <f t="shared" si="18"/>
        <v>2036.3499999999995</v>
      </c>
      <c r="AS171" s="11">
        <f t="shared" si="19"/>
        <v>0.36509168752375548</v>
      </c>
      <c r="AT171" s="9">
        <f t="shared" si="20"/>
        <v>9</v>
      </c>
      <c r="AU171" s="9">
        <f t="shared" si="21"/>
        <v>2025</v>
      </c>
      <c r="AV171" s="9" t="b">
        <f t="shared" si="22"/>
        <v>0</v>
      </c>
      <c r="AW171" s="9" t="b">
        <f t="shared" si="23"/>
        <v>0</v>
      </c>
      <c r="AX171" s="9" t="str">
        <f t="shared" si="24"/>
        <v>No</v>
      </c>
      <c r="AY171" s="9" t="str">
        <f t="shared" si="29"/>
        <v>Returned order excluded</v>
      </c>
      <c r="AZ171" s="9" t="str">
        <f>IF(OR(G171="Missing date",G171="Invalid date",G171="Ship date before order date",NOT(ISNUMBER(AP171)),AP171&lt;0,AP171&gt;0.5,AV171=TRUE,AW171=TRUE),"Invalid",IF(OR(O171="Unknown",Z171="Unknown",AC171="",AH171&lt;&gt;"Paid",AJ171&lt;&gt;"Completed",AO171&lt;&gt;""),"Warning","Clean"))</f>
        <v>Warning</v>
      </c>
    </row>
    <row r="172" spans="1:52" ht="15.75" customHeight="1">
      <c r="A172" s="6" t="s">
        <v>1016</v>
      </c>
      <c r="B172" s="7" t="s">
        <v>193</v>
      </c>
      <c r="C172" s="7" t="str">
        <f t="shared" si="28"/>
        <v>2025-09</v>
      </c>
      <c r="D172" s="7" cm="1">
        <f t="array" ref="D172">_xlfn.LET(_xlpm.x,B172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45907</v>
      </c>
      <c r="E172" s="7" t="s">
        <v>1017</v>
      </c>
      <c r="F172" s="7" cm="1">
        <f t="array" ref="F172">_xlfn.LET(_xlpm.x,E172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45915</v>
      </c>
      <c r="G172" s="8" t="str">
        <f t="shared" si="1"/>
        <v>OK</v>
      </c>
      <c r="H172" s="6">
        <f t="shared" si="2"/>
        <v>8</v>
      </c>
      <c r="I172" s="6" t="s">
        <v>1018</v>
      </c>
      <c r="J172" s="6" t="s">
        <v>257</v>
      </c>
      <c r="K172" s="6" t="str">
        <f t="shared" si="3"/>
        <v>Rohan Mehta</v>
      </c>
      <c r="L172" s="6" t="s">
        <v>45</v>
      </c>
      <c r="M172" s="8" t="str">
        <f t="shared" si="4"/>
        <v>Corporate</v>
      </c>
      <c r="N172" s="6" t="s">
        <v>8</v>
      </c>
      <c r="O172" s="6" t="str">
        <f t="shared" si="5"/>
        <v>East</v>
      </c>
      <c r="P172" s="6" t="s">
        <v>263</v>
      </c>
      <c r="Q172" s="6" t="str">
        <f t="shared" si="6"/>
        <v>Bihar</v>
      </c>
      <c r="R172" s="6" t="s">
        <v>264</v>
      </c>
      <c r="S172" s="6" t="str">
        <f t="shared" si="7"/>
        <v>Patna</v>
      </c>
      <c r="T172" s="6" t="s">
        <v>27</v>
      </c>
      <c r="U172" s="8" t="str">
        <f t="shared" si="8"/>
        <v>Technology</v>
      </c>
      <c r="V172" s="6" t="s">
        <v>29</v>
      </c>
      <c r="W172" s="6" t="str">
        <f t="shared" si="9"/>
        <v>Copiers</v>
      </c>
      <c r="X172" s="6" t="s">
        <v>1019</v>
      </c>
      <c r="Y172" s="6" t="s">
        <v>34</v>
      </c>
      <c r="Z172" s="6" t="str">
        <f t="shared" si="10"/>
        <v>Standard Class</v>
      </c>
      <c r="AA172" s="6">
        <v>3</v>
      </c>
      <c r="AB172" s="6">
        <v>1711.32</v>
      </c>
      <c r="AC172" s="6">
        <v>0</v>
      </c>
      <c r="AD172" s="6">
        <v>5133.96</v>
      </c>
      <c r="AE172" s="6">
        <v>3930</v>
      </c>
      <c r="AF172" s="6">
        <v>1203.96</v>
      </c>
      <c r="AG172" s="6" t="s">
        <v>52</v>
      </c>
      <c r="AH172" s="6" t="str">
        <f t="shared" si="11"/>
        <v>Paid</v>
      </c>
      <c r="AI172" s="6" t="s">
        <v>134</v>
      </c>
      <c r="AJ172" s="6" t="str">
        <f t="shared" si="12"/>
        <v>Completed</v>
      </c>
      <c r="AK172" s="9" t="str">
        <f>_xlfn.TEXTJOIN("|",FALSE,A172,TEXT(B172,"mm-dd-yyyy"),TEXT(E172,"mm-dd-yyyy"),I172,J172,L172,N172,P172,R172,T172,V172,X172,Y172,AA172,AB172,AC172,AD172,AE172,AF172,AG172,AI172)</f>
        <v>ORD-2025-10171|07-09-2025|09-15-2025|CUST-3734|Rohan Mehta|Corporate|East|Bihar|Patna|Technology|Copiers|Eco Copiers 102|Standard Class|3|1711.32|0|5133.96|3930|1203.96|Paid|Completed</v>
      </c>
      <c r="AL172" s="27" t="str">
        <f>IF(COUNTIF($AK$2:AK172,AK172)&gt;1,"Remove exact duplicate copy","Keep")</f>
        <v>Keep</v>
      </c>
      <c r="AM172" s="9">
        <f t="shared" si="13"/>
        <v>2</v>
      </c>
      <c r="AN172" s="9" t="str">
        <f t="shared" si="14"/>
        <v>Duplicate order_id</v>
      </c>
      <c r="AO172" s="9" t="str">
        <f t="shared" si="15"/>
        <v>Review conflicting duplicate</v>
      </c>
      <c r="AP172" s="9">
        <f t="shared" si="16"/>
        <v>0</v>
      </c>
      <c r="AQ172" s="10">
        <f t="shared" si="17"/>
        <v>5133.96</v>
      </c>
      <c r="AR172" s="10">
        <f t="shared" si="18"/>
        <v>1203.96</v>
      </c>
      <c r="AS172" s="11">
        <f t="shared" si="19"/>
        <v>0.23450903396208775</v>
      </c>
      <c r="AT172" s="9">
        <f t="shared" si="20"/>
        <v>9</v>
      </c>
      <c r="AU172" s="9">
        <f t="shared" si="21"/>
        <v>2025</v>
      </c>
      <c r="AV172" s="9" t="b">
        <f t="shared" si="22"/>
        <v>0</v>
      </c>
      <c r="AW172" s="9" t="b">
        <f t="shared" si="23"/>
        <v>0</v>
      </c>
      <c r="AX172" s="9" t="str">
        <f t="shared" si="24"/>
        <v>No</v>
      </c>
      <c r="AY172" s="9" t="str">
        <f t="shared" si="29"/>
        <v>Duplicate order ID conflict</v>
      </c>
      <c r="AZ172" s="9" t="str">
        <f>IF(OR(G172="Missing date",G172="Invalid date",G172="Ship date before order date",NOT(ISNUMBER(AP172)),AP172&lt;0,AP172&gt;0.5,AV172=TRUE,AW172=TRUE),"Invalid",IF(OR(O172="Unknown",Z172="Unknown",AC172="",AH172&lt;&gt;"Paid",AJ172&lt;&gt;"Completed",AO172&lt;&gt;""),"Warning","Clean"))</f>
        <v>Warning</v>
      </c>
    </row>
    <row r="173" spans="1:52" ht="15.75" customHeight="1">
      <c r="A173" s="6" t="s">
        <v>1020</v>
      </c>
      <c r="B173" s="7" t="s">
        <v>180</v>
      </c>
      <c r="C173" s="7" t="str">
        <f t="shared" si="28"/>
        <v>2025-02</v>
      </c>
      <c r="D173" s="7" cm="1">
        <f t="array" ref="D173">_xlfn.LET(_xlpm.x,B173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45711</v>
      </c>
      <c r="E173" s="7" t="s">
        <v>1021</v>
      </c>
      <c r="F173" s="7" cm="1">
        <f t="array" ref="F173">_xlfn.LET(_xlpm.x,E173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45713</v>
      </c>
      <c r="G173" s="8" t="str">
        <f t="shared" si="1"/>
        <v>OK</v>
      </c>
      <c r="H173" s="6">
        <f t="shared" si="2"/>
        <v>2</v>
      </c>
      <c r="I173" s="6" t="s">
        <v>1022</v>
      </c>
      <c r="J173" s="6" t="s">
        <v>129</v>
      </c>
      <c r="K173" s="6" t="str">
        <f t="shared" si="3"/>
        <v>Karan Malhotra</v>
      </c>
      <c r="L173" s="6" t="s">
        <v>45</v>
      </c>
      <c r="M173" s="8" t="str">
        <f t="shared" si="4"/>
        <v>Corporate</v>
      </c>
      <c r="N173" s="6" t="s">
        <v>8</v>
      </c>
      <c r="O173" s="6" t="str">
        <f t="shared" si="5"/>
        <v>East</v>
      </c>
      <c r="P173" s="6" t="s">
        <v>263</v>
      </c>
      <c r="Q173" s="6" t="str">
        <f t="shared" si="6"/>
        <v>Bihar</v>
      </c>
      <c r="R173" s="6" t="s">
        <v>264</v>
      </c>
      <c r="S173" s="6" t="str">
        <f t="shared" si="7"/>
        <v>Patna</v>
      </c>
      <c r="T173" s="6" t="s">
        <v>20</v>
      </c>
      <c r="U173" s="8" t="str">
        <f t="shared" si="8"/>
        <v>Office Supplies</v>
      </c>
      <c r="V173" s="6" t="s">
        <v>23</v>
      </c>
      <c r="W173" s="6" t="str">
        <f t="shared" si="9"/>
        <v>Labels</v>
      </c>
      <c r="X173" s="6" t="s">
        <v>1023</v>
      </c>
      <c r="Y173" s="6" t="s">
        <v>37</v>
      </c>
      <c r="Z173" s="6" t="str">
        <f t="shared" si="10"/>
        <v>Same Day</v>
      </c>
      <c r="AA173" s="6">
        <v>5</v>
      </c>
      <c r="AB173" s="6">
        <v>4246.2700000000004</v>
      </c>
      <c r="AC173" s="6">
        <v>0.25</v>
      </c>
      <c r="AD173" s="6">
        <v>15923.51</v>
      </c>
      <c r="AE173" s="6">
        <v>11291.8</v>
      </c>
      <c r="AF173" s="6">
        <v>4631.71</v>
      </c>
      <c r="AG173" s="6" t="s">
        <v>52</v>
      </c>
      <c r="AH173" s="6" t="str">
        <f t="shared" si="11"/>
        <v>Paid</v>
      </c>
      <c r="AI173" s="6" t="s">
        <v>134</v>
      </c>
      <c r="AJ173" s="6" t="str">
        <f t="shared" si="12"/>
        <v>Completed</v>
      </c>
      <c r="AK173" s="9" t="str">
        <f>_xlfn.TEXTJOIN("|",FALSE,A173,TEXT(B173,"mm-dd-yyyy"),TEXT(E173,"mm-dd-yyyy"),I173,J173,L173,N173,P173,R173,T173,V173,X173,Y173,AA173,AB173,AC173,AD173,AE173,AF173,AG173,AI173)</f>
        <v>ORD-2025-10172|02-23-2025|02-25-2025|CUST-3436|Karan Malhotra|Corporate|East|Bihar|Patna|Office Supplies|Labels|Basic Labels 876|Same Day|5|4246.27|0.25|15923.51|11291.8|4631.71|Paid|Completed</v>
      </c>
      <c r="AL173" s="27" t="str">
        <f>IF(COUNTIF($AK$2:AK173,AK173)&gt;1,"Remove exact duplicate copy","Keep")</f>
        <v>Keep</v>
      </c>
      <c r="AM173" s="9">
        <f t="shared" si="13"/>
        <v>1</v>
      </c>
      <c r="AN173" s="9" t="str">
        <f t="shared" si="14"/>
        <v>Unique</v>
      </c>
      <c r="AO173" s="9" t="str">
        <f t="shared" si="15"/>
        <v/>
      </c>
      <c r="AP173" s="9">
        <f t="shared" si="16"/>
        <v>0.25</v>
      </c>
      <c r="AQ173" s="10">
        <f t="shared" si="17"/>
        <v>15923.512500000001</v>
      </c>
      <c r="AR173" s="10">
        <f t="shared" si="18"/>
        <v>4631.7125000000015</v>
      </c>
      <c r="AS173" s="11">
        <f t="shared" si="19"/>
        <v>0.29087253832971849</v>
      </c>
      <c r="AT173" s="9">
        <f t="shared" si="20"/>
        <v>2</v>
      </c>
      <c r="AU173" s="9">
        <f t="shared" si="21"/>
        <v>2025</v>
      </c>
      <c r="AV173" s="9" t="b">
        <f t="shared" si="22"/>
        <v>0</v>
      </c>
      <c r="AW173" s="9" t="b">
        <f t="shared" si="23"/>
        <v>0</v>
      </c>
      <c r="AX173" s="9" t="str">
        <f t="shared" si="24"/>
        <v>Yes</v>
      </c>
      <c r="AY173" s="9" t="str">
        <f t="shared" si="29"/>
        <v/>
      </c>
      <c r="AZ173" s="9" t="str">
        <f>IF(OR(G173="Missing date",G173="Invalid date",G173="Ship date before order date",NOT(ISNUMBER(AP173)),AP173&lt;0,AP173&gt;0.5,AV173=TRUE,AW173=TRUE),"Invalid",IF(OR(O173="Unknown",Z173="Unknown",AC173="",AH173&lt;&gt;"Paid",AJ173&lt;&gt;"Completed",AO173&lt;&gt;""),"Warning","Clean"))</f>
        <v>Clean</v>
      </c>
    </row>
    <row r="174" spans="1:52" ht="15.75" customHeight="1">
      <c r="A174" s="6" t="s">
        <v>1024</v>
      </c>
      <c r="B174" s="7" t="s">
        <v>1025</v>
      </c>
      <c r="C174" s="7" t="str">
        <f t="shared" si="28"/>
        <v>2025-08</v>
      </c>
      <c r="D174" s="7" cm="1">
        <f t="array" ref="D174">_xlfn.LET(_xlpm.x,B174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45871</v>
      </c>
      <c r="E174" s="7" t="s">
        <v>1026</v>
      </c>
      <c r="F174" s="7" cm="1">
        <f t="array" ref="F174">_xlfn.LET(_xlpm.x,E174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45879</v>
      </c>
      <c r="G174" s="8" t="str">
        <f t="shared" si="1"/>
        <v>OK</v>
      </c>
      <c r="H174" s="6">
        <f t="shared" si="2"/>
        <v>8</v>
      </c>
      <c r="I174" s="6" t="s">
        <v>1027</v>
      </c>
      <c r="J174" s="6" t="s">
        <v>129</v>
      </c>
      <c r="K174" s="6" t="str">
        <f t="shared" si="3"/>
        <v>Karan Malhotra</v>
      </c>
      <c r="L174" s="6" t="s">
        <v>45</v>
      </c>
      <c r="M174" s="8" t="str">
        <f t="shared" si="4"/>
        <v>Corporate</v>
      </c>
      <c r="N174" s="6" t="s">
        <v>7</v>
      </c>
      <c r="O174" s="6" t="str">
        <f t="shared" si="5"/>
        <v>North</v>
      </c>
      <c r="P174" s="6" t="s">
        <v>583</v>
      </c>
      <c r="Q174" s="6" t="str">
        <f t="shared" si="6"/>
        <v>Delhi</v>
      </c>
      <c r="R174" s="6" t="s">
        <v>584</v>
      </c>
      <c r="S174" s="6" t="str">
        <f t="shared" si="7"/>
        <v>New Delhi</v>
      </c>
      <c r="T174" s="6" t="s">
        <v>14</v>
      </c>
      <c r="U174" s="8" t="str">
        <f t="shared" si="8"/>
        <v>Furniture</v>
      </c>
      <c r="V174" s="6" t="s">
        <v>17</v>
      </c>
      <c r="W174" s="6" t="str">
        <f t="shared" si="9"/>
        <v>Furnishings</v>
      </c>
      <c r="X174" s="6" t="s">
        <v>1028</v>
      </c>
      <c r="Y174" s="6" t="s">
        <v>37</v>
      </c>
      <c r="Z174" s="6" t="str">
        <f t="shared" si="10"/>
        <v>Same Day</v>
      </c>
      <c r="AA174" s="6">
        <v>9</v>
      </c>
      <c r="AB174" s="6">
        <v>2962.62</v>
      </c>
      <c r="AC174" s="6">
        <v>0.1</v>
      </c>
      <c r="AD174" s="6">
        <v>23997.22</v>
      </c>
      <c r="AE174" s="6">
        <v>16134.63</v>
      </c>
      <c r="AF174" s="6">
        <v>7862.59</v>
      </c>
      <c r="AG174" s="6" t="s">
        <v>56</v>
      </c>
      <c r="AH174" s="6" t="str">
        <f t="shared" si="11"/>
        <v>Refunded</v>
      </c>
      <c r="AI174" s="6" t="s">
        <v>59</v>
      </c>
      <c r="AJ174" s="6" t="str">
        <f t="shared" si="12"/>
        <v>Returned</v>
      </c>
      <c r="AK174" s="9" t="str">
        <f>_xlfn.TEXTJOIN("|",FALSE,A174,TEXT(B174,"mm-dd-yyyy"),TEXT(E174,"mm-dd-yyyy"),I174,J174,L174,N174,P174,R174,T174,V174,X174,Y174,AA174,AB174,AC174,AD174,AE174,AF174,AG174,AI174)</f>
        <v>ORD-2025-10173|02-08-2025|10-08-2025|CUST-4845|Karan Malhotra|Corporate|North|Delhi|New Delhi|Furniture|Furnishings|Prime Furnishings 381|Same Day|9|2962.62|0.1|23997.22|16134.63|7862.59|Refunded|Returned</v>
      </c>
      <c r="AL174" s="27" t="str">
        <f>IF(COUNTIF($AK$2:AK174,AK174)&gt;1,"Remove exact duplicate copy","Keep")</f>
        <v>Keep</v>
      </c>
      <c r="AM174" s="9">
        <f t="shared" si="13"/>
        <v>1</v>
      </c>
      <c r="AN174" s="9" t="str">
        <f t="shared" si="14"/>
        <v>Unique</v>
      </c>
      <c r="AO174" s="9" t="str">
        <f t="shared" si="15"/>
        <v/>
      </c>
      <c r="AP174" s="9">
        <f t="shared" si="16"/>
        <v>0.1</v>
      </c>
      <c r="AQ174" s="10">
        <f t="shared" si="17"/>
        <v>23997.221999999998</v>
      </c>
      <c r="AR174" s="10">
        <f t="shared" si="18"/>
        <v>7862.5919999999987</v>
      </c>
      <c r="AS174" s="11">
        <f t="shared" si="19"/>
        <v>0.32764592501582057</v>
      </c>
      <c r="AT174" s="9">
        <f t="shared" si="20"/>
        <v>8</v>
      </c>
      <c r="AU174" s="9">
        <f t="shared" si="21"/>
        <v>2025</v>
      </c>
      <c r="AV174" s="9" t="b">
        <f t="shared" si="22"/>
        <v>0</v>
      </c>
      <c r="AW174" s="9" t="b">
        <f t="shared" si="23"/>
        <v>0</v>
      </c>
      <c r="AX174" s="9" t="str">
        <f t="shared" si="24"/>
        <v>No</v>
      </c>
      <c r="AY174" s="9" t="str">
        <f t="shared" si="29"/>
        <v>Refunded order summarized separately; Returned order excluded</v>
      </c>
      <c r="AZ174" s="9" t="str">
        <f>IF(OR(G174="Missing date",G174="Invalid date",G174="Ship date before order date",NOT(ISNUMBER(AP174)),AP174&lt;0,AP174&gt;0.5,AV174=TRUE,AW174=TRUE),"Invalid",IF(OR(O174="Unknown",Z174="Unknown",AC174="",AH174&lt;&gt;"Paid",AJ174&lt;&gt;"Completed",AO174&lt;&gt;""),"Warning","Clean"))</f>
        <v>Warning</v>
      </c>
    </row>
    <row r="175" spans="1:52" ht="15.75" customHeight="1">
      <c r="A175" s="6" t="s">
        <v>1029</v>
      </c>
      <c r="B175" s="7" t="s">
        <v>1030</v>
      </c>
      <c r="C175" s="7" t="str">
        <f t="shared" si="28"/>
        <v>2024-05</v>
      </c>
      <c r="D175" s="7" cm="1">
        <f t="array" ref="D175">_xlfn.LET(_xlpm.x,B175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45414</v>
      </c>
      <c r="E175" s="7" t="s">
        <v>1031</v>
      </c>
      <c r="F175" s="7" cm="1">
        <f t="array" ref="F175">_xlfn.LET(_xlpm.x,E175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45420</v>
      </c>
      <c r="G175" s="8" t="str">
        <f t="shared" si="1"/>
        <v>OK</v>
      </c>
      <c r="H175" s="6">
        <f t="shared" si="2"/>
        <v>6</v>
      </c>
      <c r="I175" s="6" t="s">
        <v>1032</v>
      </c>
      <c r="J175" s="6" t="s">
        <v>1033</v>
      </c>
      <c r="K175" s="6" t="str">
        <f t="shared" si="3"/>
        <v>Priya Menon</v>
      </c>
      <c r="L175" s="6" t="s">
        <v>44</v>
      </c>
      <c r="M175" s="8" t="str">
        <f t="shared" si="4"/>
        <v>Home Office</v>
      </c>
      <c r="N175" s="6" t="s">
        <v>7</v>
      </c>
      <c r="O175" s="6" t="str">
        <f t="shared" si="5"/>
        <v>North</v>
      </c>
      <c r="P175" s="6" t="s">
        <v>232</v>
      </c>
      <c r="Q175" s="6" t="str">
        <f t="shared" si="6"/>
        <v>Punjab</v>
      </c>
      <c r="R175" s="6" t="s">
        <v>233</v>
      </c>
      <c r="S175" s="6" t="str">
        <f t="shared" si="7"/>
        <v>Ludhiana</v>
      </c>
      <c r="T175" s="6" t="s">
        <v>27</v>
      </c>
      <c r="U175" s="8" t="str">
        <f t="shared" si="8"/>
        <v>Technology</v>
      </c>
      <c r="V175" s="6" t="s">
        <v>29</v>
      </c>
      <c r="W175" s="6" t="str">
        <f t="shared" si="9"/>
        <v>Copiers</v>
      </c>
      <c r="X175" s="6" t="s">
        <v>1034</v>
      </c>
      <c r="Y175" s="6" t="s">
        <v>36</v>
      </c>
      <c r="Z175" s="6" t="str">
        <f t="shared" si="10"/>
        <v>Second Class</v>
      </c>
      <c r="AA175" s="6">
        <v>1</v>
      </c>
      <c r="AB175" s="6">
        <v>2312.25</v>
      </c>
      <c r="AC175" s="6">
        <v>0.25</v>
      </c>
      <c r="AD175" s="6">
        <v>1734.19</v>
      </c>
      <c r="AE175" s="6">
        <v>1386.07</v>
      </c>
      <c r="AF175" s="6">
        <v>348.12</v>
      </c>
      <c r="AG175" s="6" t="s">
        <v>52</v>
      </c>
      <c r="AH175" s="6" t="str">
        <f t="shared" si="11"/>
        <v>Paid</v>
      </c>
      <c r="AI175" s="6" t="s">
        <v>134</v>
      </c>
      <c r="AJ175" s="6" t="str">
        <f t="shared" si="12"/>
        <v>Completed</v>
      </c>
      <c r="AK175" s="9" t="str">
        <f>_xlfn.TEXTJOIN("|",FALSE,A175,TEXT(B175,"mm-dd-yyyy"),TEXT(E175,"mm-dd-yyyy"),I175,J175,L175,N175,P175,R175,T175,V175,X175,Y175,AA175,AB175,AC175,AD175,AE175,AF175,AG175,AI175)</f>
        <v>ORD-2024-10174|02-05-2024|05-08-2024|CUST-6153|PRIYA MENON|Home Office|North|Punjab|Ludhiana|Technology|Copiers|Prime Copiers 440|Second Class|1|2312.25|0.25|1734.19|1386.07|348.12|Paid|Completed</v>
      </c>
      <c r="AL175" s="27" t="str">
        <f>IF(COUNTIF($AK$2:AK175,AK175)&gt;1,"Remove exact duplicate copy","Keep")</f>
        <v>Keep</v>
      </c>
      <c r="AM175" s="9">
        <f t="shared" si="13"/>
        <v>1</v>
      </c>
      <c r="AN175" s="9" t="str">
        <f t="shared" si="14"/>
        <v>Unique</v>
      </c>
      <c r="AO175" s="9" t="str">
        <f t="shared" si="15"/>
        <v/>
      </c>
      <c r="AP175" s="9">
        <f t="shared" si="16"/>
        <v>0.25</v>
      </c>
      <c r="AQ175" s="10">
        <f t="shared" si="17"/>
        <v>1734.1875</v>
      </c>
      <c r="AR175" s="10">
        <f t="shared" si="18"/>
        <v>348.11750000000006</v>
      </c>
      <c r="AS175" s="11">
        <f t="shared" si="19"/>
        <v>0.20073809781237614</v>
      </c>
      <c r="AT175" s="9">
        <f t="shared" si="20"/>
        <v>5</v>
      </c>
      <c r="AU175" s="9">
        <f t="shared" si="21"/>
        <v>2024</v>
      </c>
      <c r="AV175" s="9" t="b">
        <f t="shared" si="22"/>
        <v>0</v>
      </c>
      <c r="AW175" s="9" t="b">
        <f t="shared" si="23"/>
        <v>0</v>
      </c>
      <c r="AX175" s="9" t="str">
        <f t="shared" si="24"/>
        <v>Yes</v>
      </c>
      <c r="AY175" s="9" t="str">
        <f t="shared" si="29"/>
        <v/>
      </c>
      <c r="AZ175" s="9" t="str">
        <f>IF(OR(G175="Missing date",G175="Invalid date",G175="Ship date before order date",NOT(ISNUMBER(AP175)),AP175&lt;0,AP175&gt;0.5,AV175=TRUE,AW175=TRUE),"Invalid",IF(OR(O175="Unknown",Z175="Unknown",AC175="",AH175&lt;&gt;"Paid",AJ175&lt;&gt;"Completed",AO175&lt;&gt;""),"Warning","Clean"))</f>
        <v>Clean</v>
      </c>
    </row>
    <row r="176" spans="1:52" ht="15.75" customHeight="1">
      <c r="A176" s="6" t="s">
        <v>1035</v>
      </c>
      <c r="B176" s="7" t="s">
        <v>1036</v>
      </c>
      <c r="C176" s="7" t="str">
        <f t="shared" si="28"/>
        <v>2025-09</v>
      </c>
      <c r="D176" s="7" cm="1">
        <f t="array" ref="D176">_xlfn.LET(_xlpm.x,B176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45928</v>
      </c>
      <c r="E176" s="7" t="s">
        <v>1037</v>
      </c>
      <c r="F176" s="7" cm="1">
        <f t="array" ref="F176">_xlfn.LET(_xlpm.x,E176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45934</v>
      </c>
      <c r="G176" s="8" t="str">
        <f t="shared" si="1"/>
        <v>OK</v>
      </c>
      <c r="H176" s="6">
        <f t="shared" si="2"/>
        <v>6</v>
      </c>
      <c r="I176" s="6" t="s">
        <v>1038</v>
      </c>
      <c r="J176" s="6" t="s">
        <v>129</v>
      </c>
      <c r="K176" s="6" t="str">
        <f t="shared" si="3"/>
        <v>Karan Malhotra</v>
      </c>
      <c r="L176" s="6" t="s">
        <v>46</v>
      </c>
      <c r="M176" s="8" t="str">
        <f t="shared" si="4"/>
        <v>Small Business</v>
      </c>
      <c r="N176" s="6" t="s">
        <v>10</v>
      </c>
      <c r="O176" s="6" t="str">
        <f t="shared" si="5"/>
        <v>South</v>
      </c>
      <c r="P176" s="6" t="s">
        <v>303</v>
      </c>
      <c r="Q176" s="6" t="str">
        <f t="shared" si="6"/>
        <v>Karnataka</v>
      </c>
      <c r="R176" s="6" t="s">
        <v>304</v>
      </c>
      <c r="S176" s="6" t="str">
        <f t="shared" si="7"/>
        <v>Bengaluru</v>
      </c>
      <c r="T176" s="6" t="s">
        <v>14</v>
      </c>
      <c r="U176" s="8" t="str">
        <f t="shared" si="8"/>
        <v>Furniture</v>
      </c>
      <c r="V176" s="6" t="s">
        <v>15</v>
      </c>
      <c r="W176" s="6" t="str">
        <f t="shared" si="9"/>
        <v>Bookcases</v>
      </c>
      <c r="X176" s="6" t="s">
        <v>1039</v>
      </c>
      <c r="Y176" s="6" t="s">
        <v>35</v>
      </c>
      <c r="Z176" s="6" t="str">
        <f t="shared" si="10"/>
        <v>First Class</v>
      </c>
      <c r="AA176" s="6">
        <v>6</v>
      </c>
      <c r="AB176" s="6">
        <v>1620.53</v>
      </c>
      <c r="AC176" s="6">
        <v>0.15</v>
      </c>
      <c r="AD176" s="6">
        <v>8264.7000000000007</v>
      </c>
      <c r="AE176" s="6">
        <v>4768.75</v>
      </c>
      <c r="AF176" s="6">
        <v>3495.95</v>
      </c>
      <c r="AG176" s="6" t="s">
        <v>54</v>
      </c>
      <c r="AH176" s="6" t="str">
        <f t="shared" si="11"/>
        <v>Pending</v>
      </c>
      <c r="AI176" s="6" t="s">
        <v>59</v>
      </c>
      <c r="AJ176" s="6" t="str">
        <f t="shared" si="12"/>
        <v>Returned</v>
      </c>
      <c r="AK176" s="9" t="str">
        <f>_xlfn.TEXTJOIN("|",FALSE,A176,TEXT(B176,"mm-dd-yyyy"),TEXT(E176,"mm-dd-yyyy"),I176,J176,L176,N176,P176,R176,T176,V176,X176,Y176,AA176,AB176,AC176,AD176,AE176,AF176,AG176,AI176)</f>
        <v>ORD-2025-10175|09-28-2025|04-10-2025|CUST-5475|Karan Malhotra|Small Business|South|Karnataka|Bengaluru|Furniture|Bookcases|Pro Bookcases 319|First Class|6|1620.53|0.15|8264.7|4768.75|3495.95|Pending|Returned</v>
      </c>
      <c r="AL176" s="27" t="str">
        <f>IF(COUNTIF($AK$2:AK176,AK176)&gt;1,"Remove exact duplicate copy","Keep")</f>
        <v>Keep</v>
      </c>
      <c r="AM176" s="9">
        <f t="shared" si="13"/>
        <v>1</v>
      </c>
      <c r="AN176" s="9" t="str">
        <f t="shared" si="14"/>
        <v>Unique</v>
      </c>
      <c r="AO176" s="9" t="str">
        <f t="shared" si="15"/>
        <v/>
      </c>
      <c r="AP176" s="9">
        <f t="shared" si="16"/>
        <v>0.15</v>
      </c>
      <c r="AQ176" s="10">
        <f t="shared" si="17"/>
        <v>8264.7029999999995</v>
      </c>
      <c r="AR176" s="10">
        <f t="shared" si="18"/>
        <v>3495.9529999999995</v>
      </c>
      <c r="AS176" s="11">
        <f t="shared" si="19"/>
        <v>0.42299801940856191</v>
      </c>
      <c r="AT176" s="9">
        <f t="shared" si="20"/>
        <v>9</v>
      </c>
      <c r="AU176" s="9">
        <f t="shared" si="21"/>
        <v>2025</v>
      </c>
      <c r="AV176" s="9" t="b">
        <f t="shared" si="22"/>
        <v>0</v>
      </c>
      <c r="AW176" s="9" t="b">
        <f t="shared" si="23"/>
        <v>0</v>
      </c>
      <c r="AX176" s="9" t="str">
        <f t="shared" si="24"/>
        <v>No</v>
      </c>
      <c r="AY176" s="9" t="str">
        <f t="shared" si="29"/>
        <v>Returned order excluded</v>
      </c>
      <c r="AZ176" s="9" t="str">
        <f>IF(OR(G176="Missing date",G176="Invalid date",G176="Ship date before order date",NOT(ISNUMBER(AP176)),AP176&lt;0,AP176&gt;0.5,AV176=TRUE,AW176=TRUE),"Invalid",IF(OR(O176="Unknown",Z176="Unknown",AC176="",AH176&lt;&gt;"Paid",AJ176&lt;&gt;"Completed",AO176&lt;&gt;""),"Warning","Clean"))</f>
        <v>Warning</v>
      </c>
    </row>
    <row r="177" spans="1:52" ht="15.75" customHeight="1">
      <c r="A177" s="6" t="s">
        <v>1040</v>
      </c>
      <c r="B177" s="7" t="s">
        <v>824</v>
      </c>
      <c r="C177" s="7" t="str">
        <f t="shared" si="28"/>
        <v>2024-01</v>
      </c>
      <c r="D177" s="7" cm="1">
        <f t="array" ref="D177">_xlfn.LET(_xlpm.x,B177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45318</v>
      </c>
      <c r="E177" s="7" t="s">
        <v>1041</v>
      </c>
      <c r="F177" s="7" cm="1">
        <f t="array" ref="F177">_xlfn.LET(_xlpm.x,E177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45325</v>
      </c>
      <c r="G177" s="8" t="str">
        <f t="shared" si="1"/>
        <v>OK</v>
      </c>
      <c r="H177" s="6">
        <f t="shared" si="2"/>
        <v>7</v>
      </c>
      <c r="I177" s="6" t="s">
        <v>1042</v>
      </c>
      <c r="J177" s="6" t="s">
        <v>153</v>
      </c>
      <c r="K177" s="6" t="str">
        <f t="shared" si="3"/>
        <v>Arjun Bose</v>
      </c>
      <c r="L177" s="6" t="s">
        <v>46</v>
      </c>
      <c r="M177" s="8" t="str">
        <f t="shared" si="4"/>
        <v>Small Business</v>
      </c>
      <c r="N177" s="6" t="s">
        <v>8</v>
      </c>
      <c r="O177" s="6" t="str">
        <f t="shared" si="5"/>
        <v>East</v>
      </c>
      <c r="P177" s="6" t="s">
        <v>263</v>
      </c>
      <c r="Q177" s="6" t="str">
        <f t="shared" si="6"/>
        <v>Bihar</v>
      </c>
      <c r="R177" s="6" t="s">
        <v>264</v>
      </c>
      <c r="S177" s="6" t="str">
        <f t="shared" si="7"/>
        <v>Patna</v>
      </c>
      <c r="T177" s="6" t="s">
        <v>27</v>
      </c>
      <c r="U177" s="8" t="str">
        <f t="shared" si="8"/>
        <v>Technology</v>
      </c>
      <c r="V177" s="6" t="s">
        <v>30</v>
      </c>
      <c r="W177" s="6" t="str">
        <f t="shared" si="9"/>
        <v>Machines</v>
      </c>
      <c r="X177" s="6" t="s">
        <v>1043</v>
      </c>
      <c r="Y177" s="6" t="s">
        <v>37</v>
      </c>
      <c r="Z177" s="6" t="str">
        <f t="shared" si="10"/>
        <v>Same Day</v>
      </c>
      <c r="AA177" s="6">
        <v>7</v>
      </c>
      <c r="AB177" s="6">
        <v>2673.42</v>
      </c>
      <c r="AC177" s="6">
        <v>0.15</v>
      </c>
      <c r="AD177" s="6">
        <v>15906.85</v>
      </c>
      <c r="AE177" s="6">
        <v>11014.46</v>
      </c>
      <c r="AF177" s="6">
        <v>4892.3900000000003</v>
      </c>
      <c r="AG177" s="6" t="s">
        <v>52</v>
      </c>
      <c r="AH177" s="6" t="str">
        <f t="shared" si="11"/>
        <v>Paid</v>
      </c>
      <c r="AI177" s="6" t="s">
        <v>59</v>
      </c>
      <c r="AJ177" s="6" t="str">
        <f t="shared" si="12"/>
        <v>Returned</v>
      </c>
      <c r="AK177" s="9" t="str">
        <f>_xlfn.TEXTJOIN("|",FALSE,A177,TEXT(B177,"mm-dd-yyyy"),TEXT(E177,"mm-dd-yyyy"),I177,J177,L177,N177,P177,R177,T177,V177,X177,Y177,AA177,AB177,AC177,AD177,AE177,AF177,AG177,AI177)</f>
        <v>ORD-2024-10176|01-27-2024|02-03-2024|CUST-5580|Arjun Bose|Small Business|East|Bihar|Patna|Technology|Machines|Basic Machines 584|Same Day|7|2673.42|0.15|15906.85|11014.46|4892.39|Paid|Returned</v>
      </c>
      <c r="AL177" s="27" t="str">
        <f>IF(COUNTIF($AK$2:AK177,AK177)&gt;1,"Remove exact duplicate copy","Keep")</f>
        <v>Keep</v>
      </c>
      <c r="AM177" s="9">
        <f t="shared" si="13"/>
        <v>1</v>
      </c>
      <c r="AN177" s="9" t="str">
        <f t="shared" si="14"/>
        <v>Unique</v>
      </c>
      <c r="AO177" s="9" t="str">
        <f t="shared" si="15"/>
        <v/>
      </c>
      <c r="AP177" s="9">
        <f t="shared" si="16"/>
        <v>0.15</v>
      </c>
      <c r="AQ177" s="10">
        <f t="shared" si="17"/>
        <v>15906.849000000002</v>
      </c>
      <c r="AR177" s="10">
        <f t="shared" si="18"/>
        <v>4892.3890000000029</v>
      </c>
      <c r="AS177" s="11">
        <f t="shared" si="19"/>
        <v>0.30756493633654297</v>
      </c>
      <c r="AT177" s="9">
        <f t="shared" si="20"/>
        <v>1</v>
      </c>
      <c r="AU177" s="9">
        <f t="shared" si="21"/>
        <v>2024</v>
      </c>
      <c r="AV177" s="9" t="b">
        <f t="shared" si="22"/>
        <v>0</v>
      </c>
      <c r="AW177" s="9" t="b">
        <f t="shared" si="23"/>
        <v>0</v>
      </c>
      <c r="AX177" s="9" t="str">
        <f t="shared" si="24"/>
        <v>No</v>
      </c>
      <c r="AY177" s="9" t="str">
        <f t="shared" si="29"/>
        <v>Returned order excluded</v>
      </c>
      <c r="AZ177" s="9" t="str">
        <f>IF(OR(G177="Missing date",G177="Invalid date",G177="Ship date before order date",NOT(ISNUMBER(AP177)),AP177&lt;0,AP177&gt;0.5,AV177=TRUE,AW177=TRUE),"Invalid",IF(OR(O177="Unknown",Z177="Unknown",AC177="",AH177&lt;&gt;"Paid",AJ177&lt;&gt;"Completed",AO177&lt;&gt;""),"Warning","Clean"))</f>
        <v>Warning</v>
      </c>
    </row>
    <row r="178" spans="1:52" ht="15.75" customHeight="1">
      <c r="A178" s="6" t="s">
        <v>1044</v>
      </c>
      <c r="B178" s="7" t="s">
        <v>1045</v>
      </c>
      <c r="C178" s="7" t="str">
        <f t="shared" si="28"/>
        <v>2025-03</v>
      </c>
      <c r="D178" s="7" cm="1">
        <f t="array" ref="D178">_xlfn.LET(_xlpm.x,B178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45734</v>
      </c>
      <c r="E178" s="7" t="s">
        <v>1046</v>
      </c>
      <c r="F178" s="7" cm="1">
        <f t="array" ref="F178">_xlfn.LET(_xlpm.x,E178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45742</v>
      </c>
      <c r="G178" s="8" t="str">
        <f t="shared" si="1"/>
        <v>OK</v>
      </c>
      <c r="H178" s="6">
        <f t="shared" si="2"/>
        <v>8</v>
      </c>
      <c r="I178" s="6" t="s">
        <v>1047</v>
      </c>
      <c r="J178" s="6" t="s">
        <v>169</v>
      </c>
      <c r="K178" s="6" t="str">
        <f t="shared" si="3"/>
        <v>Vikram Iyer</v>
      </c>
      <c r="L178" s="6" t="s">
        <v>45</v>
      </c>
      <c r="M178" s="8" t="str">
        <f t="shared" si="4"/>
        <v>Corporate</v>
      </c>
      <c r="N178" s="6" t="s">
        <v>8</v>
      </c>
      <c r="O178" s="6" t="str">
        <f t="shared" si="5"/>
        <v>East</v>
      </c>
      <c r="P178" s="6" t="s">
        <v>385</v>
      </c>
      <c r="Q178" s="6" t="str">
        <f t="shared" si="6"/>
        <v>Jharkhand</v>
      </c>
      <c r="R178" s="6" t="s">
        <v>386</v>
      </c>
      <c r="S178" s="6" t="str">
        <f t="shared" si="7"/>
        <v>Ranchi</v>
      </c>
      <c r="T178" s="6" t="s">
        <v>14</v>
      </c>
      <c r="U178" s="8" t="str">
        <f t="shared" si="8"/>
        <v>Furniture</v>
      </c>
      <c r="V178" s="6" t="s">
        <v>15</v>
      </c>
      <c r="W178" s="6" t="str">
        <f t="shared" si="9"/>
        <v>Bookcases</v>
      </c>
      <c r="X178" s="6" t="s">
        <v>1048</v>
      </c>
      <c r="Y178" s="6" t="s">
        <v>34</v>
      </c>
      <c r="Z178" s="6" t="str">
        <f t="shared" si="10"/>
        <v>Standard Class</v>
      </c>
      <c r="AA178" s="6">
        <v>8</v>
      </c>
      <c r="AB178" s="6">
        <v>3563.09</v>
      </c>
      <c r="AC178" s="6">
        <v>0.15</v>
      </c>
      <c r="AD178" s="6">
        <v>24229.01</v>
      </c>
      <c r="AE178" s="6">
        <v>13910.64</v>
      </c>
      <c r="AF178" s="6">
        <v>10318.370000000001</v>
      </c>
      <c r="AG178" s="6" t="s">
        <v>52</v>
      </c>
      <c r="AH178" s="6" t="str">
        <f t="shared" si="11"/>
        <v>Paid</v>
      </c>
      <c r="AI178" s="6" t="s">
        <v>134</v>
      </c>
      <c r="AJ178" s="6" t="str">
        <f t="shared" si="12"/>
        <v>Completed</v>
      </c>
      <c r="AK178" s="9" t="str">
        <f>_xlfn.TEXTJOIN("|",FALSE,A178,TEXT(B178,"mm-dd-yyyy"),TEXT(E178,"mm-dd-yyyy"),I178,J178,L178,N178,P178,R178,T178,V178,X178,Y178,AA178,AB178,AC178,AD178,AE178,AF178,AG178,AI178)</f>
        <v>ORD-2025-10177|18-03-2025|03-26-2025|CUST-3027|Vikram Iyer|Corporate|East|Jharkhand|Ranchi|Furniture|Bookcases|Pro Bookcases 612|Standard Class|8|3563.09|0.15|24229.01|13910.64|10318.37|Paid|Completed</v>
      </c>
      <c r="AL178" s="27" t="str">
        <f>IF(COUNTIF($AK$2:AK178,AK178)&gt;1,"Remove exact duplicate copy","Keep")</f>
        <v>Keep</v>
      </c>
      <c r="AM178" s="9">
        <f t="shared" si="13"/>
        <v>1</v>
      </c>
      <c r="AN178" s="9" t="str">
        <f t="shared" si="14"/>
        <v>Unique</v>
      </c>
      <c r="AO178" s="9" t="str">
        <f t="shared" si="15"/>
        <v/>
      </c>
      <c r="AP178" s="9">
        <f t="shared" si="16"/>
        <v>0.15</v>
      </c>
      <c r="AQ178" s="10">
        <f t="shared" si="17"/>
        <v>24229.011999999999</v>
      </c>
      <c r="AR178" s="10">
        <f t="shared" si="18"/>
        <v>10318.371999999999</v>
      </c>
      <c r="AS178" s="11">
        <f t="shared" si="19"/>
        <v>0.42586845885420338</v>
      </c>
      <c r="AT178" s="9">
        <f t="shared" si="20"/>
        <v>3</v>
      </c>
      <c r="AU178" s="9">
        <f t="shared" si="21"/>
        <v>2025</v>
      </c>
      <c r="AV178" s="9" t="b">
        <f t="shared" si="22"/>
        <v>0</v>
      </c>
      <c r="AW178" s="9" t="b">
        <f t="shared" si="23"/>
        <v>0</v>
      </c>
      <c r="AX178" s="9" t="str">
        <f t="shared" si="24"/>
        <v>Yes</v>
      </c>
      <c r="AY178" s="9" t="str">
        <f t="shared" si="29"/>
        <v/>
      </c>
      <c r="AZ178" s="9" t="str">
        <f>IF(OR(G178="Missing date",G178="Invalid date",G178="Ship date before order date",NOT(ISNUMBER(AP178)),AP178&lt;0,AP178&gt;0.5,AV178=TRUE,AW178=TRUE),"Invalid",IF(OR(O178="Unknown",Z178="Unknown",AC178="",AH178&lt;&gt;"Paid",AJ178&lt;&gt;"Completed",AO178&lt;&gt;""),"Warning","Clean"))</f>
        <v>Clean</v>
      </c>
    </row>
    <row r="179" spans="1:52" ht="15.75" customHeight="1">
      <c r="A179" s="6" t="s">
        <v>1049</v>
      </c>
      <c r="B179" s="7" t="s">
        <v>1050</v>
      </c>
      <c r="C179" s="7" t="str">
        <f t="shared" si="28"/>
        <v>2024-06</v>
      </c>
      <c r="D179" s="7" cm="1">
        <f t="array" ref="D179">_xlfn.LET(_xlpm.x,B179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45444</v>
      </c>
      <c r="E179" s="7" t="s">
        <v>1051</v>
      </c>
      <c r="F179" s="7" cm="1">
        <f t="array" ref="F179">_xlfn.LET(_xlpm.x,E179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45446</v>
      </c>
      <c r="G179" s="8" t="str">
        <f t="shared" si="1"/>
        <v>OK</v>
      </c>
      <c r="H179" s="6">
        <f t="shared" si="2"/>
        <v>2</v>
      </c>
      <c r="I179" s="6" t="s">
        <v>1052</v>
      </c>
      <c r="J179" s="6" t="s">
        <v>245</v>
      </c>
      <c r="K179" s="6" t="str">
        <f t="shared" si="3"/>
        <v>Sneha Kapoor</v>
      </c>
      <c r="L179" s="6" t="s">
        <v>44</v>
      </c>
      <c r="M179" s="8" t="str">
        <f t="shared" si="4"/>
        <v>Home Office</v>
      </c>
      <c r="N179" s="6"/>
      <c r="O179" s="6" t="str">
        <f t="shared" si="5"/>
        <v>Unknown</v>
      </c>
      <c r="P179" s="6" t="s">
        <v>263</v>
      </c>
      <c r="Q179" s="6" t="str">
        <f t="shared" si="6"/>
        <v>Bihar</v>
      </c>
      <c r="R179" s="6" t="s">
        <v>264</v>
      </c>
      <c r="S179" s="6" t="str">
        <f t="shared" si="7"/>
        <v>Patna</v>
      </c>
      <c r="T179" s="6" t="s">
        <v>20</v>
      </c>
      <c r="U179" s="8" t="str">
        <f t="shared" si="8"/>
        <v>Office Supplies</v>
      </c>
      <c r="V179" s="6" t="s">
        <v>21</v>
      </c>
      <c r="W179" s="6" t="str">
        <f t="shared" si="9"/>
        <v>Art</v>
      </c>
      <c r="X179" s="6" t="s">
        <v>1053</v>
      </c>
      <c r="Y179" s="6" t="s">
        <v>37</v>
      </c>
      <c r="Z179" s="6" t="str">
        <f t="shared" si="10"/>
        <v>Same Day</v>
      </c>
      <c r="AA179" s="6">
        <v>8</v>
      </c>
      <c r="AB179" s="6">
        <v>3879.95</v>
      </c>
      <c r="AC179" s="6">
        <v>0</v>
      </c>
      <c r="AD179" s="6">
        <v>31039.599999999999</v>
      </c>
      <c r="AE179" s="6">
        <v>20866.72</v>
      </c>
      <c r="AF179" s="6">
        <v>10172.879999999999</v>
      </c>
      <c r="AG179" s="6" t="s">
        <v>52</v>
      </c>
      <c r="AH179" s="6" t="str">
        <f t="shared" si="11"/>
        <v>Paid</v>
      </c>
      <c r="AI179" s="6" t="s">
        <v>134</v>
      </c>
      <c r="AJ179" s="6" t="str">
        <f t="shared" si="12"/>
        <v>Completed</v>
      </c>
      <c r="AK179" s="9" t="str">
        <f>_xlfn.TEXTJOIN("|",FALSE,A179,TEXT(B179,"mm-dd-yyyy"),TEXT(E179,"mm-dd-yyyy"),I179,J179,L179,N179,P179,R179,T179,V179,X179,Y179,AA179,AB179,AC179,AD179,AE179,AF179,AG179,AI179)</f>
        <v>ORD-2024-10178|01-06-2024|06-03-2024|CUST-4399|Sneha Kapoor|Home Office||Bihar|Patna|Office Supplies|Art|Classic Art 573|Same Day|8|3879.95|0|31039.6|20866.72|10172.88|Paid|Completed</v>
      </c>
      <c r="AL179" s="27" t="str">
        <f>IF(COUNTIF($AK$2:AK179,AK179)&gt;1,"Remove exact duplicate copy","Keep")</f>
        <v>Keep</v>
      </c>
      <c r="AM179" s="9">
        <f t="shared" si="13"/>
        <v>1</v>
      </c>
      <c r="AN179" s="9" t="str">
        <f t="shared" si="14"/>
        <v>Unique</v>
      </c>
      <c r="AO179" s="9" t="str">
        <f t="shared" si="15"/>
        <v/>
      </c>
      <c r="AP179" s="9">
        <f t="shared" si="16"/>
        <v>0</v>
      </c>
      <c r="AQ179" s="10">
        <f t="shared" si="17"/>
        <v>31039.599999999999</v>
      </c>
      <c r="AR179" s="10">
        <f t="shared" si="18"/>
        <v>10172.879999999997</v>
      </c>
      <c r="AS179" s="11">
        <f t="shared" si="19"/>
        <v>0.32773875952009685</v>
      </c>
      <c r="AT179" s="9">
        <f t="shared" si="20"/>
        <v>6</v>
      </c>
      <c r="AU179" s="9">
        <f t="shared" si="21"/>
        <v>2024</v>
      </c>
      <c r="AV179" s="9" t="b">
        <f t="shared" si="22"/>
        <v>0</v>
      </c>
      <c r="AW179" s="9" t="b">
        <f t="shared" si="23"/>
        <v>0</v>
      </c>
      <c r="AX179" s="9" t="str">
        <f t="shared" si="24"/>
        <v>Yes</v>
      </c>
      <c r="AY179" s="9" t="str">
        <f t="shared" si="29"/>
        <v>Missing region filled as Unknown</v>
      </c>
      <c r="AZ179" s="9" t="str">
        <f>IF(OR(G179="Missing date",G179="Invalid date",G179="Ship date before order date",NOT(ISNUMBER(AP179)),AP179&lt;0,AP179&gt;0.5,AV179=TRUE,AW179=TRUE),"Invalid",IF(OR(O179="Unknown",Z179="Unknown",AC179="",AH179&lt;&gt;"Paid",AJ179&lt;&gt;"Completed",AO179&lt;&gt;""),"Warning","Clean"))</f>
        <v>Warning</v>
      </c>
    </row>
    <row r="180" spans="1:52" ht="15.75" customHeight="1">
      <c r="A180" s="6" t="s">
        <v>1054</v>
      </c>
      <c r="B180" s="7" t="s">
        <v>1055</v>
      </c>
      <c r="C180" s="7" t="str">
        <f t="shared" si="28"/>
        <v>2024-09</v>
      </c>
      <c r="D180" s="7" cm="1">
        <f t="array" ref="D180">_xlfn.LET(_xlpm.x,B180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45565</v>
      </c>
      <c r="E180" s="7" t="s">
        <v>1056</v>
      </c>
      <c r="F180" s="7" cm="1">
        <f t="array" ref="F180">_xlfn.LET(_xlpm.x,E180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45565</v>
      </c>
      <c r="G180" s="8" t="str">
        <f t="shared" si="1"/>
        <v>OK</v>
      </c>
      <c r="H180" s="6">
        <f t="shared" si="2"/>
        <v>0</v>
      </c>
      <c r="I180" s="6" t="s">
        <v>1057</v>
      </c>
      <c r="J180" s="6" t="s">
        <v>147</v>
      </c>
      <c r="K180" s="6" t="str">
        <f t="shared" si="3"/>
        <v>Isha Nair</v>
      </c>
      <c r="L180" s="6" t="s">
        <v>45</v>
      </c>
      <c r="M180" s="8" t="str">
        <f t="shared" si="4"/>
        <v>Corporate</v>
      </c>
      <c r="N180" s="6" t="s">
        <v>10</v>
      </c>
      <c r="O180" s="6" t="str">
        <f t="shared" si="5"/>
        <v>South</v>
      </c>
      <c r="P180" s="6" t="s">
        <v>154</v>
      </c>
      <c r="Q180" s="6" t="str">
        <f t="shared" si="6"/>
        <v>Telangana</v>
      </c>
      <c r="R180" s="6" t="s">
        <v>155</v>
      </c>
      <c r="S180" s="6" t="str">
        <f t="shared" si="7"/>
        <v>Hyderabad</v>
      </c>
      <c r="T180" s="6" t="s">
        <v>20</v>
      </c>
      <c r="U180" s="8" t="str">
        <f t="shared" si="8"/>
        <v>Office Supplies</v>
      </c>
      <c r="V180" s="6" t="s">
        <v>21</v>
      </c>
      <c r="W180" s="6" t="str">
        <f t="shared" si="9"/>
        <v>Art</v>
      </c>
      <c r="X180" s="6" t="s">
        <v>1058</v>
      </c>
      <c r="Y180" s="6" t="s">
        <v>34</v>
      </c>
      <c r="Z180" s="6" t="str">
        <f t="shared" si="10"/>
        <v>Standard Class</v>
      </c>
      <c r="AA180" s="6">
        <v>4</v>
      </c>
      <c r="AB180" s="6">
        <v>3281.74</v>
      </c>
      <c r="AC180" s="6">
        <v>0</v>
      </c>
      <c r="AD180" s="6">
        <v>13126.96</v>
      </c>
      <c r="AE180" s="6">
        <v>10732.44</v>
      </c>
      <c r="AF180" s="6">
        <v>2394.52</v>
      </c>
      <c r="AG180" s="6" t="s">
        <v>52</v>
      </c>
      <c r="AH180" s="6" t="str">
        <f t="shared" si="11"/>
        <v>Paid</v>
      </c>
      <c r="AI180" s="6" t="s">
        <v>134</v>
      </c>
      <c r="AJ180" s="6" t="str">
        <f t="shared" si="12"/>
        <v>Completed</v>
      </c>
      <c r="AK180" s="9" t="str">
        <f>_xlfn.TEXTJOIN("|",FALSE,A180,TEXT(B180,"mm-dd-yyyy"),TEXT(E180,"mm-dd-yyyy"),I180,J180,L180,N180,P180,R180,T180,V180,X180,Y180,AA180,AB180,AC180,AD180,AE180,AF180,AG180,AI180)</f>
        <v>ORD-2024-10179|30-09-2024|09-30-2024|CUST-3092|Isha Nair|Corporate|South|Telangana|Hyderabad|Office Supplies|Art|Eco Art 854|Standard Class|4|3281.74|0|13126.96|10732.44|2394.52|Paid|Completed</v>
      </c>
      <c r="AL180" s="27" t="str">
        <f>IF(COUNTIF($AK$2:AK180,AK180)&gt;1,"Remove exact duplicate copy","Keep")</f>
        <v>Keep</v>
      </c>
      <c r="AM180" s="9">
        <f t="shared" si="13"/>
        <v>1</v>
      </c>
      <c r="AN180" s="9" t="str">
        <f t="shared" si="14"/>
        <v>Unique</v>
      </c>
      <c r="AO180" s="9" t="str">
        <f t="shared" si="15"/>
        <v/>
      </c>
      <c r="AP180" s="9">
        <f t="shared" si="16"/>
        <v>0</v>
      </c>
      <c r="AQ180" s="10">
        <f t="shared" si="17"/>
        <v>13126.96</v>
      </c>
      <c r="AR180" s="10">
        <f t="shared" si="18"/>
        <v>2394.5199999999986</v>
      </c>
      <c r="AS180" s="11">
        <f t="shared" si="19"/>
        <v>0.18241237879905162</v>
      </c>
      <c r="AT180" s="9">
        <f t="shared" si="20"/>
        <v>9</v>
      </c>
      <c r="AU180" s="9">
        <f t="shared" si="21"/>
        <v>2024</v>
      </c>
      <c r="AV180" s="9" t="b">
        <f t="shared" si="22"/>
        <v>0</v>
      </c>
      <c r="AW180" s="9" t="b">
        <f t="shared" si="23"/>
        <v>0</v>
      </c>
      <c r="AX180" s="9" t="str">
        <f t="shared" si="24"/>
        <v>Yes</v>
      </c>
      <c r="AY180" s="9" t="str">
        <f t="shared" si="29"/>
        <v/>
      </c>
      <c r="AZ180" s="9" t="str">
        <f>IF(OR(G180="Missing date",G180="Invalid date",G180="Ship date before order date",NOT(ISNUMBER(AP180)),AP180&lt;0,AP180&gt;0.5,AV180=TRUE,AW180=TRUE),"Invalid",IF(OR(O180="Unknown",Z180="Unknown",AC180="",AH180&lt;&gt;"Paid",AJ180&lt;&gt;"Completed",AO180&lt;&gt;""),"Warning","Clean"))</f>
        <v>Clean</v>
      </c>
    </row>
    <row r="181" spans="1:52" ht="15.75" customHeight="1">
      <c r="A181" s="6" t="s">
        <v>1059</v>
      </c>
      <c r="B181" s="7" t="s">
        <v>1060</v>
      </c>
      <c r="C181" s="7" t="str">
        <f t="shared" si="28"/>
        <v>2024-03</v>
      </c>
      <c r="D181" s="7" cm="1">
        <f t="array" ref="D181">_xlfn.LET(_xlpm.x,B181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45366</v>
      </c>
      <c r="E181" s="7" t="s">
        <v>1061</v>
      </c>
      <c r="F181" s="7" cm="1">
        <f t="array" ref="F181">_xlfn.LET(_xlpm.x,E181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45370</v>
      </c>
      <c r="G181" s="8" t="str">
        <f t="shared" si="1"/>
        <v>OK</v>
      </c>
      <c r="H181" s="6">
        <f t="shared" si="2"/>
        <v>4</v>
      </c>
      <c r="I181" s="6" t="s">
        <v>1062</v>
      </c>
      <c r="J181" s="6" t="s">
        <v>161</v>
      </c>
      <c r="K181" s="6" t="str">
        <f t="shared" si="3"/>
        <v>Ananya Rao</v>
      </c>
      <c r="L181" s="6" t="s">
        <v>46</v>
      </c>
      <c r="M181" s="8" t="str">
        <f t="shared" si="4"/>
        <v>Small Business</v>
      </c>
      <c r="N181" s="6" t="s">
        <v>10</v>
      </c>
      <c r="O181" s="6" t="str">
        <f t="shared" si="5"/>
        <v>South</v>
      </c>
      <c r="P181" s="6" t="s">
        <v>413</v>
      </c>
      <c r="Q181" s="6" t="str">
        <f t="shared" si="6"/>
        <v>Tamil Nadu</v>
      </c>
      <c r="R181" s="6" t="s">
        <v>414</v>
      </c>
      <c r="S181" s="6" t="str">
        <f t="shared" si="7"/>
        <v>Chennai</v>
      </c>
      <c r="T181" s="6" t="s">
        <v>14</v>
      </c>
      <c r="U181" s="8" t="str">
        <f t="shared" si="8"/>
        <v>Furniture</v>
      </c>
      <c r="V181" s="6" t="s">
        <v>17</v>
      </c>
      <c r="W181" s="6" t="str">
        <f t="shared" si="9"/>
        <v>Furnishings</v>
      </c>
      <c r="X181" s="6" t="s">
        <v>1063</v>
      </c>
      <c r="Y181" s="6" t="s">
        <v>34</v>
      </c>
      <c r="Z181" s="6" t="str">
        <f t="shared" si="10"/>
        <v>Standard Class</v>
      </c>
      <c r="AA181" s="6">
        <v>4</v>
      </c>
      <c r="AB181" s="6">
        <v>3186.3</v>
      </c>
      <c r="AC181" s="6">
        <v>0.25</v>
      </c>
      <c r="AD181" s="6">
        <v>9558.9</v>
      </c>
      <c r="AE181" s="6">
        <v>5516.76</v>
      </c>
      <c r="AF181" s="6">
        <v>4042.14</v>
      </c>
      <c r="AG181" s="6" t="s">
        <v>56</v>
      </c>
      <c r="AH181" s="6" t="str">
        <f t="shared" si="11"/>
        <v>Refunded</v>
      </c>
      <c r="AI181" s="6" t="s">
        <v>59</v>
      </c>
      <c r="AJ181" s="6" t="str">
        <f t="shared" si="12"/>
        <v>Returned</v>
      </c>
      <c r="AK181" s="9" t="str">
        <f>_xlfn.TEXTJOIN("|",FALSE,A181,TEXT(B181,"mm-dd-yyyy"),TEXT(E181,"mm-dd-yyyy"),I181,J181,L181,N181,P181,R181,T181,V181,X181,Y181,AA181,AB181,AC181,AD181,AE181,AF181,AG181,AI181)</f>
        <v>ORD-2024-10180|03-15-2024|03-19-2024|CUST-1778|Ananya Rao|Small Business|South|Tamil Nadu|Chennai|Furniture|Furnishings|Classic Furnishings 996|Standard Class|4|3186.3|0.25|9558.9|5516.76|4042.14|Refunded|Returned</v>
      </c>
      <c r="AL181" s="27" t="str">
        <f>IF(COUNTIF($AK$2:AK181,AK181)&gt;1,"Remove exact duplicate copy","Keep")</f>
        <v>Keep</v>
      </c>
      <c r="AM181" s="9">
        <f t="shared" si="13"/>
        <v>1</v>
      </c>
      <c r="AN181" s="9" t="str">
        <f t="shared" si="14"/>
        <v>Unique</v>
      </c>
      <c r="AO181" s="9" t="str">
        <f t="shared" si="15"/>
        <v/>
      </c>
      <c r="AP181" s="9">
        <f t="shared" si="16"/>
        <v>0.25</v>
      </c>
      <c r="AQ181" s="10">
        <f t="shared" si="17"/>
        <v>9558.9000000000015</v>
      </c>
      <c r="AR181" s="10">
        <f t="shared" si="18"/>
        <v>4042.1400000000012</v>
      </c>
      <c r="AS181" s="11">
        <f t="shared" si="19"/>
        <v>0.42286664783604816</v>
      </c>
      <c r="AT181" s="9">
        <f t="shared" si="20"/>
        <v>3</v>
      </c>
      <c r="AU181" s="9">
        <f t="shared" si="21"/>
        <v>2024</v>
      </c>
      <c r="AV181" s="9" t="b">
        <f t="shared" si="22"/>
        <v>0</v>
      </c>
      <c r="AW181" s="9" t="b">
        <f t="shared" si="23"/>
        <v>0</v>
      </c>
      <c r="AX181" s="9" t="str">
        <f t="shared" si="24"/>
        <v>No</v>
      </c>
      <c r="AY181" s="9" t="str">
        <f t="shared" si="29"/>
        <v>Refunded order summarized separately; Returned order excluded</v>
      </c>
      <c r="AZ181" s="9" t="str">
        <f>IF(OR(G181="Missing date",G181="Invalid date",G181="Ship date before order date",NOT(ISNUMBER(AP181)),AP181&lt;0,AP181&gt;0.5,AV181=TRUE,AW181=TRUE),"Invalid",IF(OR(O181="Unknown",Z181="Unknown",AC181="",AH181&lt;&gt;"Paid",AJ181&lt;&gt;"Completed",AO181&lt;&gt;""),"Warning","Clean"))</f>
        <v>Warning</v>
      </c>
    </row>
    <row r="182" spans="1:52" ht="15.75" customHeight="1">
      <c r="A182" s="6" t="s">
        <v>1064</v>
      </c>
      <c r="B182" s="7" t="s">
        <v>1065</v>
      </c>
      <c r="C182" s="7" t="str">
        <f t="shared" si="28"/>
        <v>2024-08</v>
      </c>
      <c r="D182" s="7" cm="1">
        <f t="array" ref="D182">_xlfn.LET(_xlpm.x,B182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45530</v>
      </c>
      <c r="E182" s="7" t="s">
        <v>1066</v>
      </c>
      <c r="F182" s="7" cm="1">
        <f t="array" ref="F182">_xlfn.LET(_xlpm.x,E182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45530</v>
      </c>
      <c r="G182" s="8" t="str">
        <f t="shared" si="1"/>
        <v>OK</v>
      </c>
      <c r="H182" s="6">
        <f t="shared" si="2"/>
        <v>0</v>
      </c>
      <c r="I182" s="6" t="s">
        <v>1067</v>
      </c>
      <c r="J182" s="6" t="s">
        <v>139</v>
      </c>
      <c r="K182" s="6" t="str">
        <f t="shared" si="3"/>
        <v>Mira Das</v>
      </c>
      <c r="L182" s="6" t="s">
        <v>44</v>
      </c>
      <c r="M182" s="8" t="str">
        <f t="shared" si="4"/>
        <v>Home Office</v>
      </c>
      <c r="N182" s="6" t="s">
        <v>7</v>
      </c>
      <c r="O182" s="6" t="str">
        <f t="shared" si="5"/>
        <v>North</v>
      </c>
      <c r="P182" s="6" t="s">
        <v>251</v>
      </c>
      <c r="Q182" s="6" t="str">
        <f t="shared" si="6"/>
        <v>Uttar Pradesh</v>
      </c>
      <c r="R182" s="6" t="s">
        <v>252</v>
      </c>
      <c r="S182" s="6" t="str">
        <f t="shared" si="7"/>
        <v>Noida</v>
      </c>
      <c r="T182" s="6" t="s">
        <v>1000</v>
      </c>
      <c r="U182" s="8" t="str">
        <f t="shared" si="8"/>
        <v>Office Supplies</v>
      </c>
      <c r="V182" s="6" t="s">
        <v>22</v>
      </c>
      <c r="W182" s="6" t="str">
        <f t="shared" si="9"/>
        <v>Binders</v>
      </c>
      <c r="X182" s="6" t="s">
        <v>1068</v>
      </c>
      <c r="Y182" s="6" t="s">
        <v>35</v>
      </c>
      <c r="Z182" s="6" t="str">
        <f t="shared" si="10"/>
        <v>First Class</v>
      </c>
      <c r="AA182" s="6">
        <v>7</v>
      </c>
      <c r="AB182" s="6">
        <v>844.59</v>
      </c>
      <c r="AC182" s="6">
        <v>0.1</v>
      </c>
      <c r="AD182" s="6">
        <v>5320.92</v>
      </c>
      <c r="AE182" s="6">
        <v>3041.5</v>
      </c>
      <c r="AF182" s="6">
        <v>2279.42</v>
      </c>
      <c r="AG182" s="6" t="s">
        <v>52</v>
      </c>
      <c r="AH182" s="6" t="str">
        <f t="shared" si="11"/>
        <v>Paid</v>
      </c>
      <c r="AI182" s="6" t="s">
        <v>134</v>
      </c>
      <c r="AJ182" s="6" t="str">
        <f t="shared" si="12"/>
        <v>Completed</v>
      </c>
      <c r="AK182" s="9" t="str">
        <f>_xlfn.TEXTJOIN("|",FALSE,A182,TEXT(B182,"mm-dd-yyyy"),TEXT(E182,"mm-dd-yyyy"),I182,J182,L182,N182,P182,R182,T182,V182,X182,Y182,AA182,AB182,AC182,AD182,AE182,AF182,AG182,AI182)</f>
        <v>ORD-2024-10181|08-26-2024|26-08-2024|CUST-3787|Mira Das|Home Office|North|Uttar Pradesh|Noida|OFFICE SUPPLIES|Binders|Prime Binders 735|First Class|7|844.59|0.1|5320.92|3041.5|2279.42|Paid|Completed</v>
      </c>
      <c r="AL182" s="27" t="str">
        <f>IF(COUNTIF($AK$2:AK182,AK182)&gt;1,"Remove exact duplicate copy","Keep")</f>
        <v>Keep</v>
      </c>
      <c r="AM182" s="9">
        <f t="shared" si="13"/>
        <v>1</v>
      </c>
      <c r="AN182" s="9" t="str">
        <f t="shared" si="14"/>
        <v>Unique</v>
      </c>
      <c r="AO182" s="9" t="str">
        <f t="shared" si="15"/>
        <v/>
      </c>
      <c r="AP182" s="9">
        <f t="shared" si="16"/>
        <v>0.1</v>
      </c>
      <c r="AQ182" s="10">
        <f t="shared" si="17"/>
        <v>5320.9170000000004</v>
      </c>
      <c r="AR182" s="10">
        <f t="shared" si="18"/>
        <v>2279.4170000000004</v>
      </c>
      <c r="AS182" s="11">
        <f t="shared" si="19"/>
        <v>0.42838800154183954</v>
      </c>
      <c r="AT182" s="9">
        <f t="shared" si="20"/>
        <v>8</v>
      </c>
      <c r="AU182" s="9">
        <f t="shared" si="21"/>
        <v>2024</v>
      </c>
      <c r="AV182" s="9" t="b">
        <f t="shared" si="22"/>
        <v>0</v>
      </c>
      <c r="AW182" s="9" t="b">
        <f t="shared" si="23"/>
        <v>0</v>
      </c>
      <c r="AX182" s="9" t="str">
        <f t="shared" si="24"/>
        <v>Yes</v>
      </c>
      <c r="AY182" s="9" t="str">
        <f t="shared" si="29"/>
        <v/>
      </c>
      <c r="AZ182" s="9" t="str">
        <f>IF(OR(G182="Missing date",G182="Invalid date",G182="Ship date before order date",NOT(ISNUMBER(AP182)),AP182&lt;0,AP182&gt;0.5,AV182=TRUE,AW182=TRUE),"Invalid",IF(OR(O182="Unknown",Z182="Unknown",AC182="",AH182&lt;&gt;"Paid",AJ182&lt;&gt;"Completed",AO182&lt;&gt;""),"Warning","Clean"))</f>
        <v>Clean</v>
      </c>
    </row>
    <row r="183" spans="1:52" ht="15.75" customHeight="1">
      <c r="A183" s="6" t="s">
        <v>1069</v>
      </c>
      <c r="B183" s="7" t="s">
        <v>1070</v>
      </c>
      <c r="C183" s="7" t="str">
        <f t="shared" si="28"/>
        <v>2025-09</v>
      </c>
      <c r="D183" s="7" cm="1">
        <f t="array" ref="D183">_xlfn.LET(_xlpm.x,B183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45909</v>
      </c>
      <c r="E183" s="7" t="s">
        <v>1071</v>
      </c>
      <c r="F183" s="7" cm="1">
        <f t="array" ref="F183">_xlfn.LET(_xlpm.x,E183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45910</v>
      </c>
      <c r="G183" s="8" t="str">
        <f t="shared" si="1"/>
        <v>OK</v>
      </c>
      <c r="H183" s="6">
        <f t="shared" si="2"/>
        <v>1</v>
      </c>
      <c r="I183" s="6" t="s">
        <v>1072</v>
      </c>
      <c r="J183" s="6" t="s">
        <v>220</v>
      </c>
      <c r="K183" s="6" t="str">
        <f t="shared" si="3"/>
        <v>Priya Menon</v>
      </c>
      <c r="L183" s="6" t="s">
        <v>44</v>
      </c>
      <c r="M183" s="8" t="str">
        <f t="shared" si="4"/>
        <v>Home Office</v>
      </c>
      <c r="N183" s="6" t="s">
        <v>10</v>
      </c>
      <c r="O183" s="6" t="str">
        <f t="shared" si="5"/>
        <v>South</v>
      </c>
      <c r="P183" s="6" t="s">
        <v>413</v>
      </c>
      <c r="Q183" s="6" t="str">
        <f t="shared" si="6"/>
        <v>Tamil Nadu</v>
      </c>
      <c r="R183" s="6" t="s">
        <v>414</v>
      </c>
      <c r="S183" s="6" t="str">
        <f t="shared" si="7"/>
        <v>Chennai</v>
      </c>
      <c r="T183" s="6" t="s">
        <v>20</v>
      </c>
      <c r="U183" s="8" t="str">
        <f t="shared" si="8"/>
        <v>Office Supplies</v>
      </c>
      <c r="V183" s="6" t="s">
        <v>21</v>
      </c>
      <c r="W183" s="6" t="str">
        <f t="shared" si="9"/>
        <v>Art</v>
      </c>
      <c r="X183" s="6" t="s">
        <v>1073</v>
      </c>
      <c r="Y183" s="6" t="s">
        <v>36</v>
      </c>
      <c r="Z183" s="6" t="str">
        <f t="shared" si="10"/>
        <v>Second Class</v>
      </c>
      <c r="AA183" s="6">
        <v>4</v>
      </c>
      <c r="AB183" s="6">
        <v>2551.4499999999998</v>
      </c>
      <c r="AC183" s="6">
        <v>0</v>
      </c>
      <c r="AD183" s="6">
        <v>10205.799999999999</v>
      </c>
      <c r="AE183" s="6">
        <v>5986.31</v>
      </c>
      <c r="AF183" s="6">
        <v>4219.49</v>
      </c>
      <c r="AG183" s="6" t="s">
        <v>52</v>
      </c>
      <c r="AH183" s="6" t="str">
        <f t="shared" si="11"/>
        <v>Paid</v>
      </c>
      <c r="AI183" s="6" t="s">
        <v>134</v>
      </c>
      <c r="AJ183" s="6" t="str">
        <f t="shared" si="12"/>
        <v>Completed</v>
      </c>
      <c r="AK183" s="9" t="str">
        <f>_xlfn.TEXTJOIN("|",FALSE,A183,TEXT(B183,"mm-dd-yyyy"),TEXT(E183,"mm-dd-yyyy"),I183,J183,L183,N183,P183,R183,T183,V183,X183,Y183,AA183,AB183,AC183,AD183,AE183,AF183,AG183,AI183)</f>
        <v>ORD-2025-10182|09-09-2025|10-09-2025|CUST-5119|Priya Menon|Home Office|South|Tamil Nadu|Chennai|Office Supplies|Art|Pro Art 587|Second Class|4|2551.45|0|10205.8|5986.31|4219.49|Paid|Completed</v>
      </c>
      <c r="AL183" s="27" t="str">
        <f>IF(COUNTIF($AK$2:AK183,AK183)&gt;1,"Remove exact duplicate copy","Keep")</f>
        <v>Keep</v>
      </c>
      <c r="AM183" s="9">
        <f t="shared" si="13"/>
        <v>1</v>
      </c>
      <c r="AN183" s="9" t="str">
        <f t="shared" si="14"/>
        <v>Unique</v>
      </c>
      <c r="AO183" s="9" t="str">
        <f t="shared" si="15"/>
        <v/>
      </c>
      <c r="AP183" s="9">
        <f t="shared" si="16"/>
        <v>0</v>
      </c>
      <c r="AQ183" s="10">
        <f t="shared" si="17"/>
        <v>10205.799999999999</v>
      </c>
      <c r="AR183" s="10">
        <f t="shared" si="18"/>
        <v>4219.4899999999989</v>
      </c>
      <c r="AS183" s="11">
        <f t="shared" si="19"/>
        <v>0.41344039663720622</v>
      </c>
      <c r="AT183" s="9">
        <f t="shared" si="20"/>
        <v>9</v>
      </c>
      <c r="AU183" s="9">
        <f t="shared" si="21"/>
        <v>2025</v>
      </c>
      <c r="AV183" s="9" t="b">
        <f t="shared" si="22"/>
        <v>0</v>
      </c>
      <c r="AW183" s="9" t="b">
        <f t="shared" si="23"/>
        <v>0</v>
      </c>
      <c r="AX183" s="9" t="str">
        <f t="shared" si="24"/>
        <v>Yes</v>
      </c>
      <c r="AY183" s="9" t="str">
        <f t="shared" si="29"/>
        <v/>
      </c>
      <c r="AZ183" s="9" t="str">
        <f>IF(OR(G183="Missing date",G183="Invalid date",G183="Ship date before order date",NOT(ISNUMBER(AP183)),AP183&lt;0,AP183&gt;0.5,AV183=TRUE,AW183=TRUE),"Invalid",IF(OR(O183="Unknown",Z183="Unknown",AC183="",AH183&lt;&gt;"Paid",AJ183&lt;&gt;"Completed",AO183&lt;&gt;""),"Warning","Clean"))</f>
        <v>Clean</v>
      </c>
    </row>
    <row r="184" spans="1:52" ht="15.75" customHeight="1">
      <c r="A184" s="6" t="s">
        <v>1074</v>
      </c>
      <c r="B184" s="7" t="s">
        <v>373</v>
      </c>
      <c r="C184" s="7" t="str">
        <f t="shared" si="28"/>
        <v>2024-10</v>
      </c>
      <c r="D184" s="7" cm="1">
        <f t="array" ref="D184">_xlfn.LET(_xlpm.x,B184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45581</v>
      </c>
      <c r="E184" s="7" t="s">
        <v>373</v>
      </c>
      <c r="F184" s="7" cm="1">
        <f t="array" ref="F184">_xlfn.LET(_xlpm.x,E184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45581</v>
      </c>
      <c r="G184" s="8" t="str">
        <f t="shared" si="1"/>
        <v>OK</v>
      </c>
      <c r="H184" s="6">
        <f t="shared" si="2"/>
        <v>0</v>
      </c>
      <c r="I184" s="6" t="s">
        <v>1075</v>
      </c>
      <c r="J184" s="6" t="s">
        <v>161</v>
      </c>
      <c r="K184" s="6" t="str">
        <f t="shared" si="3"/>
        <v>Ananya Rao</v>
      </c>
      <c r="L184" s="6" t="s">
        <v>44</v>
      </c>
      <c r="M184" s="8" t="str">
        <f t="shared" si="4"/>
        <v>Home Office</v>
      </c>
      <c r="N184" s="6" t="s">
        <v>8</v>
      </c>
      <c r="O184" s="6" t="str">
        <f t="shared" si="5"/>
        <v>East</v>
      </c>
      <c r="P184" s="6" t="s">
        <v>263</v>
      </c>
      <c r="Q184" s="6" t="str">
        <f t="shared" si="6"/>
        <v>Bihar</v>
      </c>
      <c r="R184" s="6" t="s">
        <v>264</v>
      </c>
      <c r="S184" s="6" t="str">
        <f t="shared" si="7"/>
        <v>Patna</v>
      </c>
      <c r="T184" s="6" t="s">
        <v>27</v>
      </c>
      <c r="U184" s="8" t="str">
        <f t="shared" si="8"/>
        <v>Technology</v>
      </c>
      <c r="V184" s="6" t="s">
        <v>30</v>
      </c>
      <c r="W184" s="6" t="str">
        <f t="shared" si="9"/>
        <v>Machines</v>
      </c>
      <c r="X184" s="6" t="s">
        <v>1076</v>
      </c>
      <c r="Y184" s="6" t="s">
        <v>34</v>
      </c>
      <c r="Z184" s="6" t="str">
        <f t="shared" si="10"/>
        <v>Standard Class</v>
      </c>
      <c r="AA184" s="6">
        <v>7</v>
      </c>
      <c r="AB184" s="6">
        <v>775.77</v>
      </c>
      <c r="AC184" s="6">
        <v>0</v>
      </c>
      <c r="AD184" s="6">
        <v>5430.39</v>
      </c>
      <c r="AE184" s="6">
        <v>3707.66</v>
      </c>
      <c r="AF184" s="6">
        <v>1722.73</v>
      </c>
      <c r="AG184" s="6" t="s">
        <v>52</v>
      </c>
      <c r="AH184" s="6" t="str">
        <f t="shared" si="11"/>
        <v>Paid</v>
      </c>
      <c r="AI184" s="6" t="s">
        <v>134</v>
      </c>
      <c r="AJ184" s="6" t="str">
        <f t="shared" si="12"/>
        <v>Completed</v>
      </c>
      <c r="AK184" s="9" t="str">
        <f>_xlfn.TEXTJOIN("|",FALSE,A184,TEXT(B184,"mm-dd-yyyy"),TEXT(E184,"mm-dd-yyyy"),I184,J184,L184,N184,P184,R184,T184,V184,X184,Y184,AA184,AB184,AC184,AD184,AE184,AF184,AG184,AI184)</f>
        <v>ORD-2024-10183|10-16-2024|10-16-2024|CUST-4121|Ananya Rao|Home Office|East|Bihar|Patna|Technology|Machines|Basic Machines 575|Standard Class|7|775.77|0|5430.39|3707.66|1722.73|Paid|Completed</v>
      </c>
      <c r="AL184" s="27" t="str">
        <f>IF(COUNTIF($AK$2:AK184,AK184)&gt;1,"Remove exact duplicate copy","Keep")</f>
        <v>Keep</v>
      </c>
      <c r="AM184" s="9">
        <f t="shared" si="13"/>
        <v>1</v>
      </c>
      <c r="AN184" s="9" t="str">
        <f t="shared" si="14"/>
        <v>Unique</v>
      </c>
      <c r="AO184" s="9" t="str">
        <f t="shared" si="15"/>
        <v/>
      </c>
      <c r="AP184" s="9">
        <f t="shared" si="16"/>
        <v>0</v>
      </c>
      <c r="AQ184" s="10">
        <f t="shared" si="17"/>
        <v>5430.3899999999994</v>
      </c>
      <c r="AR184" s="10">
        <f t="shared" si="18"/>
        <v>1722.7299999999996</v>
      </c>
      <c r="AS184" s="11">
        <f t="shared" si="19"/>
        <v>0.31723872502711586</v>
      </c>
      <c r="AT184" s="9">
        <f t="shared" si="20"/>
        <v>10</v>
      </c>
      <c r="AU184" s="9">
        <f t="shared" si="21"/>
        <v>2024</v>
      </c>
      <c r="AV184" s="9" t="b">
        <f t="shared" si="22"/>
        <v>0</v>
      </c>
      <c r="AW184" s="9" t="b">
        <f t="shared" si="23"/>
        <v>0</v>
      </c>
      <c r="AX184" s="9" t="str">
        <f t="shared" si="24"/>
        <v>Yes</v>
      </c>
      <c r="AY184" s="9" t="str">
        <f t="shared" si="29"/>
        <v/>
      </c>
      <c r="AZ184" s="9" t="str">
        <f>IF(OR(G184="Missing date",G184="Invalid date",G184="Ship date before order date",NOT(ISNUMBER(AP184)),AP184&lt;0,AP184&gt;0.5,AV184=TRUE,AW184=TRUE),"Invalid",IF(OR(O184="Unknown",Z184="Unknown",AC184="",AH184&lt;&gt;"Paid",AJ184&lt;&gt;"Completed",AO184&lt;&gt;""),"Warning","Clean"))</f>
        <v>Clean</v>
      </c>
    </row>
    <row r="185" spans="1:52" ht="15.75" customHeight="1">
      <c r="A185" s="6" t="s">
        <v>1077</v>
      </c>
      <c r="B185" s="7" t="s">
        <v>1078</v>
      </c>
      <c r="C185" s="7" t="str">
        <f t="shared" si="28"/>
        <v>2025-06</v>
      </c>
      <c r="D185" s="7" cm="1">
        <f t="array" ref="D185">_xlfn.LET(_xlpm.x,B185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45832</v>
      </c>
      <c r="E185" s="7" t="s">
        <v>1079</v>
      </c>
      <c r="F185" s="7" cm="1">
        <f t="array" ref="F185">_xlfn.LET(_xlpm.x,E185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45835</v>
      </c>
      <c r="G185" s="8" t="str">
        <f t="shared" si="1"/>
        <v>OK</v>
      </c>
      <c r="H185" s="6">
        <f t="shared" si="2"/>
        <v>3</v>
      </c>
      <c r="I185" s="6" t="s">
        <v>1080</v>
      </c>
      <c r="J185" s="6" t="s">
        <v>169</v>
      </c>
      <c r="K185" s="6" t="str">
        <f t="shared" si="3"/>
        <v>Vikram Iyer</v>
      </c>
      <c r="L185" s="6" t="s">
        <v>44</v>
      </c>
      <c r="M185" s="8" t="str">
        <f t="shared" si="4"/>
        <v>Home Office</v>
      </c>
      <c r="N185" s="6" t="s">
        <v>10</v>
      </c>
      <c r="O185" s="6" t="str">
        <f t="shared" si="5"/>
        <v>South</v>
      </c>
      <c r="P185" s="6" t="s">
        <v>154</v>
      </c>
      <c r="Q185" s="6" t="str">
        <f t="shared" si="6"/>
        <v>Telangana</v>
      </c>
      <c r="R185" s="6" t="s">
        <v>155</v>
      </c>
      <c r="S185" s="6" t="str">
        <f t="shared" si="7"/>
        <v>Hyderabad</v>
      </c>
      <c r="T185" s="6" t="s">
        <v>27</v>
      </c>
      <c r="U185" s="8" t="str">
        <f t="shared" si="8"/>
        <v>Technology</v>
      </c>
      <c r="V185" s="6" t="s">
        <v>29</v>
      </c>
      <c r="W185" s="6" t="str">
        <f t="shared" si="9"/>
        <v>Copiers</v>
      </c>
      <c r="X185" s="6" t="s">
        <v>1081</v>
      </c>
      <c r="Y185" s="6" t="s">
        <v>34</v>
      </c>
      <c r="Z185" s="6" t="str">
        <f t="shared" si="10"/>
        <v>Standard Class</v>
      </c>
      <c r="AA185" s="6">
        <v>7</v>
      </c>
      <c r="AB185" s="6">
        <v>2304.86</v>
      </c>
      <c r="AC185" s="6">
        <v>0.2</v>
      </c>
      <c r="AD185" s="6">
        <v>12907.22</v>
      </c>
      <c r="AE185" s="6">
        <v>8327.89</v>
      </c>
      <c r="AF185" s="6">
        <v>4579.33</v>
      </c>
      <c r="AG185" s="6" t="s">
        <v>52</v>
      </c>
      <c r="AH185" s="6" t="str">
        <f t="shared" si="11"/>
        <v>Paid</v>
      </c>
      <c r="AI185" s="6" t="s">
        <v>59</v>
      </c>
      <c r="AJ185" s="6" t="str">
        <f t="shared" si="12"/>
        <v>Returned</v>
      </c>
      <c r="AK185" s="9" t="str">
        <f>_xlfn.TEXTJOIN("|",FALSE,A185,TEXT(B185,"mm-dd-yyyy"),TEXT(E185,"mm-dd-yyyy"),I185,J185,L185,N185,P185,R185,T185,V185,X185,Y185,AA185,AB185,AC185,AD185,AE185,AF185,AG185,AI185)</f>
        <v>ORD-2025-10184|06-24-2025|27-06-2025|CUST-3366|Vikram Iyer|Home Office|South|Telangana|Hyderabad|Technology|Copiers|Elite Copiers 788|Standard Class|7|2304.86|0.2|12907.22|8327.89|4579.33|Paid|Returned</v>
      </c>
      <c r="AL185" s="27" t="str">
        <f>IF(COUNTIF($AK$2:AK185,AK185)&gt;1,"Remove exact duplicate copy","Keep")</f>
        <v>Keep</v>
      </c>
      <c r="AM185" s="9">
        <f t="shared" si="13"/>
        <v>1</v>
      </c>
      <c r="AN185" s="9" t="str">
        <f t="shared" si="14"/>
        <v>Unique</v>
      </c>
      <c r="AO185" s="9" t="str">
        <f t="shared" si="15"/>
        <v/>
      </c>
      <c r="AP185" s="9">
        <f t="shared" si="16"/>
        <v>0.2</v>
      </c>
      <c r="AQ185" s="10">
        <f t="shared" si="17"/>
        <v>12907.216</v>
      </c>
      <c r="AR185" s="10">
        <f t="shared" si="18"/>
        <v>4579.3260000000009</v>
      </c>
      <c r="AS185" s="11">
        <f t="shared" si="19"/>
        <v>0.3547880503433119</v>
      </c>
      <c r="AT185" s="9">
        <f t="shared" si="20"/>
        <v>6</v>
      </c>
      <c r="AU185" s="9">
        <f t="shared" si="21"/>
        <v>2025</v>
      </c>
      <c r="AV185" s="9" t="b">
        <f t="shared" si="22"/>
        <v>0</v>
      </c>
      <c r="AW185" s="9" t="b">
        <f t="shared" si="23"/>
        <v>0</v>
      </c>
      <c r="AX185" s="9" t="str">
        <f t="shared" si="24"/>
        <v>No</v>
      </c>
      <c r="AY185" s="9" t="str">
        <f t="shared" si="29"/>
        <v>Returned order excluded</v>
      </c>
      <c r="AZ185" s="9" t="str">
        <f>IF(OR(G185="Missing date",G185="Invalid date",G185="Ship date before order date",NOT(ISNUMBER(AP185)),AP185&lt;0,AP185&gt;0.5,AV185=TRUE,AW185=TRUE),"Invalid",IF(OR(O185="Unknown",Z185="Unknown",AC185="",AH185&lt;&gt;"Paid",AJ185&lt;&gt;"Completed",AO185&lt;&gt;""),"Warning","Clean"))</f>
        <v>Warning</v>
      </c>
    </row>
    <row r="186" spans="1:52" ht="15.75" customHeight="1">
      <c r="A186" s="6" t="s">
        <v>1082</v>
      </c>
      <c r="B186" s="7" t="s">
        <v>1083</v>
      </c>
      <c r="C186" s="7" t="str">
        <f t="shared" si="28"/>
        <v>2024-04</v>
      </c>
      <c r="D186" s="7" cm="1">
        <f t="array" ref="D186">_xlfn.LET(_xlpm.x,B186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45384</v>
      </c>
      <c r="E186" s="7" t="s">
        <v>423</v>
      </c>
      <c r="F186" s="7" cm="1">
        <f t="array" ref="F186">_xlfn.LET(_xlpm.x,E186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45388</v>
      </c>
      <c r="G186" s="8" t="str">
        <f t="shared" si="1"/>
        <v>OK</v>
      </c>
      <c r="H186" s="6">
        <f t="shared" si="2"/>
        <v>4</v>
      </c>
      <c r="I186" s="6" t="s">
        <v>1084</v>
      </c>
      <c r="J186" s="6" t="s">
        <v>169</v>
      </c>
      <c r="K186" s="6" t="str">
        <f t="shared" si="3"/>
        <v>Vikram Iyer</v>
      </c>
      <c r="L186" s="6" t="s">
        <v>45</v>
      </c>
      <c r="M186" s="8" t="str">
        <f t="shared" si="4"/>
        <v>Corporate</v>
      </c>
      <c r="N186" s="6" t="s">
        <v>9</v>
      </c>
      <c r="O186" s="6" t="str">
        <f t="shared" si="5"/>
        <v>West</v>
      </c>
      <c r="P186" s="6" t="s">
        <v>170</v>
      </c>
      <c r="Q186" s="6" t="str">
        <f t="shared" si="6"/>
        <v>Madhya Pradesh</v>
      </c>
      <c r="R186" s="6" t="s">
        <v>171</v>
      </c>
      <c r="S186" s="6" t="str">
        <f t="shared" si="7"/>
        <v>Indore</v>
      </c>
      <c r="T186" s="6" t="s">
        <v>14</v>
      </c>
      <c r="U186" s="8" t="str">
        <f t="shared" si="8"/>
        <v>Furniture</v>
      </c>
      <c r="V186" s="6" t="s">
        <v>15</v>
      </c>
      <c r="W186" s="6" t="str">
        <f t="shared" si="9"/>
        <v>Bookcases</v>
      </c>
      <c r="X186" s="6" t="s">
        <v>1085</v>
      </c>
      <c r="Y186" s="6" t="s">
        <v>34</v>
      </c>
      <c r="Z186" s="6" t="str">
        <f t="shared" si="10"/>
        <v>Standard Class</v>
      </c>
      <c r="AA186" s="6">
        <v>2</v>
      </c>
      <c r="AB186" s="6">
        <v>888.98</v>
      </c>
      <c r="AC186" s="6">
        <v>0</v>
      </c>
      <c r="AD186" s="6">
        <v>1777.96</v>
      </c>
      <c r="AE186" s="6">
        <v>1021.16</v>
      </c>
      <c r="AF186" s="6">
        <v>756.8</v>
      </c>
      <c r="AG186" s="6" t="s">
        <v>56</v>
      </c>
      <c r="AH186" s="6" t="str">
        <f t="shared" si="11"/>
        <v>Refunded</v>
      </c>
      <c r="AI186" s="6" t="s">
        <v>59</v>
      </c>
      <c r="AJ186" s="6" t="str">
        <f t="shared" si="12"/>
        <v>Returned</v>
      </c>
      <c r="AK186" s="9" t="str">
        <f>_xlfn.TEXTJOIN("|",FALSE,A186,TEXT(B186,"mm-dd-yyyy"),TEXT(E186,"mm-dd-yyyy"),I186,J186,L186,N186,P186,R186,T186,V186,X186,Y186,AA186,AB186,AC186,AD186,AE186,AF186,AG186,AI186)</f>
        <v>ORD-2024-10185|04-02-2024|04-06-2024|CUST-1358|Vikram Iyer|Corporate|West|Madhya Pradesh|Indore|Furniture|Bookcases|Max Bookcases 472|Standard Class|2|888.98|0|1777.96|1021.16|756.8|Refunded|Returned</v>
      </c>
      <c r="AL186" s="27" t="str">
        <f>IF(COUNTIF($AK$2:AK186,AK186)&gt;1,"Remove exact duplicate copy","Keep")</f>
        <v>Keep</v>
      </c>
      <c r="AM186" s="9">
        <f t="shared" si="13"/>
        <v>1</v>
      </c>
      <c r="AN186" s="9" t="str">
        <f t="shared" si="14"/>
        <v>Unique</v>
      </c>
      <c r="AO186" s="9" t="str">
        <f t="shared" si="15"/>
        <v/>
      </c>
      <c r="AP186" s="9">
        <f t="shared" si="16"/>
        <v>0</v>
      </c>
      <c r="AQ186" s="10">
        <f t="shared" si="17"/>
        <v>1777.96</v>
      </c>
      <c r="AR186" s="10">
        <f t="shared" si="18"/>
        <v>756.80000000000007</v>
      </c>
      <c r="AS186" s="11">
        <f t="shared" si="19"/>
        <v>0.42565637022205227</v>
      </c>
      <c r="AT186" s="9">
        <f t="shared" si="20"/>
        <v>4</v>
      </c>
      <c r="AU186" s="9">
        <f t="shared" si="21"/>
        <v>2024</v>
      </c>
      <c r="AV186" s="9" t="b">
        <f t="shared" si="22"/>
        <v>0</v>
      </c>
      <c r="AW186" s="9" t="b">
        <f t="shared" si="23"/>
        <v>0</v>
      </c>
      <c r="AX186" s="9" t="str">
        <f t="shared" si="24"/>
        <v>No</v>
      </c>
      <c r="AY186" s="9" t="str">
        <f t="shared" si="29"/>
        <v>Refunded order summarized separately; Returned order excluded</v>
      </c>
      <c r="AZ186" s="9" t="str">
        <f>IF(OR(G186="Missing date",G186="Invalid date",G186="Ship date before order date",NOT(ISNUMBER(AP186)),AP186&lt;0,AP186&gt;0.5,AV186=TRUE,AW186=TRUE),"Invalid",IF(OR(O186="Unknown",Z186="Unknown",AC186="",AH186&lt;&gt;"Paid",AJ186&lt;&gt;"Completed",AO186&lt;&gt;""),"Warning","Clean"))</f>
        <v>Warning</v>
      </c>
    </row>
    <row r="187" spans="1:52" ht="15.75" customHeight="1">
      <c r="A187" s="6" t="s">
        <v>1086</v>
      </c>
      <c r="B187" s="7" t="s">
        <v>187</v>
      </c>
      <c r="C187" s="7" t="str">
        <f t="shared" si="28"/>
        <v>2024-11</v>
      </c>
      <c r="D187" s="7" cm="1">
        <f t="array" ref="D187">_xlfn.LET(_xlpm.x,B187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45601</v>
      </c>
      <c r="E187" s="7" t="s">
        <v>1087</v>
      </c>
      <c r="F187" s="7" cm="1">
        <f t="array" ref="F187">_xlfn.LET(_xlpm.x,E187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45609</v>
      </c>
      <c r="G187" s="8" t="str">
        <f t="shared" si="1"/>
        <v>OK</v>
      </c>
      <c r="H187" s="6">
        <f t="shared" si="2"/>
        <v>8</v>
      </c>
      <c r="I187" s="6" t="s">
        <v>1088</v>
      </c>
      <c r="J187" s="6" t="s">
        <v>153</v>
      </c>
      <c r="K187" s="6" t="str">
        <f t="shared" si="3"/>
        <v>Arjun Bose</v>
      </c>
      <c r="L187" s="6" t="s">
        <v>43</v>
      </c>
      <c r="M187" s="8" t="str">
        <f t="shared" si="4"/>
        <v>Consumer</v>
      </c>
      <c r="N187" s="6"/>
      <c r="O187" s="6" t="str">
        <f t="shared" si="5"/>
        <v>Unknown</v>
      </c>
      <c r="P187" s="6" t="s">
        <v>232</v>
      </c>
      <c r="Q187" s="6" t="str">
        <f t="shared" si="6"/>
        <v>Punjab</v>
      </c>
      <c r="R187" s="6" t="s">
        <v>233</v>
      </c>
      <c r="S187" s="6" t="str">
        <f t="shared" si="7"/>
        <v>Ludhiana</v>
      </c>
      <c r="T187" s="6" t="s">
        <v>20</v>
      </c>
      <c r="U187" s="8" t="str">
        <f t="shared" si="8"/>
        <v>Office Supplies</v>
      </c>
      <c r="V187" s="6" t="s">
        <v>23</v>
      </c>
      <c r="W187" s="6" t="str">
        <f t="shared" si="9"/>
        <v>Labels</v>
      </c>
      <c r="X187" s="6" t="s">
        <v>1089</v>
      </c>
      <c r="Y187" s="6" t="s">
        <v>36</v>
      </c>
      <c r="Z187" s="6" t="str">
        <f t="shared" si="10"/>
        <v>Second Class</v>
      </c>
      <c r="AA187" s="6">
        <v>2</v>
      </c>
      <c r="AB187" s="6">
        <v>1003.17</v>
      </c>
      <c r="AC187" s="6">
        <v>0.2</v>
      </c>
      <c r="AD187" s="6">
        <v>1605.07</v>
      </c>
      <c r="AE187" s="6">
        <v>1337.28</v>
      </c>
      <c r="AF187" s="6">
        <v>267.79000000000002</v>
      </c>
      <c r="AG187" s="6" t="s">
        <v>52</v>
      </c>
      <c r="AH187" s="6" t="str">
        <f t="shared" si="11"/>
        <v>Paid</v>
      </c>
      <c r="AI187" s="6" t="s">
        <v>134</v>
      </c>
      <c r="AJ187" s="6" t="str">
        <f t="shared" si="12"/>
        <v>Completed</v>
      </c>
      <c r="AK187" s="9" t="str">
        <f>_xlfn.TEXTJOIN("|",FALSE,A187,TEXT(B187,"mm-dd-yyyy"),TEXT(E187,"mm-dd-yyyy"),I187,J187,L187,N187,P187,R187,T187,V187,X187,Y187,AA187,AB187,AC187,AD187,AE187,AF187,AG187,AI187)</f>
        <v>ORD-2024-10186|11-05-2024|11-13-2024|CUST-4968|Arjun Bose|Consumer||Punjab|Ludhiana|Office Supplies|Labels|Smart Labels 475|Second Class|2|1003.17|0.2|1605.07|1337.28|267.79|Paid|Completed</v>
      </c>
      <c r="AL187" s="27" t="str">
        <f>IF(COUNTIF($AK$2:AK187,AK187)&gt;1,"Remove exact duplicate copy","Keep")</f>
        <v>Keep</v>
      </c>
      <c r="AM187" s="9">
        <f t="shared" si="13"/>
        <v>1</v>
      </c>
      <c r="AN187" s="9" t="str">
        <f t="shared" si="14"/>
        <v>Unique</v>
      </c>
      <c r="AO187" s="9" t="str">
        <f t="shared" si="15"/>
        <v/>
      </c>
      <c r="AP187" s="9">
        <f t="shared" si="16"/>
        <v>0.2</v>
      </c>
      <c r="AQ187" s="10">
        <f t="shared" si="17"/>
        <v>1605.0720000000001</v>
      </c>
      <c r="AR187" s="10">
        <f t="shared" si="18"/>
        <v>267.79200000000014</v>
      </c>
      <c r="AS187" s="11">
        <f t="shared" si="19"/>
        <v>0.16684111366966722</v>
      </c>
      <c r="AT187" s="9">
        <f t="shared" si="20"/>
        <v>11</v>
      </c>
      <c r="AU187" s="9">
        <f t="shared" si="21"/>
        <v>2024</v>
      </c>
      <c r="AV187" s="9" t="b">
        <f t="shared" si="22"/>
        <v>0</v>
      </c>
      <c r="AW187" s="9" t="b">
        <f t="shared" si="23"/>
        <v>0</v>
      </c>
      <c r="AX187" s="9" t="str">
        <f t="shared" si="24"/>
        <v>Yes</v>
      </c>
      <c r="AY187" s="9" t="str">
        <f t="shared" si="29"/>
        <v>Missing region filled as Unknown</v>
      </c>
      <c r="AZ187" s="9" t="str">
        <f>IF(OR(G187="Missing date",G187="Invalid date",G187="Ship date before order date",NOT(ISNUMBER(AP187)),AP187&lt;0,AP187&gt;0.5,AV187=TRUE,AW187=TRUE),"Invalid",IF(OR(O187="Unknown",Z187="Unknown",AC187="",AH187&lt;&gt;"Paid",AJ187&lt;&gt;"Completed",AO187&lt;&gt;""),"Warning","Clean"))</f>
        <v>Warning</v>
      </c>
    </row>
    <row r="188" spans="1:52" ht="15.75" customHeight="1">
      <c r="A188" s="6" t="s">
        <v>1090</v>
      </c>
      <c r="B188" s="7" t="s">
        <v>406</v>
      </c>
      <c r="C188" s="7" t="str">
        <f t="shared" si="28"/>
        <v>2024-07</v>
      </c>
      <c r="D188" s="7" cm="1">
        <f t="array" ref="D188">_xlfn.LET(_xlpm.x,B188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45492</v>
      </c>
      <c r="E188" s="7" t="s">
        <v>1091</v>
      </c>
      <c r="F188" s="7" cm="1">
        <f t="array" ref="F188">_xlfn.LET(_xlpm.x,E188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45493</v>
      </c>
      <c r="G188" s="8" t="str">
        <f t="shared" si="1"/>
        <v>OK</v>
      </c>
      <c r="H188" s="6">
        <f t="shared" si="2"/>
        <v>1</v>
      </c>
      <c r="I188" s="6" t="s">
        <v>441</v>
      </c>
      <c r="J188" s="6" t="s">
        <v>169</v>
      </c>
      <c r="K188" s="6" t="str">
        <f t="shared" si="3"/>
        <v>Vikram Iyer</v>
      </c>
      <c r="L188" s="6" t="s">
        <v>43</v>
      </c>
      <c r="M188" s="8" t="str">
        <f t="shared" si="4"/>
        <v>Consumer</v>
      </c>
      <c r="N188" s="6" t="s">
        <v>10</v>
      </c>
      <c r="O188" s="6" t="str">
        <f t="shared" si="5"/>
        <v>South</v>
      </c>
      <c r="P188" s="6" t="s">
        <v>413</v>
      </c>
      <c r="Q188" s="6" t="str">
        <f t="shared" si="6"/>
        <v>Tamil Nadu</v>
      </c>
      <c r="R188" s="6" t="s">
        <v>414</v>
      </c>
      <c r="S188" s="6" t="str">
        <f t="shared" si="7"/>
        <v>Chennai</v>
      </c>
      <c r="T188" s="6" t="s">
        <v>14</v>
      </c>
      <c r="U188" s="8" t="str">
        <f t="shared" si="8"/>
        <v>Furniture</v>
      </c>
      <c r="V188" s="6" t="s">
        <v>18</v>
      </c>
      <c r="W188" s="6" t="str">
        <f t="shared" si="9"/>
        <v>Tables</v>
      </c>
      <c r="X188" s="6" t="s">
        <v>1092</v>
      </c>
      <c r="Y188" s="6" t="s">
        <v>35</v>
      </c>
      <c r="Z188" s="6" t="str">
        <f t="shared" si="10"/>
        <v>First Class</v>
      </c>
      <c r="AA188" s="6">
        <v>7</v>
      </c>
      <c r="AB188" s="6">
        <v>3608.43</v>
      </c>
      <c r="AC188" s="6">
        <v>0.05</v>
      </c>
      <c r="AD188" s="6">
        <v>23996.06</v>
      </c>
      <c r="AE188" s="6">
        <v>20167.28</v>
      </c>
      <c r="AF188" s="6">
        <v>3828.78</v>
      </c>
      <c r="AG188" s="6" t="s">
        <v>52</v>
      </c>
      <c r="AH188" s="6" t="str">
        <f t="shared" si="11"/>
        <v>Paid</v>
      </c>
      <c r="AI188" s="6" t="s">
        <v>134</v>
      </c>
      <c r="AJ188" s="6" t="str">
        <f t="shared" si="12"/>
        <v>Completed</v>
      </c>
      <c r="AK188" s="9" t="str">
        <f>_xlfn.TEXTJOIN("|",FALSE,A188,TEXT(B188,"mm-dd-yyyy"),TEXT(E188,"mm-dd-yyyy"),I188,J188,L188,N188,P188,R188,T188,V188,X188,Y188,AA188,AB188,AC188,AD188,AE188,AF188,AG188,AI188)</f>
        <v>ORD-2024-10187|19-07-2024|07-20-2024|CUST-2778|Vikram Iyer|Consumer|South|Tamil Nadu|Chennai|Furniture|Tables|Basic Tables 417|First Class|7|3608.43|0.05|23996.06|20167.28|3828.78|Paid|Completed</v>
      </c>
      <c r="AL188" s="27" t="str">
        <f>IF(COUNTIF($AK$2:AK188,AK188)&gt;1,"Remove exact duplicate copy","Keep")</f>
        <v>Keep</v>
      </c>
      <c r="AM188" s="9">
        <f t="shared" si="13"/>
        <v>1</v>
      </c>
      <c r="AN188" s="9" t="str">
        <f t="shared" si="14"/>
        <v>Unique</v>
      </c>
      <c r="AO188" s="9" t="str">
        <f t="shared" si="15"/>
        <v/>
      </c>
      <c r="AP188" s="9">
        <f t="shared" si="16"/>
        <v>0.05</v>
      </c>
      <c r="AQ188" s="10">
        <f t="shared" si="17"/>
        <v>23996.059499999996</v>
      </c>
      <c r="AR188" s="10">
        <f t="shared" si="18"/>
        <v>3828.7794999999969</v>
      </c>
      <c r="AS188" s="11">
        <f t="shared" si="19"/>
        <v>0.15955867670689838</v>
      </c>
      <c r="AT188" s="9">
        <f t="shared" si="20"/>
        <v>7</v>
      </c>
      <c r="AU188" s="9">
        <f t="shared" si="21"/>
        <v>2024</v>
      </c>
      <c r="AV188" s="9" t="b">
        <f t="shared" si="22"/>
        <v>0</v>
      </c>
      <c r="AW188" s="9" t="b">
        <f t="shared" si="23"/>
        <v>0</v>
      </c>
      <c r="AX188" s="9" t="str">
        <f t="shared" si="24"/>
        <v>Yes</v>
      </c>
      <c r="AY188" s="9" t="str">
        <f t="shared" si="29"/>
        <v/>
      </c>
      <c r="AZ188" s="9" t="str">
        <f>IF(OR(G188="Missing date",G188="Invalid date",G188="Ship date before order date",NOT(ISNUMBER(AP188)),AP188&lt;0,AP188&gt;0.5,AV188=TRUE,AW188=TRUE),"Invalid",IF(OR(O188="Unknown",Z188="Unknown",AC188="",AH188&lt;&gt;"Paid",AJ188&lt;&gt;"Completed",AO188&lt;&gt;""),"Warning","Clean"))</f>
        <v>Clean</v>
      </c>
    </row>
    <row r="189" spans="1:52" ht="15.75" customHeight="1">
      <c r="A189" s="6" t="s">
        <v>1093</v>
      </c>
      <c r="B189" s="7" t="s">
        <v>1094</v>
      </c>
      <c r="C189" s="7" t="str">
        <f t="shared" si="28"/>
        <v>2025-05</v>
      </c>
      <c r="D189" s="7" cm="1">
        <f t="array" ref="D189">_xlfn.LET(_xlpm.x,B189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45778</v>
      </c>
      <c r="E189" s="7" t="s">
        <v>1095</v>
      </c>
      <c r="F189" s="7" cm="1">
        <f t="array" ref="F189">_xlfn.LET(_xlpm.x,E189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45779</v>
      </c>
      <c r="G189" s="8" t="str">
        <f t="shared" si="1"/>
        <v>OK</v>
      </c>
      <c r="H189" s="6">
        <f t="shared" si="2"/>
        <v>1</v>
      </c>
      <c r="I189" s="6" t="s">
        <v>1096</v>
      </c>
      <c r="J189" s="6" t="s">
        <v>139</v>
      </c>
      <c r="K189" s="6" t="str">
        <f t="shared" si="3"/>
        <v>Mira Das</v>
      </c>
      <c r="L189" s="6" t="s">
        <v>43</v>
      </c>
      <c r="M189" s="8" t="str">
        <f t="shared" si="4"/>
        <v>Consumer</v>
      </c>
      <c r="N189" s="6" t="s">
        <v>9</v>
      </c>
      <c r="O189" s="6" t="str">
        <f t="shared" si="5"/>
        <v>West</v>
      </c>
      <c r="P189" s="6" t="s">
        <v>170</v>
      </c>
      <c r="Q189" s="6" t="str">
        <f t="shared" si="6"/>
        <v>Madhya Pradesh</v>
      </c>
      <c r="R189" s="6" t="s">
        <v>171</v>
      </c>
      <c r="S189" s="6" t="str">
        <f t="shared" si="7"/>
        <v>Indore</v>
      </c>
      <c r="T189" s="6" t="s">
        <v>14</v>
      </c>
      <c r="U189" s="8" t="str">
        <f t="shared" si="8"/>
        <v>Furniture</v>
      </c>
      <c r="V189" s="6" t="s">
        <v>16</v>
      </c>
      <c r="W189" s="6" t="str">
        <f t="shared" si="9"/>
        <v>Chairs</v>
      </c>
      <c r="X189" s="6" t="s">
        <v>1097</v>
      </c>
      <c r="Y189" s="6" t="s">
        <v>37</v>
      </c>
      <c r="Z189" s="6" t="str">
        <f t="shared" si="10"/>
        <v>Same Day</v>
      </c>
      <c r="AA189" s="6">
        <v>3</v>
      </c>
      <c r="AB189" s="6">
        <v>2905.74</v>
      </c>
      <c r="AC189" s="6">
        <v>0</v>
      </c>
      <c r="AD189" s="6">
        <v>8717.2199999999993</v>
      </c>
      <c r="AE189" s="6">
        <v>6215.96</v>
      </c>
      <c r="AF189" s="6">
        <v>2501.2600000000002</v>
      </c>
      <c r="AG189" s="6" t="s">
        <v>52</v>
      </c>
      <c r="AH189" s="6" t="str">
        <f t="shared" si="11"/>
        <v>Paid</v>
      </c>
      <c r="AI189" s="6" t="s">
        <v>59</v>
      </c>
      <c r="AJ189" s="6" t="str">
        <f t="shared" si="12"/>
        <v>Returned</v>
      </c>
      <c r="AK189" s="9" t="str">
        <f>_xlfn.TEXTJOIN("|",FALSE,A189,TEXT(B189,"mm-dd-yyyy"),TEXT(E189,"mm-dd-yyyy"),I189,J189,L189,N189,P189,R189,T189,V189,X189,Y189,AA189,AB189,AC189,AD189,AE189,AF189,AG189,AI189)</f>
        <v>ORD-2025-10188|05-01-2025|05-02-2025|CUST-3109|Mira Das|Consumer|West|Madhya Pradesh|Indore|Furniture|Chairs|Pro Chairs 844|Same Day|3|2905.74|0|8717.22|6215.96|2501.26|Paid|Returned</v>
      </c>
      <c r="AL189" s="27" t="str">
        <f>IF(COUNTIF($AK$2:AK189,AK189)&gt;1,"Remove exact duplicate copy","Keep")</f>
        <v>Keep</v>
      </c>
      <c r="AM189" s="9">
        <f t="shared" si="13"/>
        <v>1</v>
      </c>
      <c r="AN189" s="9" t="str">
        <f t="shared" si="14"/>
        <v>Unique</v>
      </c>
      <c r="AO189" s="9" t="str">
        <f t="shared" si="15"/>
        <v/>
      </c>
      <c r="AP189" s="9">
        <f t="shared" si="16"/>
        <v>0</v>
      </c>
      <c r="AQ189" s="10">
        <f t="shared" si="17"/>
        <v>8717.2199999999993</v>
      </c>
      <c r="AR189" s="10">
        <f t="shared" si="18"/>
        <v>2501.2599999999993</v>
      </c>
      <c r="AS189" s="11">
        <f t="shared" si="19"/>
        <v>0.28693321953558582</v>
      </c>
      <c r="AT189" s="9">
        <f t="shared" si="20"/>
        <v>5</v>
      </c>
      <c r="AU189" s="9">
        <f t="shared" si="21"/>
        <v>2025</v>
      </c>
      <c r="AV189" s="9" t="b">
        <f t="shared" si="22"/>
        <v>0</v>
      </c>
      <c r="AW189" s="9" t="b">
        <f t="shared" si="23"/>
        <v>0</v>
      </c>
      <c r="AX189" s="9" t="str">
        <f t="shared" si="24"/>
        <v>No</v>
      </c>
      <c r="AY189" s="9" t="str">
        <f t="shared" si="29"/>
        <v>Returned order excluded</v>
      </c>
      <c r="AZ189" s="9" t="str">
        <f>IF(OR(G189="Missing date",G189="Invalid date",G189="Ship date before order date",NOT(ISNUMBER(AP189)),AP189&lt;0,AP189&gt;0.5,AV189=TRUE,AW189=TRUE),"Invalid",IF(OR(O189="Unknown",Z189="Unknown",AC189="",AH189&lt;&gt;"Paid",AJ189&lt;&gt;"Completed",AO189&lt;&gt;""),"Warning","Clean"))</f>
        <v>Warning</v>
      </c>
    </row>
    <row r="190" spans="1:52" ht="15.75" customHeight="1">
      <c r="A190" s="6" t="s">
        <v>1098</v>
      </c>
      <c r="B190" s="7" t="s">
        <v>1099</v>
      </c>
      <c r="C190" s="7" t="str">
        <f t="shared" si="28"/>
        <v>2025-05</v>
      </c>
      <c r="D190" s="7" cm="1">
        <f t="array" ref="D190">_xlfn.LET(_xlpm.x,B190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45798</v>
      </c>
      <c r="E190" s="7" t="s">
        <v>1100</v>
      </c>
      <c r="F190" s="7" cm="1">
        <f t="array" ref="F190">_xlfn.LET(_xlpm.x,E190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45805</v>
      </c>
      <c r="G190" s="8" t="str">
        <f t="shared" si="1"/>
        <v>OK</v>
      </c>
      <c r="H190" s="6">
        <f t="shared" si="2"/>
        <v>7</v>
      </c>
      <c r="I190" s="6" t="s">
        <v>1101</v>
      </c>
      <c r="J190" s="6" t="s">
        <v>220</v>
      </c>
      <c r="K190" s="6" t="str">
        <f t="shared" si="3"/>
        <v>Priya Menon</v>
      </c>
      <c r="L190" s="6" t="s">
        <v>45</v>
      </c>
      <c r="M190" s="8" t="str">
        <f t="shared" si="4"/>
        <v>Corporate</v>
      </c>
      <c r="N190" s="6" t="s">
        <v>8</v>
      </c>
      <c r="O190" s="6" t="str">
        <f t="shared" si="5"/>
        <v>East</v>
      </c>
      <c r="P190" s="6" t="s">
        <v>201</v>
      </c>
      <c r="Q190" s="6" t="str">
        <f t="shared" si="6"/>
        <v>West Bengal</v>
      </c>
      <c r="R190" s="6" t="s">
        <v>202</v>
      </c>
      <c r="S190" s="6" t="str">
        <f t="shared" si="7"/>
        <v>Kolkata</v>
      </c>
      <c r="T190" s="6" t="s">
        <v>14</v>
      </c>
      <c r="U190" s="8" t="str">
        <f t="shared" si="8"/>
        <v>Furniture</v>
      </c>
      <c r="V190" s="6" t="s">
        <v>15</v>
      </c>
      <c r="W190" s="6" t="str">
        <f t="shared" si="9"/>
        <v>Bookcases</v>
      </c>
      <c r="X190" s="6" t="s">
        <v>1102</v>
      </c>
      <c r="Y190" s="6" t="s">
        <v>37</v>
      </c>
      <c r="Z190" s="6" t="str">
        <f t="shared" si="10"/>
        <v>Same Day</v>
      </c>
      <c r="AA190" s="6">
        <v>2</v>
      </c>
      <c r="AB190" s="6">
        <v>3559.57</v>
      </c>
      <c r="AC190" s="6">
        <v>0.1</v>
      </c>
      <c r="AD190" s="6">
        <v>6553.95</v>
      </c>
      <c r="AE190" s="6">
        <v>4923.09</v>
      </c>
      <c r="AF190" s="6">
        <v>1484.14</v>
      </c>
      <c r="AG190" s="6" t="s">
        <v>52</v>
      </c>
      <c r="AH190" s="6" t="str">
        <f t="shared" si="11"/>
        <v>Paid</v>
      </c>
      <c r="AI190" s="6" t="s">
        <v>134</v>
      </c>
      <c r="AJ190" s="6" t="str">
        <f t="shared" si="12"/>
        <v>Completed</v>
      </c>
      <c r="AK190" s="9" t="str">
        <f>_xlfn.TEXTJOIN("|",FALSE,A190,TEXT(B190,"mm-dd-yyyy"),TEXT(E190,"mm-dd-yyyy"),I190,J190,L190,N190,P190,R190,T190,V190,X190,Y190,AA190,AB190,AC190,AD190,AE190,AF190,AG190,AI190)</f>
        <v>ORD-2025-10189|05-21-2025|05-28-2025|CUST-3422|Priya Menon|Corporate|East|West Bengal|Kolkata|Furniture|Bookcases|Elite Bookcases 883|Same Day|2|3559.57|0.1|6553.95|4923.09|1484.14|Paid|Completed</v>
      </c>
      <c r="AL190" s="27" t="str">
        <f>IF(COUNTIF($AK$2:AK190,AK190)&gt;1,"Remove exact duplicate copy","Keep")</f>
        <v>Keep</v>
      </c>
      <c r="AM190" s="9">
        <f t="shared" si="13"/>
        <v>1</v>
      </c>
      <c r="AN190" s="9" t="str">
        <f t="shared" si="14"/>
        <v>Unique</v>
      </c>
      <c r="AO190" s="9" t="str">
        <f t="shared" si="15"/>
        <v/>
      </c>
      <c r="AP190" s="9">
        <f t="shared" si="16"/>
        <v>0.1</v>
      </c>
      <c r="AQ190" s="10">
        <f t="shared" si="17"/>
        <v>6407.2260000000006</v>
      </c>
      <c r="AR190" s="10">
        <f t="shared" si="18"/>
        <v>1484.1360000000004</v>
      </c>
      <c r="AS190" s="11">
        <f t="shared" si="19"/>
        <v>0.23163471992403581</v>
      </c>
      <c r="AT190" s="9">
        <f t="shared" si="20"/>
        <v>5</v>
      </c>
      <c r="AU190" s="9">
        <f t="shared" si="21"/>
        <v>2025</v>
      </c>
      <c r="AV190" s="9" t="b">
        <f t="shared" si="22"/>
        <v>1</v>
      </c>
      <c r="AW190" s="9" t="b">
        <f t="shared" si="23"/>
        <v>0</v>
      </c>
      <c r="AX190" s="9" t="str">
        <f t="shared" si="24"/>
        <v>No</v>
      </c>
      <c r="AY190" s="9" t="str">
        <f t="shared" si="29"/>
        <v>Sales mismatch</v>
      </c>
      <c r="AZ190" s="9" t="str">
        <f>IF(OR(G190="Missing date",G190="Invalid date",G190="Ship date before order date",NOT(ISNUMBER(AP190)),AP190&lt;0,AP190&gt;0.5,AV190=TRUE,AW190=TRUE),"Invalid",IF(OR(O190="Unknown",Z190="Unknown",AC190="",AH190&lt;&gt;"Paid",AJ190&lt;&gt;"Completed",AO190&lt;&gt;""),"Warning","Clean"))</f>
        <v>Invalid</v>
      </c>
    </row>
    <row r="191" spans="1:52" ht="15.75" customHeight="1">
      <c r="A191" s="6" t="s">
        <v>1103</v>
      </c>
      <c r="B191" s="7" t="s">
        <v>1104</v>
      </c>
      <c r="C191" s="7" t="str">
        <f t="shared" si="28"/>
        <v>2025-05</v>
      </c>
      <c r="D191" s="7" cm="1">
        <f t="array" ref="D191">_xlfn.LET(_xlpm.x,B191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45783</v>
      </c>
      <c r="E191" s="7" t="s">
        <v>1105</v>
      </c>
      <c r="F191" s="7" cm="1">
        <f t="array" ref="F191">_xlfn.LET(_xlpm.x,E191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45784</v>
      </c>
      <c r="G191" s="8" t="str">
        <f t="shared" si="1"/>
        <v>OK</v>
      </c>
      <c r="H191" s="6">
        <f t="shared" si="2"/>
        <v>1</v>
      </c>
      <c r="I191" s="6" t="s">
        <v>1106</v>
      </c>
      <c r="J191" s="6" t="s">
        <v>153</v>
      </c>
      <c r="K191" s="6" t="str">
        <f t="shared" si="3"/>
        <v>Arjun Bose</v>
      </c>
      <c r="L191" s="6" t="s">
        <v>43</v>
      </c>
      <c r="M191" s="8" t="str">
        <f t="shared" si="4"/>
        <v>Consumer</v>
      </c>
      <c r="N191" s="6" t="s">
        <v>9</v>
      </c>
      <c r="O191" s="6" t="str">
        <f t="shared" si="5"/>
        <v>West</v>
      </c>
      <c r="P191" s="6" t="s">
        <v>131</v>
      </c>
      <c r="Q191" s="6" t="str">
        <f t="shared" si="6"/>
        <v>Rajasthan</v>
      </c>
      <c r="R191" s="6" t="s">
        <v>214</v>
      </c>
      <c r="S191" s="6" t="str">
        <f t="shared" si="7"/>
        <v>Udaipur</v>
      </c>
      <c r="T191" s="6" t="s">
        <v>14</v>
      </c>
      <c r="U191" s="8" t="str">
        <f t="shared" si="8"/>
        <v>Furniture</v>
      </c>
      <c r="V191" s="6" t="s">
        <v>15</v>
      </c>
      <c r="W191" s="6" t="str">
        <f t="shared" si="9"/>
        <v>Bookcases</v>
      </c>
      <c r="X191" s="6" t="s">
        <v>1107</v>
      </c>
      <c r="Y191" s="6" t="s">
        <v>35</v>
      </c>
      <c r="Z191" s="6" t="str">
        <f t="shared" si="10"/>
        <v>First Class</v>
      </c>
      <c r="AA191" s="6">
        <v>9</v>
      </c>
      <c r="AB191" s="6">
        <v>3318.24</v>
      </c>
      <c r="AC191" s="6"/>
      <c r="AD191" s="6">
        <v>25384.54</v>
      </c>
      <c r="AE191" s="6">
        <v>16872.39</v>
      </c>
      <c r="AF191" s="6">
        <v>8512.15</v>
      </c>
      <c r="AG191" s="6" t="s">
        <v>52</v>
      </c>
      <c r="AH191" s="6" t="str">
        <f t="shared" si="11"/>
        <v>Paid</v>
      </c>
      <c r="AI191" s="6" t="s">
        <v>1108</v>
      </c>
      <c r="AJ191" s="6" t="str">
        <f t="shared" si="12"/>
        <v>Completed</v>
      </c>
      <c r="AK191" s="9" t="str">
        <f>_xlfn.TEXTJOIN("|",FALSE,A191,TEXT(B191,"mm-dd-yyyy"),TEXT(E191,"mm-dd-yyyy"),I191,J191,L191,N191,P191,R191,T191,V191,X191,Y191,AA191,AB191,AC191,AD191,AE191,AF191,AG191,AI191)</f>
        <v>ORD-2025-10190|05-06-2025|05-07-2025|CUST-3375|Arjun Bose|Consumer|West|Rajasthan|Udaipur|Furniture|Bookcases|Basic Bookcases 754|First Class|9|3318.24||25384.54|16872.39|8512.15|Paid|completed</v>
      </c>
      <c r="AL191" s="27" t="str">
        <f>IF(COUNTIF($AK$2:AK191,AK191)&gt;1,"Remove exact duplicate copy","Keep")</f>
        <v>Keep</v>
      </c>
      <c r="AM191" s="9">
        <f t="shared" si="13"/>
        <v>1</v>
      </c>
      <c r="AN191" s="9" t="str">
        <f t="shared" si="14"/>
        <v>Unique</v>
      </c>
      <c r="AO191" s="9" t="str">
        <f t="shared" si="15"/>
        <v/>
      </c>
      <c r="AP191" s="9">
        <f t="shared" si="16"/>
        <v>0</v>
      </c>
      <c r="AQ191" s="10">
        <f t="shared" si="17"/>
        <v>29864.159999999996</v>
      </c>
      <c r="AR191" s="10">
        <f t="shared" si="18"/>
        <v>12991.769999999997</v>
      </c>
      <c r="AS191" s="11">
        <f t="shared" si="19"/>
        <v>0.43502881045373448</v>
      </c>
      <c r="AT191" s="9">
        <f t="shared" si="20"/>
        <v>5</v>
      </c>
      <c r="AU191" s="9">
        <f t="shared" si="21"/>
        <v>2025</v>
      </c>
      <c r="AV191" s="9" t="b">
        <f t="shared" si="22"/>
        <v>1</v>
      </c>
      <c r="AW191" s="9" t="b">
        <f t="shared" si="23"/>
        <v>1</v>
      </c>
      <c r="AX191" s="9" t="str">
        <f t="shared" si="24"/>
        <v>No</v>
      </c>
      <c r="AY191" s="9" t="str">
        <f t="shared" si="29"/>
        <v>Missing discount treated as 0; Sales mismatch; Profit mismatch</v>
      </c>
      <c r="AZ191" s="9" t="str">
        <f>IF(OR(G191="Missing date",G191="Invalid date",G191="Ship date before order date",NOT(ISNUMBER(AP191)),AP191&lt;0,AP191&gt;0.5,AV191=TRUE,AW191=TRUE),"Invalid",IF(OR(O191="Unknown",Z191="Unknown",AC191="",AH191&lt;&gt;"Paid",AJ191&lt;&gt;"Completed",AO191&lt;&gt;""),"Warning","Clean"))</f>
        <v>Invalid</v>
      </c>
    </row>
    <row r="192" spans="1:52" ht="15.75" customHeight="1">
      <c r="A192" s="6" t="s">
        <v>1109</v>
      </c>
      <c r="B192" s="7" t="s">
        <v>1110</v>
      </c>
      <c r="C192" s="7" t="str">
        <f t="shared" si="28"/>
        <v>2025-04</v>
      </c>
      <c r="D192" s="7" cm="1">
        <f t="array" ref="D192">_xlfn.LET(_xlpm.x,B192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45767</v>
      </c>
      <c r="E192" s="7" t="s">
        <v>1111</v>
      </c>
      <c r="F192" s="7" cm="1">
        <f t="array" ref="F192">_xlfn.LET(_xlpm.x,E192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45768</v>
      </c>
      <c r="G192" s="8" t="str">
        <f t="shared" si="1"/>
        <v>OK</v>
      </c>
      <c r="H192" s="6">
        <f t="shared" si="2"/>
        <v>1</v>
      </c>
      <c r="I192" s="6" t="s">
        <v>1112</v>
      </c>
      <c r="J192" s="6" t="s">
        <v>190</v>
      </c>
      <c r="K192" s="6" t="str">
        <f t="shared" si="3"/>
        <v>Aditi Sen</v>
      </c>
      <c r="L192" s="6" t="s">
        <v>43</v>
      </c>
      <c r="M192" s="8" t="str">
        <f t="shared" si="4"/>
        <v>Consumer</v>
      </c>
      <c r="N192" s="6" t="s">
        <v>10</v>
      </c>
      <c r="O192" s="6" t="str">
        <f t="shared" si="5"/>
        <v>South</v>
      </c>
      <c r="P192" s="6" t="s">
        <v>413</v>
      </c>
      <c r="Q192" s="6" t="str">
        <f t="shared" si="6"/>
        <v>Tamil Nadu</v>
      </c>
      <c r="R192" s="6" t="s">
        <v>414</v>
      </c>
      <c r="S192" s="6" t="str">
        <f t="shared" si="7"/>
        <v>Chennai</v>
      </c>
      <c r="T192" s="6" t="s">
        <v>20</v>
      </c>
      <c r="U192" s="8" t="str">
        <f t="shared" si="8"/>
        <v>Office Supplies</v>
      </c>
      <c r="V192" s="6" t="s">
        <v>25</v>
      </c>
      <c r="W192" s="6" t="str">
        <f t="shared" si="9"/>
        <v>Storage</v>
      </c>
      <c r="X192" s="6" t="s">
        <v>1113</v>
      </c>
      <c r="Y192" s="6" t="s">
        <v>35</v>
      </c>
      <c r="Z192" s="6" t="str">
        <f t="shared" si="10"/>
        <v>First Class</v>
      </c>
      <c r="AA192" s="6">
        <v>3</v>
      </c>
      <c r="AB192" s="6">
        <v>540.09</v>
      </c>
      <c r="AC192" s="6">
        <v>0.1</v>
      </c>
      <c r="AD192" s="6">
        <v>1458.24</v>
      </c>
      <c r="AE192" s="6">
        <v>943.32</v>
      </c>
      <c r="AF192" s="6">
        <v>514.91999999999996</v>
      </c>
      <c r="AG192" s="6" t="s">
        <v>52</v>
      </c>
      <c r="AH192" s="6" t="str">
        <f t="shared" si="11"/>
        <v>Paid</v>
      </c>
      <c r="AI192" s="6" t="s">
        <v>1114</v>
      </c>
      <c r="AJ192" s="6" t="str">
        <f t="shared" si="12"/>
        <v>Completed</v>
      </c>
      <c r="AK192" s="9" t="str">
        <f>_xlfn.TEXTJOIN("|",FALSE,A192,TEXT(B192,"mm-dd-yyyy"),TEXT(E192,"mm-dd-yyyy"),I192,J192,L192,N192,P192,R192,T192,V192,X192,Y192,AA192,AB192,AC192,AD192,AE192,AF192,AG192,AI192)</f>
        <v xml:space="preserve">ORD-2025-10191|20-04-2025|04-21-2025|CUST-5138|Aditi Sen|Consumer|South|Tamil Nadu|Chennai|Office Supplies|Storage|Eco Storage 158|First Class|3|540.09|0.1|1458.24|943.32|514.92|Paid|  Completed </v>
      </c>
      <c r="AL192" s="27" t="str">
        <f>IF(COUNTIF($AK$2:AK192,AK192)&gt;1,"Remove exact duplicate copy","Keep")</f>
        <v>Keep</v>
      </c>
      <c r="AM192" s="9">
        <f t="shared" si="13"/>
        <v>1</v>
      </c>
      <c r="AN192" s="9" t="str">
        <f t="shared" si="14"/>
        <v>Unique</v>
      </c>
      <c r="AO192" s="9" t="str">
        <f t="shared" si="15"/>
        <v/>
      </c>
      <c r="AP192" s="9">
        <f t="shared" si="16"/>
        <v>0.1</v>
      </c>
      <c r="AQ192" s="10">
        <f t="shared" si="17"/>
        <v>1458.2429999999999</v>
      </c>
      <c r="AR192" s="10">
        <f t="shared" si="18"/>
        <v>514.92299999999989</v>
      </c>
      <c r="AS192" s="11">
        <f t="shared" si="19"/>
        <v>0.35311192990468659</v>
      </c>
      <c r="AT192" s="9">
        <f t="shared" si="20"/>
        <v>4</v>
      </c>
      <c r="AU192" s="9">
        <f t="shared" si="21"/>
        <v>2025</v>
      </c>
      <c r="AV192" s="9" t="b">
        <f t="shared" si="22"/>
        <v>0</v>
      </c>
      <c r="AW192" s="9" t="b">
        <f t="shared" si="23"/>
        <v>0</v>
      </c>
      <c r="AX192" s="9" t="str">
        <f t="shared" si="24"/>
        <v>Yes</v>
      </c>
      <c r="AY192" s="9" t="str">
        <f t="shared" si="29"/>
        <v/>
      </c>
      <c r="AZ192" s="9" t="str">
        <f>IF(OR(G192="Missing date",G192="Invalid date",G192="Ship date before order date",NOT(ISNUMBER(AP192)),AP192&lt;0,AP192&gt;0.5,AV192=TRUE,AW192=TRUE),"Invalid",IF(OR(O192="Unknown",Z192="Unknown",AC192="",AH192&lt;&gt;"Paid",AJ192&lt;&gt;"Completed",AO192&lt;&gt;""),"Warning","Clean"))</f>
        <v>Clean</v>
      </c>
    </row>
    <row r="193" spans="1:52" ht="15.75" customHeight="1">
      <c r="A193" s="6" t="s">
        <v>1115</v>
      </c>
      <c r="B193" s="7" t="s">
        <v>1116</v>
      </c>
      <c r="C193" s="7" t="str">
        <f t="shared" si="28"/>
        <v>2024-10</v>
      </c>
      <c r="D193" s="7" cm="1">
        <f t="array" ref="D193">_xlfn.LET(_xlpm.x,B193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45584</v>
      </c>
      <c r="E193" s="7" t="s">
        <v>724</v>
      </c>
      <c r="F193" s="7" cm="1">
        <f t="array" ref="F193">_xlfn.LET(_xlpm.x,E193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45589</v>
      </c>
      <c r="G193" s="8" t="str">
        <f t="shared" si="1"/>
        <v>OK</v>
      </c>
      <c r="H193" s="6">
        <f t="shared" si="2"/>
        <v>5</v>
      </c>
      <c r="I193" s="6" t="s">
        <v>1117</v>
      </c>
      <c r="J193" s="6" t="s">
        <v>245</v>
      </c>
      <c r="K193" s="6" t="str">
        <f t="shared" si="3"/>
        <v>Sneha Kapoor</v>
      </c>
      <c r="L193" s="6" t="s">
        <v>46</v>
      </c>
      <c r="M193" s="8" t="str">
        <f t="shared" si="4"/>
        <v>Small Business</v>
      </c>
      <c r="N193" s="6" t="s">
        <v>10</v>
      </c>
      <c r="O193" s="6" t="str">
        <f t="shared" si="5"/>
        <v>South</v>
      </c>
      <c r="P193" s="6" t="s">
        <v>413</v>
      </c>
      <c r="Q193" s="6" t="str">
        <f t="shared" si="6"/>
        <v>Tamil Nadu</v>
      </c>
      <c r="R193" s="6" t="s">
        <v>414</v>
      </c>
      <c r="S193" s="6" t="str">
        <f t="shared" si="7"/>
        <v>Chennai</v>
      </c>
      <c r="T193" s="6" t="s">
        <v>14</v>
      </c>
      <c r="U193" s="8" t="str">
        <f t="shared" si="8"/>
        <v>Furniture</v>
      </c>
      <c r="V193" s="6" t="s">
        <v>15</v>
      </c>
      <c r="W193" s="6" t="str">
        <f t="shared" si="9"/>
        <v>Bookcases</v>
      </c>
      <c r="X193" s="6" t="s">
        <v>1118</v>
      </c>
      <c r="Y193" s="6" t="s">
        <v>36</v>
      </c>
      <c r="Z193" s="6" t="str">
        <f t="shared" si="10"/>
        <v>Second Class</v>
      </c>
      <c r="AA193" s="6">
        <v>6</v>
      </c>
      <c r="AB193" s="6">
        <v>4308.3999999999996</v>
      </c>
      <c r="AC193" s="6">
        <v>0.65</v>
      </c>
      <c r="AD193" s="6">
        <v>25850.400000000001</v>
      </c>
      <c r="AE193" s="6">
        <v>19397.68</v>
      </c>
      <c r="AF193" s="6">
        <v>6452.72</v>
      </c>
      <c r="AG193" s="6" t="s">
        <v>52</v>
      </c>
      <c r="AH193" s="6" t="str">
        <f t="shared" si="11"/>
        <v>Paid</v>
      </c>
      <c r="AI193" s="6" t="s">
        <v>134</v>
      </c>
      <c r="AJ193" s="6" t="str">
        <f t="shared" si="12"/>
        <v>Completed</v>
      </c>
      <c r="AK193" s="9" t="str">
        <f>_xlfn.TEXTJOIN("|",FALSE,A193,TEXT(B193,"mm-dd-yyyy"),TEXT(E193,"mm-dd-yyyy"),I193,J193,L193,N193,P193,R193,T193,V193,X193,Y193,AA193,AB193,AC193,AD193,AE193,AF193,AG193,AI193)</f>
        <v>ORD-2024-10192|19-10-2024|10-24-2024|CUST-7410|Sneha Kapoor|Small Business|South|Tamil Nadu|Chennai|Furniture|Bookcases|Prime Bookcases 602|Second Class|6|4308.4|0.65|25850.4|19397.68|6452.72|Paid|Completed</v>
      </c>
      <c r="AL193" s="27" t="str">
        <f>IF(COUNTIF($AK$2:AK193,AK193)&gt;1,"Remove exact duplicate copy","Keep")</f>
        <v>Keep</v>
      </c>
      <c r="AM193" s="9">
        <f t="shared" si="13"/>
        <v>1</v>
      </c>
      <c r="AN193" s="9" t="str">
        <f t="shared" si="14"/>
        <v>Unique</v>
      </c>
      <c r="AO193" s="9" t="str">
        <f t="shared" si="15"/>
        <v/>
      </c>
      <c r="AP193" s="9">
        <f t="shared" si="16"/>
        <v>0.65</v>
      </c>
      <c r="AQ193" s="10">
        <f t="shared" si="17"/>
        <v>9047.64</v>
      </c>
      <c r="AR193" s="10">
        <f t="shared" si="18"/>
        <v>-10350.040000000001</v>
      </c>
      <c r="AS193" s="11">
        <f t="shared" si="19"/>
        <v>-1.1439491403283069</v>
      </c>
      <c r="AT193" s="9">
        <f t="shared" si="20"/>
        <v>10</v>
      </c>
      <c r="AU193" s="9">
        <f t="shared" si="21"/>
        <v>2024</v>
      </c>
      <c r="AV193" s="9" t="b">
        <f t="shared" si="22"/>
        <v>1</v>
      </c>
      <c r="AW193" s="9" t="b">
        <f t="shared" si="23"/>
        <v>1</v>
      </c>
      <c r="AX193" s="9" t="str">
        <f t="shared" si="24"/>
        <v>No</v>
      </c>
      <c r="AY193" s="9" t="str">
        <f t="shared" si="29"/>
        <v>Discount above 50%; Sales mismatch; Profit mismatch</v>
      </c>
      <c r="AZ193" s="9" t="str">
        <f>IF(OR(G193="Missing date",G193="Invalid date",G193="Ship date before order date",NOT(ISNUMBER(AP193)),AP193&lt;0,AP193&gt;0.5,AV193=TRUE,AW193=TRUE),"Invalid",IF(OR(O193="Unknown",Z193="Unknown",AC193="",AH193&lt;&gt;"Paid",AJ193&lt;&gt;"Completed",AO193&lt;&gt;""),"Warning","Clean"))</f>
        <v>Invalid</v>
      </c>
    </row>
    <row r="194" spans="1:52" ht="15.75" customHeight="1">
      <c r="A194" s="6" t="s">
        <v>1119</v>
      </c>
      <c r="B194" s="7" t="s">
        <v>1120</v>
      </c>
      <c r="C194" s="7" t="str">
        <f t="shared" ref="C194:C257" si="30">TEXT(D194, "yyyy-mm")</f>
        <v>2024-12</v>
      </c>
      <c r="D194" s="7" cm="1">
        <f t="array" ref="D194">_xlfn.LET(_xlpm.x,B194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45635</v>
      </c>
      <c r="E194" s="7" t="s">
        <v>1121</v>
      </c>
      <c r="F194" s="7" cm="1">
        <f t="array" ref="F194">_xlfn.LET(_xlpm.x,E194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45642</v>
      </c>
      <c r="G194" s="8" t="str">
        <f t="shared" si="1"/>
        <v>OK</v>
      </c>
      <c r="H194" s="6">
        <f t="shared" si="2"/>
        <v>7</v>
      </c>
      <c r="I194" s="6" t="s">
        <v>1122</v>
      </c>
      <c r="J194" s="6" t="s">
        <v>147</v>
      </c>
      <c r="K194" s="6" t="str">
        <f t="shared" si="3"/>
        <v>Isha Nair</v>
      </c>
      <c r="L194" s="6" t="s">
        <v>44</v>
      </c>
      <c r="M194" s="8" t="str">
        <f t="shared" si="4"/>
        <v>Home Office</v>
      </c>
      <c r="N194" s="6" t="s">
        <v>9</v>
      </c>
      <c r="O194" s="6" t="str">
        <f t="shared" si="5"/>
        <v>West</v>
      </c>
      <c r="P194" s="6" t="s">
        <v>309</v>
      </c>
      <c r="Q194" s="6" t="str">
        <f t="shared" si="6"/>
        <v>Gujarat</v>
      </c>
      <c r="R194" s="6" t="s">
        <v>310</v>
      </c>
      <c r="S194" s="6" t="str">
        <f t="shared" si="7"/>
        <v>Ahmedabad</v>
      </c>
      <c r="T194" s="6" t="s">
        <v>14</v>
      </c>
      <c r="U194" s="8" t="str">
        <f t="shared" si="8"/>
        <v>Furniture</v>
      </c>
      <c r="V194" s="6" t="s">
        <v>16</v>
      </c>
      <c r="W194" s="6" t="str">
        <f t="shared" si="9"/>
        <v>Chairs</v>
      </c>
      <c r="X194" s="6" t="s">
        <v>1123</v>
      </c>
      <c r="Y194" s="6" t="s">
        <v>35</v>
      </c>
      <c r="Z194" s="6" t="str">
        <f t="shared" si="10"/>
        <v>First Class</v>
      </c>
      <c r="AA194" s="6">
        <v>4</v>
      </c>
      <c r="AB194" s="6">
        <v>2191.0300000000002</v>
      </c>
      <c r="AC194" s="6">
        <v>0</v>
      </c>
      <c r="AD194" s="6">
        <v>8764.1200000000008</v>
      </c>
      <c r="AE194" s="6">
        <v>7220.05</v>
      </c>
      <c r="AF194" s="6">
        <v>1544.07</v>
      </c>
      <c r="AG194" s="6" t="s">
        <v>52</v>
      </c>
      <c r="AH194" s="6" t="str">
        <f t="shared" si="11"/>
        <v>Paid</v>
      </c>
      <c r="AI194" s="6" t="s">
        <v>134</v>
      </c>
      <c r="AJ194" s="6" t="str">
        <f t="shared" si="12"/>
        <v>Completed</v>
      </c>
      <c r="AK194" s="9" t="str">
        <f>_xlfn.TEXTJOIN("|",FALSE,A194,TEXT(B194,"mm-dd-yyyy"),TEXT(E194,"mm-dd-yyyy"),I194,J194,L194,N194,P194,R194,T194,V194,X194,Y194,AA194,AB194,AC194,AD194,AE194,AF194,AG194,AI194)</f>
        <v>ORD-2024-10193|12-09-2024|12-16-2024|CUST-7115|Isha Nair|Home Office|West|Gujarat|Ahmedabad|Furniture|Chairs|Eco Chairs 438|First Class|4|2191.03|0|8764.12|7220.05|1544.07|Paid|Completed</v>
      </c>
      <c r="AL194" s="27" t="str">
        <f>IF(COUNTIF($AK$2:AK194,AK194)&gt;1,"Remove exact duplicate copy","Keep")</f>
        <v>Keep</v>
      </c>
      <c r="AM194" s="9">
        <f t="shared" si="13"/>
        <v>1</v>
      </c>
      <c r="AN194" s="9" t="str">
        <f t="shared" si="14"/>
        <v>Unique</v>
      </c>
      <c r="AO194" s="9" t="str">
        <f t="shared" si="15"/>
        <v/>
      </c>
      <c r="AP194" s="9">
        <f t="shared" si="16"/>
        <v>0</v>
      </c>
      <c r="AQ194" s="10">
        <f t="shared" si="17"/>
        <v>8764.1200000000008</v>
      </c>
      <c r="AR194" s="10">
        <f t="shared" si="18"/>
        <v>1544.0700000000006</v>
      </c>
      <c r="AS194" s="11">
        <f t="shared" si="19"/>
        <v>0.17618083732308554</v>
      </c>
      <c r="AT194" s="9">
        <f t="shared" si="20"/>
        <v>12</v>
      </c>
      <c r="AU194" s="9">
        <f t="shared" si="21"/>
        <v>2024</v>
      </c>
      <c r="AV194" s="9" t="b">
        <f t="shared" si="22"/>
        <v>0</v>
      </c>
      <c r="AW194" s="9" t="b">
        <f t="shared" si="23"/>
        <v>0</v>
      </c>
      <c r="AX194" s="9" t="str">
        <f t="shared" si="24"/>
        <v>Yes</v>
      </c>
      <c r="AY194" s="9" t="str">
        <f t="shared" si="29"/>
        <v/>
      </c>
      <c r="AZ194" s="9" t="str">
        <f>IF(OR(G194="Missing date",G194="Invalid date",G194="Ship date before order date",NOT(ISNUMBER(AP194)),AP194&lt;0,AP194&gt;0.5,AV194=TRUE,AW194=TRUE),"Invalid",IF(OR(O194="Unknown",Z194="Unknown",AC194="",AH194&lt;&gt;"Paid",AJ194&lt;&gt;"Completed",AO194&lt;&gt;""),"Warning","Clean"))</f>
        <v>Clean</v>
      </c>
    </row>
    <row r="195" spans="1:52" ht="15.75" customHeight="1">
      <c r="A195" s="6" t="s">
        <v>1124</v>
      </c>
      <c r="B195" s="7" t="s">
        <v>1125</v>
      </c>
      <c r="C195" s="7" t="str">
        <f t="shared" si="30"/>
        <v>2024-06</v>
      </c>
      <c r="D195" s="7" cm="1">
        <f t="array" ref="D195">_xlfn.LET(_xlpm.x,B195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45466</v>
      </c>
      <c r="E195" s="7" t="s">
        <v>1126</v>
      </c>
      <c r="F195" s="7" cm="1">
        <f t="array" ref="F195">_xlfn.LET(_xlpm.x,E195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45471</v>
      </c>
      <c r="G195" s="8" t="str">
        <f t="shared" si="1"/>
        <v>OK</v>
      </c>
      <c r="H195" s="6">
        <f t="shared" si="2"/>
        <v>5</v>
      </c>
      <c r="I195" s="6" t="s">
        <v>1127</v>
      </c>
      <c r="J195" s="6" t="s">
        <v>220</v>
      </c>
      <c r="K195" s="6" t="str">
        <f t="shared" si="3"/>
        <v>Priya Menon</v>
      </c>
      <c r="L195" s="6" t="s">
        <v>46</v>
      </c>
      <c r="M195" s="8" t="str">
        <f t="shared" si="4"/>
        <v>Small Business</v>
      </c>
      <c r="N195" s="6" t="s">
        <v>7</v>
      </c>
      <c r="O195" s="6" t="str">
        <f t="shared" si="5"/>
        <v>North</v>
      </c>
      <c r="P195" s="6" t="s">
        <v>232</v>
      </c>
      <c r="Q195" s="6" t="str">
        <f t="shared" si="6"/>
        <v>Punjab</v>
      </c>
      <c r="R195" s="6" t="s">
        <v>233</v>
      </c>
      <c r="S195" s="6" t="str">
        <f t="shared" si="7"/>
        <v>Ludhiana</v>
      </c>
      <c r="T195" s="6" t="s">
        <v>27</v>
      </c>
      <c r="U195" s="8" t="str">
        <f t="shared" si="8"/>
        <v>Technology</v>
      </c>
      <c r="V195" s="6" t="s">
        <v>29</v>
      </c>
      <c r="W195" s="6" t="str">
        <f t="shared" si="9"/>
        <v>Copiers</v>
      </c>
      <c r="X195" s="6" t="s">
        <v>1128</v>
      </c>
      <c r="Y195" s="6" t="s">
        <v>37</v>
      </c>
      <c r="Z195" s="6" t="str">
        <f t="shared" si="10"/>
        <v>Same Day</v>
      </c>
      <c r="AA195" s="6">
        <v>6</v>
      </c>
      <c r="AB195" s="6">
        <v>1956.63</v>
      </c>
      <c r="AC195" s="6">
        <v>0.2</v>
      </c>
      <c r="AD195" s="6">
        <v>9391.82</v>
      </c>
      <c r="AE195" s="6">
        <v>6013.22</v>
      </c>
      <c r="AF195" s="6">
        <v>3378.6</v>
      </c>
      <c r="AG195" s="6" t="s">
        <v>56</v>
      </c>
      <c r="AH195" s="6" t="str">
        <f t="shared" si="11"/>
        <v>Refunded</v>
      </c>
      <c r="AI195" s="6" t="s">
        <v>59</v>
      </c>
      <c r="AJ195" s="6" t="str">
        <f t="shared" si="12"/>
        <v>Returned</v>
      </c>
      <c r="AK195" s="9" t="str">
        <f>_xlfn.TEXTJOIN("|",FALSE,A195,TEXT(B195,"mm-dd-yyyy"),TEXT(E195,"mm-dd-yyyy"),I195,J195,L195,N195,P195,R195,T195,V195,X195,Y195,AA195,AB195,AC195,AD195,AE195,AF195,AG195,AI195)</f>
        <v>ORD-2024-10194|06-23-2024|28-06-2024|CUST-9853|Priya Menon|Small Business|North|Punjab|Ludhiana|Technology|Copiers|Prime Copiers 142|Same Day|6|1956.63|0.2|9391.82|6013.22|3378.6|Refunded|Returned</v>
      </c>
      <c r="AL195" s="27" t="str">
        <f>IF(COUNTIF($AK$2:AK195,AK195)&gt;1,"Remove exact duplicate copy","Keep")</f>
        <v>Keep</v>
      </c>
      <c r="AM195" s="9">
        <f t="shared" si="13"/>
        <v>1</v>
      </c>
      <c r="AN195" s="9" t="str">
        <f t="shared" si="14"/>
        <v>Unique</v>
      </c>
      <c r="AO195" s="9" t="str">
        <f t="shared" si="15"/>
        <v/>
      </c>
      <c r="AP195" s="9">
        <f t="shared" si="16"/>
        <v>0.2</v>
      </c>
      <c r="AQ195" s="10">
        <f t="shared" si="17"/>
        <v>9391.8240000000005</v>
      </c>
      <c r="AR195" s="10">
        <f t="shared" si="18"/>
        <v>3378.6040000000003</v>
      </c>
      <c r="AS195" s="11">
        <f t="shared" si="19"/>
        <v>0.35973885370935399</v>
      </c>
      <c r="AT195" s="9">
        <f t="shared" si="20"/>
        <v>6</v>
      </c>
      <c r="AU195" s="9">
        <f t="shared" si="21"/>
        <v>2024</v>
      </c>
      <c r="AV195" s="9" t="b">
        <f t="shared" si="22"/>
        <v>0</v>
      </c>
      <c r="AW195" s="9" t="b">
        <f t="shared" si="23"/>
        <v>0</v>
      </c>
      <c r="AX195" s="9" t="str">
        <f t="shared" si="24"/>
        <v>No</v>
      </c>
      <c r="AY195" s="9" t="str">
        <f t="shared" ref="AY195:AY258" si="31">_xlfn.TEXTJOIN("; ",TRUE,IF(O195="Unknown","Missing region filled as Unknown",""),IF(Z195="Unknown","Missing ship mode filled as Unknown",""),IF(AND(AC195="",AP195=0),"Missing discount treated as 0",""),IF(AP195&lt;0,"Negative discount",""),IF(AP195&gt;0.5,"Discount above 50%",""),IF(G195="Ship date before order date","Ship date before order date",""),IF(AH195="Failed","Failed payment excluded",""),IF(AH195="Refunded","Refunded order summarized separately",""),IF(AJ195="Cancelled","Cancelled order excluded",""),IF(AJ195="Returned","Returned order excluded",""),IF(AO195&lt;&gt;"","Duplicate order ID conflict",""),IF(AV195=TRUE,"Sales mismatch",""),IF(AW195=TRUE,"Profit mismatch",""))</f>
        <v>Refunded order summarized separately; Returned order excluded</v>
      </c>
      <c r="AZ195" s="9" t="str">
        <f>IF(OR(G195="Missing date",G195="Invalid date",G195="Ship date before order date",NOT(ISNUMBER(AP195)),AP195&lt;0,AP195&gt;0.5,AV195=TRUE,AW195=TRUE),"Invalid",IF(OR(O195="Unknown",Z195="Unknown",AC195="",AH195&lt;&gt;"Paid",AJ195&lt;&gt;"Completed",AO195&lt;&gt;""),"Warning","Clean"))</f>
        <v>Warning</v>
      </c>
    </row>
    <row r="196" spans="1:52" ht="15.75" customHeight="1">
      <c r="A196" s="6" t="s">
        <v>1129</v>
      </c>
      <c r="B196" s="7" t="s">
        <v>1130</v>
      </c>
      <c r="C196" s="7" t="str">
        <f t="shared" si="30"/>
        <v>2025-01</v>
      </c>
      <c r="D196" s="7" cm="1">
        <f t="array" ref="D196">_xlfn.LET(_xlpm.x,B196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45685</v>
      </c>
      <c r="E196" s="7" t="s">
        <v>1131</v>
      </c>
      <c r="F196" s="7" cm="1">
        <f t="array" ref="F196">_xlfn.LET(_xlpm.x,E196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45688</v>
      </c>
      <c r="G196" s="8" t="str">
        <f t="shared" si="1"/>
        <v>OK</v>
      </c>
      <c r="H196" s="6">
        <f t="shared" si="2"/>
        <v>3</v>
      </c>
      <c r="I196" s="6" t="s">
        <v>1132</v>
      </c>
      <c r="J196" s="6" t="s">
        <v>220</v>
      </c>
      <c r="K196" s="6" t="str">
        <f t="shared" si="3"/>
        <v>Priya Menon</v>
      </c>
      <c r="L196" s="6" t="s">
        <v>43</v>
      </c>
      <c r="M196" s="8" t="str">
        <f t="shared" si="4"/>
        <v>Consumer</v>
      </c>
      <c r="N196" s="6" t="s">
        <v>1133</v>
      </c>
      <c r="O196" s="6" t="str">
        <f t="shared" si="5"/>
        <v>West</v>
      </c>
      <c r="P196" s="6" t="s">
        <v>162</v>
      </c>
      <c r="Q196" s="6" t="str">
        <f t="shared" si="6"/>
        <v>Maharashtra</v>
      </c>
      <c r="R196" s="6" t="s">
        <v>163</v>
      </c>
      <c r="S196" s="6" t="str">
        <f t="shared" si="7"/>
        <v>Mumbai</v>
      </c>
      <c r="T196" s="6" t="s">
        <v>14</v>
      </c>
      <c r="U196" s="8" t="str">
        <f t="shared" si="8"/>
        <v>Furniture</v>
      </c>
      <c r="V196" s="6" t="s">
        <v>17</v>
      </c>
      <c r="W196" s="6" t="str">
        <f t="shared" si="9"/>
        <v>Furnishings</v>
      </c>
      <c r="X196" s="6" t="s">
        <v>1134</v>
      </c>
      <c r="Y196" s="6" t="s">
        <v>35</v>
      </c>
      <c r="Z196" s="6" t="str">
        <f t="shared" si="10"/>
        <v>First Class</v>
      </c>
      <c r="AA196" s="6">
        <v>9</v>
      </c>
      <c r="AB196" s="6">
        <v>858.39</v>
      </c>
      <c r="AC196" s="6">
        <v>0.05</v>
      </c>
      <c r="AD196" s="6">
        <v>7339.23</v>
      </c>
      <c r="AE196" s="6">
        <v>5434.12</v>
      </c>
      <c r="AF196" s="6">
        <v>1905.11</v>
      </c>
      <c r="AG196" s="6" t="s">
        <v>54</v>
      </c>
      <c r="AH196" s="6" t="str">
        <f t="shared" si="11"/>
        <v>Pending</v>
      </c>
      <c r="AI196" s="6" t="s">
        <v>59</v>
      </c>
      <c r="AJ196" s="6" t="str">
        <f t="shared" si="12"/>
        <v>Returned</v>
      </c>
      <c r="AK196" s="9" t="str">
        <f>_xlfn.TEXTJOIN("|",FALSE,A196,TEXT(B196,"mm-dd-yyyy"),TEXT(E196,"mm-dd-yyyy"),I196,J196,L196,N196,P196,R196,T196,V196,X196,Y196,AA196,AB196,AC196,AD196,AE196,AF196,AG196,AI196)</f>
        <v>ORD-2025-10195|01-28-2025|01-31-2025|CUST-3637|Priya Menon|Consumer|WEST|Maharashtra|Mumbai|Furniture|Furnishings|Prime Furnishings 433|First Class|9|858.39|0.05|7339.23|5434.12|1905.11|Pending|Returned</v>
      </c>
      <c r="AL196" s="27" t="str">
        <f>IF(COUNTIF($AK$2:AK196,AK196)&gt;1,"Remove exact duplicate copy","Keep")</f>
        <v>Keep</v>
      </c>
      <c r="AM196" s="9">
        <f t="shared" si="13"/>
        <v>1</v>
      </c>
      <c r="AN196" s="9" t="str">
        <f t="shared" si="14"/>
        <v>Unique</v>
      </c>
      <c r="AO196" s="9" t="str">
        <f t="shared" si="15"/>
        <v/>
      </c>
      <c r="AP196" s="9">
        <f t="shared" si="16"/>
        <v>0.05</v>
      </c>
      <c r="AQ196" s="10">
        <f t="shared" si="17"/>
        <v>7339.2344999999996</v>
      </c>
      <c r="AR196" s="10">
        <f t="shared" si="18"/>
        <v>1905.1144999999997</v>
      </c>
      <c r="AS196" s="11">
        <f t="shared" si="19"/>
        <v>0.25957945614082772</v>
      </c>
      <c r="AT196" s="9">
        <f t="shared" si="20"/>
        <v>1</v>
      </c>
      <c r="AU196" s="9">
        <f t="shared" si="21"/>
        <v>2025</v>
      </c>
      <c r="AV196" s="9" t="b">
        <f t="shared" si="22"/>
        <v>0</v>
      </c>
      <c r="AW196" s="9" t="b">
        <f t="shared" si="23"/>
        <v>0</v>
      </c>
      <c r="AX196" s="9" t="str">
        <f t="shared" si="24"/>
        <v>No</v>
      </c>
      <c r="AY196" s="9" t="str">
        <f t="shared" si="31"/>
        <v>Returned order excluded</v>
      </c>
      <c r="AZ196" s="9" t="str">
        <f>IF(OR(G196="Missing date",G196="Invalid date",G196="Ship date before order date",NOT(ISNUMBER(AP196)),AP196&lt;0,AP196&gt;0.5,AV196=TRUE,AW196=TRUE),"Invalid",IF(OR(O196="Unknown",Z196="Unknown",AC196="",AH196&lt;&gt;"Paid",AJ196&lt;&gt;"Completed",AO196&lt;&gt;""),"Warning","Clean"))</f>
        <v>Warning</v>
      </c>
    </row>
    <row r="197" spans="1:52" ht="15.75" customHeight="1">
      <c r="A197" s="6" t="s">
        <v>1135</v>
      </c>
      <c r="B197" s="7" t="s">
        <v>1136</v>
      </c>
      <c r="C197" s="7" t="str">
        <f t="shared" si="30"/>
        <v>2025-07</v>
      </c>
      <c r="D197" s="7" cm="1">
        <f t="array" ref="D197">_xlfn.LET(_xlpm.x,B197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45860</v>
      </c>
      <c r="E197" s="7" t="s">
        <v>1137</v>
      </c>
      <c r="F197" s="7" cm="1">
        <f t="array" ref="F197">_xlfn.LET(_xlpm.x,E197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45862</v>
      </c>
      <c r="G197" s="8" t="str">
        <f t="shared" si="1"/>
        <v>OK</v>
      </c>
      <c r="H197" s="6">
        <f t="shared" si="2"/>
        <v>2</v>
      </c>
      <c r="I197" s="6" t="s">
        <v>1138</v>
      </c>
      <c r="J197" s="6" t="s">
        <v>177</v>
      </c>
      <c r="K197" s="6" t="str">
        <f t="shared" si="3"/>
        <v>Neha Gupta</v>
      </c>
      <c r="L197" s="6" t="s">
        <v>44</v>
      </c>
      <c r="M197" s="8" t="str">
        <f t="shared" si="4"/>
        <v>Home Office</v>
      </c>
      <c r="N197" s="6" t="s">
        <v>10</v>
      </c>
      <c r="O197" s="6" t="str">
        <f t="shared" si="5"/>
        <v>South</v>
      </c>
      <c r="P197" s="6" t="s">
        <v>183</v>
      </c>
      <c r="Q197" s="6" t="str">
        <f t="shared" si="6"/>
        <v>Andhra Pradesh</v>
      </c>
      <c r="R197" s="6" t="s">
        <v>184</v>
      </c>
      <c r="S197" s="6" t="str">
        <f t="shared" si="7"/>
        <v>Vijayawada</v>
      </c>
      <c r="T197" s="6" t="s">
        <v>14</v>
      </c>
      <c r="U197" s="8" t="str">
        <f t="shared" si="8"/>
        <v>Furniture</v>
      </c>
      <c r="V197" s="6" t="s">
        <v>17</v>
      </c>
      <c r="W197" s="6" t="str">
        <f t="shared" si="9"/>
        <v>Furnishings</v>
      </c>
      <c r="X197" s="6" t="s">
        <v>1139</v>
      </c>
      <c r="Y197" s="6" t="s">
        <v>37</v>
      </c>
      <c r="Z197" s="6" t="str">
        <f t="shared" si="10"/>
        <v>Same Day</v>
      </c>
      <c r="AA197" s="6">
        <v>5</v>
      </c>
      <c r="AB197" s="6">
        <v>1922.83</v>
      </c>
      <c r="AC197" s="6">
        <v>0</v>
      </c>
      <c r="AD197" s="6">
        <v>9614.15</v>
      </c>
      <c r="AE197" s="6">
        <v>7576.84</v>
      </c>
      <c r="AF197" s="6">
        <v>2037.31</v>
      </c>
      <c r="AG197" s="6" t="s">
        <v>52</v>
      </c>
      <c r="AH197" s="6" t="str">
        <f t="shared" si="11"/>
        <v>Paid</v>
      </c>
      <c r="AI197" s="6" t="s">
        <v>134</v>
      </c>
      <c r="AJ197" s="6" t="str">
        <f t="shared" si="12"/>
        <v>Completed</v>
      </c>
      <c r="AK197" s="9" t="str">
        <f>_xlfn.TEXTJOIN("|",FALSE,A197,TEXT(B197,"mm-dd-yyyy"),TEXT(E197,"mm-dd-yyyy"),I197,J197,L197,N197,P197,R197,T197,V197,X197,Y197,AA197,AB197,AC197,AD197,AE197,AF197,AG197,AI197)</f>
        <v>ORD-2025-10196|07-22-2025|07-24-2025|CUST-4328|Neha Gupta|Home Office|South|Andhra Pradesh|Vijayawada|Furniture|Furnishings|Smart Furnishings 685|Same Day|5|1922.83|0|9614.15|7576.84|2037.31|Paid|Completed</v>
      </c>
      <c r="AL197" s="27" t="str">
        <f>IF(COUNTIF($AK$2:AK197,AK197)&gt;1,"Remove exact duplicate copy","Keep")</f>
        <v>Keep</v>
      </c>
      <c r="AM197" s="9">
        <f t="shared" si="13"/>
        <v>1</v>
      </c>
      <c r="AN197" s="9" t="str">
        <f t="shared" si="14"/>
        <v>Unique</v>
      </c>
      <c r="AO197" s="9" t="str">
        <f t="shared" si="15"/>
        <v/>
      </c>
      <c r="AP197" s="9">
        <f t="shared" si="16"/>
        <v>0</v>
      </c>
      <c r="AQ197" s="10">
        <f t="shared" si="17"/>
        <v>9614.15</v>
      </c>
      <c r="AR197" s="10">
        <f t="shared" si="18"/>
        <v>2037.3099999999995</v>
      </c>
      <c r="AS197" s="11">
        <f t="shared" si="19"/>
        <v>0.21190744891644084</v>
      </c>
      <c r="AT197" s="9">
        <f t="shared" si="20"/>
        <v>7</v>
      </c>
      <c r="AU197" s="9">
        <f t="shared" si="21"/>
        <v>2025</v>
      </c>
      <c r="AV197" s="9" t="b">
        <f t="shared" si="22"/>
        <v>0</v>
      </c>
      <c r="AW197" s="9" t="b">
        <f t="shared" si="23"/>
        <v>0</v>
      </c>
      <c r="AX197" s="9" t="str">
        <f t="shared" si="24"/>
        <v>Yes</v>
      </c>
      <c r="AY197" s="9" t="str">
        <f t="shared" si="31"/>
        <v/>
      </c>
      <c r="AZ197" s="9" t="str">
        <f>IF(OR(G197="Missing date",G197="Invalid date",G197="Ship date before order date",NOT(ISNUMBER(AP197)),AP197&lt;0,AP197&gt;0.5,AV197=TRUE,AW197=TRUE),"Invalid",IF(OR(O197="Unknown",Z197="Unknown",AC197="",AH197&lt;&gt;"Paid",AJ197&lt;&gt;"Completed",AO197&lt;&gt;""),"Warning","Clean"))</f>
        <v>Clean</v>
      </c>
    </row>
    <row r="198" spans="1:52" ht="15.75" customHeight="1">
      <c r="A198" s="6" t="s">
        <v>1140</v>
      </c>
      <c r="B198" s="7" t="s">
        <v>1141</v>
      </c>
      <c r="C198" s="7" t="str">
        <f t="shared" si="30"/>
        <v>2024-01</v>
      </c>
      <c r="D198" s="7" cm="1">
        <f t="array" ref="D198">_xlfn.LET(_xlpm.x,B198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45313</v>
      </c>
      <c r="E198" s="7" t="s">
        <v>1142</v>
      </c>
      <c r="F198" s="7" cm="1">
        <f t="array" ref="F198">_xlfn.LET(_xlpm.x,E198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45316</v>
      </c>
      <c r="G198" s="8" t="str">
        <f t="shared" si="1"/>
        <v>OK</v>
      </c>
      <c r="H198" s="6">
        <f t="shared" si="2"/>
        <v>3</v>
      </c>
      <c r="I198" s="6" t="s">
        <v>1143</v>
      </c>
      <c r="J198" s="6" t="s">
        <v>442</v>
      </c>
      <c r="K198" s="6" t="str">
        <f t="shared" si="3"/>
        <v>Kabir Singh</v>
      </c>
      <c r="L198" s="6" t="s">
        <v>44</v>
      </c>
      <c r="M198" s="8" t="str">
        <f t="shared" si="4"/>
        <v>Home Office</v>
      </c>
      <c r="N198" s="6" t="s">
        <v>7</v>
      </c>
      <c r="O198" s="6" t="str">
        <f t="shared" si="5"/>
        <v>North</v>
      </c>
      <c r="P198" s="6" t="s">
        <v>251</v>
      </c>
      <c r="Q198" s="6" t="str">
        <f t="shared" si="6"/>
        <v>Uttar Pradesh</v>
      </c>
      <c r="R198" s="6" t="s">
        <v>252</v>
      </c>
      <c r="S198" s="6" t="str">
        <f t="shared" si="7"/>
        <v>Noida</v>
      </c>
      <c r="T198" s="6" t="s">
        <v>20</v>
      </c>
      <c r="U198" s="8" t="str">
        <f t="shared" si="8"/>
        <v>Office Supplies</v>
      </c>
      <c r="V198" s="6" t="s">
        <v>25</v>
      </c>
      <c r="W198" s="6" t="str">
        <f t="shared" si="9"/>
        <v>Storage</v>
      </c>
      <c r="X198" s="6" t="s">
        <v>1144</v>
      </c>
      <c r="Y198" s="6" t="s">
        <v>35</v>
      </c>
      <c r="Z198" s="6" t="str">
        <f t="shared" si="10"/>
        <v>First Class</v>
      </c>
      <c r="AA198" s="6">
        <v>3</v>
      </c>
      <c r="AB198" s="6">
        <v>1212.03</v>
      </c>
      <c r="AC198" s="6">
        <v>0.1</v>
      </c>
      <c r="AD198" s="6">
        <v>3272.48</v>
      </c>
      <c r="AE198" s="6">
        <v>2517.44</v>
      </c>
      <c r="AF198" s="6">
        <v>755.04</v>
      </c>
      <c r="AG198" s="6" t="s">
        <v>52</v>
      </c>
      <c r="AH198" s="6" t="str">
        <f t="shared" si="11"/>
        <v>Paid</v>
      </c>
      <c r="AI198" s="6" t="s">
        <v>134</v>
      </c>
      <c r="AJ198" s="6" t="str">
        <f t="shared" si="12"/>
        <v>Completed</v>
      </c>
      <c r="AK198" s="9" t="str">
        <f>_xlfn.TEXTJOIN("|",FALSE,A198,TEXT(B198,"mm-dd-yyyy"),TEXT(E198,"mm-dd-yyyy"),I198,J198,L198,N198,P198,R198,T198,V198,X198,Y198,AA198,AB198,AC198,AD198,AE198,AF198,AG198,AI198)</f>
        <v>ORD-2024-10197|22-01-2024|01-25-2024|CUST-8028|Kabir Singh|Home Office|North|Uttar Pradesh|Noida|Office Supplies|Storage|Elite Storage 915|First Class|3|1212.03|0.1|3272.48|2517.44|755.04|Paid|Completed</v>
      </c>
      <c r="AL198" s="27" t="str">
        <f>IF(COUNTIF($AK$2:AK198,AK198)&gt;1,"Remove exact duplicate copy","Keep")</f>
        <v>Keep</v>
      </c>
      <c r="AM198" s="9">
        <f t="shared" si="13"/>
        <v>1</v>
      </c>
      <c r="AN198" s="9" t="str">
        <f t="shared" si="14"/>
        <v>Unique</v>
      </c>
      <c r="AO198" s="9" t="str">
        <f t="shared" si="15"/>
        <v/>
      </c>
      <c r="AP198" s="9">
        <f t="shared" si="16"/>
        <v>0.1</v>
      </c>
      <c r="AQ198" s="10">
        <f t="shared" si="17"/>
        <v>3272.4810000000002</v>
      </c>
      <c r="AR198" s="10">
        <f t="shared" si="18"/>
        <v>755.04100000000017</v>
      </c>
      <c r="AS198" s="11">
        <f t="shared" si="19"/>
        <v>0.23072433422837293</v>
      </c>
      <c r="AT198" s="9">
        <f t="shared" si="20"/>
        <v>1</v>
      </c>
      <c r="AU198" s="9">
        <f t="shared" si="21"/>
        <v>2024</v>
      </c>
      <c r="AV198" s="9" t="b">
        <f t="shared" si="22"/>
        <v>0</v>
      </c>
      <c r="AW198" s="9" t="b">
        <f t="shared" si="23"/>
        <v>0</v>
      </c>
      <c r="AX198" s="9" t="str">
        <f t="shared" si="24"/>
        <v>Yes</v>
      </c>
      <c r="AY198" s="9" t="str">
        <f t="shared" si="31"/>
        <v/>
      </c>
      <c r="AZ198" s="9" t="str">
        <f>IF(OR(G198="Missing date",G198="Invalid date",G198="Ship date before order date",NOT(ISNUMBER(AP198)),AP198&lt;0,AP198&gt;0.5,AV198=TRUE,AW198=TRUE),"Invalid",IF(OR(O198="Unknown",Z198="Unknown",AC198="",AH198&lt;&gt;"Paid",AJ198&lt;&gt;"Completed",AO198&lt;&gt;""),"Warning","Clean"))</f>
        <v>Clean</v>
      </c>
    </row>
    <row r="199" spans="1:52" ht="15.75" customHeight="1">
      <c r="A199" s="6" t="s">
        <v>1145</v>
      </c>
      <c r="B199" s="7" t="s">
        <v>445</v>
      </c>
      <c r="C199" s="7" t="str">
        <f t="shared" si="30"/>
        <v>2025-03</v>
      </c>
      <c r="D199" s="7" cm="1">
        <f t="array" ref="D199">_xlfn.LET(_xlpm.x,B199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45747</v>
      </c>
      <c r="E199" s="7" t="s">
        <v>1146</v>
      </c>
      <c r="F199" s="7" cm="1">
        <f t="array" ref="F199">_xlfn.LET(_xlpm.x,E199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45754</v>
      </c>
      <c r="G199" s="8" t="str">
        <f t="shared" si="1"/>
        <v>OK</v>
      </c>
      <c r="H199" s="6">
        <f t="shared" si="2"/>
        <v>7</v>
      </c>
      <c r="I199" s="6" t="s">
        <v>642</v>
      </c>
      <c r="J199" s="6" t="s">
        <v>226</v>
      </c>
      <c r="K199" s="6" t="str">
        <f t="shared" si="3"/>
        <v>Rahul Verma</v>
      </c>
      <c r="L199" s="6" t="s">
        <v>782</v>
      </c>
      <c r="M199" s="8" t="str">
        <f t="shared" si="4"/>
        <v>Small Business</v>
      </c>
      <c r="N199" s="6" t="s">
        <v>8</v>
      </c>
      <c r="O199" s="6" t="str">
        <f t="shared" si="5"/>
        <v>East</v>
      </c>
      <c r="P199" s="6" t="s">
        <v>263</v>
      </c>
      <c r="Q199" s="6" t="str">
        <f t="shared" si="6"/>
        <v>Bihar</v>
      </c>
      <c r="R199" s="6" t="s">
        <v>264</v>
      </c>
      <c r="S199" s="6" t="str">
        <f t="shared" si="7"/>
        <v>Patna</v>
      </c>
      <c r="T199" s="6" t="s">
        <v>20</v>
      </c>
      <c r="U199" s="8" t="str">
        <f t="shared" si="8"/>
        <v>Office Supplies</v>
      </c>
      <c r="V199" s="6" t="s">
        <v>25</v>
      </c>
      <c r="W199" s="6" t="str">
        <f t="shared" si="9"/>
        <v>Storage</v>
      </c>
      <c r="X199" s="6" t="s">
        <v>1147</v>
      </c>
      <c r="Y199" s="6" t="s">
        <v>36</v>
      </c>
      <c r="Z199" s="6" t="str">
        <f t="shared" si="10"/>
        <v>Second Class</v>
      </c>
      <c r="AA199" s="6">
        <v>5</v>
      </c>
      <c r="AB199" s="6">
        <v>4096.4399999999996</v>
      </c>
      <c r="AC199" s="6">
        <v>0.15</v>
      </c>
      <c r="AD199" s="6">
        <v>17409.87</v>
      </c>
      <c r="AE199" s="6">
        <v>14076.25</v>
      </c>
      <c r="AF199" s="6">
        <v>3333.62</v>
      </c>
      <c r="AG199" s="6" t="s">
        <v>52</v>
      </c>
      <c r="AH199" s="6" t="str">
        <f t="shared" si="11"/>
        <v>Paid</v>
      </c>
      <c r="AI199" s="6" t="s">
        <v>134</v>
      </c>
      <c r="AJ199" s="6" t="str">
        <f t="shared" si="12"/>
        <v>Completed</v>
      </c>
      <c r="AK199" s="9" t="str">
        <f>_xlfn.TEXTJOIN("|",FALSE,A199,TEXT(B199,"mm-dd-yyyy"),TEXT(E199,"mm-dd-yyyy"),I199,J199,L199,N199,P199,R199,T199,V199,X199,Y199,AA199,AB199,AC199,AD199,AE199,AF199,AG199,AI199)</f>
        <v>ORD-2025-10198|03-31-2025|07-04-2025|CUST-6106|Rahul Verma|Small  Business|East|Bihar|Patna|Office Supplies|Storage|Basic Storage 961|Second Class|5|4096.44|0.15|17409.87|14076.25|3333.62|Paid|Completed</v>
      </c>
      <c r="AL199" s="27" t="str">
        <f>IF(COUNTIF($AK$2:AK199,AK199)&gt;1,"Remove exact duplicate copy","Keep")</f>
        <v>Keep</v>
      </c>
      <c r="AM199" s="9">
        <f t="shared" si="13"/>
        <v>1</v>
      </c>
      <c r="AN199" s="9" t="str">
        <f t="shared" si="14"/>
        <v>Unique</v>
      </c>
      <c r="AO199" s="9" t="str">
        <f t="shared" si="15"/>
        <v/>
      </c>
      <c r="AP199" s="9">
        <f t="shared" si="16"/>
        <v>0.15</v>
      </c>
      <c r="AQ199" s="10">
        <f t="shared" si="17"/>
        <v>17409.869999999995</v>
      </c>
      <c r="AR199" s="10">
        <f t="shared" si="18"/>
        <v>3333.6199999999953</v>
      </c>
      <c r="AS199" s="11">
        <f t="shared" si="19"/>
        <v>0.19147874165631312</v>
      </c>
      <c r="AT199" s="9">
        <f t="shared" si="20"/>
        <v>3</v>
      </c>
      <c r="AU199" s="9">
        <f t="shared" si="21"/>
        <v>2025</v>
      </c>
      <c r="AV199" s="9" t="b">
        <f t="shared" si="22"/>
        <v>0</v>
      </c>
      <c r="AW199" s="9" t="b">
        <f t="shared" si="23"/>
        <v>0</v>
      </c>
      <c r="AX199" s="9" t="str">
        <f t="shared" si="24"/>
        <v>Yes</v>
      </c>
      <c r="AY199" s="9" t="str">
        <f t="shared" si="31"/>
        <v/>
      </c>
      <c r="AZ199" s="9" t="str">
        <f>IF(OR(G199="Missing date",G199="Invalid date",G199="Ship date before order date",NOT(ISNUMBER(AP199)),AP199&lt;0,AP199&gt;0.5,AV199=TRUE,AW199=TRUE),"Invalid",IF(OR(O199="Unknown",Z199="Unknown",AC199="",AH199&lt;&gt;"Paid",AJ199&lt;&gt;"Completed",AO199&lt;&gt;""),"Warning","Clean"))</f>
        <v>Clean</v>
      </c>
    </row>
    <row r="200" spans="1:52" ht="15.75" customHeight="1">
      <c r="A200" s="6" t="s">
        <v>1148</v>
      </c>
      <c r="B200" s="7" t="s">
        <v>1149</v>
      </c>
      <c r="C200" s="7" t="str">
        <f t="shared" si="30"/>
        <v>2024-06</v>
      </c>
      <c r="D200" s="7" cm="1">
        <f t="array" ref="D200">_xlfn.LET(_xlpm.x,B200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45448</v>
      </c>
      <c r="E200" s="7" t="s">
        <v>1150</v>
      </c>
      <c r="F200" s="7" cm="1">
        <f t="array" ref="F200">_xlfn.LET(_xlpm.x,E200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45449</v>
      </c>
      <c r="G200" s="8" t="str">
        <f t="shared" si="1"/>
        <v>OK</v>
      </c>
      <c r="H200" s="6">
        <f t="shared" si="2"/>
        <v>1</v>
      </c>
      <c r="I200" s="6" t="s">
        <v>1151</v>
      </c>
      <c r="J200" s="6" t="s">
        <v>245</v>
      </c>
      <c r="K200" s="6" t="str">
        <f t="shared" si="3"/>
        <v>Sneha Kapoor</v>
      </c>
      <c r="L200" s="6" t="s">
        <v>43</v>
      </c>
      <c r="M200" s="8" t="str">
        <f t="shared" si="4"/>
        <v>Consumer</v>
      </c>
      <c r="N200" s="6" t="s">
        <v>9</v>
      </c>
      <c r="O200" s="6" t="str">
        <f t="shared" si="5"/>
        <v>West</v>
      </c>
      <c r="P200" s="6" t="s">
        <v>309</v>
      </c>
      <c r="Q200" s="6" t="str">
        <f t="shared" si="6"/>
        <v>Gujarat</v>
      </c>
      <c r="R200" s="6" t="s">
        <v>310</v>
      </c>
      <c r="S200" s="6" t="str">
        <f t="shared" si="7"/>
        <v>Ahmedabad</v>
      </c>
      <c r="T200" s="6" t="s">
        <v>20</v>
      </c>
      <c r="U200" s="8" t="str">
        <f t="shared" si="8"/>
        <v>Office Supplies</v>
      </c>
      <c r="V200" s="6" t="s">
        <v>21</v>
      </c>
      <c r="W200" s="6" t="str">
        <f t="shared" si="9"/>
        <v>Art</v>
      </c>
      <c r="X200" s="6" t="s">
        <v>1152</v>
      </c>
      <c r="Y200" s="6" t="s">
        <v>36</v>
      </c>
      <c r="Z200" s="6" t="str">
        <f t="shared" si="10"/>
        <v>Second Class</v>
      </c>
      <c r="AA200" s="6">
        <v>1</v>
      </c>
      <c r="AB200" s="6">
        <v>1184.58</v>
      </c>
      <c r="AC200" s="6">
        <v>0.05</v>
      </c>
      <c r="AD200" s="6">
        <v>1125.3499999999999</v>
      </c>
      <c r="AE200" s="6">
        <v>676.97</v>
      </c>
      <c r="AF200" s="6">
        <v>448.38</v>
      </c>
      <c r="AG200" s="6" t="s">
        <v>50</v>
      </c>
      <c r="AH200" s="6" t="str">
        <f t="shared" si="11"/>
        <v>Failed</v>
      </c>
      <c r="AI200" s="6" t="s">
        <v>58</v>
      </c>
      <c r="AJ200" s="6" t="str">
        <f t="shared" si="12"/>
        <v>Cancelled</v>
      </c>
      <c r="AK200" s="9" t="str">
        <f>_xlfn.TEXTJOIN("|",FALSE,A200,TEXT(B200,"mm-dd-yyyy"),TEXT(E200,"mm-dd-yyyy"),I200,J200,L200,N200,P200,R200,T200,V200,X200,Y200,AA200,AB200,AC200,AD200,AE200,AF200,AG200,AI200)</f>
        <v>ORD-2024-10199|05-06-2024|06-06-2024|CUST-7820|Sneha Kapoor|Consumer|West|Gujarat|Ahmedabad|Office Supplies|Art|Classic Art 968|Second Class|1|1184.58|0.05|1125.35|676.97|448.38|Failed|Cancelled</v>
      </c>
      <c r="AL200" s="27" t="str">
        <f>IF(COUNTIF($AK$2:AK200,AK200)&gt;1,"Remove exact duplicate copy","Keep")</f>
        <v>Keep</v>
      </c>
      <c r="AM200" s="9">
        <f t="shared" si="13"/>
        <v>1</v>
      </c>
      <c r="AN200" s="9" t="str">
        <f t="shared" si="14"/>
        <v>Unique</v>
      </c>
      <c r="AO200" s="9" t="str">
        <f t="shared" si="15"/>
        <v/>
      </c>
      <c r="AP200" s="9">
        <f t="shared" si="16"/>
        <v>0.05</v>
      </c>
      <c r="AQ200" s="10">
        <f t="shared" si="17"/>
        <v>1125.3509999999999</v>
      </c>
      <c r="AR200" s="10">
        <f t="shared" si="18"/>
        <v>448.38099999999986</v>
      </c>
      <c r="AS200" s="11">
        <f t="shared" si="19"/>
        <v>0.39843657667696558</v>
      </c>
      <c r="AT200" s="9">
        <f t="shared" si="20"/>
        <v>6</v>
      </c>
      <c r="AU200" s="9">
        <f t="shared" si="21"/>
        <v>2024</v>
      </c>
      <c r="AV200" s="9" t="b">
        <f t="shared" si="22"/>
        <v>0</v>
      </c>
      <c r="AW200" s="9" t="b">
        <f t="shared" si="23"/>
        <v>0</v>
      </c>
      <c r="AX200" s="9" t="str">
        <f t="shared" si="24"/>
        <v>No</v>
      </c>
      <c r="AY200" s="9" t="str">
        <f t="shared" si="31"/>
        <v>Failed payment excluded; Cancelled order excluded</v>
      </c>
      <c r="AZ200" s="9" t="str">
        <f>IF(OR(G200="Missing date",G200="Invalid date",G200="Ship date before order date",NOT(ISNUMBER(AP200)),AP200&lt;0,AP200&gt;0.5,AV200=TRUE,AW200=TRUE),"Invalid",IF(OR(O200="Unknown",Z200="Unknown",AC200="",AH200&lt;&gt;"Paid",AJ200&lt;&gt;"Completed",AO200&lt;&gt;""),"Warning","Clean"))</f>
        <v>Warning</v>
      </c>
    </row>
    <row r="201" spans="1:52" ht="15.75" customHeight="1">
      <c r="A201" s="6" t="s">
        <v>1153</v>
      </c>
      <c r="B201" s="7" t="s">
        <v>377</v>
      </c>
      <c r="C201" s="7" t="str">
        <f t="shared" si="30"/>
        <v>2024-03</v>
      </c>
      <c r="D201" s="7" cm="1">
        <f t="array" ref="D201">_xlfn.LET(_xlpm.x,B201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45363</v>
      </c>
      <c r="E201" s="7" t="s">
        <v>1154</v>
      </c>
      <c r="F201" s="7" cm="1">
        <f t="array" ref="F201">_xlfn.LET(_xlpm.x,E201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45363</v>
      </c>
      <c r="G201" s="8" t="str">
        <f t="shared" si="1"/>
        <v>OK</v>
      </c>
      <c r="H201" s="6">
        <f t="shared" si="2"/>
        <v>0</v>
      </c>
      <c r="I201" s="6" t="s">
        <v>1155</v>
      </c>
      <c r="J201" s="6" t="s">
        <v>226</v>
      </c>
      <c r="K201" s="6" t="str">
        <f t="shared" si="3"/>
        <v>Rahul Verma</v>
      </c>
      <c r="L201" s="6" t="s">
        <v>44</v>
      </c>
      <c r="M201" s="8" t="str">
        <f t="shared" si="4"/>
        <v>Home Office</v>
      </c>
      <c r="N201" s="6" t="s">
        <v>8</v>
      </c>
      <c r="O201" s="6" t="str">
        <f t="shared" si="5"/>
        <v>East</v>
      </c>
      <c r="P201" s="6" t="s">
        <v>263</v>
      </c>
      <c r="Q201" s="6" t="str">
        <f t="shared" si="6"/>
        <v>Bihar</v>
      </c>
      <c r="R201" s="6" t="s">
        <v>264</v>
      </c>
      <c r="S201" s="6" t="str">
        <f t="shared" si="7"/>
        <v>Patna</v>
      </c>
      <c r="T201" s="6" t="s">
        <v>27</v>
      </c>
      <c r="U201" s="8" t="str">
        <f t="shared" si="8"/>
        <v>Technology</v>
      </c>
      <c r="V201" s="6" t="s">
        <v>30</v>
      </c>
      <c r="W201" s="6" t="str">
        <f t="shared" si="9"/>
        <v>Machines</v>
      </c>
      <c r="X201" s="6" t="s">
        <v>1156</v>
      </c>
      <c r="Y201" s="6"/>
      <c r="Z201" s="6" t="str">
        <f t="shared" si="10"/>
        <v>Unknown</v>
      </c>
      <c r="AA201" s="6">
        <v>6</v>
      </c>
      <c r="AB201" s="6">
        <v>2185.58</v>
      </c>
      <c r="AC201" s="6">
        <v>0.25</v>
      </c>
      <c r="AD201" s="6">
        <v>9835.11</v>
      </c>
      <c r="AE201" s="6">
        <v>5437.64</v>
      </c>
      <c r="AF201" s="6">
        <v>4397.47</v>
      </c>
      <c r="AG201" s="6" t="s">
        <v>52</v>
      </c>
      <c r="AH201" s="6" t="str">
        <f t="shared" si="11"/>
        <v>Paid</v>
      </c>
      <c r="AI201" s="6" t="s">
        <v>134</v>
      </c>
      <c r="AJ201" s="6" t="str">
        <f t="shared" si="12"/>
        <v>Completed</v>
      </c>
      <c r="AK201" s="9" t="str">
        <f>_xlfn.TEXTJOIN("|",FALSE,A201,TEXT(B201,"mm-dd-yyyy"),TEXT(E201,"mm-dd-yyyy"),I201,J201,L201,N201,P201,R201,T201,V201,X201,Y201,AA201,AB201,AC201,AD201,AE201,AF201,AG201,AI201)</f>
        <v>ORD-2024-10200|03-12-2024|12-03-2024|CUST-4536|Rahul Verma|Home Office|East|Bihar|Patna|Technology|Machines|Prime Machines 806||6|2185.58|0.25|9835.11|5437.64|4397.47|Paid|Completed</v>
      </c>
      <c r="AL201" s="27" t="str">
        <f>IF(COUNTIF($AK$2:AK201,AK201)&gt;1,"Remove exact duplicate copy","Keep")</f>
        <v>Keep</v>
      </c>
      <c r="AM201" s="9">
        <f t="shared" si="13"/>
        <v>1</v>
      </c>
      <c r="AN201" s="9" t="str">
        <f t="shared" si="14"/>
        <v>Unique</v>
      </c>
      <c r="AO201" s="9" t="str">
        <f t="shared" si="15"/>
        <v/>
      </c>
      <c r="AP201" s="9">
        <f t="shared" si="16"/>
        <v>0.25</v>
      </c>
      <c r="AQ201" s="10">
        <f t="shared" si="17"/>
        <v>9835.11</v>
      </c>
      <c r="AR201" s="10">
        <f t="shared" si="18"/>
        <v>4397.47</v>
      </c>
      <c r="AS201" s="11">
        <f t="shared" si="19"/>
        <v>0.44711955433136996</v>
      </c>
      <c r="AT201" s="9">
        <f t="shared" si="20"/>
        <v>3</v>
      </c>
      <c r="AU201" s="9">
        <f t="shared" si="21"/>
        <v>2024</v>
      </c>
      <c r="AV201" s="9" t="b">
        <f t="shared" si="22"/>
        <v>0</v>
      </c>
      <c r="AW201" s="9" t="b">
        <f t="shared" si="23"/>
        <v>0</v>
      </c>
      <c r="AX201" s="9" t="str">
        <f t="shared" si="24"/>
        <v>Yes</v>
      </c>
      <c r="AY201" s="9" t="str">
        <f t="shared" si="31"/>
        <v>Missing ship mode filled as Unknown</v>
      </c>
      <c r="AZ201" s="9" t="str">
        <f>IF(OR(G201="Missing date",G201="Invalid date",G201="Ship date before order date",NOT(ISNUMBER(AP201)),AP201&lt;0,AP201&gt;0.5,AV201=TRUE,AW201=TRUE),"Invalid",IF(OR(O201="Unknown",Z201="Unknown",AC201="",AH201&lt;&gt;"Paid",AJ201&lt;&gt;"Completed",AO201&lt;&gt;""),"Warning","Clean"))</f>
        <v>Warning</v>
      </c>
    </row>
    <row r="202" spans="1:52" ht="15.75" customHeight="1">
      <c r="A202" s="6" t="s">
        <v>1157</v>
      </c>
      <c r="B202" s="7" t="s">
        <v>1079</v>
      </c>
      <c r="C202" s="7" t="str">
        <f t="shared" si="30"/>
        <v>2025-06</v>
      </c>
      <c r="D202" s="7" cm="1">
        <f t="array" ref="D202">_xlfn.LET(_xlpm.x,B202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45835</v>
      </c>
      <c r="E202" s="7" t="s">
        <v>1158</v>
      </c>
      <c r="F202" s="7" cm="1">
        <f t="array" ref="F202">_xlfn.LET(_xlpm.x,E202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45843</v>
      </c>
      <c r="G202" s="8" t="str">
        <f t="shared" si="1"/>
        <v>OK</v>
      </c>
      <c r="H202" s="6">
        <f t="shared" si="2"/>
        <v>8</v>
      </c>
      <c r="I202" s="6" t="s">
        <v>1159</v>
      </c>
      <c r="J202" s="6" t="s">
        <v>220</v>
      </c>
      <c r="K202" s="6" t="str">
        <f t="shared" si="3"/>
        <v>Priya Menon</v>
      </c>
      <c r="L202" s="6" t="s">
        <v>46</v>
      </c>
      <c r="M202" s="8" t="str">
        <f t="shared" si="4"/>
        <v>Small Business</v>
      </c>
      <c r="N202" s="6" t="s">
        <v>7</v>
      </c>
      <c r="O202" s="6" t="str">
        <f t="shared" si="5"/>
        <v>North</v>
      </c>
      <c r="P202" s="6" t="s">
        <v>131</v>
      </c>
      <c r="Q202" s="6" t="str">
        <f t="shared" si="6"/>
        <v>Rajasthan</v>
      </c>
      <c r="R202" s="6" t="s">
        <v>132</v>
      </c>
      <c r="S202" s="6" t="str">
        <f t="shared" si="7"/>
        <v>Jaipur</v>
      </c>
      <c r="T202" s="6" t="s">
        <v>27</v>
      </c>
      <c r="U202" s="8" t="str">
        <f t="shared" si="8"/>
        <v>Technology</v>
      </c>
      <c r="V202" s="6" t="s">
        <v>29</v>
      </c>
      <c r="W202" s="6" t="str">
        <f t="shared" si="9"/>
        <v>Copiers</v>
      </c>
      <c r="X202" s="6" t="s">
        <v>1160</v>
      </c>
      <c r="Y202" s="6" t="s">
        <v>35</v>
      </c>
      <c r="Z202" s="6" t="str">
        <f t="shared" si="10"/>
        <v>First Class</v>
      </c>
      <c r="AA202" s="6">
        <v>5</v>
      </c>
      <c r="AB202" s="6">
        <v>2868.44</v>
      </c>
      <c r="AC202" s="6">
        <v>0.1</v>
      </c>
      <c r="AD202" s="6">
        <v>12907.98</v>
      </c>
      <c r="AE202" s="6">
        <v>9197.08</v>
      </c>
      <c r="AF202" s="6">
        <v>3710.9</v>
      </c>
      <c r="AG202" s="6" t="s">
        <v>54</v>
      </c>
      <c r="AH202" s="6" t="str">
        <f t="shared" si="11"/>
        <v>Pending</v>
      </c>
      <c r="AI202" s="6" t="s">
        <v>58</v>
      </c>
      <c r="AJ202" s="6" t="str">
        <f t="shared" si="12"/>
        <v>Cancelled</v>
      </c>
      <c r="AK202" s="9" t="str">
        <f>_xlfn.TEXTJOIN("|",FALSE,A202,TEXT(B202,"mm-dd-yyyy"),TEXT(E202,"mm-dd-yyyy"),I202,J202,L202,N202,P202,R202,T202,V202,X202,Y202,AA202,AB202,AC202,AD202,AE202,AF202,AG202,AI202)</f>
        <v>ORD-2025-10201|27-06-2025|07-05-2025|CUST-7047|Priya Menon|Small Business|North|Rajasthan|Jaipur|Technology|Copiers|Classic Copiers 479|First Class|5|2868.44|0.1|12907.98|9197.08|3710.9|Pending|Cancelled</v>
      </c>
      <c r="AL202" s="27" t="str">
        <f>IF(COUNTIF($AK$2:AK202,AK202)&gt;1,"Remove exact duplicate copy","Keep")</f>
        <v>Keep</v>
      </c>
      <c r="AM202" s="9">
        <f t="shared" si="13"/>
        <v>1</v>
      </c>
      <c r="AN202" s="9" t="str">
        <f t="shared" si="14"/>
        <v>Unique</v>
      </c>
      <c r="AO202" s="9" t="str">
        <f t="shared" si="15"/>
        <v/>
      </c>
      <c r="AP202" s="9">
        <f t="shared" si="16"/>
        <v>0.1</v>
      </c>
      <c r="AQ202" s="10">
        <f t="shared" si="17"/>
        <v>12907.980000000001</v>
      </c>
      <c r="AR202" s="10">
        <f t="shared" si="18"/>
        <v>3710.9000000000015</v>
      </c>
      <c r="AS202" s="11">
        <f t="shared" si="19"/>
        <v>0.28748882474252369</v>
      </c>
      <c r="AT202" s="9">
        <f t="shared" si="20"/>
        <v>6</v>
      </c>
      <c r="AU202" s="9">
        <f t="shared" si="21"/>
        <v>2025</v>
      </c>
      <c r="AV202" s="9" t="b">
        <f t="shared" si="22"/>
        <v>0</v>
      </c>
      <c r="AW202" s="9" t="b">
        <f t="shared" si="23"/>
        <v>0</v>
      </c>
      <c r="AX202" s="9" t="str">
        <f t="shared" si="24"/>
        <v>No</v>
      </c>
      <c r="AY202" s="9" t="str">
        <f t="shared" si="31"/>
        <v>Cancelled order excluded</v>
      </c>
      <c r="AZ202" s="9" t="str">
        <f>IF(OR(G202="Missing date",G202="Invalid date",G202="Ship date before order date",NOT(ISNUMBER(AP202)),AP202&lt;0,AP202&gt;0.5,AV202=TRUE,AW202=TRUE),"Invalid",IF(OR(O202="Unknown",Z202="Unknown",AC202="",AH202&lt;&gt;"Paid",AJ202&lt;&gt;"Completed",AO202&lt;&gt;""),"Warning","Clean"))</f>
        <v>Warning</v>
      </c>
    </row>
    <row r="203" spans="1:52" ht="15.75" customHeight="1">
      <c r="A203" s="6" t="s">
        <v>1161</v>
      </c>
      <c r="B203" s="7" t="s">
        <v>1162</v>
      </c>
      <c r="C203" s="7" t="str">
        <f t="shared" si="30"/>
        <v>2025-07</v>
      </c>
      <c r="D203" s="7" cm="1">
        <f t="array" ref="D203">_xlfn.LET(_xlpm.x,B203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45864</v>
      </c>
      <c r="E203" s="7" t="s">
        <v>1163</v>
      </c>
      <c r="F203" s="7" cm="1">
        <f t="array" ref="F203">_xlfn.LET(_xlpm.x,E203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45872</v>
      </c>
      <c r="G203" s="8" t="str">
        <f t="shared" si="1"/>
        <v>OK</v>
      </c>
      <c r="H203" s="6">
        <f t="shared" si="2"/>
        <v>8</v>
      </c>
      <c r="I203" s="6" t="s">
        <v>1164</v>
      </c>
      <c r="J203" s="6" t="s">
        <v>169</v>
      </c>
      <c r="K203" s="6" t="str">
        <f t="shared" si="3"/>
        <v>Vikram Iyer</v>
      </c>
      <c r="L203" s="6" t="s">
        <v>43</v>
      </c>
      <c r="M203" s="8" t="str">
        <f t="shared" si="4"/>
        <v>Consumer</v>
      </c>
      <c r="N203" s="6" t="s">
        <v>9</v>
      </c>
      <c r="O203" s="6" t="str">
        <f t="shared" si="5"/>
        <v>West</v>
      </c>
      <c r="P203" s="6" t="s">
        <v>170</v>
      </c>
      <c r="Q203" s="6" t="str">
        <f t="shared" si="6"/>
        <v>Madhya Pradesh</v>
      </c>
      <c r="R203" s="6" t="s">
        <v>171</v>
      </c>
      <c r="S203" s="6" t="str">
        <f t="shared" si="7"/>
        <v>Indore</v>
      </c>
      <c r="T203" s="6" t="s">
        <v>20</v>
      </c>
      <c r="U203" s="8" t="str">
        <f t="shared" si="8"/>
        <v>Office Supplies</v>
      </c>
      <c r="V203" s="6" t="s">
        <v>23</v>
      </c>
      <c r="W203" s="6" t="str">
        <f t="shared" si="9"/>
        <v>Labels</v>
      </c>
      <c r="X203" s="6" t="s">
        <v>1165</v>
      </c>
      <c r="Y203" s="6" t="s">
        <v>36</v>
      </c>
      <c r="Z203" s="6" t="str">
        <f t="shared" si="10"/>
        <v>Second Class</v>
      </c>
      <c r="AA203" s="6">
        <v>2</v>
      </c>
      <c r="AB203" s="6">
        <v>2503.5300000000002</v>
      </c>
      <c r="AC203" s="6">
        <v>-0.16</v>
      </c>
      <c r="AD203" s="6">
        <v>4756.71</v>
      </c>
      <c r="AE203" s="6">
        <v>2954.86</v>
      </c>
      <c r="AF203" s="6">
        <v>1801.85</v>
      </c>
      <c r="AG203" s="6" t="s">
        <v>56</v>
      </c>
      <c r="AH203" s="6" t="str">
        <f t="shared" si="11"/>
        <v>Refunded</v>
      </c>
      <c r="AI203" s="6" t="s">
        <v>58</v>
      </c>
      <c r="AJ203" s="6" t="str">
        <f t="shared" si="12"/>
        <v>Cancelled</v>
      </c>
      <c r="AK203" s="9" t="str">
        <f>_xlfn.TEXTJOIN("|",FALSE,A203,TEXT(B203,"mm-dd-yyyy"),TEXT(E203,"mm-dd-yyyy"),I203,J203,L203,N203,P203,R203,T203,V203,X203,Y203,AA203,AB203,AC203,AD203,AE203,AF203,AG203,AI203)</f>
        <v>ORD-2025-10202|26-07-2025|08-03-2025|CUST-8005|Vikram Iyer|Consumer|West|Madhya Pradesh|Indore|Office Supplies|Labels|Basic Labels 511|Second Class|2|2503.53|-0.16|4756.71|2954.86|1801.85|Refunded|Cancelled</v>
      </c>
      <c r="AL203" s="27" t="str">
        <f>IF(COUNTIF($AK$2:AK203,AK203)&gt;1,"Remove exact duplicate copy","Keep")</f>
        <v>Keep</v>
      </c>
      <c r="AM203" s="9">
        <f t="shared" si="13"/>
        <v>1</v>
      </c>
      <c r="AN203" s="9" t="str">
        <f t="shared" si="14"/>
        <v>Unique</v>
      </c>
      <c r="AO203" s="9" t="str">
        <f t="shared" si="15"/>
        <v/>
      </c>
      <c r="AP203" s="9">
        <f t="shared" si="16"/>
        <v>-0.16</v>
      </c>
      <c r="AQ203" s="10">
        <f t="shared" si="17"/>
        <v>5808.1895999999997</v>
      </c>
      <c r="AR203" s="10">
        <f t="shared" si="18"/>
        <v>2853.3295999999996</v>
      </c>
      <c r="AS203" s="11">
        <f t="shared" si="19"/>
        <v>0.49125972058487893</v>
      </c>
      <c r="AT203" s="9">
        <f t="shared" si="20"/>
        <v>7</v>
      </c>
      <c r="AU203" s="9">
        <f t="shared" si="21"/>
        <v>2025</v>
      </c>
      <c r="AV203" s="9" t="b">
        <f t="shared" si="22"/>
        <v>1</v>
      </c>
      <c r="AW203" s="9" t="b">
        <f t="shared" si="23"/>
        <v>1</v>
      </c>
      <c r="AX203" s="9" t="str">
        <f t="shared" si="24"/>
        <v>No</v>
      </c>
      <c r="AY203" s="9" t="str">
        <f t="shared" si="31"/>
        <v>Negative discount; Refunded order summarized separately; Cancelled order excluded; Sales mismatch; Profit mismatch</v>
      </c>
      <c r="AZ203" s="9" t="str">
        <f>IF(OR(G203="Missing date",G203="Invalid date",G203="Ship date before order date",NOT(ISNUMBER(AP203)),AP203&lt;0,AP203&gt;0.5,AV203=TRUE,AW203=TRUE),"Invalid",IF(OR(O203="Unknown",Z203="Unknown",AC203="",AH203&lt;&gt;"Paid",AJ203&lt;&gt;"Completed",AO203&lt;&gt;""),"Warning","Clean"))</f>
        <v>Invalid</v>
      </c>
    </row>
    <row r="204" spans="1:52" ht="15.75" customHeight="1">
      <c r="A204" s="6" t="s">
        <v>1166</v>
      </c>
      <c r="B204" s="7" t="s">
        <v>1167</v>
      </c>
      <c r="C204" s="7" t="str">
        <f t="shared" si="30"/>
        <v>2025-03</v>
      </c>
      <c r="D204" s="7" cm="1">
        <f t="array" ref="D204">_xlfn.LET(_xlpm.x,B204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45744</v>
      </c>
      <c r="E204" s="7" t="s">
        <v>1168</v>
      </c>
      <c r="F204" s="7" cm="1">
        <f t="array" ref="F204">_xlfn.LET(_xlpm.x,E204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45744</v>
      </c>
      <c r="G204" s="8" t="str">
        <f t="shared" si="1"/>
        <v>OK</v>
      </c>
      <c r="H204" s="6">
        <f t="shared" si="2"/>
        <v>0</v>
      </c>
      <c r="I204" s="6" t="s">
        <v>1169</v>
      </c>
      <c r="J204" s="6" t="s">
        <v>245</v>
      </c>
      <c r="K204" s="6" t="str">
        <f t="shared" si="3"/>
        <v>Sneha Kapoor</v>
      </c>
      <c r="L204" s="6" t="s">
        <v>45</v>
      </c>
      <c r="M204" s="8" t="str">
        <f t="shared" si="4"/>
        <v>Corporate</v>
      </c>
      <c r="N204" s="6" t="s">
        <v>9</v>
      </c>
      <c r="O204" s="6" t="str">
        <f t="shared" si="5"/>
        <v>West</v>
      </c>
      <c r="P204" s="6" t="s">
        <v>323</v>
      </c>
      <c r="Q204" s="6" t="str">
        <f t="shared" si="6"/>
        <v>Goa</v>
      </c>
      <c r="R204" s="6" t="s">
        <v>324</v>
      </c>
      <c r="S204" s="6" t="str">
        <f t="shared" si="7"/>
        <v>Panaji</v>
      </c>
      <c r="T204" s="6" t="s">
        <v>27</v>
      </c>
      <c r="U204" s="8" t="str">
        <f t="shared" si="8"/>
        <v>Technology</v>
      </c>
      <c r="V204" s="6" t="s">
        <v>28</v>
      </c>
      <c r="W204" s="6" t="str">
        <f t="shared" si="9"/>
        <v>Accessories</v>
      </c>
      <c r="X204" s="6" t="s">
        <v>1170</v>
      </c>
      <c r="Y204" s="6" t="s">
        <v>34</v>
      </c>
      <c r="Z204" s="6" t="str">
        <f t="shared" si="10"/>
        <v>Standard Class</v>
      </c>
      <c r="AA204" s="6">
        <v>8</v>
      </c>
      <c r="AB204" s="6">
        <v>1740.94</v>
      </c>
      <c r="AC204" s="6">
        <v>0.05</v>
      </c>
      <c r="AD204" s="6">
        <v>13231.14</v>
      </c>
      <c r="AE204" s="6">
        <v>11290.06</v>
      </c>
      <c r="AF204" s="6">
        <v>1941.08</v>
      </c>
      <c r="AG204" s="6" t="s">
        <v>52</v>
      </c>
      <c r="AH204" s="6" t="str">
        <f t="shared" si="11"/>
        <v>Paid</v>
      </c>
      <c r="AI204" s="6" t="s">
        <v>134</v>
      </c>
      <c r="AJ204" s="6" t="str">
        <f t="shared" si="12"/>
        <v>Completed</v>
      </c>
      <c r="AK204" s="9" t="str">
        <f>_xlfn.TEXTJOIN("|",FALSE,A204,TEXT(B204,"mm-dd-yyyy"),TEXT(E204,"mm-dd-yyyy"),I204,J204,L204,N204,P204,R204,T204,V204,X204,Y204,AA204,AB204,AC204,AD204,AE204,AF204,AG204,AI204)</f>
        <v>ORD-2025-10203|03-28-2025|03-28-2025|CUST-9378|Sneha Kapoor|Corporate|West|Goa|Panaji|Technology|Accessories|Prime Accessories 733|Standard Class|8|1740.94|0.05|13231.14|11290.06|1941.08|Paid|Completed</v>
      </c>
      <c r="AL204" s="27" t="str">
        <f>IF(COUNTIF($AK$2:AK204,AK204)&gt;1,"Remove exact duplicate copy","Keep")</f>
        <v>Keep</v>
      </c>
      <c r="AM204" s="9">
        <f t="shared" si="13"/>
        <v>1</v>
      </c>
      <c r="AN204" s="9" t="str">
        <f t="shared" si="14"/>
        <v>Unique</v>
      </c>
      <c r="AO204" s="9" t="str">
        <f t="shared" si="15"/>
        <v/>
      </c>
      <c r="AP204" s="9">
        <f t="shared" si="16"/>
        <v>0.05</v>
      </c>
      <c r="AQ204" s="10">
        <f t="shared" si="17"/>
        <v>13231.144</v>
      </c>
      <c r="AR204" s="10">
        <f t="shared" si="18"/>
        <v>1941.0840000000007</v>
      </c>
      <c r="AS204" s="11">
        <f t="shared" si="19"/>
        <v>0.14670568168557463</v>
      </c>
      <c r="AT204" s="9">
        <f t="shared" si="20"/>
        <v>3</v>
      </c>
      <c r="AU204" s="9">
        <f t="shared" si="21"/>
        <v>2025</v>
      </c>
      <c r="AV204" s="9" t="b">
        <f t="shared" si="22"/>
        <v>0</v>
      </c>
      <c r="AW204" s="9" t="b">
        <f t="shared" si="23"/>
        <v>0</v>
      </c>
      <c r="AX204" s="9" t="str">
        <f t="shared" si="24"/>
        <v>Yes</v>
      </c>
      <c r="AY204" s="9" t="str">
        <f t="shared" si="31"/>
        <v/>
      </c>
      <c r="AZ204" s="9" t="str">
        <f>IF(OR(G204="Missing date",G204="Invalid date",G204="Ship date before order date",NOT(ISNUMBER(AP204)),AP204&lt;0,AP204&gt;0.5,AV204=TRUE,AW204=TRUE),"Invalid",IF(OR(O204="Unknown",Z204="Unknown",AC204="",AH204&lt;&gt;"Paid",AJ204&lt;&gt;"Completed",AO204&lt;&gt;""),"Warning","Clean"))</f>
        <v>Clean</v>
      </c>
    </row>
    <row r="205" spans="1:52" ht="15.75" customHeight="1">
      <c r="A205" s="6" t="s">
        <v>1171</v>
      </c>
      <c r="B205" s="7" t="s">
        <v>1172</v>
      </c>
      <c r="C205" s="7" t="str">
        <f t="shared" si="30"/>
        <v>2024-03</v>
      </c>
      <c r="D205" s="7" cm="1">
        <f t="array" ref="D205">_xlfn.LET(_xlpm.x,B205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45379</v>
      </c>
      <c r="E205" s="7" t="s">
        <v>1173</v>
      </c>
      <c r="F205" s="7" cm="1">
        <f t="array" ref="F205">_xlfn.LET(_xlpm.x,E205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45381</v>
      </c>
      <c r="G205" s="8" t="str">
        <f t="shared" si="1"/>
        <v>OK</v>
      </c>
      <c r="H205" s="6">
        <f t="shared" si="2"/>
        <v>2</v>
      </c>
      <c r="I205" s="6" t="s">
        <v>1174</v>
      </c>
      <c r="J205" s="6" t="s">
        <v>245</v>
      </c>
      <c r="K205" s="6" t="str">
        <f t="shared" si="3"/>
        <v>Sneha Kapoor</v>
      </c>
      <c r="L205" s="6" t="s">
        <v>45</v>
      </c>
      <c r="M205" s="8" t="str">
        <f t="shared" si="4"/>
        <v>Corporate</v>
      </c>
      <c r="N205" s="6" t="s">
        <v>9</v>
      </c>
      <c r="O205" s="6" t="str">
        <f t="shared" si="5"/>
        <v>West</v>
      </c>
      <c r="P205" s="6" t="s">
        <v>131</v>
      </c>
      <c r="Q205" s="6" t="str">
        <f t="shared" si="6"/>
        <v>Rajasthan</v>
      </c>
      <c r="R205" s="6" t="s">
        <v>214</v>
      </c>
      <c r="S205" s="6" t="str">
        <f t="shared" si="7"/>
        <v>Udaipur</v>
      </c>
      <c r="T205" s="6" t="s">
        <v>27</v>
      </c>
      <c r="U205" s="8" t="str">
        <f t="shared" si="8"/>
        <v>Technology</v>
      </c>
      <c r="V205" s="6" t="s">
        <v>28</v>
      </c>
      <c r="W205" s="6" t="str">
        <f t="shared" si="9"/>
        <v>Accessories</v>
      </c>
      <c r="X205" s="6" t="s">
        <v>1175</v>
      </c>
      <c r="Y205" s="6" t="s">
        <v>36</v>
      </c>
      <c r="Z205" s="6" t="str">
        <f t="shared" si="10"/>
        <v>Second Class</v>
      </c>
      <c r="AA205" s="6">
        <v>1</v>
      </c>
      <c r="AB205" s="6">
        <v>570.34</v>
      </c>
      <c r="AC205" s="6">
        <v>0.15</v>
      </c>
      <c r="AD205" s="6">
        <v>484.79</v>
      </c>
      <c r="AE205" s="6">
        <v>333.54</v>
      </c>
      <c r="AF205" s="6">
        <v>151.25</v>
      </c>
      <c r="AG205" s="6" t="s">
        <v>52</v>
      </c>
      <c r="AH205" s="6" t="str">
        <f t="shared" si="11"/>
        <v>Paid</v>
      </c>
      <c r="AI205" s="6" t="s">
        <v>134</v>
      </c>
      <c r="AJ205" s="6" t="str">
        <f t="shared" si="12"/>
        <v>Completed</v>
      </c>
      <c r="AK205" s="9" t="str">
        <f>_xlfn.TEXTJOIN("|",FALSE,A205,TEXT(B205,"mm-dd-yyyy"),TEXT(E205,"mm-dd-yyyy"),I205,J205,L205,N205,P205,R205,T205,V205,X205,Y205,AA205,AB205,AC205,AD205,AE205,AF205,AG205,AI205)</f>
        <v>ORD-2024-10204|03-28-2024|03-30-2024|CUST-3384|Sneha Kapoor|Corporate|West|Rajasthan|Udaipur|Technology|Accessories|Max Accessories 186|Second Class|1|570.34|0.15|484.79|333.54|151.25|Paid|Completed</v>
      </c>
      <c r="AL205" s="27" t="str">
        <f>IF(COUNTIF($AK$2:AK205,AK205)&gt;1,"Remove exact duplicate copy","Keep")</f>
        <v>Keep</v>
      </c>
      <c r="AM205" s="9">
        <f t="shared" si="13"/>
        <v>1</v>
      </c>
      <c r="AN205" s="9" t="str">
        <f t="shared" si="14"/>
        <v>Unique</v>
      </c>
      <c r="AO205" s="9" t="str">
        <f t="shared" si="15"/>
        <v/>
      </c>
      <c r="AP205" s="9">
        <f t="shared" si="16"/>
        <v>0.15</v>
      </c>
      <c r="AQ205" s="10">
        <f t="shared" si="17"/>
        <v>484.78899999999999</v>
      </c>
      <c r="AR205" s="10">
        <f t="shared" si="18"/>
        <v>151.24899999999997</v>
      </c>
      <c r="AS205" s="11">
        <f t="shared" si="19"/>
        <v>0.3119893396921134</v>
      </c>
      <c r="AT205" s="9">
        <f t="shared" si="20"/>
        <v>3</v>
      </c>
      <c r="AU205" s="9">
        <f t="shared" si="21"/>
        <v>2024</v>
      </c>
      <c r="AV205" s="9" t="b">
        <f t="shared" si="22"/>
        <v>0</v>
      </c>
      <c r="AW205" s="9" t="b">
        <f t="shared" si="23"/>
        <v>0</v>
      </c>
      <c r="AX205" s="9" t="str">
        <f t="shared" si="24"/>
        <v>Yes</v>
      </c>
      <c r="AY205" s="9" t="str">
        <f t="shared" si="31"/>
        <v/>
      </c>
      <c r="AZ205" s="9" t="str">
        <f>IF(OR(G205="Missing date",G205="Invalid date",G205="Ship date before order date",NOT(ISNUMBER(AP205)),AP205&lt;0,AP205&gt;0.5,AV205=TRUE,AW205=TRUE),"Invalid",IF(OR(O205="Unknown",Z205="Unknown",AC205="",AH205&lt;&gt;"Paid",AJ205&lt;&gt;"Completed",AO205&lt;&gt;""),"Warning","Clean"))</f>
        <v>Clean</v>
      </c>
    </row>
    <row r="206" spans="1:52" ht="15.75" customHeight="1">
      <c r="A206" s="6" t="s">
        <v>1176</v>
      </c>
      <c r="B206" s="7" t="s">
        <v>1177</v>
      </c>
      <c r="C206" s="7" t="str">
        <f t="shared" si="30"/>
        <v>2025-07</v>
      </c>
      <c r="D206" s="7" cm="1">
        <f t="array" ref="D206">_xlfn.LET(_xlpm.x,B206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45858</v>
      </c>
      <c r="E206" s="7" t="s">
        <v>1178</v>
      </c>
      <c r="F206" s="7" cm="1">
        <f t="array" ref="F206">_xlfn.LET(_xlpm.x,E206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45861</v>
      </c>
      <c r="G206" s="8" t="str">
        <f t="shared" si="1"/>
        <v>OK</v>
      </c>
      <c r="H206" s="6">
        <f t="shared" si="2"/>
        <v>3</v>
      </c>
      <c r="I206" s="6" t="s">
        <v>1179</v>
      </c>
      <c r="J206" s="6" t="s">
        <v>139</v>
      </c>
      <c r="K206" s="6" t="str">
        <f t="shared" si="3"/>
        <v>Mira Das</v>
      </c>
      <c r="L206" s="6" t="s">
        <v>44</v>
      </c>
      <c r="M206" s="8" t="str">
        <f t="shared" si="4"/>
        <v>Home Office</v>
      </c>
      <c r="N206" s="6" t="s">
        <v>8</v>
      </c>
      <c r="O206" s="6" t="str">
        <f t="shared" si="5"/>
        <v>East</v>
      </c>
      <c r="P206" s="6" t="s">
        <v>201</v>
      </c>
      <c r="Q206" s="6" t="str">
        <f t="shared" si="6"/>
        <v>West Bengal</v>
      </c>
      <c r="R206" s="6" t="s">
        <v>202</v>
      </c>
      <c r="S206" s="6" t="str">
        <f t="shared" si="7"/>
        <v>Kolkata</v>
      </c>
      <c r="T206" s="6" t="s">
        <v>14</v>
      </c>
      <c r="U206" s="8" t="str">
        <f t="shared" si="8"/>
        <v>Furniture</v>
      </c>
      <c r="V206" s="6" t="s">
        <v>18</v>
      </c>
      <c r="W206" s="6" t="str">
        <f t="shared" si="9"/>
        <v>Tables</v>
      </c>
      <c r="X206" s="6" t="s">
        <v>1180</v>
      </c>
      <c r="Y206" s="6" t="s">
        <v>36</v>
      </c>
      <c r="Z206" s="6" t="str">
        <f t="shared" si="10"/>
        <v>Second Class</v>
      </c>
      <c r="AA206" s="6">
        <v>4</v>
      </c>
      <c r="AB206" s="6">
        <v>477.69</v>
      </c>
      <c r="AC206" s="6">
        <v>0.15</v>
      </c>
      <c r="AD206" s="6">
        <v>1624.15</v>
      </c>
      <c r="AE206" s="6">
        <v>1217.99</v>
      </c>
      <c r="AF206" s="6">
        <v>406.16</v>
      </c>
      <c r="AG206" s="6" t="s">
        <v>52</v>
      </c>
      <c r="AH206" s="6" t="str">
        <f t="shared" si="11"/>
        <v>Paid</v>
      </c>
      <c r="AI206" s="6" t="s">
        <v>134</v>
      </c>
      <c r="AJ206" s="6" t="str">
        <f t="shared" si="12"/>
        <v>Completed</v>
      </c>
      <c r="AK206" s="9" t="str">
        <f>_xlfn.TEXTJOIN("|",FALSE,A206,TEXT(B206,"mm-dd-yyyy"),TEXT(E206,"mm-dd-yyyy"),I206,J206,L206,N206,P206,R206,T206,V206,X206,Y206,AA206,AB206,AC206,AD206,AE206,AF206,AG206,AI206)</f>
        <v>ORD-2025-10205|20-07-2025|07-23-2025|CUST-1986|Mira Das|Home Office|East|West Bengal|Kolkata|Furniture|Tables|Elite Tables 318|Second Class|4|477.69|0.15|1624.15|1217.99|406.16|Paid|Completed</v>
      </c>
      <c r="AL206" s="27" t="str">
        <f>IF(COUNTIF($AK$2:AK206,AK206)&gt;1,"Remove exact duplicate copy","Keep")</f>
        <v>Keep</v>
      </c>
      <c r="AM206" s="9">
        <f t="shared" si="13"/>
        <v>1</v>
      </c>
      <c r="AN206" s="9" t="str">
        <f t="shared" si="14"/>
        <v>Unique</v>
      </c>
      <c r="AO206" s="9" t="str">
        <f t="shared" si="15"/>
        <v/>
      </c>
      <c r="AP206" s="9">
        <f t="shared" si="16"/>
        <v>0.15</v>
      </c>
      <c r="AQ206" s="10">
        <f t="shared" si="17"/>
        <v>1624.146</v>
      </c>
      <c r="AR206" s="10">
        <f t="shared" si="18"/>
        <v>406.15599999999995</v>
      </c>
      <c r="AS206" s="11">
        <f t="shared" si="19"/>
        <v>0.25007357712914968</v>
      </c>
      <c r="AT206" s="9">
        <f t="shared" si="20"/>
        <v>7</v>
      </c>
      <c r="AU206" s="9">
        <f t="shared" si="21"/>
        <v>2025</v>
      </c>
      <c r="AV206" s="9" t="b">
        <f t="shared" si="22"/>
        <v>0</v>
      </c>
      <c r="AW206" s="9" t="b">
        <f t="shared" si="23"/>
        <v>0</v>
      </c>
      <c r="AX206" s="9" t="str">
        <f t="shared" si="24"/>
        <v>Yes</v>
      </c>
      <c r="AY206" s="9" t="str">
        <f t="shared" si="31"/>
        <v/>
      </c>
      <c r="AZ206" s="9" t="str">
        <f>IF(OR(G206="Missing date",G206="Invalid date",G206="Ship date before order date",NOT(ISNUMBER(AP206)),AP206&lt;0,AP206&gt;0.5,AV206=TRUE,AW206=TRUE),"Invalid",IF(OR(O206="Unknown",Z206="Unknown",AC206="",AH206&lt;&gt;"Paid",AJ206&lt;&gt;"Completed",AO206&lt;&gt;""),"Warning","Clean"))</f>
        <v>Clean</v>
      </c>
    </row>
    <row r="207" spans="1:52" ht="15.75" customHeight="1">
      <c r="A207" s="6" t="s">
        <v>1181</v>
      </c>
      <c r="B207" s="7" t="s">
        <v>1182</v>
      </c>
      <c r="C207" s="7" t="str">
        <f t="shared" si="30"/>
        <v>2025-04</v>
      </c>
      <c r="D207" s="7" cm="1">
        <f t="array" ref="D207">_xlfn.LET(_xlpm.x,B207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45768</v>
      </c>
      <c r="E207" s="7" t="s">
        <v>1183</v>
      </c>
      <c r="F207" s="7" cm="1">
        <f t="array" ref="F207">_xlfn.LET(_xlpm.x,E207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45773</v>
      </c>
      <c r="G207" s="8" t="str">
        <f t="shared" si="1"/>
        <v>OK</v>
      </c>
      <c r="H207" s="6">
        <f t="shared" si="2"/>
        <v>5</v>
      </c>
      <c r="I207" s="6" t="s">
        <v>1184</v>
      </c>
      <c r="J207" s="6" t="s">
        <v>161</v>
      </c>
      <c r="K207" s="6" t="str">
        <f t="shared" si="3"/>
        <v>Ananya Rao</v>
      </c>
      <c r="L207" s="6" t="s">
        <v>43</v>
      </c>
      <c r="M207" s="8" t="str">
        <f t="shared" si="4"/>
        <v>Consumer</v>
      </c>
      <c r="N207" s="6" t="s">
        <v>9</v>
      </c>
      <c r="O207" s="6" t="str">
        <f t="shared" si="5"/>
        <v>West</v>
      </c>
      <c r="P207" s="6" t="s">
        <v>162</v>
      </c>
      <c r="Q207" s="6" t="str">
        <f t="shared" si="6"/>
        <v>Maharashtra</v>
      </c>
      <c r="R207" s="6" t="s">
        <v>163</v>
      </c>
      <c r="S207" s="6" t="str">
        <f t="shared" si="7"/>
        <v>Mumbai</v>
      </c>
      <c r="T207" s="6" t="s">
        <v>1000</v>
      </c>
      <c r="U207" s="8" t="str">
        <f t="shared" si="8"/>
        <v>Office Supplies</v>
      </c>
      <c r="V207" s="6" t="s">
        <v>23</v>
      </c>
      <c r="W207" s="6" t="str">
        <f t="shared" si="9"/>
        <v>Labels</v>
      </c>
      <c r="X207" s="6" t="s">
        <v>1185</v>
      </c>
      <c r="Y207" s="6" t="s">
        <v>37</v>
      </c>
      <c r="Z207" s="6" t="str">
        <f t="shared" si="10"/>
        <v>Same Day</v>
      </c>
      <c r="AA207" s="6">
        <v>6</v>
      </c>
      <c r="AB207" s="6">
        <v>873.59</v>
      </c>
      <c r="AC207" s="6">
        <v>0.2</v>
      </c>
      <c r="AD207" s="6">
        <v>4193.2299999999996</v>
      </c>
      <c r="AE207" s="6">
        <v>3329.99</v>
      </c>
      <c r="AF207" s="6">
        <v>863.24</v>
      </c>
      <c r="AG207" s="6" t="s">
        <v>52</v>
      </c>
      <c r="AH207" s="6" t="str">
        <f t="shared" si="11"/>
        <v>Paid</v>
      </c>
      <c r="AI207" s="6" t="s">
        <v>134</v>
      </c>
      <c r="AJ207" s="6" t="str">
        <f t="shared" si="12"/>
        <v>Completed</v>
      </c>
      <c r="AK207" s="9" t="str">
        <f>_xlfn.TEXTJOIN("|",FALSE,A207,TEXT(B207,"mm-dd-yyyy"),TEXT(E207,"mm-dd-yyyy"),I207,J207,L207,N207,P207,R207,T207,V207,X207,Y207,AA207,AB207,AC207,AD207,AE207,AF207,AG207,AI207)</f>
        <v>ORD-2025-10206|21-04-2025|04-26-2025|CUST-3338|Ananya Rao|Consumer|West|Maharashtra|Mumbai|OFFICE SUPPLIES|Labels|Smart Labels 354|Same Day|6|873.59|0.2|4193.23|3329.99|863.24|Paid|Completed</v>
      </c>
      <c r="AL207" s="27" t="str">
        <f>IF(COUNTIF($AK$2:AK207,AK207)&gt;1,"Remove exact duplicate copy","Keep")</f>
        <v>Keep</v>
      </c>
      <c r="AM207" s="9">
        <f t="shared" si="13"/>
        <v>1</v>
      </c>
      <c r="AN207" s="9" t="str">
        <f t="shared" si="14"/>
        <v>Unique</v>
      </c>
      <c r="AO207" s="9" t="str">
        <f t="shared" si="15"/>
        <v/>
      </c>
      <c r="AP207" s="9">
        <f t="shared" si="16"/>
        <v>0.2</v>
      </c>
      <c r="AQ207" s="10">
        <f t="shared" si="17"/>
        <v>4193.232</v>
      </c>
      <c r="AR207" s="10">
        <f t="shared" si="18"/>
        <v>863.24200000000019</v>
      </c>
      <c r="AS207" s="11">
        <f t="shared" si="19"/>
        <v>0.2058655471483572</v>
      </c>
      <c r="AT207" s="9">
        <f t="shared" si="20"/>
        <v>4</v>
      </c>
      <c r="AU207" s="9">
        <f t="shared" si="21"/>
        <v>2025</v>
      </c>
      <c r="AV207" s="9" t="b">
        <f t="shared" si="22"/>
        <v>0</v>
      </c>
      <c r="AW207" s="9" t="b">
        <f t="shared" si="23"/>
        <v>0</v>
      </c>
      <c r="AX207" s="9" t="str">
        <f t="shared" si="24"/>
        <v>Yes</v>
      </c>
      <c r="AY207" s="9" t="str">
        <f t="shared" si="31"/>
        <v/>
      </c>
      <c r="AZ207" s="9" t="str">
        <f>IF(OR(G207="Missing date",G207="Invalid date",G207="Ship date before order date",NOT(ISNUMBER(AP207)),AP207&lt;0,AP207&gt;0.5,AV207=TRUE,AW207=TRUE),"Invalid",IF(OR(O207="Unknown",Z207="Unknown",AC207="",AH207&lt;&gt;"Paid",AJ207&lt;&gt;"Completed",AO207&lt;&gt;""),"Warning","Clean"))</f>
        <v>Clean</v>
      </c>
    </row>
    <row r="208" spans="1:52" ht="15.75" customHeight="1">
      <c r="A208" s="6" t="s">
        <v>1186</v>
      </c>
      <c r="B208" s="7" t="s">
        <v>1187</v>
      </c>
      <c r="C208" s="7" t="str">
        <f t="shared" si="30"/>
        <v>2025-05</v>
      </c>
      <c r="D208" s="7" cm="1">
        <f t="array" ref="D208">_xlfn.LET(_xlpm.x,B208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45795</v>
      </c>
      <c r="E208" s="7" t="s">
        <v>198</v>
      </c>
      <c r="F208" s="7" cm="1">
        <f t="array" ref="F208">_xlfn.LET(_xlpm.x,E208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45797</v>
      </c>
      <c r="G208" s="8" t="str">
        <f t="shared" si="1"/>
        <v>OK</v>
      </c>
      <c r="H208" s="6">
        <f t="shared" si="2"/>
        <v>2</v>
      </c>
      <c r="I208" s="6" t="s">
        <v>1188</v>
      </c>
      <c r="J208" s="6" t="s">
        <v>284</v>
      </c>
      <c r="K208" s="6" t="str">
        <f t="shared" si="3"/>
        <v>Diya Patel</v>
      </c>
      <c r="L208" s="6" t="s">
        <v>46</v>
      </c>
      <c r="M208" s="8" t="str">
        <f t="shared" si="4"/>
        <v>Small Business</v>
      </c>
      <c r="N208" s="6" t="s">
        <v>130</v>
      </c>
      <c r="O208" s="6" t="str">
        <f t="shared" si="5"/>
        <v>North</v>
      </c>
      <c r="P208" s="6" t="s">
        <v>251</v>
      </c>
      <c r="Q208" s="6" t="str">
        <f t="shared" si="6"/>
        <v>Uttar Pradesh</v>
      </c>
      <c r="R208" s="6" t="s">
        <v>252</v>
      </c>
      <c r="S208" s="6" t="str">
        <f t="shared" si="7"/>
        <v>Noida</v>
      </c>
      <c r="T208" s="6" t="s">
        <v>14</v>
      </c>
      <c r="U208" s="8" t="str">
        <f t="shared" si="8"/>
        <v>Furniture</v>
      </c>
      <c r="V208" s="6" t="s">
        <v>17</v>
      </c>
      <c r="W208" s="6" t="str">
        <f t="shared" si="9"/>
        <v>Furnishings</v>
      </c>
      <c r="X208" s="6" t="s">
        <v>1189</v>
      </c>
      <c r="Y208" s="6" t="s">
        <v>35</v>
      </c>
      <c r="Z208" s="6" t="str">
        <f t="shared" si="10"/>
        <v>First Class</v>
      </c>
      <c r="AA208" s="6">
        <v>2</v>
      </c>
      <c r="AB208" s="6">
        <v>215.13</v>
      </c>
      <c r="AC208" s="6">
        <v>0</v>
      </c>
      <c r="AD208" s="6">
        <v>430.26</v>
      </c>
      <c r="AE208" s="6">
        <v>286.38</v>
      </c>
      <c r="AF208" s="6">
        <v>143.88</v>
      </c>
      <c r="AG208" s="6" t="s">
        <v>52</v>
      </c>
      <c r="AH208" s="6" t="str">
        <f t="shared" si="11"/>
        <v>Paid</v>
      </c>
      <c r="AI208" s="6" t="s">
        <v>134</v>
      </c>
      <c r="AJ208" s="6" t="str">
        <f t="shared" si="12"/>
        <v>Completed</v>
      </c>
      <c r="AK208" s="9" t="str">
        <f>_xlfn.TEXTJOIN("|",FALSE,A208,TEXT(B208,"mm-dd-yyyy"),TEXT(E208,"mm-dd-yyyy"),I208,J208,L208,N208,P208,R208,T208,V208,X208,Y208,AA208,AB208,AC208,AD208,AE208,AF208,AG208,AI208)</f>
        <v>ORD-2025-10207|05-18-2025|05-20-2025|CUST-2343|Diya Patel|Small Business|  North |Uttar Pradesh|Noida|Furniture|Furnishings|Pro Furnishings 981|First Class|2|215.13|0|430.26|286.38|143.88|Paid|Completed</v>
      </c>
      <c r="AL208" s="27" t="str">
        <f>IF(COUNTIF($AK$2:AK208,AK208)&gt;1,"Remove exact duplicate copy","Keep")</f>
        <v>Keep</v>
      </c>
      <c r="AM208" s="9">
        <f t="shared" si="13"/>
        <v>1</v>
      </c>
      <c r="AN208" s="9" t="str">
        <f t="shared" si="14"/>
        <v>Unique</v>
      </c>
      <c r="AO208" s="9" t="str">
        <f t="shared" si="15"/>
        <v/>
      </c>
      <c r="AP208" s="9">
        <f t="shared" si="16"/>
        <v>0</v>
      </c>
      <c r="AQ208" s="10">
        <f t="shared" si="17"/>
        <v>430.26</v>
      </c>
      <c r="AR208" s="10">
        <f t="shared" si="18"/>
        <v>143.88</v>
      </c>
      <c r="AS208" s="11">
        <f t="shared" si="19"/>
        <v>0.33440245432994004</v>
      </c>
      <c r="AT208" s="9">
        <f t="shared" si="20"/>
        <v>5</v>
      </c>
      <c r="AU208" s="9">
        <f t="shared" si="21"/>
        <v>2025</v>
      </c>
      <c r="AV208" s="9" t="b">
        <f t="shared" si="22"/>
        <v>0</v>
      </c>
      <c r="AW208" s="9" t="b">
        <f t="shared" si="23"/>
        <v>0</v>
      </c>
      <c r="AX208" s="9" t="str">
        <f t="shared" si="24"/>
        <v>Yes</v>
      </c>
      <c r="AY208" s="9" t="str">
        <f t="shared" si="31"/>
        <v/>
      </c>
      <c r="AZ208" s="9" t="str">
        <f>IF(OR(G208="Missing date",G208="Invalid date",G208="Ship date before order date",NOT(ISNUMBER(AP208)),AP208&lt;0,AP208&gt;0.5,AV208=TRUE,AW208=TRUE),"Invalid",IF(OR(O208="Unknown",Z208="Unknown",AC208="",AH208&lt;&gt;"Paid",AJ208&lt;&gt;"Completed",AO208&lt;&gt;""),"Warning","Clean"))</f>
        <v>Clean</v>
      </c>
    </row>
    <row r="209" spans="1:52" ht="15.75" customHeight="1">
      <c r="A209" s="6" t="s">
        <v>1190</v>
      </c>
      <c r="B209" s="7" t="s">
        <v>1191</v>
      </c>
      <c r="C209" s="7" t="str">
        <f t="shared" si="30"/>
        <v>2024-07</v>
      </c>
      <c r="D209" s="7" cm="1">
        <f t="array" ref="D209">_xlfn.LET(_xlpm.x,B209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45483</v>
      </c>
      <c r="E209" s="7" t="s">
        <v>1192</v>
      </c>
      <c r="F209" s="7" cm="1">
        <f t="array" ref="F209">_xlfn.LET(_xlpm.x,E209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45489</v>
      </c>
      <c r="G209" s="8" t="str">
        <f t="shared" si="1"/>
        <v>OK</v>
      </c>
      <c r="H209" s="6">
        <f t="shared" si="2"/>
        <v>6</v>
      </c>
      <c r="I209" s="6" t="s">
        <v>1193</v>
      </c>
      <c r="J209" s="6" t="s">
        <v>239</v>
      </c>
      <c r="K209" s="6" t="str">
        <f t="shared" si="3"/>
        <v>Aarav Sharma</v>
      </c>
      <c r="L209" s="6" t="s">
        <v>44</v>
      </c>
      <c r="M209" s="8" t="str">
        <f t="shared" si="4"/>
        <v>Home Office</v>
      </c>
      <c r="N209" s="6" t="s">
        <v>9</v>
      </c>
      <c r="O209" s="6" t="str">
        <f t="shared" si="5"/>
        <v>West</v>
      </c>
      <c r="P209" s="6" t="s">
        <v>323</v>
      </c>
      <c r="Q209" s="6" t="str">
        <f t="shared" si="6"/>
        <v>Goa</v>
      </c>
      <c r="R209" s="6" t="s">
        <v>324</v>
      </c>
      <c r="S209" s="6" t="str">
        <f t="shared" si="7"/>
        <v>Panaji</v>
      </c>
      <c r="T209" s="6" t="s">
        <v>14</v>
      </c>
      <c r="U209" s="8" t="str">
        <f t="shared" si="8"/>
        <v>Furniture</v>
      </c>
      <c r="V209" s="6" t="s">
        <v>15</v>
      </c>
      <c r="W209" s="6" t="str">
        <f t="shared" si="9"/>
        <v>Bookcases</v>
      </c>
      <c r="X209" s="6" t="s">
        <v>1194</v>
      </c>
      <c r="Y209" s="6" t="s">
        <v>36</v>
      </c>
      <c r="Z209" s="6" t="str">
        <f t="shared" si="10"/>
        <v>Second Class</v>
      </c>
      <c r="AA209" s="6">
        <v>2</v>
      </c>
      <c r="AB209" s="6">
        <v>1095.45</v>
      </c>
      <c r="AC209" s="6">
        <v>0.2</v>
      </c>
      <c r="AD209" s="6">
        <v>1752.72</v>
      </c>
      <c r="AE209" s="6">
        <v>996.41</v>
      </c>
      <c r="AF209" s="6">
        <v>756.31</v>
      </c>
      <c r="AG209" s="6" t="s">
        <v>52</v>
      </c>
      <c r="AH209" s="6" t="str">
        <f t="shared" si="11"/>
        <v>Paid</v>
      </c>
      <c r="AI209" s="6" t="s">
        <v>134</v>
      </c>
      <c r="AJ209" s="6" t="str">
        <f t="shared" si="12"/>
        <v>Completed</v>
      </c>
      <c r="AK209" s="9" t="str">
        <f>_xlfn.TEXTJOIN("|",FALSE,A209,TEXT(B209,"mm-dd-yyyy"),TEXT(E209,"mm-dd-yyyy"),I209,J209,L209,N209,P209,R209,T209,V209,X209,Y209,AA209,AB209,AC209,AD209,AE209,AF209,AG209,AI209)</f>
        <v>ORD-2024-10208|07-10-2024|07-16-2024|CUST-3362|Aarav Sharma|Home Office|West|Goa|Panaji|Furniture|Bookcases|Eco Bookcases 671|Second Class|2|1095.45|0.2|1752.72|996.41|756.31|Paid|Completed</v>
      </c>
      <c r="AL209" s="27" t="str">
        <f>IF(COUNTIF($AK$2:AK209,AK209)&gt;1,"Remove exact duplicate copy","Keep")</f>
        <v>Keep</v>
      </c>
      <c r="AM209" s="9">
        <f t="shared" si="13"/>
        <v>1</v>
      </c>
      <c r="AN209" s="9" t="str">
        <f t="shared" si="14"/>
        <v>Unique</v>
      </c>
      <c r="AO209" s="9" t="str">
        <f t="shared" si="15"/>
        <v/>
      </c>
      <c r="AP209" s="9">
        <f t="shared" si="16"/>
        <v>0.2</v>
      </c>
      <c r="AQ209" s="10">
        <f t="shared" si="17"/>
        <v>1752.7200000000003</v>
      </c>
      <c r="AR209" s="10">
        <f t="shared" si="18"/>
        <v>756.31000000000029</v>
      </c>
      <c r="AS209" s="11">
        <f t="shared" si="19"/>
        <v>0.43150645853302305</v>
      </c>
      <c r="AT209" s="9">
        <f t="shared" si="20"/>
        <v>7</v>
      </c>
      <c r="AU209" s="9">
        <f t="shared" si="21"/>
        <v>2024</v>
      </c>
      <c r="AV209" s="9" t="b">
        <f t="shared" si="22"/>
        <v>0</v>
      </c>
      <c r="AW209" s="9" t="b">
        <f t="shared" si="23"/>
        <v>0</v>
      </c>
      <c r="AX209" s="9" t="str">
        <f t="shared" si="24"/>
        <v>Yes</v>
      </c>
      <c r="AY209" s="9" t="str">
        <f t="shared" si="31"/>
        <v/>
      </c>
      <c r="AZ209" s="9" t="str">
        <f>IF(OR(G209="Missing date",G209="Invalid date",G209="Ship date before order date",NOT(ISNUMBER(AP209)),AP209&lt;0,AP209&gt;0.5,AV209=TRUE,AW209=TRUE),"Invalid",IF(OR(O209="Unknown",Z209="Unknown",AC209="",AH209&lt;&gt;"Paid",AJ209&lt;&gt;"Completed",AO209&lt;&gt;""),"Warning","Clean"))</f>
        <v>Clean</v>
      </c>
    </row>
    <row r="210" spans="1:52" ht="15.75" customHeight="1">
      <c r="A210" s="6" t="s">
        <v>1195</v>
      </c>
      <c r="B210" s="7" t="s">
        <v>1196</v>
      </c>
      <c r="C210" s="7" t="str">
        <f t="shared" si="30"/>
        <v>2025-06</v>
      </c>
      <c r="D210" s="7" cm="1">
        <f t="array" ref="D210">_xlfn.LET(_xlpm.x,B210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45837</v>
      </c>
      <c r="E210" s="7" t="s">
        <v>1197</v>
      </c>
      <c r="F210" s="7" cm="1">
        <f t="array" ref="F210">_xlfn.LET(_xlpm.x,E210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45843</v>
      </c>
      <c r="G210" s="8" t="str">
        <f t="shared" si="1"/>
        <v>OK</v>
      </c>
      <c r="H210" s="6">
        <f t="shared" si="2"/>
        <v>6</v>
      </c>
      <c r="I210" s="6" t="s">
        <v>1198</v>
      </c>
      <c r="J210" s="6" t="s">
        <v>284</v>
      </c>
      <c r="K210" s="6" t="str">
        <f t="shared" si="3"/>
        <v>Diya Patel</v>
      </c>
      <c r="L210" s="6" t="s">
        <v>43</v>
      </c>
      <c r="M210" s="8" t="str">
        <f t="shared" si="4"/>
        <v>Consumer</v>
      </c>
      <c r="N210" s="6" t="s">
        <v>7</v>
      </c>
      <c r="O210" s="6" t="str">
        <f t="shared" si="5"/>
        <v>North</v>
      </c>
      <c r="P210" s="6" t="s">
        <v>232</v>
      </c>
      <c r="Q210" s="6" t="str">
        <f t="shared" si="6"/>
        <v>Punjab</v>
      </c>
      <c r="R210" s="6" t="s">
        <v>233</v>
      </c>
      <c r="S210" s="6" t="str">
        <f t="shared" si="7"/>
        <v>Ludhiana</v>
      </c>
      <c r="T210" s="6" t="s">
        <v>14</v>
      </c>
      <c r="U210" s="8" t="str">
        <f t="shared" si="8"/>
        <v>Furniture</v>
      </c>
      <c r="V210" s="6" t="s">
        <v>16</v>
      </c>
      <c r="W210" s="6" t="str">
        <f t="shared" si="9"/>
        <v>Chairs</v>
      </c>
      <c r="X210" s="6" t="s">
        <v>1199</v>
      </c>
      <c r="Y210" s="6" t="s">
        <v>37</v>
      </c>
      <c r="Z210" s="6" t="str">
        <f t="shared" si="10"/>
        <v>Same Day</v>
      </c>
      <c r="AA210" s="6">
        <v>1</v>
      </c>
      <c r="AB210" s="6">
        <v>999.83</v>
      </c>
      <c r="AC210" s="6">
        <v>0</v>
      </c>
      <c r="AD210" s="6">
        <v>999.83</v>
      </c>
      <c r="AE210" s="6">
        <v>634.91</v>
      </c>
      <c r="AF210" s="6">
        <v>364.92</v>
      </c>
      <c r="AG210" s="6" t="s">
        <v>52</v>
      </c>
      <c r="AH210" s="6" t="str">
        <f t="shared" si="11"/>
        <v>Paid</v>
      </c>
      <c r="AI210" s="6" t="s">
        <v>134</v>
      </c>
      <c r="AJ210" s="6" t="str">
        <f t="shared" si="12"/>
        <v>Completed</v>
      </c>
      <c r="AK210" s="9" t="str">
        <f>_xlfn.TEXTJOIN("|",FALSE,A210,TEXT(B210,"mm-dd-yyyy"),TEXT(E210,"mm-dd-yyyy"),I210,J210,L210,N210,P210,R210,T210,V210,X210,Y210,AA210,AB210,AC210,AD210,AE210,AF210,AG210,AI210)</f>
        <v>ORD-2025-10209|06-29-2025|05-07-2025|CUST-3662|Diya Patel|Consumer|North|Punjab|Ludhiana|Furniture|Chairs|Max Chairs 151|Same Day|1|999.83|0|999.83|634.91|364.92|Paid|Completed</v>
      </c>
      <c r="AL210" s="27" t="str">
        <f>IF(COUNTIF($AK$2:AK210,AK210)&gt;1,"Remove exact duplicate copy","Keep")</f>
        <v>Keep</v>
      </c>
      <c r="AM210" s="9">
        <f t="shared" si="13"/>
        <v>1</v>
      </c>
      <c r="AN210" s="9" t="str">
        <f t="shared" si="14"/>
        <v>Unique</v>
      </c>
      <c r="AO210" s="9" t="str">
        <f t="shared" si="15"/>
        <v/>
      </c>
      <c r="AP210" s="9">
        <f t="shared" si="16"/>
        <v>0</v>
      </c>
      <c r="AQ210" s="10">
        <f t="shared" si="17"/>
        <v>999.83</v>
      </c>
      <c r="AR210" s="10">
        <f t="shared" si="18"/>
        <v>364.92000000000007</v>
      </c>
      <c r="AS210" s="11">
        <f t="shared" si="19"/>
        <v>0.3649820469479812</v>
      </c>
      <c r="AT210" s="9">
        <f t="shared" si="20"/>
        <v>6</v>
      </c>
      <c r="AU210" s="9">
        <f t="shared" si="21"/>
        <v>2025</v>
      </c>
      <c r="AV210" s="9" t="b">
        <f t="shared" si="22"/>
        <v>0</v>
      </c>
      <c r="AW210" s="9" t="b">
        <f t="shared" si="23"/>
        <v>0</v>
      </c>
      <c r="AX210" s="9" t="str">
        <f t="shared" si="24"/>
        <v>Yes</v>
      </c>
      <c r="AY210" s="9" t="str">
        <f t="shared" si="31"/>
        <v/>
      </c>
      <c r="AZ210" s="9" t="str">
        <f>IF(OR(G210="Missing date",G210="Invalid date",G210="Ship date before order date",NOT(ISNUMBER(AP210)),AP210&lt;0,AP210&gt;0.5,AV210=TRUE,AW210=TRUE),"Invalid",IF(OR(O210="Unknown",Z210="Unknown",AC210="",AH210&lt;&gt;"Paid",AJ210&lt;&gt;"Completed",AO210&lt;&gt;""),"Warning","Clean"))</f>
        <v>Clean</v>
      </c>
    </row>
    <row r="211" spans="1:52" ht="15.75" customHeight="1">
      <c r="A211" s="6" t="s">
        <v>1200</v>
      </c>
      <c r="B211" s="7" t="s">
        <v>1201</v>
      </c>
      <c r="C211" s="7" t="str">
        <f t="shared" si="30"/>
        <v>2025-08</v>
      </c>
      <c r="D211" s="7" cm="1">
        <f t="array" ref="D211">_xlfn.LET(_xlpm.x,B211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45882</v>
      </c>
      <c r="E211" s="7" t="s">
        <v>1202</v>
      </c>
      <c r="F211" s="7" cm="1">
        <f t="array" ref="F211">_xlfn.LET(_xlpm.x,E211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45883</v>
      </c>
      <c r="G211" s="8" t="str">
        <f t="shared" si="1"/>
        <v>OK</v>
      </c>
      <c r="H211" s="6">
        <f t="shared" si="2"/>
        <v>1</v>
      </c>
      <c r="I211" s="6" t="s">
        <v>1203</v>
      </c>
      <c r="J211" s="6" t="s">
        <v>257</v>
      </c>
      <c r="K211" s="6" t="str">
        <f t="shared" si="3"/>
        <v>Rohan Mehta</v>
      </c>
      <c r="L211" s="6" t="s">
        <v>46</v>
      </c>
      <c r="M211" s="8" t="str">
        <f t="shared" si="4"/>
        <v>Small Business</v>
      </c>
      <c r="N211" s="6" t="s">
        <v>10</v>
      </c>
      <c r="O211" s="6" t="str">
        <f t="shared" si="5"/>
        <v>South</v>
      </c>
      <c r="P211" s="6" t="s">
        <v>183</v>
      </c>
      <c r="Q211" s="6" t="str">
        <f t="shared" si="6"/>
        <v>Andhra Pradesh</v>
      </c>
      <c r="R211" s="6" t="s">
        <v>184</v>
      </c>
      <c r="S211" s="6" t="str">
        <f t="shared" si="7"/>
        <v>Vijayawada</v>
      </c>
      <c r="T211" s="6" t="s">
        <v>20</v>
      </c>
      <c r="U211" s="8" t="str">
        <f t="shared" si="8"/>
        <v>Office Supplies</v>
      </c>
      <c r="V211" s="6" t="s">
        <v>24</v>
      </c>
      <c r="W211" s="6" t="str">
        <f t="shared" si="9"/>
        <v>Paper</v>
      </c>
      <c r="X211" s="6" t="s">
        <v>1204</v>
      </c>
      <c r="Y211" s="6" t="s">
        <v>35</v>
      </c>
      <c r="Z211" s="6" t="str">
        <f t="shared" si="10"/>
        <v>First Class</v>
      </c>
      <c r="AA211" s="6">
        <v>9</v>
      </c>
      <c r="AB211" s="6">
        <v>864.98</v>
      </c>
      <c r="AC211" s="6">
        <v>0.1</v>
      </c>
      <c r="AD211" s="6">
        <v>7006.34</v>
      </c>
      <c r="AE211" s="6">
        <v>4640.88</v>
      </c>
      <c r="AF211" s="6">
        <v>2365.46</v>
      </c>
      <c r="AG211" s="6" t="s">
        <v>52</v>
      </c>
      <c r="AH211" s="6" t="str">
        <f t="shared" si="11"/>
        <v>Paid</v>
      </c>
      <c r="AI211" s="6" t="s">
        <v>134</v>
      </c>
      <c r="AJ211" s="6" t="str">
        <f t="shared" si="12"/>
        <v>Completed</v>
      </c>
      <c r="AK211" s="9" t="str">
        <f>_xlfn.TEXTJOIN("|",FALSE,A211,TEXT(B211,"mm-dd-yyyy"),TEXT(E211,"mm-dd-yyyy"),I211,J211,L211,N211,P211,R211,T211,V211,X211,Y211,AA211,AB211,AC211,AD211,AE211,AF211,AG211,AI211)</f>
        <v>ORD-2025-10210|08-13-2025|08-14-2025|CUST-4947|Rohan Mehta|Small Business|South|Andhra Pradesh|Vijayawada|Office Supplies|Paper|Prime Paper 903|First Class|9|864.98|0.1|7006.34|4640.88|2365.46|Paid|Completed</v>
      </c>
      <c r="AL211" s="27" t="str">
        <f>IF(COUNTIF($AK$2:AK211,AK211)&gt;1,"Remove exact duplicate copy","Keep")</f>
        <v>Keep</v>
      </c>
      <c r="AM211" s="9">
        <f t="shared" si="13"/>
        <v>1</v>
      </c>
      <c r="AN211" s="9" t="str">
        <f t="shared" si="14"/>
        <v>Unique</v>
      </c>
      <c r="AO211" s="9" t="str">
        <f t="shared" si="15"/>
        <v/>
      </c>
      <c r="AP211" s="9">
        <f t="shared" si="16"/>
        <v>0.1</v>
      </c>
      <c r="AQ211" s="10">
        <f t="shared" si="17"/>
        <v>7006.3379999999997</v>
      </c>
      <c r="AR211" s="10">
        <f t="shared" si="18"/>
        <v>2365.4579999999996</v>
      </c>
      <c r="AS211" s="11">
        <f t="shared" si="19"/>
        <v>0.33761688345609359</v>
      </c>
      <c r="AT211" s="9">
        <f t="shared" si="20"/>
        <v>8</v>
      </c>
      <c r="AU211" s="9">
        <f t="shared" si="21"/>
        <v>2025</v>
      </c>
      <c r="AV211" s="9" t="b">
        <f t="shared" si="22"/>
        <v>0</v>
      </c>
      <c r="AW211" s="9" t="b">
        <f t="shared" si="23"/>
        <v>0</v>
      </c>
      <c r="AX211" s="9" t="str">
        <f t="shared" si="24"/>
        <v>Yes</v>
      </c>
      <c r="AY211" s="9" t="str">
        <f t="shared" si="31"/>
        <v/>
      </c>
      <c r="AZ211" s="9" t="str">
        <f>IF(OR(G211="Missing date",G211="Invalid date",G211="Ship date before order date",NOT(ISNUMBER(AP211)),AP211&lt;0,AP211&gt;0.5,AV211=TRUE,AW211=TRUE),"Invalid",IF(OR(O211="Unknown",Z211="Unknown",AC211="",AH211&lt;&gt;"Paid",AJ211&lt;&gt;"Completed",AO211&lt;&gt;""),"Warning","Clean"))</f>
        <v>Clean</v>
      </c>
    </row>
    <row r="212" spans="1:52" ht="15.75" customHeight="1">
      <c r="A212" s="6" t="s">
        <v>1205</v>
      </c>
      <c r="B212" s="7" t="s">
        <v>1206</v>
      </c>
      <c r="C212" s="7" t="str">
        <f t="shared" si="30"/>
        <v>2024-03</v>
      </c>
      <c r="D212" s="7" cm="1">
        <f t="array" ref="D212">_xlfn.LET(_xlpm.x,B212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45366</v>
      </c>
      <c r="E212" s="7" t="s">
        <v>1207</v>
      </c>
      <c r="F212" s="7" cm="1">
        <f t="array" ref="F212">_xlfn.LET(_xlpm.x,E212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45369</v>
      </c>
      <c r="G212" s="8" t="str">
        <f t="shared" si="1"/>
        <v>OK</v>
      </c>
      <c r="H212" s="6">
        <f t="shared" si="2"/>
        <v>3</v>
      </c>
      <c r="I212" s="6" t="s">
        <v>1208</v>
      </c>
      <c r="J212" s="6" t="s">
        <v>442</v>
      </c>
      <c r="K212" s="6" t="str">
        <f t="shared" si="3"/>
        <v>Kabir Singh</v>
      </c>
      <c r="L212" s="6" t="s">
        <v>44</v>
      </c>
      <c r="M212" s="8" t="str">
        <f t="shared" si="4"/>
        <v>Home Office</v>
      </c>
      <c r="N212" s="6" t="s">
        <v>10</v>
      </c>
      <c r="O212" s="6" t="str">
        <f t="shared" si="5"/>
        <v>South</v>
      </c>
      <c r="P212" s="6" t="s">
        <v>303</v>
      </c>
      <c r="Q212" s="6" t="str">
        <f t="shared" si="6"/>
        <v>Karnataka</v>
      </c>
      <c r="R212" s="6" t="s">
        <v>304</v>
      </c>
      <c r="S212" s="6" t="str">
        <f t="shared" si="7"/>
        <v>Bengaluru</v>
      </c>
      <c r="T212" s="6" t="s">
        <v>27</v>
      </c>
      <c r="U212" s="8" t="str">
        <f t="shared" si="8"/>
        <v>Technology</v>
      </c>
      <c r="V212" s="6" t="s">
        <v>30</v>
      </c>
      <c r="W212" s="6" t="str">
        <f t="shared" si="9"/>
        <v>Machines</v>
      </c>
      <c r="X212" s="6" t="s">
        <v>1209</v>
      </c>
      <c r="Y212" s="6" t="s">
        <v>36</v>
      </c>
      <c r="Z212" s="6" t="str">
        <f t="shared" si="10"/>
        <v>Second Class</v>
      </c>
      <c r="AA212" s="6">
        <v>1</v>
      </c>
      <c r="AB212" s="6">
        <v>4131.3599999999997</v>
      </c>
      <c r="AC212" s="6">
        <v>0</v>
      </c>
      <c r="AD212" s="6">
        <v>4131.3599999999997</v>
      </c>
      <c r="AE212" s="6">
        <v>2937.07</v>
      </c>
      <c r="AF212" s="6">
        <v>1194.29</v>
      </c>
      <c r="AG212" s="6" t="s">
        <v>50</v>
      </c>
      <c r="AH212" s="6" t="str">
        <f t="shared" si="11"/>
        <v>Failed</v>
      </c>
      <c r="AI212" s="6" t="s">
        <v>59</v>
      </c>
      <c r="AJ212" s="6" t="str">
        <f t="shared" si="12"/>
        <v>Returned</v>
      </c>
      <c r="AK212" s="9" t="str">
        <f>_xlfn.TEXTJOIN("|",FALSE,A212,TEXT(B212,"mm-dd-yyyy"),TEXT(E212,"mm-dd-yyyy"),I212,J212,L212,N212,P212,R212,T212,V212,X212,Y212,AA212,AB212,AC212,AD212,AE212,AF212,AG212,AI212)</f>
        <v>ORD-2024-10211|03-15-2024|18-03-2024|CUST-3076|Kabir Singh|Home Office|South|Karnataka|Bengaluru|Technology|Machines|Classic Machines 944|Second Class|1|4131.36|0|4131.36|2937.07|1194.29|Failed|Returned</v>
      </c>
      <c r="AL212" s="27" t="str">
        <f>IF(COUNTIF($AK$2:AK212,AK212)&gt;1,"Remove exact duplicate copy","Keep")</f>
        <v>Keep</v>
      </c>
      <c r="AM212" s="9">
        <f t="shared" si="13"/>
        <v>1</v>
      </c>
      <c r="AN212" s="9" t="str">
        <f t="shared" si="14"/>
        <v>Unique</v>
      </c>
      <c r="AO212" s="9" t="str">
        <f t="shared" si="15"/>
        <v/>
      </c>
      <c r="AP212" s="9">
        <f t="shared" si="16"/>
        <v>0</v>
      </c>
      <c r="AQ212" s="10">
        <f t="shared" si="17"/>
        <v>4131.3599999999997</v>
      </c>
      <c r="AR212" s="10">
        <f t="shared" si="18"/>
        <v>1194.2899999999995</v>
      </c>
      <c r="AS212" s="11">
        <f t="shared" si="19"/>
        <v>0.28907914100925591</v>
      </c>
      <c r="AT212" s="9">
        <f t="shared" si="20"/>
        <v>3</v>
      </c>
      <c r="AU212" s="9">
        <f t="shared" si="21"/>
        <v>2024</v>
      </c>
      <c r="AV212" s="9" t="b">
        <f t="shared" si="22"/>
        <v>0</v>
      </c>
      <c r="AW212" s="9" t="b">
        <f t="shared" si="23"/>
        <v>0</v>
      </c>
      <c r="AX212" s="9" t="str">
        <f t="shared" si="24"/>
        <v>No</v>
      </c>
      <c r="AY212" s="9" t="str">
        <f t="shared" si="31"/>
        <v>Failed payment excluded; Returned order excluded</v>
      </c>
      <c r="AZ212" s="9" t="str">
        <f>IF(OR(G212="Missing date",G212="Invalid date",G212="Ship date before order date",NOT(ISNUMBER(AP212)),AP212&lt;0,AP212&gt;0.5,AV212=TRUE,AW212=TRUE),"Invalid",IF(OR(O212="Unknown",Z212="Unknown",AC212="",AH212&lt;&gt;"Paid",AJ212&lt;&gt;"Completed",AO212&lt;&gt;""),"Warning","Clean"))</f>
        <v>Warning</v>
      </c>
    </row>
    <row r="213" spans="1:52" ht="15.75" customHeight="1">
      <c r="A213" s="6" t="s">
        <v>1210</v>
      </c>
      <c r="B213" s="7" t="s">
        <v>1211</v>
      </c>
      <c r="C213" s="7" t="str">
        <f t="shared" si="30"/>
        <v>2024-05</v>
      </c>
      <c r="D213" s="7" cm="1">
        <f t="array" ref="D213">_xlfn.LET(_xlpm.x,B213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45428</v>
      </c>
      <c r="E213" s="7" t="s">
        <v>1212</v>
      </c>
      <c r="F213" s="7" cm="1">
        <f t="array" ref="F213">_xlfn.LET(_xlpm.x,E213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45429</v>
      </c>
      <c r="G213" s="8" t="str">
        <f t="shared" si="1"/>
        <v>OK</v>
      </c>
      <c r="H213" s="6">
        <f t="shared" si="2"/>
        <v>1</v>
      </c>
      <c r="I213" s="6" t="s">
        <v>1213</v>
      </c>
      <c r="J213" s="6" t="s">
        <v>257</v>
      </c>
      <c r="K213" s="6" t="str">
        <f t="shared" si="3"/>
        <v>Rohan Mehta</v>
      </c>
      <c r="L213" s="6" t="s">
        <v>45</v>
      </c>
      <c r="M213" s="8" t="str">
        <f t="shared" si="4"/>
        <v>Corporate</v>
      </c>
      <c r="N213" s="6" t="s">
        <v>1214</v>
      </c>
      <c r="O213" s="6" t="str">
        <f t="shared" si="5"/>
        <v>East</v>
      </c>
      <c r="P213" s="6" t="s">
        <v>201</v>
      </c>
      <c r="Q213" s="6" t="str">
        <f t="shared" si="6"/>
        <v>West Bengal</v>
      </c>
      <c r="R213" s="6" t="s">
        <v>202</v>
      </c>
      <c r="S213" s="6" t="str">
        <f t="shared" si="7"/>
        <v>Kolkata</v>
      </c>
      <c r="T213" s="6" t="s">
        <v>27</v>
      </c>
      <c r="U213" s="8" t="str">
        <f t="shared" si="8"/>
        <v>Technology</v>
      </c>
      <c r="V213" s="6" t="s">
        <v>29</v>
      </c>
      <c r="W213" s="6" t="str">
        <f t="shared" si="9"/>
        <v>Copiers</v>
      </c>
      <c r="X213" s="6" t="s">
        <v>1215</v>
      </c>
      <c r="Y213" s="6" t="s">
        <v>36</v>
      </c>
      <c r="Z213" s="6" t="str">
        <f t="shared" si="10"/>
        <v>Second Class</v>
      </c>
      <c r="AA213" s="6">
        <v>8</v>
      </c>
      <c r="AB213" s="6">
        <v>4221.95</v>
      </c>
      <c r="AC213" s="6">
        <v>0.2</v>
      </c>
      <c r="AD213" s="6">
        <v>27020.48</v>
      </c>
      <c r="AE213" s="6">
        <v>22885.24</v>
      </c>
      <c r="AF213" s="6">
        <v>4135.24</v>
      </c>
      <c r="AG213" s="6" t="s">
        <v>52</v>
      </c>
      <c r="AH213" s="6" t="str">
        <f t="shared" si="11"/>
        <v>Paid</v>
      </c>
      <c r="AI213" s="6" t="s">
        <v>134</v>
      </c>
      <c r="AJ213" s="6" t="str">
        <f t="shared" si="12"/>
        <v>Completed</v>
      </c>
      <c r="AK213" s="9" t="str">
        <f>_xlfn.TEXTJOIN("|",FALSE,A213,TEXT(B213,"mm-dd-yyyy"),TEXT(E213,"mm-dd-yyyy"),I213,J213,L213,N213,P213,R213,T213,V213,X213,Y213,AA213,AB213,AC213,AD213,AE213,AF213,AG213,AI213)</f>
        <v>ORD-2024-10212|05-16-2024|05-17-2024|CUST-2222|Rohan Mehta|Corporate|EAST|West Bengal|Kolkata|Technology|Copiers|Basic Copiers 222|Second Class|8|4221.95|0.2|27020.48|22885.24|4135.24|Paid|Completed</v>
      </c>
      <c r="AL213" s="27" t="str">
        <f>IF(COUNTIF($AK$2:AK213,AK213)&gt;1,"Remove exact duplicate copy","Keep")</f>
        <v>Keep</v>
      </c>
      <c r="AM213" s="9">
        <f t="shared" si="13"/>
        <v>1</v>
      </c>
      <c r="AN213" s="9" t="str">
        <f t="shared" si="14"/>
        <v>Unique</v>
      </c>
      <c r="AO213" s="9" t="str">
        <f t="shared" si="15"/>
        <v/>
      </c>
      <c r="AP213" s="9">
        <f t="shared" si="16"/>
        <v>0.2</v>
      </c>
      <c r="AQ213" s="10">
        <f t="shared" si="17"/>
        <v>27020.48</v>
      </c>
      <c r="AR213" s="10">
        <f t="shared" si="18"/>
        <v>4135.239999999998</v>
      </c>
      <c r="AS213" s="11">
        <f t="shared" si="19"/>
        <v>0.15304095264036752</v>
      </c>
      <c r="AT213" s="9">
        <f t="shared" si="20"/>
        <v>5</v>
      </c>
      <c r="AU213" s="9">
        <f t="shared" si="21"/>
        <v>2024</v>
      </c>
      <c r="AV213" s="9" t="b">
        <f t="shared" si="22"/>
        <v>0</v>
      </c>
      <c r="AW213" s="9" t="b">
        <f t="shared" si="23"/>
        <v>0</v>
      </c>
      <c r="AX213" s="9" t="str">
        <f t="shared" si="24"/>
        <v>Yes</v>
      </c>
      <c r="AY213" s="9" t="str">
        <f t="shared" si="31"/>
        <v/>
      </c>
      <c r="AZ213" s="9" t="str">
        <f>IF(OR(G213="Missing date",G213="Invalid date",G213="Ship date before order date",NOT(ISNUMBER(AP213)),AP213&lt;0,AP213&gt;0.5,AV213=TRUE,AW213=TRUE),"Invalid",IF(OR(O213="Unknown",Z213="Unknown",AC213="",AH213&lt;&gt;"Paid",AJ213&lt;&gt;"Completed",AO213&lt;&gt;""),"Warning","Clean"))</f>
        <v>Clean</v>
      </c>
    </row>
    <row r="214" spans="1:52" ht="15.75" customHeight="1">
      <c r="A214" s="6" t="s">
        <v>1216</v>
      </c>
      <c r="B214" s="7" t="s">
        <v>1217</v>
      </c>
      <c r="C214" s="7" t="str">
        <f t="shared" si="30"/>
        <v>2024-09</v>
      </c>
      <c r="D214" s="7" cm="1">
        <f t="array" ref="D214">_xlfn.LET(_xlpm.x,B214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45556</v>
      </c>
      <c r="E214" s="7" t="s">
        <v>1218</v>
      </c>
      <c r="F214" s="7" cm="1">
        <f t="array" ref="F214">_xlfn.LET(_xlpm.x,E214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45556</v>
      </c>
      <c r="G214" s="8" t="str">
        <f t="shared" si="1"/>
        <v>OK</v>
      </c>
      <c r="H214" s="6">
        <f t="shared" si="2"/>
        <v>0</v>
      </c>
      <c r="I214" s="6" t="s">
        <v>1219</v>
      </c>
      <c r="J214" s="6" t="s">
        <v>161</v>
      </c>
      <c r="K214" s="6" t="str">
        <f t="shared" si="3"/>
        <v>Ananya Rao</v>
      </c>
      <c r="L214" s="6" t="s">
        <v>46</v>
      </c>
      <c r="M214" s="8" t="str">
        <f t="shared" si="4"/>
        <v>Small Business</v>
      </c>
      <c r="N214" s="6" t="s">
        <v>8</v>
      </c>
      <c r="O214" s="6" t="str">
        <f t="shared" si="5"/>
        <v>East</v>
      </c>
      <c r="P214" s="6" t="s">
        <v>140</v>
      </c>
      <c r="Q214" s="6" t="str">
        <f t="shared" si="6"/>
        <v>Odisha</v>
      </c>
      <c r="R214" s="6" t="s">
        <v>141</v>
      </c>
      <c r="S214" s="6" t="str">
        <f t="shared" si="7"/>
        <v>Bhubaneswar</v>
      </c>
      <c r="T214" s="6" t="s">
        <v>27</v>
      </c>
      <c r="U214" s="8" t="str">
        <f t="shared" si="8"/>
        <v>Technology</v>
      </c>
      <c r="V214" s="6" t="s">
        <v>31</v>
      </c>
      <c r="W214" s="6" t="str">
        <f t="shared" si="9"/>
        <v>Phones</v>
      </c>
      <c r="X214" s="6" t="s">
        <v>1220</v>
      </c>
      <c r="Y214" s="6" t="s">
        <v>37</v>
      </c>
      <c r="Z214" s="6" t="str">
        <f t="shared" si="10"/>
        <v>Same Day</v>
      </c>
      <c r="AA214" s="6">
        <v>2</v>
      </c>
      <c r="AB214" s="6">
        <v>214.5</v>
      </c>
      <c r="AC214" s="6">
        <v>0.15</v>
      </c>
      <c r="AD214" s="6">
        <v>364.65</v>
      </c>
      <c r="AE214" s="6">
        <v>280.74</v>
      </c>
      <c r="AF214" s="6">
        <v>83.91</v>
      </c>
      <c r="AG214" s="6" t="s">
        <v>52</v>
      </c>
      <c r="AH214" s="6" t="str">
        <f t="shared" si="11"/>
        <v>Paid</v>
      </c>
      <c r="AI214" s="6" t="s">
        <v>134</v>
      </c>
      <c r="AJ214" s="6" t="str">
        <f t="shared" si="12"/>
        <v>Completed</v>
      </c>
      <c r="AK214" s="9" t="str">
        <f>_xlfn.TEXTJOIN("|",FALSE,A214,TEXT(B214,"mm-dd-yyyy"),TEXT(E214,"mm-dd-yyyy"),I214,J214,L214,N214,P214,R214,T214,V214,X214,Y214,AA214,AB214,AC214,AD214,AE214,AF214,AG214,AI214)</f>
        <v>ORD-2024-10213|09-21-2024|09-21-2024|CUST-3610|Ananya Rao|Small Business|East|Odisha|Bhubaneswar|Technology|Phones|Max Phones 329|Same Day|2|214.5|0.15|364.65|280.74|83.91|Paid|Completed</v>
      </c>
      <c r="AL214" s="27" t="str">
        <f>IF(COUNTIF($AK$2:AK214,AK214)&gt;1,"Remove exact duplicate copy","Keep")</f>
        <v>Keep</v>
      </c>
      <c r="AM214" s="9">
        <f t="shared" si="13"/>
        <v>1</v>
      </c>
      <c r="AN214" s="9" t="str">
        <f t="shared" si="14"/>
        <v>Unique</v>
      </c>
      <c r="AO214" s="9" t="str">
        <f t="shared" si="15"/>
        <v/>
      </c>
      <c r="AP214" s="9">
        <f t="shared" si="16"/>
        <v>0.15</v>
      </c>
      <c r="AQ214" s="10">
        <f t="shared" si="17"/>
        <v>364.65</v>
      </c>
      <c r="AR214" s="10">
        <f t="shared" si="18"/>
        <v>83.909999999999968</v>
      </c>
      <c r="AS214" s="11">
        <f t="shared" si="19"/>
        <v>0.23011106540518297</v>
      </c>
      <c r="AT214" s="9">
        <f t="shared" si="20"/>
        <v>9</v>
      </c>
      <c r="AU214" s="9">
        <f t="shared" si="21"/>
        <v>2024</v>
      </c>
      <c r="AV214" s="9" t="b">
        <f t="shared" si="22"/>
        <v>0</v>
      </c>
      <c r="AW214" s="9" t="b">
        <f t="shared" si="23"/>
        <v>0</v>
      </c>
      <c r="AX214" s="9" t="str">
        <f t="shared" si="24"/>
        <v>Yes</v>
      </c>
      <c r="AY214" s="9" t="str">
        <f t="shared" si="31"/>
        <v/>
      </c>
      <c r="AZ214" s="9" t="str">
        <f>IF(OR(G214="Missing date",G214="Invalid date",G214="Ship date before order date",NOT(ISNUMBER(AP214)),AP214&lt;0,AP214&gt;0.5,AV214=TRUE,AW214=TRUE),"Invalid",IF(OR(O214="Unknown",Z214="Unknown",AC214="",AH214&lt;&gt;"Paid",AJ214&lt;&gt;"Completed",AO214&lt;&gt;""),"Warning","Clean"))</f>
        <v>Clean</v>
      </c>
    </row>
    <row r="215" spans="1:52" ht="15.75" customHeight="1">
      <c r="A215" s="6" t="s">
        <v>1221</v>
      </c>
      <c r="B215" s="7" t="s">
        <v>1222</v>
      </c>
      <c r="C215" s="7" t="str">
        <f t="shared" si="30"/>
        <v>2024-05</v>
      </c>
      <c r="D215" s="7" cm="1">
        <f t="array" ref="D215">_xlfn.LET(_xlpm.x,B215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45427</v>
      </c>
      <c r="E215" s="7" t="s">
        <v>1223</v>
      </c>
      <c r="F215" s="7" cm="1">
        <f t="array" ref="F215">_xlfn.LET(_xlpm.x,E215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45433</v>
      </c>
      <c r="G215" s="8" t="str">
        <f t="shared" si="1"/>
        <v>OK</v>
      </c>
      <c r="H215" s="6">
        <f t="shared" si="2"/>
        <v>6</v>
      </c>
      <c r="I215" s="6" t="s">
        <v>1224</v>
      </c>
      <c r="J215" s="6" t="s">
        <v>147</v>
      </c>
      <c r="K215" s="6" t="str">
        <f t="shared" si="3"/>
        <v>Isha Nair</v>
      </c>
      <c r="L215" s="6" t="s">
        <v>46</v>
      </c>
      <c r="M215" s="8" t="str">
        <f t="shared" si="4"/>
        <v>Small Business</v>
      </c>
      <c r="N215" s="6" t="s">
        <v>8</v>
      </c>
      <c r="O215" s="6" t="str">
        <f t="shared" si="5"/>
        <v>East</v>
      </c>
      <c r="P215" s="6" t="s">
        <v>263</v>
      </c>
      <c r="Q215" s="6" t="str">
        <f t="shared" si="6"/>
        <v>Bihar</v>
      </c>
      <c r="R215" s="6" t="s">
        <v>264</v>
      </c>
      <c r="S215" s="6" t="str">
        <f t="shared" si="7"/>
        <v>Patna</v>
      </c>
      <c r="T215" s="6" t="s">
        <v>27</v>
      </c>
      <c r="U215" s="8" t="str">
        <f t="shared" si="8"/>
        <v>Technology</v>
      </c>
      <c r="V215" s="6" t="s">
        <v>28</v>
      </c>
      <c r="W215" s="6" t="str">
        <f t="shared" si="9"/>
        <v>Accessories</v>
      </c>
      <c r="X215" s="6" t="s">
        <v>1225</v>
      </c>
      <c r="Y215" s="6" t="s">
        <v>1226</v>
      </c>
      <c r="Z215" s="6" t="str">
        <f t="shared" si="10"/>
        <v>Second Class</v>
      </c>
      <c r="AA215" s="6">
        <v>4</v>
      </c>
      <c r="AB215" s="6">
        <v>4332.7299999999996</v>
      </c>
      <c r="AC215" s="6">
        <v>0.2</v>
      </c>
      <c r="AD215" s="6">
        <v>13864.74</v>
      </c>
      <c r="AE215" s="6">
        <v>11294.06</v>
      </c>
      <c r="AF215" s="6">
        <v>2570.6799999999998</v>
      </c>
      <c r="AG215" s="6" t="s">
        <v>52</v>
      </c>
      <c r="AH215" s="6" t="str">
        <f t="shared" si="11"/>
        <v>Paid</v>
      </c>
      <c r="AI215" s="6" t="s">
        <v>134</v>
      </c>
      <c r="AJ215" s="6" t="str">
        <f t="shared" si="12"/>
        <v>Completed</v>
      </c>
      <c r="AK215" s="9" t="str">
        <f>_xlfn.TEXTJOIN("|",FALSE,A215,TEXT(B215,"mm-dd-yyyy"),TEXT(E215,"mm-dd-yyyy"),I215,J215,L215,N215,P215,R215,T215,V215,X215,Y215,AA215,AB215,AC215,AD215,AE215,AF215,AG215,AI215)</f>
        <v>ORD-2024-10214|05-15-2024|21-05-2024|CUST-9136|Isha Nair|Small Business|East|Bihar|Patna|Technology|Accessories|Classic Accessories 840|  Second Class |4|4332.73|0.2|13864.74|11294.06|2570.68|Paid|Completed</v>
      </c>
      <c r="AL215" s="27" t="str">
        <f>IF(COUNTIF($AK$2:AK215,AK215)&gt;1,"Remove exact duplicate copy","Keep")</f>
        <v>Keep</v>
      </c>
      <c r="AM215" s="9">
        <f t="shared" si="13"/>
        <v>1</v>
      </c>
      <c r="AN215" s="9" t="str">
        <f t="shared" si="14"/>
        <v>Unique</v>
      </c>
      <c r="AO215" s="9" t="str">
        <f t="shared" si="15"/>
        <v/>
      </c>
      <c r="AP215" s="9">
        <f t="shared" si="16"/>
        <v>0.2</v>
      </c>
      <c r="AQ215" s="10">
        <f t="shared" si="17"/>
        <v>13864.735999999999</v>
      </c>
      <c r="AR215" s="10">
        <f t="shared" si="18"/>
        <v>2570.6759999999995</v>
      </c>
      <c r="AS215" s="11">
        <f t="shared" si="19"/>
        <v>0.18541110339208763</v>
      </c>
      <c r="AT215" s="9">
        <f t="shared" si="20"/>
        <v>5</v>
      </c>
      <c r="AU215" s="9">
        <f t="shared" si="21"/>
        <v>2024</v>
      </c>
      <c r="AV215" s="9" t="b">
        <f t="shared" si="22"/>
        <v>0</v>
      </c>
      <c r="AW215" s="9" t="b">
        <f t="shared" si="23"/>
        <v>0</v>
      </c>
      <c r="AX215" s="9" t="str">
        <f t="shared" si="24"/>
        <v>Yes</v>
      </c>
      <c r="AY215" s="9" t="str">
        <f t="shared" si="31"/>
        <v/>
      </c>
      <c r="AZ215" s="9" t="str">
        <f>IF(OR(G215="Missing date",G215="Invalid date",G215="Ship date before order date",NOT(ISNUMBER(AP215)),AP215&lt;0,AP215&gt;0.5,AV215=TRUE,AW215=TRUE),"Invalid",IF(OR(O215="Unknown",Z215="Unknown",AC215="",AH215&lt;&gt;"Paid",AJ215&lt;&gt;"Completed",AO215&lt;&gt;""),"Warning","Clean"))</f>
        <v>Clean</v>
      </c>
    </row>
    <row r="216" spans="1:52" ht="15.75" customHeight="1">
      <c r="A216" s="6" t="s">
        <v>1227</v>
      </c>
      <c r="B216" s="7" t="s">
        <v>1228</v>
      </c>
      <c r="C216" s="7" t="str">
        <f t="shared" si="30"/>
        <v>2024-03</v>
      </c>
      <c r="D216" s="7" cm="1">
        <f t="array" ref="D216">_xlfn.LET(_xlpm.x,B216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45368</v>
      </c>
      <c r="E216" s="7" t="s">
        <v>1229</v>
      </c>
      <c r="F216" s="7" cm="1">
        <f t="array" ref="F216">_xlfn.LET(_xlpm.x,E216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45374</v>
      </c>
      <c r="G216" s="8" t="str">
        <f t="shared" si="1"/>
        <v>OK</v>
      </c>
      <c r="H216" s="6">
        <f t="shared" si="2"/>
        <v>6</v>
      </c>
      <c r="I216" s="6" t="s">
        <v>1230</v>
      </c>
      <c r="J216" s="6" t="s">
        <v>226</v>
      </c>
      <c r="K216" s="6" t="str">
        <f t="shared" si="3"/>
        <v>Rahul Verma</v>
      </c>
      <c r="L216" s="6" t="s">
        <v>43</v>
      </c>
      <c r="M216" s="8" t="str">
        <f t="shared" si="4"/>
        <v>Consumer</v>
      </c>
      <c r="N216" s="6" t="s">
        <v>7</v>
      </c>
      <c r="O216" s="6" t="str">
        <f t="shared" si="5"/>
        <v>North</v>
      </c>
      <c r="P216" s="6" t="s">
        <v>397</v>
      </c>
      <c r="Q216" s="6" t="str">
        <f t="shared" si="6"/>
        <v>Haryana</v>
      </c>
      <c r="R216" s="6" t="s">
        <v>398</v>
      </c>
      <c r="S216" s="6" t="str">
        <f t="shared" si="7"/>
        <v>Gurugram</v>
      </c>
      <c r="T216" s="6" t="s">
        <v>27</v>
      </c>
      <c r="U216" s="8" t="str">
        <f t="shared" si="8"/>
        <v>Technology</v>
      </c>
      <c r="V216" s="6" t="s">
        <v>28</v>
      </c>
      <c r="W216" s="6" t="str">
        <f t="shared" si="9"/>
        <v>Accessories</v>
      </c>
      <c r="X216" s="6" t="s">
        <v>1231</v>
      </c>
      <c r="Y216" s="6" t="s">
        <v>1232</v>
      </c>
      <c r="Z216" s="6" t="str">
        <f t="shared" si="10"/>
        <v>First Class</v>
      </c>
      <c r="AA216" s="6">
        <v>3</v>
      </c>
      <c r="AB216" s="6">
        <v>248.18</v>
      </c>
      <c r="AC216" s="6">
        <v>0.05</v>
      </c>
      <c r="AD216" s="6">
        <v>707.31</v>
      </c>
      <c r="AE216" s="6">
        <v>569</v>
      </c>
      <c r="AF216" s="6">
        <v>138.31</v>
      </c>
      <c r="AG216" s="6" t="s">
        <v>52</v>
      </c>
      <c r="AH216" s="6" t="str">
        <f t="shared" si="11"/>
        <v>Paid</v>
      </c>
      <c r="AI216" s="6" t="s">
        <v>134</v>
      </c>
      <c r="AJ216" s="6" t="str">
        <f t="shared" si="12"/>
        <v>Completed</v>
      </c>
      <c r="AK216" s="9" t="str">
        <f>_xlfn.TEXTJOIN("|",FALSE,A216,TEXT(B216,"mm-dd-yyyy"),TEXT(E216,"mm-dd-yyyy"),I216,J216,L216,N216,P216,R216,T216,V216,X216,Y216,AA216,AB216,AC216,AD216,AE216,AF216,AG216,AI216)</f>
        <v>ORD-2024-10215|03-17-2024|23-03-2024|CUST-1301|Rahul Verma|Consumer|North|Haryana|Gurugram|Technology|Accessories|Classic Accessories 757|  First Class |3|248.18|0.05|707.31|569|138.31|Paid|Completed</v>
      </c>
      <c r="AL216" s="27" t="str">
        <f>IF(COUNTIF($AK$2:AK216,AK216)&gt;1,"Remove exact duplicate copy","Keep")</f>
        <v>Keep</v>
      </c>
      <c r="AM216" s="9">
        <f t="shared" si="13"/>
        <v>1</v>
      </c>
      <c r="AN216" s="9" t="str">
        <f t="shared" si="14"/>
        <v>Unique</v>
      </c>
      <c r="AO216" s="9" t="str">
        <f t="shared" si="15"/>
        <v/>
      </c>
      <c r="AP216" s="9">
        <f t="shared" si="16"/>
        <v>0.05</v>
      </c>
      <c r="AQ216" s="10">
        <f t="shared" si="17"/>
        <v>707.31299999999999</v>
      </c>
      <c r="AR216" s="10">
        <f t="shared" si="18"/>
        <v>138.31299999999999</v>
      </c>
      <c r="AS216" s="11">
        <f t="shared" si="19"/>
        <v>0.19554709159876885</v>
      </c>
      <c r="AT216" s="9">
        <f t="shared" si="20"/>
        <v>3</v>
      </c>
      <c r="AU216" s="9">
        <f t="shared" si="21"/>
        <v>2024</v>
      </c>
      <c r="AV216" s="9" t="b">
        <f t="shared" si="22"/>
        <v>0</v>
      </c>
      <c r="AW216" s="9" t="b">
        <f t="shared" si="23"/>
        <v>0</v>
      </c>
      <c r="AX216" s="9" t="str">
        <f t="shared" si="24"/>
        <v>Yes</v>
      </c>
      <c r="AY216" s="9" t="str">
        <f t="shared" si="31"/>
        <v/>
      </c>
      <c r="AZ216" s="9" t="str">
        <f>IF(OR(G216="Missing date",G216="Invalid date",G216="Ship date before order date",NOT(ISNUMBER(AP216)),AP216&lt;0,AP216&gt;0.5,AV216=TRUE,AW216=TRUE),"Invalid",IF(OR(O216="Unknown",Z216="Unknown",AC216="",AH216&lt;&gt;"Paid",AJ216&lt;&gt;"Completed",AO216&lt;&gt;""),"Warning","Clean"))</f>
        <v>Clean</v>
      </c>
    </row>
    <row r="217" spans="1:52" ht="15.75" customHeight="1">
      <c r="A217" s="6" t="s">
        <v>1233</v>
      </c>
      <c r="B217" s="7" t="s">
        <v>1234</v>
      </c>
      <c r="C217" s="7" t="str">
        <f t="shared" si="30"/>
        <v>2024-03</v>
      </c>
      <c r="D217" s="7" cm="1">
        <f t="array" ref="D217">_xlfn.LET(_xlpm.x,B217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45352</v>
      </c>
      <c r="E217" s="7" t="s">
        <v>281</v>
      </c>
      <c r="F217" s="7" cm="1">
        <f t="array" ref="F217">_xlfn.LET(_xlpm.x,E217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45355</v>
      </c>
      <c r="G217" s="8" t="str">
        <f t="shared" si="1"/>
        <v>OK</v>
      </c>
      <c r="H217" s="6">
        <f t="shared" si="2"/>
        <v>3</v>
      </c>
      <c r="I217" s="6" t="s">
        <v>1235</v>
      </c>
      <c r="J217" s="6" t="s">
        <v>139</v>
      </c>
      <c r="K217" s="6" t="str">
        <f t="shared" si="3"/>
        <v>Mira Das</v>
      </c>
      <c r="L217" s="6" t="s">
        <v>43</v>
      </c>
      <c r="M217" s="8" t="str">
        <f t="shared" si="4"/>
        <v>Consumer</v>
      </c>
      <c r="N217" s="6" t="s">
        <v>9</v>
      </c>
      <c r="O217" s="6" t="str">
        <f t="shared" si="5"/>
        <v>West</v>
      </c>
      <c r="P217" s="6" t="s">
        <v>170</v>
      </c>
      <c r="Q217" s="6" t="str">
        <f t="shared" si="6"/>
        <v>Madhya Pradesh</v>
      </c>
      <c r="R217" s="6" t="s">
        <v>171</v>
      </c>
      <c r="S217" s="6" t="str">
        <f t="shared" si="7"/>
        <v>Indore</v>
      </c>
      <c r="T217" s="6" t="s">
        <v>20</v>
      </c>
      <c r="U217" s="8" t="str">
        <f t="shared" si="8"/>
        <v>Office Supplies</v>
      </c>
      <c r="V217" s="6" t="s">
        <v>24</v>
      </c>
      <c r="W217" s="6" t="str">
        <f t="shared" si="9"/>
        <v>Paper</v>
      </c>
      <c r="X217" s="6" t="s">
        <v>1236</v>
      </c>
      <c r="Y217" s="6" t="s">
        <v>35</v>
      </c>
      <c r="Z217" s="6" t="str">
        <f t="shared" si="10"/>
        <v>First Class</v>
      </c>
      <c r="AA217" s="6">
        <v>8</v>
      </c>
      <c r="AB217" s="6">
        <v>3202.4</v>
      </c>
      <c r="AC217" s="6">
        <v>0.25</v>
      </c>
      <c r="AD217" s="6">
        <v>19214.400000000001</v>
      </c>
      <c r="AE217" s="6">
        <v>10916.01</v>
      </c>
      <c r="AF217" s="6">
        <v>8298.39</v>
      </c>
      <c r="AG217" s="6" t="s">
        <v>52</v>
      </c>
      <c r="AH217" s="6" t="str">
        <f t="shared" si="11"/>
        <v>Paid</v>
      </c>
      <c r="AI217" s="6" t="s">
        <v>134</v>
      </c>
      <c r="AJ217" s="6" t="str">
        <f t="shared" si="12"/>
        <v>Completed</v>
      </c>
      <c r="AK217" s="9" t="str">
        <f>_xlfn.TEXTJOIN("|",FALSE,A217,TEXT(B217,"mm-dd-yyyy"),TEXT(E217,"mm-dd-yyyy"),I217,J217,L217,N217,P217,R217,T217,V217,X217,Y217,AA217,AB217,AC217,AD217,AE217,AF217,AG217,AI217)</f>
        <v>ORD-2024-10216|01-03-2024|03-04-2024|CUST-8603|Mira Das|Consumer|West|Madhya Pradesh|Indore|Office Supplies|Paper|Prime Paper 286|First Class|8|3202.4|0.25|19214.4|10916.01|8298.39|Paid|Completed</v>
      </c>
      <c r="AL217" s="27" t="str">
        <f>IF(COUNTIF($AK$2:AK217,AK217)&gt;1,"Remove exact duplicate copy","Keep")</f>
        <v>Keep</v>
      </c>
      <c r="AM217" s="9">
        <f t="shared" si="13"/>
        <v>1</v>
      </c>
      <c r="AN217" s="9" t="str">
        <f t="shared" si="14"/>
        <v>Unique</v>
      </c>
      <c r="AO217" s="9" t="str">
        <f t="shared" si="15"/>
        <v/>
      </c>
      <c r="AP217" s="9">
        <f t="shared" si="16"/>
        <v>0.25</v>
      </c>
      <c r="AQ217" s="10">
        <f t="shared" si="17"/>
        <v>19214.400000000001</v>
      </c>
      <c r="AR217" s="10">
        <f t="shared" si="18"/>
        <v>8298.3900000000012</v>
      </c>
      <c r="AS217" s="11">
        <f t="shared" si="19"/>
        <v>0.43188389957531853</v>
      </c>
      <c r="AT217" s="9">
        <f t="shared" si="20"/>
        <v>3</v>
      </c>
      <c r="AU217" s="9">
        <f t="shared" si="21"/>
        <v>2024</v>
      </c>
      <c r="AV217" s="9" t="b">
        <f t="shared" si="22"/>
        <v>0</v>
      </c>
      <c r="AW217" s="9" t="b">
        <f t="shared" si="23"/>
        <v>0</v>
      </c>
      <c r="AX217" s="9" t="str">
        <f t="shared" si="24"/>
        <v>Yes</v>
      </c>
      <c r="AY217" s="9" t="str">
        <f t="shared" si="31"/>
        <v/>
      </c>
      <c r="AZ217" s="9" t="str">
        <f>IF(OR(G217="Missing date",G217="Invalid date",G217="Ship date before order date",NOT(ISNUMBER(AP217)),AP217&lt;0,AP217&gt;0.5,AV217=TRUE,AW217=TRUE),"Invalid",IF(OR(O217="Unknown",Z217="Unknown",AC217="",AH217&lt;&gt;"Paid",AJ217&lt;&gt;"Completed",AO217&lt;&gt;""),"Warning","Clean"))</f>
        <v>Clean</v>
      </c>
    </row>
    <row r="218" spans="1:52" ht="15.75" customHeight="1">
      <c r="A218" s="6" t="s">
        <v>1237</v>
      </c>
      <c r="B218" s="7" t="s">
        <v>174</v>
      </c>
      <c r="C218" s="7" t="str">
        <f t="shared" si="30"/>
        <v>2025-04</v>
      </c>
      <c r="D218" s="7" cm="1">
        <f t="array" ref="D218">_xlfn.LET(_xlpm.x,B218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45757</v>
      </c>
      <c r="E218" s="7" t="s">
        <v>1238</v>
      </c>
      <c r="F218" s="7" cm="1">
        <f t="array" ref="F218">_xlfn.LET(_xlpm.x,E218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45762</v>
      </c>
      <c r="G218" s="8" t="str">
        <f t="shared" si="1"/>
        <v>OK</v>
      </c>
      <c r="H218" s="6">
        <f t="shared" si="2"/>
        <v>5</v>
      </c>
      <c r="I218" s="6" t="s">
        <v>1239</v>
      </c>
      <c r="J218" s="6" t="s">
        <v>147</v>
      </c>
      <c r="K218" s="6" t="str">
        <f t="shared" si="3"/>
        <v>Isha Nair</v>
      </c>
      <c r="L218" s="6" t="s">
        <v>43</v>
      </c>
      <c r="M218" s="8" t="str">
        <f t="shared" si="4"/>
        <v>Consumer</v>
      </c>
      <c r="N218" s="6" t="s">
        <v>9</v>
      </c>
      <c r="O218" s="6" t="str">
        <f t="shared" si="5"/>
        <v>West</v>
      </c>
      <c r="P218" s="6" t="s">
        <v>309</v>
      </c>
      <c r="Q218" s="6" t="str">
        <f t="shared" si="6"/>
        <v>Gujarat</v>
      </c>
      <c r="R218" s="6" t="s">
        <v>310</v>
      </c>
      <c r="S218" s="6" t="str">
        <f t="shared" si="7"/>
        <v>Ahmedabad</v>
      </c>
      <c r="T218" s="6" t="s">
        <v>14</v>
      </c>
      <c r="U218" s="8" t="str">
        <f t="shared" si="8"/>
        <v>Furniture</v>
      </c>
      <c r="V218" s="6" t="s">
        <v>18</v>
      </c>
      <c r="W218" s="6" t="str">
        <f t="shared" si="9"/>
        <v>Tables</v>
      </c>
      <c r="X218" s="6" t="s">
        <v>1240</v>
      </c>
      <c r="Y218" s="6" t="s">
        <v>34</v>
      </c>
      <c r="Z218" s="6" t="str">
        <f t="shared" si="10"/>
        <v>Standard Class</v>
      </c>
      <c r="AA218" s="6">
        <v>8</v>
      </c>
      <c r="AB218" s="6">
        <v>1839.87</v>
      </c>
      <c r="AC218" s="6">
        <v>0.25</v>
      </c>
      <c r="AD218" s="6">
        <v>11039.22</v>
      </c>
      <c r="AE218" s="6">
        <v>7642.91</v>
      </c>
      <c r="AF218" s="6">
        <v>3396.31</v>
      </c>
      <c r="AG218" s="6" t="s">
        <v>50</v>
      </c>
      <c r="AH218" s="6" t="str">
        <f t="shared" si="11"/>
        <v>Failed</v>
      </c>
      <c r="AI218" s="6" t="s">
        <v>59</v>
      </c>
      <c r="AJ218" s="6" t="str">
        <f t="shared" si="12"/>
        <v>Returned</v>
      </c>
      <c r="AK218" s="9" t="str">
        <f>_xlfn.TEXTJOIN("|",FALSE,A218,TEXT(B218,"mm-dd-yyyy"),TEXT(E218,"mm-dd-yyyy"),I218,J218,L218,N218,P218,R218,T218,V218,X218,Y218,AA218,AB218,AC218,AD218,AE218,AF218,AG218,AI218)</f>
        <v>ORD-2025-10217|04-10-2025|04-15-2025|CUST-4330|Isha Nair|Consumer|West|Gujarat|Ahmedabad|Furniture|Tables|Basic Tables 400|Standard Class|8|1839.87|0.25|11039.22|7642.91|3396.31|Failed|Returned</v>
      </c>
      <c r="AL218" s="27" t="str">
        <f>IF(COUNTIF($AK$2:AK218,AK218)&gt;1,"Remove exact duplicate copy","Keep")</f>
        <v>Keep</v>
      </c>
      <c r="AM218" s="9">
        <f t="shared" si="13"/>
        <v>1</v>
      </c>
      <c r="AN218" s="9" t="str">
        <f t="shared" si="14"/>
        <v>Unique</v>
      </c>
      <c r="AO218" s="9" t="str">
        <f t="shared" si="15"/>
        <v/>
      </c>
      <c r="AP218" s="9">
        <f t="shared" si="16"/>
        <v>0.25</v>
      </c>
      <c r="AQ218" s="10">
        <f t="shared" si="17"/>
        <v>11039.22</v>
      </c>
      <c r="AR218" s="10">
        <f t="shared" si="18"/>
        <v>3396.3099999999995</v>
      </c>
      <c r="AS218" s="11">
        <f t="shared" si="19"/>
        <v>0.30765851210502188</v>
      </c>
      <c r="AT218" s="9">
        <f t="shared" si="20"/>
        <v>4</v>
      </c>
      <c r="AU218" s="9">
        <f t="shared" si="21"/>
        <v>2025</v>
      </c>
      <c r="AV218" s="9" t="b">
        <f t="shared" si="22"/>
        <v>0</v>
      </c>
      <c r="AW218" s="9" t="b">
        <f t="shared" si="23"/>
        <v>0</v>
      </c>
      <c r="AX218" s="9" t="str">
        <f t="shared" si="24"/>
        <v>No</v>
      </c>
      <c r="AY218" s="9" t="str">
        <f t="shared" si="31"/>
        <v>Failed payment excluded; Returned order excluded</v>
      </c>
      <c r="AZ218" s="9" t="str">
        <f>IF(OR(G218="Missing date",G218="Invalid date",G218="Ship date before order date",NOT(ISNUMBER(AP218)),AP218&lt;0,AP218&gt;0.5,AV218=TRUE,AW218=TRUE),"Invalid",IF(OR(O218="Unknown",Z218="Unknown",AC218="",AH218&lt;&gt;"Paid",AJ218&lt;&gt;"Completed",AO218&lt;&gt;""),"Warning","Clean"))</f>
        <v>Warning</v>
      </c>
    </row>
    <row r="219" spans="1:52" ht="15.75" customHeight="1">
      <c r="A219" s="6" t="s">
        <v>1241</v>
      </c>
      <c r="B219" s="7" t="s">
        <v>1242</v>
      </c>
      <c r="C219" s="7" t="str">
        <f t="shared" si="30"/>
        <v>2025-04</v>
      </c>
      <c r="D219" s="7" cm="1">
        <f t="array" ref="D219">_xlfn.LET(_xlpm.x,B219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45748</v>
      </c>
      <c r="E219" s="7" t="s">
        <v>1243</v>
      </c>
      <c r="F219" s="7" cm="1">
        <f t="array" ref="F219">_xlfn.LET(_xlpm.x,E219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45755</v>
      </c>
      <c r="G219" s="8" t="str">
        <f t="shared" si="1"/>
        <v>OK</v>
      </c>
      <c r="H219" s="6">
        <f t="shared" si="2"/>
        <v>7</v>
      </c>
      <c r="I219" s="6" t="s">
        <v>1244</v>
      </c>
      <c r="J219" s="6" t="s">
        <v>190</v>
      </c>
      <c r="K219" s="6" t="str">
        <f t="shared" si="3"/>
        <v>Aditi Sen</v>
      </c>
      <c r="L219" s="6" t="s">
        <v>43</v>
      </c>
      <c r="M219" s="8" t="str">
        <f t="shared" si="4"/>
        <v>Consumer</v>
      </c>
      <c r="N219" s="6" t="s">
        <v>8</v>
      </c>
      <c r="O219" s="6" t="str">
        <f t="shared" si="5"/>
        <v>East</v>
      </c>
      <c r="P219" s="6" t="s">
        <v>140</v>
      </c>
      <c r="Q219" s="6" t="str">
        <f t="shared" si="6"/>
        <v>Odisha</v>
      </c>
      <c r="R219" s="6" t="s">
        <v>141</v>
      </c>
      <c r="S219" s="6" t="str">
        <f t="shared" si="7"/>
        <v>Bhubaneswar</v>
      </c>
      <c r="T219" s="6" t="s">
        <v>14</v>
      </c>
      <c r="U219" s="8" t="str">
        <f t="shared" si="8"/>
        <v>Furniture</v>
      </c>
      <c r="V219" s="6" t="s">
        <v>15</v>
      </c>
      <c r="W219" s="6" t="str">
        <f t="shared" si="9"/>
        <v>Bookcases</v>
      </c>
      <c r="X219" s="6" t="s">
        <v>1245</v>
      </c>
      <c r="Y219" s="6" t="s">
        <v>36</v>
      </c>
      <c r="Z219" s="6" t="str">
        <f t="shared" si="10"/>
        <v>Second Class</v>
      </c>
      <c r="AA219" s="6">
        <v>5</v>
      </c>
      <c r="AB219" s="6">
        <v>1021.28</v>
      </c>
      <c r="AC219" s="6">
        <v>0.1</v>
      </c>
      <c r="AD219" s="6">
        <v>4595.76</v>
      </c>
      <c r="AE219" s="6">
        <v>3396.8</v>
      </c>
      <c r="AF219" s="6">
        <v>1198.96</v>
      </c>
      <c r="AG219" s="6" t="s">
        <v>56</v>
      </c>
      <c r="AH219" s="6" t="str">
        <f t="shared" si="11"/>
        <v>Refunded</v>
      </c>
      <c r="AI219" s="6" t="s">
        <v>58</v>
      </c>
      <c r="AJ219" s="6" t="str">
        <f t="shared" si="12"/>
        <v>Cancelled</v>
      </c>
      <c r="AK219" s="9" t="str">
        <f>_xlfn.TEXTJOIN("|",FALSE,A219,TEXT(B219,"mm-dd-yyyy"),TEXT(E219,"mm-dd-yyyy"),I219,J219,L219,N219,P219,R219,T219,V219,X219,Y219,AA219,AB219,AC219,AD219,AE219,AF219,AG219,AI219)</f>
        <v>ORD-2025-10218|01-04-2025|04-08-2025|CUST-4533|Aditi Sen|Consumer|East|Odisha|Bhubaneswar|Furniture|Bookcases|Basic Bookcases 405|Second Class|5|1021.28|0.1|4595.76|3396.8|1198.96|Refunded|Cancelled</v>
      </c>
      <c r="AL219" s="27" t="str">
        <f>IF(COUNTIF($AK$2:AK219,AK219)&gt;1,"Remove exact duplicate copy","Keep")</f>
        <v>Keep</v>
      </c>
      <c r="AM219" s="9">
        <f t="shared" si="13"/>
        <v>1</v>
      </c>
      <c r="AN219" s="9" t="str">
        <f t="shared" si="14"/>
        <v>Unique</v>
      </c>
      <c r="AO219" s="9" t="str">
        <f t="shared" si="15"/>
        <v/>
      </c>
      <c r="AP219" s="9">
        <f t="shared" si="16"/>
        <v>0.1</v>
      </c>
      <c r="AQ219" s="10">
        <f t="shared" si="17"/>
        <v>4595.76</v>
      </c>
      <c r="AR219" s="10">
        <f t="shared" si="18"/>
        <v>1198.96</v>
      </c>
      <c r="AS219" s="11">
        <f t="shared" si="19"/>
        <v>0.26088394520166414</v>
      </c>
      <c r="AT219" s="9">
        <f t="shared" si="20"/>
        <v>4</v>
      </c>
      <c r="AU219" s="9">
        <f t="shared" si="21"/>
        <v>2025</v>
      </c>
      <c r="AV219" s="9" t="b">
        <f t="shared" si="22"/>
        <v>0</v>
      </c>
      <c r="AW219" s="9" t="b">
        <f t="shared" si="23"/>
        <v>0</v>
      </c>
      <c r="AX219" s="9" t="str">
        <f t="shared" si="24"/>
        <v>No</v>
      </c>
      <c r="AY219" s="9" t="str">
        <f t="shared" si="31"/>
        <v>Refunded order summarized separately; Cancelled order excluded</v>
      </c>
      <c r="AZ219" s="9" t="str">
        <f>IF(OR(G219="Missing date",G219="Invalid date",G219="Ship date before order date",NOT(ISNUMBER(AP219)),AP219&lt;0,AP219&gt;0.5,AV219=TRUE,AW219=TRUE),"Invalid",IF(OR(O219="Unknown",Z219="Unknown",AC219="",AH219&lt;&gt;"Paid",AJ219&lt;&gt;"Completed",AO219&lt;&gt;""),"Warning","Clean"))</f>
        <v>Warning</v>
      </c>
    </row>
    <row r="220" spans="1:52" ht="15.75" customHeight="1">
      <c r="A220" s="6" t="s">
        <v>1246</v>
      </c>
      <c r="B220" s="7" t="s">
        <v>1247</v>
      </c>
      <c r="C220" s="7" t="str">
        <f t="shared" si="30"/>
        <v>2025-02</v>
      </c>
      <c r="D220" s="7" cm="1">
        <f t="array" ref="D220">_xlfn.LET(_xlpm.x,B220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45714</v>
      </c>
      <c r="E220" s="7" t="s">
        <v>1248</v>
      </c>
      <c r="F220" s="7" cm="1">
        <f t="array" ref="F220">_xlfn.LET(_xlpm.x,E220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45715</v>
      </c>
      <c r="G220" s="8" t="str">
        <f t="shared" si="1"/>
        <v>OK</v>
      </c>
      <c r="H220" s="6">
        <f t="shared" si="2"/>
        <v>1</v>
      </c>
      <c r="I220" s="6" t="s">
        <v>1249</v>
      </c>
      <c r="J220" s="6" t="s">
        <v>220</v>
      </c>
      <c r="K220" s="6" t="str">
        <f t="shared" si="3"/>
        <v>Priya Menon</v>
      </c>
      <c r="L220" s="6" t="s">
        <v>45</v>
      </c>
      <c r="M220" s="8" t="str">
        <f t="shared" si="4"/>
        <v>Corporate</v>
      </c>
      <c r="N220" s="6" t="s">
        <v>9</v>
      </c>
      <c r="O220" s="6" t="str">
        <f t="shared" si="5"/>
        <v>West</v>
      </c>
      <c r="P220" s="6" t="s">
        <v>309</v>
      </c>
      <c r="Q220" s="6" t="str">
        <f t="shared" si="6"/>
        <v>Gujarat</v>
      </c>
      <c r="R220" s="6" t="s">
        <v>310</v>
      </c>
      <c r="S220" s="6" t="str">
        <f t="shared" si="7"/>
        <v>Ahmedabad</v>
      </c>
      <c r="T220" s="6" t="s">
        <v>14</v>
      </c>
      <c r="U220" s="8" t="str">
        <f t="shared" si="8"/>
        <v>Furniture</v>
      </c>
      <c r="V220" s="6" t="s">
        <v>15</v>
      </c>
      <c r="W220" s="6" t="str">
        <f t="shared" si="9"/>
        <v>Bookcases</v>
      </c>
      <c r="X220" s="6" t="s">
        <v>1250</v>
      </c>
      <c r="Y220" s="6" t="s">
        <v>34</v>
      </c>
      <c r="Z220" s="6" t="str">
        <f t="shared" si="10"/>
        <v>Standard Class</v>
      </c>
      <c r="AA220" s="6">
        <v>5</v>
      </c>
      <c r="AB220" s="6">
        <v>258.27999999999997</v>
      </c>
      <c r="AC220" s="6">
        <v>0</v>
      </c>
      <c r="AD220" s="6">
        <v>1291.4000000000001</v>
      </c>
      <c r="AE220" s="6">
        <v>756.93</v>
      </c>
      <c r="AF220" s="6">
        <v>534.47</v>
      </c>
      <c r="AG220" s="6" t="s">
        <v>52</v>
      </c>
      <c r="AH220" s="6" t="str">
        <f t="shared" si="11"/>
        <v>Paid</v>
      </c>
      <c r="AI220" s="6" t="s">
        <v>134</v>
      </c>
      <c r="AJ220" s="6" t="str">
        <f t="shared" si="12"/>
        <v>Completed</v>
      </c>
      <c r="AK220" s="9" t="str">
        <f>_xlfn.TEXTJOIN("|",FALSE,A220,TEXT(B220,"mm-dd-yyyy"),TEXT(E220,"mm-dd-yyyy"),I220,J220,L220,N220,P220,R220,T220,V220,X220,Y220,AA220,AB220,AC220,AD220,AE220,AF220,AG220,AI220)</f>
        <v>ORD-2025-10219|02-26-2025|27-02-2025|CUST-8270|Priya Menon|Corporate|West|Gujarat|Ahmedabad|Furniture|Bookcases|Classic Bookcases 139|Standard Class|5|258.28|0|1291.4|756.93|534.47|Paid|Completed</v>
      </c>
      <c r="AL220" s="27" t="str">
        <f>IF(COUNTIF($AK$2:AK220,AK220)&gt;1,"Remove exact duplicate copy","Keep")</f>
        <v>Keep</v>
      </c>
      <c r="AM220" s="9">
        <f t="shared" si="13"/>
        <v>1</v>
      </c>
      <c r="AN220" s="9" t="str">
        <f t="shared" si="14"/>
        <v>Unique</v>
      </c>
      <c r="AO220" s="9" t="str">
        <f t="shared" si="15"/>
        <v/>
      </c>
      <c r="AP220" s="9">
        <f t="shared" si="16"/>
        <v>0</v>
      </c>
      <c r="AQ220" s="10">
        <f t="shared" si="17"/>
        <v>1291.3999999999999</v>
      </c>
      <c r="AR220" s="10">
        <f t="shared" si="18"/>
        <v>534.46999999999991</v>
      </c>
      <c r="AS220" s="11">
        <f t="shared" si="19"/>
        <v>0.41386866966083319</v>
      </c>
      <c r="AT220" s="9">
        <f t="shared" si="20"/>
        <v>2</v>
      </c>
      <c r="AU220" s="9">
        <f t="shared" si="21"/>
        <v>2025</v>
      </c>
      <c r="AV220" s="9" t="b">
        <f t="shared" si="22"/>
        <v>0</v>
      </c>
      <c r="AW220" s="9" t="b">
        <f t="shared" si="23"/>
        <v>0</v>
      </c>
      <c r="AX220" s="9" t="str">
        <f t="shared" si="24"/>
        <v>Yes</v>
      </c>
      <c r="AY220" s="9" t="str">
        <f t="shared" si="31"/>
        <v/>
      </c>
      <c r="AZ220" s="9" t="str">
        <f>IF(OR(G220="Missing date",G220="Invalid date",G220="Ship date before order date",NOT(ISNUMBER(AP220)),AP220&lt;0,AP220&gt;0.5,AV220=TRUE,AW220=TRUE),"Invalid",IF(OR(O220="Unknown",Z220="Unknown",AC220="",AH220&lt;&gt;"Paid",AJ220&lt;&gt;"Completed",AO220&lt;&gt;""),"Warning","Clean"))</f>
        <v>Clean</v>
      </c>
    </row>
    <row r="221" spans="1:52" ht="15.75" customHeight="1">
      <c r="A221" s="6" t="s">
        <v>1251</v>
      </c>
      <c r="B221" s="7" t="s">
        <v>764</v>
      </c>
      <c r="C221" s="7" t="str">
        <f t="shared" si="30"/>
        <v>2024-06</v>
      </c>
      <c r="D221" s="7" cm="1">
        <f t="array" ref="D221">_xlfn.LET(_xlpm.x,B221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45461</v>
      </c>
      <c r="E221" s="7" t="s">
        <v>1252</v>
      </c>
      <c r="F221" s="7" cm="1">
        <f t="array" ref="F221">_xlfn.LET(_xlpm.x,E221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45462</v>
      </c>
      <c r="G221" s="8" t="str">
        <f t="shared" si="1"/>
        <v>OK</v>
      </c>
      <c r="H221" s="6">
        <f t="shared" si="2"/>
        <v>1</v>
      </c>
      <c r="I221" s="6" t="s">
        <v>1253</v>
      </c>
      <c r="J221" s="6" t="s">
        <v>226</v>
      </c>
      <c r="K221" s="6" t="str">
        <f t="shared" si="3"/>
        <v>Rahul Verma</v>
      </c>
      <c r="L221" s="6" t="s">
        <v>43</v>
      </c>
      <c r="M221" s="8" t="str">
        <f t="shared" si="4"/>
        <v>Consumer</v>
      </c>
      <c r="N221" s="6" t="s">
        <v>8</v>
      </c>
      <c r="O221" s="6" t="str">
        <f t="shared" si="5"/>
        <v>East</v>
      </c>
      <c r="P221" s="6" t="s">
        <v>263</v>
      </c>
      <c r="Q221" s="6" t="str">
        <f t="shared" si="6"/>
        <v>Bihar</v>
      </c>
      <c r="R221" s="6" t="s">
        <v>264</v>
      </c>
      <c r="S221" s="6" t="str">
        <f t="shared" si="7"/>
        <v>Patna</v>
      </c>
      <c r="T221" s="6" t="s">
        <v>27</v>
      </c>
      <c r="U221" s="8" t="str">
        <f t="shared" si="8"/>
        <v>Technology</v>
      </c>
      <c r="V221" s="6" t="s">
        <v>30</v>
      </c>
      <c r="W221" s="6" t="str">
        <f t="shared" si="9"/>
        <v>Machines</v>
      </c>
      <c r="X221" s="6" t="s">
        <v>1254</v>
      </c>
      <c r="Y221" s="6" t="s">
        <v>35</v>
      </c>
      <c r="Z221" s="6" t="str">
        <f t="shared" si="10"/>
        <v>First Class</v>
      </c>
      <c r="AA221" s="6">
        <v>2</v>
      </c>
      <c r="AB221" s="6">
        <v>121.49</v>
      </c>
      <c r="AC221" s="6" t="s">
        <v>1255</v>
      </c>
      <c r="AD221" s="6">
        <v>242.98</v>
      </c>
      <c r="AE221" s="6">
        <v>161.41999999999999</v>
      </c>
      <c r="AF221" s="6">
        <v>81.56</v>
      </c>
      <c r="AG221" s="6" t="s">
        <v>52</v>
      </c>
      <c r="AH221" s="6" t="str">
        <f t="shared" si="11"/>
        <v>Paid</v>
      </c>
      <c r="AI221" s="6" t="s">
        <v>134</v>
      </c>
      <c r="AJ221" s="6" t="str">
        <f t="shared" si="12"/>
        <v>Completed</v>
      </c>
      <c r="AK221" s="9" t="str">
        <f>_xlfn.TEXTJOIN("|",FALSE,A221,TEXT(B221,"mm-dd-yyyy"),TEXT(E221,"mm-dd-yyyy"),I221,J221,L221,N221,P221,R221,T221,V221,X221,Y221,AA221,AB221,AC221,AD221,AE221,AF221,AG221,AI221)</f>
        <v>ORD-2024-10220|06-18-2024|06-19-2024|CUST-1472|Rahul Verma|Consumer|East|Bihar|Patna|Technology|Machines|Elite Machines 290|First Class|2|121.49|85%|242.98|161.42|81.56|Paid|Completed</v>
      </c>
      <c r="AL221" s="27" t="str">
        <f>IF(COUNTIF($AK$2:AK221,AK221)&gt;1,"Remove exact duplicate copy","Keep")</f>
        <v>Keep</v>
      </c>
      <c r="AM221" s="9">
        <f t="shared" si="13"/>
        <v>1</v>
      </c>
      <c r="AN221" s="9" t="str">
        <f t="shared" si="14"/>
        <v>Unique</v>
      </c>
      <c r="AO221" s="9" t="str">
        <f t="shared" si="15"/>
        <v/>
      </c>
      <c r="AP221" s="9">
        <f t="shared" si="16"/>
        <v>0.85</v>
      </c>
      <c r="AQ221" s="10">
        <f t="shared" si="17"/>
        <v>36.447000000000003</v>
      </c>
      <c r="AR221" s="10">
        <f t="shared" si="18"/>
        <v>-124.97299999999998</v>
      </c>
      <c r="AS221" s="11">
        <f t="shared" si="19"/>
        <v>-3.4288967541910162</v>
      </c>
      <c r="AT221" s="9">
        <f t="shared" si="20"/>
        <v>6</v>
      </c>
      <c r="AU221" s="9">
        <f t="shared" si="21"/>
        <v>2024</v>
      </c>
      <c r="AV221" s="9" t="b">
        <f t="shared" si="22"/>
        <v>1</v>
      </c>
      <c r="AW221" s="9" t="b">
        <f t="shared" si="23"/>
        <v>1</v>
      </c>
      <c r="AX221" s="9" t="str">
        <f t="shared" si="24"/>
        <v>No</v>
      </c>
      <c r="AY221" s="9" t="str">
        <f t="shared" si="31"/>
        <v>Discount above 50%; Sales mismatch; Profit mismatch</v>
      </c>
      <c r="AZ221" s="9" t="str">
        <f>IF(OR(G221="Missing date",G221="Invalid date",G221="Ship date before order date",NOT(ISNUMBER(AP221)),AP221&lt;0,AP221&gt;0.5,AV221=TRUE,AW221=TRUE),"Invalid",IF(OR(O221="Unknown",Z221="Unknown",AC221="",AH221&lt;&gt;"Paid",AJ221&lt;&gt;"Completed",AO221&lt;&gt;""),"Warning","Clean"))</f>
        <v>Invalid</v>
      </c>
    </row>
    <row r="222" spans="1:52" ht="15.75" customHeight="1">
      <c r="A222" s="6" t="s">
        <v>1256</v>
      </c>
      <c r="B222" s="7" t="s">
        <v>1257</v>
      </c>
      <c r="C222" s="7" t="str">
        <f t="shared" si="30"/>
        <v>2024-09</v>
      </c>
      <c r="D222" s="7" cm="1">
        <f t="array" ref="D222">_xlfn.LET(_xlpm.x,B222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45538</v>
      </c>
      <c r="E222" s="7" t="s">
        <v>1257</v>
      </c>
      <c r="F222" s="7" cm="1">
        <f t="array" ref="F222">_xlfn.LET(_xlpm.x,E222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45538</v>
      </c>
      <c r="G222" s="8" t="str">
        <f t="shared" si="1"/>
        <v>OK</v>
      </c>
      <c r="H222" s="6">
        <f t="shared" si="2"/>
        <v>0</v>
      </c>
      <c r="I222" s="6" t="s">
        <v>1258</v>
      </c>
      <c r="J222" s="6" t="s">
        <v>245</v>
      </c>
      <c r="K222" s="6" t="str">
        <f t="shared" si="3"/>
        <v>Sneha Kapoor</v>
      </c>
      <c r="L222" s="6" t="s">
        <v>43</v>
      </c>
      <c r="M222" s="8" t="str">
        <f t="shared" si="4"/>
        <v>Consumer</v>
      </c>
      <c r="N222" s="6" t="s">
        <v>10</v>
      </c>
      <c r="O222" s="6" t="str">
        <f t="shared" si="5"/>
        <v>South</v>
      </c>
      <c r="P222" s="6" t="s">
        <v>316</v>
      </c>
      <c r="Q222" s="6" t="str">
        <f t="shared" si="6"/>
        <v>Kerala</v>
      </c>
      <c r="R222" s="6" t="s">
        <v>317</v>
      </c>
      <c r="S222" s="6" t="str">
        <f t="shared" si="7"/>
        <v>Kochi</v>
      </c>
      <c r="T222" s="6" t="s">
        <v>20</v>
      </c>
      <c r="U222" s="8" t="str">
        <f t="shared" si="8"/>
        <v>Office Supplies</v>
      </c>
      <c r="V222" s="6" t="s">
        <v>25</v>
      </c>
      <c r="W222" s="6" t="str">
        <f t="shared" si="9"/>
        <v>Storage</v>
      </c>
      <c r="X222" s="6" t="s">
        <v>1259</v>
      </c>
      <c r="Y222" s="6" t="s">
        <v>35</v>
      </c>
      <c r="Z222" s="6" t="str">
        <f t="shared" si="10"/>
        <v>First Class</v>
      </c>
      <c r="AA222" s="6">
        <v>4</v>
      </c>
      <c r="AB222" s="6">
        <v>2810.17</v>
      </c>
      <c r="AC222" s="6">
        <v>0.15</v>
      </c>
      <c r="AD222" s="6">
        <v>9554.58</v>
      </c>
      <c r="AE222" s="6">
        <v>6068.47</v>
      </c>
      <c r="AF222" s="6">
        <v>3486.11</v>
      </c>
      <c r="AG222" s="6" t="s">
        <v>56</v>
      </c>
      <c r="AH222" s="6" t="str">
        <f t="shared" si="11"/>
        <v>Refunded</v>
      </c>
      <c r="AI222" s="6" t="s">
        <v>58</v>
      </c>
      <c r="AJ222" s="6" t="str">
        <f t="shared" si="12"/>
        <v>Cancelled</v>
      </c>
      <c r="AK222" s="9" t="str">
        <f>_xlfn.TEXTJOIN("|",FALSE,A222,TEXT(B222,"mm-dd-yyyy"),TEXT(E222,"mm-dd-yyyy"),I222,J222,L222,N222,P222,R222,T222,V222,X222,Y222,AA222,AB222,AC222,AD222,AE222,AF222,AG222,AI222)</f>
        <v>ORD-2024-10221|09-03-2024|09-03-2024|CUST-1031|Sneha Kapoor|Consumer|South|Kerala|Kochi|Office Supplies|Storage|Elite Storage 925|First Class|4|2810.17|0.15|9554.58|6068.47|3486.11|Refunded|Cancelled</v>
      </c>
      <c r="AL222" s="27" t="str">
        <f>IF(COUNTIF($AK$2:AK222,AK222)&gt;1,"Remove exact duplicate copy","Keep")</f>
        <v>Keep</v>
      </c>
      <c r="AM222" s="9">
        <f t="shared" si="13"/>
        <v>1</v>
      </c>
      <c r="AN222" s="9" t="str">
        <f t="shared" si="14"/>
        <v>Unique</v>
      </c>
      <c r="AO222" s="9" t="str">
        <f t="shared" si="15"/>
        <v/>
      </c>
      <c r="AP222" s="9">
        <f t="shared" si="16"/>
        <v>0.15</v>
      </c>
      <c r="AQ222" s="10">
        <f t="shared" si="17"/>
        <v>9554.5779999999995</v>
      </c>
      <c r="AR222" s="10">
        <f t="shared" si="18"/>
        <v>3486.1079999999993</v>
      </c>
      <c r="AS222" s="11">
        <f t="shared" si="19"/>
        <v>0.36486258210462036</v>
      </c>
      <c r="AT222" s="9">
        <f t="shared" si="20"/>
        <v>9</v>
      </c>
      <c r="AU222" s="9">
        <f t="shared" si="21"/>
        <v>2024</v>
      </c>
      <c r="AV222" s="9" t="b">
        <f t="shared" si="22"/>
        <v>0</v>
      </c>
      <c r="AW222" s="9" t="b">
        <f t="shared" si="23"/>
        <v>0</v>
      </c>
      <c r="AX222" s="9" t="str">
        <f t="shared" si="24"/>
        <v>No</v>
      </c>
      <c r="AY222" s="9" t="str">
        <f t="shared" si="31"/>
        <v>Refunded order summarized separately; Cancelled order excluded</v>
      </c>
      <c r="AZ222" s="9" t="str">
        <f>IF(OR(G222="Missing date",G222="Invalid date",G222="Ship date before order date",NOT(ISNUMBER(AP222)),AP222&lt;0,AP222&gt;0.5,AV222=TRUE,AW222=TRUE),"Invalid",IF(OR(O222="Unknown",Z222="Unknown",AC222="",AH222&lt;&gt;"Paid",AJ222&lt;&gt;"Completed",AO222&lt;&gt;""),"Warning","Clean"))</f>
        <v>Warning</v>
      </c>
    </row>
    <row r="223" spans="1:52" ht="15.75" customHeight="1">
      <c r="A223" s="6" t="s">
        <v>1260</v>
      </c>
      <c r="B223" s="7" t="s">
        <v>1261</v>
      </c>
      <c r="C223" s="7" t="str">
        <f t="shared" si="30"/>
        <v>2025-01</v>
      </c>
      <c r="D223" s="7" cm="1">
        <f t="array" ref="D223">_xlfn.LET(_xlpm.x,B223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45669</v>
      </c>
      <c r="E223" s="7" t="s">
        <v>1262</v>
      </c>
      <c r="F223" s="7" cm="1">
        <f t="array" ref="F223">_xlfn.LET(_xlpm.x,E223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45672</v>
      </c>
      <c r="G223" s="8" t="str">
        <f t="shared" si="1"/>
        <v>OK</v>
      </c>
      <c r="H223" s="6">
        <f t="shared" si="2"/>
        <v>3</v>
      </c>
      <c r="I223" s="6" t="s">
        <v>1263</v>
      </c>
      <c r="J223" s="6" t="s">
        <v>139</v>
      </c>
      <c r="K223" s="6" t="str">
        <f t="shared" si="3"/>
        <v>Mira Das</v>
      </c>
      <c r="L223" s="6" t="s">
        <v>45</v>
      </c>
      <c r="M223" s="8" t="str">
        <f t="shared" si="4"/>
        <v>Corporate</v>
      </c>
      <c r="N223" s="6" t="s">
        <v>10</v>
      </c>
      <c r="O223" s="6" t="str">
        <f t="shared" si="5"/>
        <v>South</v>
      </c>
      <c r="P223" s="6" t="s">
        <v>303</v>
      </c>
      <c r="Q223" s="6" t="str">
        <f t="shared" si="6"/>
        <v>Karnataka</v>
      </c>
      <c r="R223" s="6" t="s">
        <v>304</v>
      </c>
      <c r="S223" s="6" t="str">
        <f t="shared" si="7"/>
        <v>Bengaluru</v>
      </c>
      <c r="T223" s="6" t="s">
        <v>14</v>
      </c>
      <c r="U223" s="8" t="str">
        <f t="shared" si="8"/>
        <v>Furniture</v>
      </c>
      <c r="V223" s="6" t="s">
        <v>16</v>
      </c>
      <c r="W223" s="6" t="str">
        <f t="shared" si="9"/>
        <v>Chairs</v>
      </c>
      <c r="X223" s="6" t="s">
        <v>1264</v>
      </c>
      <c r="Y223" s="6" t="s">
        <v>37</v>
      </c>
      <c r="Z223" s="6" t="str">
        <f t="shared" si="10"/>
        <v>Same Day</v>
      </c>
      <c r="AA223" s="6">
        <v>4</v>
      </c>
      <c r="AB223" s="6">
        <v>1531.53</v>
      </c>
      <c r="AC223" s="6">
        <v>0.2</v>
      </c>
      <c r="AD223" s="6">
        <v>4900.8999999999996</v>
      </c>
      <c r="AE223" s="6">
        <v>3552.69</v>
      </c>
      <c r="AF223" s="6">
        <v>1348.21</v>
      </c>
      <c r="AG223" s="6" t="s">
        <v>52</v>
      </c>
      <c r="AH223" s="6" t="str">
        <f t="shared" si="11"/>
        <v>Paid</v>
      </c>
      <c r="AI223" s="6" t="s">
        <v>134</v>
      </c>
      <c r="AJ223" s="6" t="str">
        <f t="shared" si="12"/>
        <v>Completed</v>
      </c>
      <c r="AK223" s="9" t="str">
        <f>_xlfn.TEXTJOIN("|",FALSE,A223,TEXT(B223,"mm-dd-yyyy"),TEXT(E223,"mm-dd-yyyy"),I223,J223,L223,N223,P223,R223,T223,V223,X223,Y223,AA223,AB223,AC223,AD223,AE223,AF223,AG223,AI223)</f>
        <v>ORD-2025-10222|12-01-2025|01-15-2025|CUST-2495|Mira Das|Corporate|South|Karnataka|Bengaluru|Furniture|Chairs|Classic Chairs 231|Same Day|4|1531.53|0.2|4900.9|3552.69|1348.21|Paid|Completed</v>
      </c>
      <c r="AL223" s="27" t="str">
        <f>IF(COUNTIF($AK$2:AK223,AK223)&gt;1,"Remove exact duplicate copy","Keep")</f>
        <v>Keep</v>
      </c>
      <c r="AM223" s="9">
        <f t="shared" si="13"/>
        <v>1</v>
      </c>
      <c r="AN223" s="9" t="str">
        <f t="shared" si="14"/>
        <v>Unique</v>
      </c>
      <c r="AO223" s="9" t="str">
        <f t="shared" si="15"/>
        <v/>
      </c>
      <c r="AP223" s="9">
        <f t="shared" si="16"/>
        <v>0.2</v>
      </c>
      <c r="AQ223" s="10">
        <f t="shared" si="17"/>
        <v>4900.8959999999997</v>
      </c>
      <c r="AR223" s="10">
        <f t="shared" si="18"/>
        <v>1348.2059999999997</v>
      </c>
      <c r="AS223" s="11">
        <f t="shared" si="19"/>
        <v>0.27509377877024932</v>
      </c>
      <c r="AT223" s="9">
        <f t="shared" si="20"/>
        <v>1</v>
      </c>
      <c r="AU223" s="9">
        <f t="shared" si="21"/>
        <v>2025</v>
      </c>
      <c r="AV223" s="9" t="b">
        <f t="shared" si="22"/>
        <v>0</v>
      </c>
      <c r="AW223" s="9" t="b">
        <f t="shared" si="23"/>
        <v>0</v>
      </c>
      <c r="AX223" s="9" t="str">
        <f t="shared" si="24"/>
        <v>Yes</v>
      </c>
      <c r="AY223" s="9" t="str">
        <f t="shared" si="31"/>
        <v/>
      </c>
      <c r="AZ223" s="9" t="str">
        <f>IF(OR(G223="Missing date",G223="Invalid date",G223="Ship date before order date",NOT(ISNUMBER(AP223)),AP223&lt;0,AP223&gt;0.5,AV223=TRUE,AW223=TRUE),"Invalid",IF(OR(O223="Unknown",Z223="Unknown",AC223="",AH223&lt;&gt;"Paid",AJ223&lt;&gt;"Completed",AO223&lt;&gt;""),"Warning","Clean"))</f>
        <v>Clean</v>
      </c>
    </row>
    <row r="224" spans="1:52" ht="15.75" customHeight="1">
      <c r="A224" s="6" t="s">
        <v>1265</v>
      </c>
      <c r="B224" s="7" t="s">
        <v>1266</v>
      </c>
      <c r="C224" s="7" t="str">
        <f t="shared" si="30"/>
        <v>2025-04</v>
      </c>
      <c r="D224" s="7" cm="1">
        <f t="array" ref="D224">_xlfn.LET(_xlpm.x,B224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45776</v>
      </c>
      <c r="E224" s="7" t="s">
        <v>1095</v>
      </c>
      <c r="F224" s="7" cm="1">
        <f t="array" ref="F224">_xlfn.LET(_xlpm.x,E224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45779</v>
      </c>
      <c r="G224" s="8" t="str">
        <f t="shared" si="1"/>
        <v>OK</v>
      </c>
      <c r="H224" s="6">
        <f t="shared" si="2"/>
        <v>3</v>
      </c>
      <c r="I224" s="6" t="s">
        <v>1267</v>
      </c>
      <c r="J224" s="6" t="s">
        <v>169</v>
      </c>
      <c r="K224" s="6" t="str">
        <f t="shared" si="3"/>
        <v>Vikram Iyer</v>
      </c>
      <c r="L224" s="6" t="s">
        <v>46</v>
      </c>
      <c r="M224" s="8" t="str">
        <f t="shared" si="4"/>
        <v>Small Business</v>
      </c>
      <c r="N224" s="6" t="s">
        <v>9</v>
      </c>
      <c r="O224" s="6" t="str">
        <f t="shared" si="5"/>
        <v>West</v>
      </c>
      <c r="P224" s="6" t="s">
        <v>323</v>
      </c>
      <c r="Q224" s="6" t="str">
        <f t="shared" si="6"/>
        <v>Goa</v>
      </c>
      <c r="R224" s="6" t="s">
        <v>324</v>
      </c>
      <c r="S224" s="6" t="str">
        <f t="shared" si="7"/>
        <v>Panaji</v>
      </c>
      <c r="T224" s="6" t="s">
        <v>20</v>
      </c>
      <c r="U224" s="8" t="str">
        <f t="shared" si="8"/>
        <v>Office Supplies</v>
      </c>
      <c r="V224" s="6" t="s">
        <v>25</v>
      </c>
      <c r="W224" s="6" t="str">
        <f t="shared" si="9"/>
        <v>Storage</v>
      </c>
      <c r="X224" s="6" t="s">
        <v>1268</v>
      </c>
      <c r="Y224" s="6" t="s">
        <v>35</v>
      </c>
      <c r="Z224" s="6" t="str">
        <f t="shared" si="10"/>
        <v>First Class</v>
      </c>
      <c r="AA224" s="6">
        <v>6</v>
      </c>
      <c r="AB224" s="6">
        <v>4308.09</v>
      </c>
      <c r="AC224" s="6">
        <v>0</v>
      </c>
      <c r="AD224" s="6">
        <v>25848.54</v>
      </c>
      <c r="AE224" s="6">
        <v>17729.09</v>
      </c>
      <c r="AF224" s="6">
        <v>8119.45</v>
      </c>
      <c r="AG224" s="6" t="s">
        <v>52</v>
      </c>
      <c r="AH224" s="6" t="str">
        <f t="shared" si="11"/>
        <v>Paid</v>
      </c>
      <c r="AI224" s="6" t="s">
        <v>134</v>
      </c>
      <c r="AJ224" s="6" t="str">
        <f t="shared" si="12"/>
        <v>Completed</v>
      </c>
      <c r="AK224" s="9" t="str">
        <f>_xlfn.TEXTJOIN("|",FALSE,A224,TEXT(B224,"mm-dd-yyyy"),TEXT(E224,"mm-dd-yyyy"),I224,J224,L224,N224,P224,R224,T224,V224,X224,Y224,AA224,AB224,AC224,AD224,AE224,AF224,AG224,AI224)</f>
        <v>ORD-2025-10223|04-29-2025|05-02-2025|CUST-4583|Vikram Iyer|Small Business|West|Goa|Panaji|Office Supplies|Storage|Prime Storage 818|First Class|6|4308.09|0|25848.54|17729.09|8119.45|Paid|Completed</v>
      </c>
      <c r="AL224" s="27" t="str">
        <f>IF(COUNTIF($AK$2:AK224,AK224)&gt;1,"Remove exact duplicate copy","Keep")</f>
        <v>Keep</v>
      </c>
      <c r="AM224" s="9">
        <f t="shared" si="13"/>
        <v>1</v>
      </c>
      <c r="AN224" s="9" t="str">
        <f t="shared" si="14"/>
        <v>Unique</v>
      </c>
      <c r="AO224" s="9" t="str">
        <f t="shared" si="15"/>
        <v/>
      </c>
      <c r="AP224" s="9">
        <f t="shared" si="16"/>
        <v>0</v>
      </c>
      <c r="AQ224" s="10">
        <f t="shared" si="17"/>
        <v>25848.54</v>
      </c>
      <c r="AR224" s="10">
        <f t="shared" si="18"/>
        <v>8119.4500000000007</v>
      </c>
      <c r="AS224" s="11">
        <f t="shared" si="19"/>
        <v>0.31411638723115504</v>
      </c>
      <c r="AT224" s="9">
        <f t="shared" si="20"/>
        <v>4</v>
      </c>
      <c r="AU224" s="9">
        <f t="shared" si="21"/>
        <v>2025</v>
      </c>
      <c r="AV224" s="9" t="b">
        <f t="shared" si="22"/>
        <v>0</v>
      </c>
      <c r="AW224" s="9" t="b">
        <f t="shared" si="23"/>
        <v>0</v>
      </c>
      <c r="AX224" s="9" t="str">
        <f t="shared" si="24"/>
        <v>Yes</v>
      </c>
      <c r="AY224" s="9" t="str">
        <f t="shared" si="31"/>
        <v/>
      </c>
      <c r="AZ224" s="9" t="str">
        <f>IF(OR(G224="Missing date",G224="Invalid date",G224="Ship date before order date",NOT(ISNUMBER(AP224)),AP224&lt;0,AP224&gt;0.5,AV224=TRUE,AW224=TRUE),"Invalid",IF(OR(O224="Unknown",Z224="Unknown",AC224="",AH224&lt;&gt;"Paid",AJ224&lt;&gt;"Completed",AO224&lt;&gt;""),"Warning","Clean"))</f>
        <v>Clean</v>
      </c>
    </row>
    <row r="225" spans="1:52" ht="15.75" customHeight="1">
      <c r="A225" s="6" t="s">
        <v>1269</v>
      </c>
      <c r="B225" s="7" t="s">
        <v>1270</v>
      </c>
      <c r="C225" s="7" t="str">
        <f t="shared" si="30"/>
        <v>2025-02</v>
      </c>
      <c r="D225" s="7" cm="1">
        <f t="array" ref="D225">_xlfn.LET(_xlpm.x,B225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45707</v>
      </c>
      <c r="E225" s="7" t="s">
        <v>1271</v>
      </c>
      <c r="F225" s="7" cm="1">
        <f t="array" ref="F225">_xlfn.LET(_xlpm.x,E225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45714</v>
      </c>
      <c r="G225" s="8" t="str">
        <f t="shared" si="1"/>
        <v>OK</v>
      </c>
      <c r="H225" s="6">
        <f t="shared" si="2"/>
        <v>7</v>
      </c>
      <c r="I225" s="6" t="s">
        <v>1272</v>
      </c>
      <c r="J225" s="6" t="s">
        <v>139</v>
      </c>
      <c r="K225" s="6" t="str">
        <f t="shared" si="3"/>
        <v>Mira Das</v>
      </c>
      <c r="L225" s="6" t="s">
        <v>45</v>
      </c>
      <c r="M225" s="8" t="str">
        <f t="shared" si="4"/>
        <v>Corporate</v>
      </c>
      <c r="N225" s="6" t="s">
        <v>9</v>
      </c>
      <c r="O225" s="6" t="str">
        <f t="shared" si="5"/>
        <v>West</v>
      </c>
      <c r="P225" s="6" t="s">
        <v>162</v>
      </c>
      <c r="Q225" s="6" t="str">
        <f t="shared" si="6"/>
        <v>Maharashtra</v>
      </c>
      <c r="R225" s="6" t="s">
        <v>163</v>
      </c>
      <c r="S225" s="6" t="str">
        <f t="shared" si="7"/>
        <v>Mumbai</v>
      </c>
      <c r="T225" s="6" t="s">
        <v>14</v>
      </c>
      <c r="U225" s="8" t="str">
        <f t="shared" si="8"/>
        <v>Furniture</v>
      </c>
      <c r="V225" s="6" t="s">
        <v>17</v>
      </c>
      <c r="W225" s="6" t="str">
        <f t="shared" si="9"/>
        <v>Furnishings</v>
      </c>
      <c r="X225" s="6" t="s">
        <v>1273</v>
      </c>
      <c r="Y225" s="6" t="s">
        <v>35</v>
      </c>
      <c r="Z225" s="6" t="str">
        <f t="shared" si="10"/>
        <v>First Class</v>
      </c>
      <c r="AA225" s="6">
        <v>3</v>
      </c>
      <c r="AB225" s="6">
        <v>490.3</v>
      </c>
      <c r="AC225" s="6">
        <v>0.2</v>
      </c>
      <c r="AD225" s="6">
        <v>1176.72</v>
      </c>
      <c r="AE225" s="6">
        <v>654.33000000000004</v>
      </c>
      <c r="AF225" s="6">
        <v>522.39</v>
      </c>
      <c r="AG225" s="6" t="s">
        <v>54</v>
      </c>
      <c r="AH225" s="6" t="str">
        <f t="shared" si="11"/>
        <v>Pending</v>
      </c>
      <c r="AI225" s="6" t="s">
        <v>59</v>
      </c>
      <c r="AJ225" s="6" t="str">
        <f t="shared" si="12"/>
        <v>Returned</v>
      </c>
      <c r="AK225" s="9" t="str">
        <f>_xlfn.TEXTJOIN("|",FALSE,A225,TEXT(B225,"mm-dd-yyyy"),TEXT(E225,"mm-dd-yyyy"),I225,J225,L225,N225,P225,R225,T225,V225,X225,Y225,AA225,AB225,AC225,AD225,AE225,AF225,AG225,AI225)</f>
        <v>ORD-2025-10224|19-02-2025|02-26-2025|CUST-5319|Mira Das|Corporate|West|Maharashtra|Mumbai|Furniture|Furnishings|Elite Furnishings 449|First Class|3|490.3|0.2|1176.72|654.33|522.39|Pending|Returned</v>
      </c>
      <c r="AL225" s="27" t="str">
        <f>IF(COUNTIF($AK$2:AK225,AK225)&gt;1,"Remove exact duplicate copy","Keep")</f>
        <v>Keep</v>
      </c>
      <c r="AM225" s="9">
        <f t="shared" si="13"/>
        <v>1</v>
      </c>
      <c r="AN225" s="9" t="str">
        <f t="shared" si="14"/>
        <v>Unique</v>
      </c>
      <c r="AO225" s="9" t="str">
        <f t="shared" si="15"/>
        <v/>
      </c>
      <c r="AP225" s="9">
        <f t="shared" si="16"/>
        <v>0.2</v>
      </c>
      <c r="AQ225" s="10">
        <f t="shared" si="17"/>
        <v>1176.72</v>
      </c>
      <c r="AR225" s="10">
        <f t="shared" si="18"/>
        <v>522.39</v>
      </c>
      <c r="AS225" s="11">
        <f t="shared" si="19"/>
        <v>0.44393738527432181</v>
      </c>
      <c r="AT225" s="9">
        <f t="shared" si="20"/>
        <v>2</v>
      </c>
      <c r="AU225" s="9">
        <f t="shared" si="21"/>
        <v>2025</v>
      </c>
      <c r="AV225" s="9" t="b">
        <f t="shared" si="22"/>
        <v>0</v>
      </c>
      <c r="AW225" s="9" t="b">
        <f t="shared" si="23"/>
        <v>0</v>
      </c>
      <c r="AX225" s="9" t="str">
        <f t="shared" si="24"/>
        <v>No</v>
      </c>
      <c r="AY225" s="9" t="str">
        <f t="shared" si="31"/>
        <v>Returned order excluded</v>
      </c>
      <c r="AZ225" s="9" t="str">
        <f>IF(OR(G225="Missing date",G225="Invalid date",G225="Ship date before order date",NOT(ISNUMBER(AP225)),AP225&lt;0,AP225&gt;0.5,AV225=TRUE,AW225=TRUE),"Invalid",IF(OR(O225="Unknown",Z225="Unknown",AC225="",AH225&lt;&gt;"Paid",AJ225&lt;&gt;"Completed",AO225&lt;&gt;""),"Warning","Clean"))</f>
        <v>Warning</v>
      </c>
    </row>
    <row r="226" spans="1:52" ht="15.75" customHeight="1">
      <c r="A226" s="6" t="s">
        <v>1274</v>
      </c>
      <c r="B226" s="7" t="s">
        <v>1275</v>
      </c>
      <c r="C226" s="7" t="str">
        <f t="shared" si="30"/>
        <v>2025-10</v>
      </c>
      <c r="D226" s="7" cm="1">
        <f t="array" ref="D226">_xlfn.LET(_xlpm.x,B226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45932</v>
      </c>
      <c r="E226" s="7" t="s">
        <v>1276</v>
      </c>
      <c r="F226" s="7" cm="1">
        <f t="array" ref="F226">_xlfn.LET(_xlpm.x,E226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45938</v>
      </c>
      <c r="G226" s="8" t="str">
        <f t="shared" si="1"/>
        <v>OK</v>
      </c>
      <c r="H226" s="6">
        <f t="shared" si="2"/>
        <v>6</v>
      </c>
      <c r="I226" s="6" t="s">
        <v>1277</v>
      </c>
      <c r="J226" s="6" t="s">
        <v>147</v>
      </c>
      <c r="K226" s="6" t="str">
        <f t="shared" si="3"/>
        <v>Isha Nair</v>
      </c>
      <c r="L226" s="6" t="s">
        <v>46</v>
      </c>
      <c r="M226" s="8" t="str">
        <f t="shared" si="4"/>
        <v>Small Business</v>
      </c>
      <c r="N226" s="6" t="s">
        <v>7</v>
      </c>
      <c r="O226" s="6" t="str">
        <f t="shared" si="5"/>
        <v>North</v>
      </c>
      <c r="P226" s="6" t="s">
        <v>232</v>
      </c>
      <c r="Q226" s="6" t="str">
        <f t="shared" si="6"/>
        <v>Punjab</v>
      </c>
      <c r="R226" s="6" t="s">
        <v>233</v>
      </c>
      <c r="S226" s="6" t="str">
        <f t="shared" si="7"/>
        <v>Ludhiana</v>
      </c>
      <c r="T226" s="6" t="s">
        <v>14</v>
      </c>
      <c r="U226" s="8" t="str">
        <f t="shared" si="8"/>
        <v>Furniture</v>
      </c>
      <c r="V226" s="6" t="s">
        <v>17</v>
      </c>
      <c r="W226" s="6" t="str">
        <f t="shared" si="9"/>
        <v>Furnishings</v>
      </c>
      <c r="X226" s="6" t="s">
        <v>1278</v>
      </c>
      <c r="Y226" s="6" t="s">
        <v>34</v>
      </c>
      <c r="Z226" s="6" t="str">
        <f t="shared" si="10"/>
        <v>Standard Class</v>
      </c>
      <c r="AA226" s="6">
        <v>4</v>
      </c>
      <c r="AB226" s="6">
        <v>3944.64</v>
      </c>
      <c r="AC226" s="6">
        <v>0.25</v>
      </c>
      <c r="AD226" s="6">
        <v>11833.92</v>
      </c>
      <c r="AE226" s="6">
        <v>6682.92</v>
      </c>
      <c r="AF226" s="6">
        <v>5151</v>
      </c>
      <c r="AG226" s="6" t="s">
        <v>52</v>
      </c>
      <c r="AH226" s="6" t="str">
        <f t="shared" si="11"/>
        <v>Paid</v>
      </c>
      <c r="AI226" s="6" t="s">
        <v>58</v>
      </c>
      <c r="AJ226" s="6" t="str">
        <f t="shared" si="12"/>
        <v>Cancelled</v>
      </c>
      <c r="AK226" s="9" t="str">
        <f>_xlfn.TEXTJOIN("|",FALSE,A226,TEXT(B226,"mm-dd-yyyy"),TEXT(E226,"mm-dd-yyyy"),I226,J226,L226,N226,P226,R226,T226,V226,X226,Y226,AA226,AB226,AC226,AD226,AE226,AF226,AG226,AI226)</f>
        <v>ORD-2025-10225|10-02-2025|10-08-2025|CUST-9871|Isha Nair|Small Business|North|Punjab|Ludhiana|Furniture|Furnishings|Classic Furnishings 109|Standard Class|4|3944.64|0.25|11833.92|6682.92|5151|Paid|Cancelled</v>
      </c>
      <c r="AL226" s="27" t="str">
        <f>IF(COUNTIF($AK$2:AK226,AK226)&gt;1,"Remove exact duplicate copy","Keep")</f>
        <v>Keep</v>
      </c>
      <c r="AM226" s="9">
        <f t="shared" si="13"/>
        <v>2</v>
      </c>
      <c r="AN226" s="9" t="str">
        <f t="shared" si="14"/>
        <v>Duplicate order_id</v>
      </c>
      <c r="AO226" s="9" t="str">
        <f t="shared" si="15"/>
        <v>Review conflicting duplicate</v>
      </c>
      <c r="AP226" s="9">
        <f t="shared" si="16"/>
        <v>0.25</v>
      </c>
      <c r="AQ226" s="10">
        <f t="shared" si="17"/>
        <v>11833.92</v>
      </c>
      <c r="AR226" s="10">
        <f t="shared" si="18"/>
        <v>5151</v>
      </c>
      <c r="AS226" s="11">
        <f t="shared" si="19"/>
        <v>0.43527419485681834</v>
      </c>
      <c r="AT226" s="9">
        <f t="shared" si="20"/>
        <v>10</v>
      </c>
      <c r="AU226" s="9">
        <f t="shared" si="21"/>
        <v>2025</v>
      </c>
      <c r="AV226" s="9" t="b">
        <f t="shared" si="22"/>
        <v>0</v>
      </c>
      <c r="AW226" s="9" t="b">
        <f t="shared" si="23"/>
        <v>0</v>
      </c>
      <c r="AX226" s="9" t="str">
        <f t="shared" si="24"/>
        <v>No</v>
      </c>
      <c r="AY226" s="9" t="str">
        <f t="shared" si="31"/>
        <v>Cancelled order excluded; Duplicate order ID conflict</v>
      </c>
      <c r="AZ226" s="9" t="str">
        <f>IF(OR(G226="Missing date",G226="Invalid date",G226="Ship date before order date",NOT(ISNUMBER(AP226)),AP226&lt;0,AP226&gt;0.5,AV226=TRUE,AW226=TRUE),"Invalid",IF(OR(O226="Unknown",Z226="Unknown",AC226="",AH226&lt;&gt;"Paid",AJ226&lt;&gt;"Completed",AO226&lt;&gt;""),"Warning","Clean"))</f>
        <v>Warning</v>
      </c>
    </row>
    <row r="227" spans="1:52" ht="15.75" customHeight="1">
      <c r="A227" s="6" t="s">
        <v>1279</v>
      </c>
      <c r="B227" s="7" t="s">
        <v>1280</v>
      </c>
      <c r="C227" s="7" t="str">
        <f t="shared" si="30"/>
        <v>2024-09</v>
      </c>
      <c r="D227" s="7" cm="1">
        <f t="array" ref="D227">_xlfn.LET(_xlpm.x,B227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45537</v>
      </c>
      <c r="E227" s="7" t="s">
        <v>1281</v>
      </c>
      <c r="F227" s="7" cm="1">
        <f t="array" ref="F227">_xlfn.LET(_xlpm.x,E227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45545</v>
      </c>
      <c r="G227" s="8" t="str">
        <f t="shared" si="1"/>
        <v>OK</v>
      </c>
      <c r="H227" s="6">
        <f t="shared" si="2"/>
        <v>8</v>
      </c>
      <c r="I227" s="6" t="s">
        <v>1282</v>
      </c>
      <c r="J227" s="6" t="s">
        <v>139</v>
      </c>
      <c r="K227" s="6" t="str">
        <f t="shared" si="3"/>
        <v>Mira Das</v>
      </c>
      <c r="L227" s="6" t="s">
        <v>45</v>
      </c>
      <c r="M227" s="8" t="str">
        <f t="shared" si="4"/>
        <v>Corporate</v>
      </c>
      <c r="N227" s="6" t="s">
        <v>9</v>
      </c>
      <c r="O227" s="6" t="str">
        <f t="shared" si="5"/>
        <v>West</v>
      </c>
      <c r="P227" s="6" t="s">
        <v>323</v>
      </c>
      <c r="Q227" s="6" t="str">
        <f t="shared" si="6"/>
        <v>Goa</v>
      </c>
      <c r="R227" s="6" t="s">
        <v>324</v>
      </c>
      <c r="S227" s="6" t="str">
        <f t="shared" si="7"/>
        <v>Panaji</v>
      </c>
      <c r="T227" s="6" t="s">
        <v>27</v>
      </c>
      <c r="U227" s="8" t="str">
        <f t="shared" si="8"/>
        <v>Technology</v>
      </c>
      <c r="V227" s="6" t="s">
        <v>31</v>
      </c>
      <c r="W227" s="6" t="str">
        <f t="shared" si="9"/>
        <v>Phones</v>
      </c>
      <c r="X227" s="6" t="s">
        <v>1283</v>
      </c>
      <c r="Y227" s="6" t="s">
        <v>34</v>
      </c>
      <c r="Z227" s="6" t="str">
        <f t="shared" si="10"/>
        <v>Standard Class</v>
      </c>
      <c r="AA227" s="6">
        <v>6</v>
      </c>
      <c r="AB227" s="6">
        <v>1032.47</v>
      </c>
      <c r="AC227" s="6">
        <v>0.15</v>
      </c>
      <c r="AD227" s="6">
        <v>5265.6</v>
      </c>
      <c r="AE227" s="6">
        <v>4293.1099999999997</v>
      </c>
      <c r="AF227" s="6">
        <v>787.57</v>
      </c>
      <c r="AG227" s="6" t="s">
        <v>52</v>
      </c>
      <c r="AH227" s="6" t="str">
        <f t="shared" si="11"/>
        <v>Paid</v>
      </c>
      <c r="AI227" s="6" t="s">
        <v>134</v>
      </c>
      <c r="AJ227" s="6" t="str">
        <f t="shared" si="12"/>
        <v>Completed</v>
      </c>
      <c r="AK227" s="9" t="str">
        <f>_xlfn.TEXTJOIN("|",FALSE,A227,TEXT(B227,"mm-dd-yyyy"),TEXT(E227,"mm-dd-yyyy"),I227,J227,L227,N227,P227,R227,T227,V227,X227,Y227,AA227,AB227,AC227,AD227,AE227,AF227,AG227,AI227)</f>
        <v>ORD-2024-10226|09-02-2024|09-10-2024|CUST-1266|Mira Das|Corporate|West|Goa|Panaji|Technology|Phones|Classic Phones 548|Standard Class|6|1032.47|0.15|5265.6|4293.11|787.57|Paid|Completed</v>
      </c>
      <c r="AL227" s="27" t="str">
        <f>IF(COUNTIF($AK$2:AK227,AK227)&gt;1,"Remove exact duplicate copy","Keep")</f>
        <v>Keep</v>
      </c>
      <c r="AM227" s="9">
        <f t="shared" si="13"/>
        <v>1</v>
      </c>
      <c r="AN227" s="9" t="str">
        <f t="shared" si="14"/>
        <v>Unique</v>
      </c>
      <c r="AO227" s="9" t="str">
        <f t="shared" si="15"/>
        <v/>
      </c>
      <c r="AP227" s="9">
        <f t="shared" si="16"/>
        <v>0.15</v>
      </c>
      <c r="AQ227" s="10">
        <f t="shared" si="17"/>
        <v>5265.5969999999998</v>
      </c>
      <c r="AR227" s="10">
        <f t="shared" si="18"/>
        <v>972.48700000000008</v>
      </c>
      <c r="AS227" s="11">
        <f t="shared" si="19"/>
        <v>0.18468694053114967</v>
      </c>
      <c r="AT227" s="9">
        <f t="shared" si="20"/>
        <v>9</v>
      </c>
      <c r="AU227" s="9">
        <f t="shared" si="21"/>
        <v>2024</v>
      </c>
      <c r="AV227" s="9" t="b">
        <f t="shared" si="22"/>
        <v>0</v>
      </c>
      <c r="AW227" s="9" t="b">
        <f t="shared" si="23"/>
        <v>1</v>
      </c>
      <c r="AX227" s="9" t="str">
        <f t="shared" si="24"/>
        <v>No</v>
      </c>
      <c r="AY227" s="9" t="str">
        <f t="shared" si="31"/>
        <v>Profit mismatch</v>
      </c>
      <c r="AZ227" s="9" t="str">
        <f>IF(OR(G227="Missing date",G227="Invalid date",G227="Ship date before order date",NOT(ISNUMBER(AP227)),AP227&lt;0,AP227&gt;0.5,AV227=TRUE,AW227=TRUE),"Invalid",IF(OR(O227="Unknown",Z227="Unknown",AC227="",AH227&lt;&gt;"Paid",AJ227&lt;&gt;"Completed",AO227&lt;&gt;""),"Warning","Clean"))</f>
        <v>Invalid</v>
      </c>
    </row>
    <row r="228" spans="1:52" ht="15.75" customHeight="1">
      <c r="A228" s="6" t="s">
        <v>1284</v>
      </c>
      <c r="B228" s="7" t="s">
        <v>1285</v>
      </c>
      <c r="C228" s="7" t="str">
        <f t="shared" si="30"/>
        <v>2025-04</v>
      </c>
      <c r="D228" s="7" cm="1">
        <f t="array" ref="D228">_xlfn.LET(_xlpm.x,B228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45757</v>
      </c>
      <c r="E228" s="7" t="s">
        <v>1238</v>
      </c>
      <c r="F228" s="7" cm="1">
        <f t="array" ref="F228">_xlfn.LET(_xlpm.x,E228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45762</v>
      </c>
      <c r="G228" s="8" t="str">
        <f t="shared" si="1"/>
        <v>OK</v>
      </c>
      <c r="H228" s="6">
        <f t="shared" si="2"/>
        <v>5</v>
      </c>
      <c r="I228" s="6" t="s">
        <v>1286</v>
      </c>
      <c r="J228" s="6" t="s">
        <v>284</v>
      </c>
      <c r="K228" s="6" t="str">
        <f t="shared" si="3"/>
        <v>Diya Patel</v>
      </c>
      <c r="L228" s="6" t="s">
        <v>44</v>
      </c>
      <c r="M228" s="8" t="str">
        <f t="shared" si="4"/>
        <v>Home Office</v>
      </c>
      <c r="N228" s="6"/>
      <c r="O228" s="6" t="str">
        <f t="shared" si="5"/>
        <v>Unknown</v>
      </c>
      <c r="P228" s="6" t="s">
        <v>316</v>
      </c>
      <c r="Q228" s="6" t="str">
        <f t="shared" si="6"/>
        <v>Kerala</v>
      </c>
      <c r="R228" s="6" t="s">
        <v>317</v>
      </c>
      <c r="S228" s="6" t="str">
        <f t="shared" si="7"/>
        <v>Kochi</v>
      </c>
      <c r="T228" s="6" t="s">
        <v>27</v>
      </c>
      <c r="U228" s="8" t="str">
        <f t="shared" si="8"/>
        <v>Technology</v>
      </c>
      <c r="V228" s="6" t="s">
        <v>29</v>
      </c>
      <c r="W228" s="6" t="str">
        <f t="shared" si="9"/>
        <v>Copiers</v>
      </c>
      <c r="X228" s="6" t="s">
        <v>1287</v>
      </c>
      <c r="Y228" s="6" t="s">
        <v>37</v>
      </c>
      <c r="Z228" s="6" t="str">
        <f t="shared" si="10"/>
        <v>Same Day</v>
      </c>
      <c r="AA228" s="6">
        <v>1</v>
      </c>
      <c r="AB228" s="6">
        <v>2208.27</v>
      </c>
      <c r="AC228" s="6">
        <v>0.1</v>
      </c>
      <c r="AD228" s="6">
        <v>1987.44</v>
      </c>
      <c r="AE228" s="6">
        <v>1110.23</v>
      </c>
      <c r="AF228" s="6">
        <v>877.21</v>
      </c>
      <c r="AG228" s="6" t="s">
        <v>52</v>
      </c>
      <c r="AH228" s="6" t="str">
        <f t="shared" si="11"/>
        <v>Paid</v>
      </c>
      <c r="AI228" s="6" t="s">
        <v>134</v>
      </c>
      <c r="AJ228" s="6" t="str">
        <f t="shared" si="12"/>
        <v>Completed</v>
      </c>
      <c r="AK228" s="9" t="str">
        <f>_xlfn.TEXTJOIN("|",FALSE,A228,TEXT(B228,"mm-dd-yyyy"),TEXT(E228,"mm-dd-yyyy"),I228,J228,L228,N228,P228,R228,T228,V228,X228,Y228,AA228,AB228,AC228,AD228,AE228,AF228,AG228,AI228)</f>
        <v>ORD-2025-10227|10-04-2025|04-15-2025|CUST-2545|Diya Patel|Home Office||Kerala|Kochi|Technology|Copiers|Max Copiers 363|Same Day|1|2208.27|0.1|1987.44|1110.23|877.21|Paid|Completed</v>
      </c>
      <c r="AL228" s="27" t="str">
        <f>IF(COUNTIF($AK$2:AK228,AK228)&gt;1,"Remove exact duplicate copy","Keep")</f>
        <v>Keep</v>
      </c>
      <c r="AM228" s="9">
        <f t="shared" si="13"/>
        <v>1</v>
      </c>
      <c r="AN228" s="9" t="str">
        <f t="shared" si="14"/>
        <v>Unique</v>
      </c>
      <c r="AO228" s="9" t="str">
        <f t="shared" si="15"/>
        <v/>
      </c>
      <c r="AP228" s="9">
        <f t="shared" si="16"/>
        <v>0.1</v>
      </c>
      <c r="AQ228" s="10">
        <f t="shared" si="17"/>
        <v>1987.443</v>
      </c>
      <c r="AR228" s="10">
        <f t="shared" si="18"/>
        <v>877.21299999999997</v>
      </c>
      <c r="AS228" s="11">
        <f t="shared" si="19"/>
        <v>0.44137768982556985</v>
      </c>
      <c r="AT228" s="9">
        <f t="shared" si="20"/>
        <v>4</v>
      </c>
      <c r="AU228" s="9">
        <f t="shared" si="21"/>
        <v>2025</v>
      </c>
      <c r="AV228" s="9" t="b">
        <f t="shared" si="22"/>
        <v>0</v>
      </c>
      <c r="AW228" s="9" t="b">
        <f t="shared" si="23"/>
        <v>0</v>
      </c>
      <c r="AX228" s="9" t="str">
        <f t="shared" si="24"/>
        <v>Yes</v>
      </c>
      <c r="AY228" s="9" t="str">
        <f t="shared" si="31"/>
        <v>Missing region filled as Unknown</v>
      </c>
      <c r="AZ228" s="9" t="str">
        <f>IF(OR(G228="Missing date",G228="Invalid date",G228="Ship date before order date",NOT(ISNUMBER(AP228)),AP228&lt;0,AP228&gt;0.5,AV228=TRUE,AW228=TRUE),"Invalid",IF(OR(O228="Unknown",Z228="Unknown",AC228="",AH228&lt;&gt;"Paid",AJ228&lt;&gt;"Completed",AO228&lt;&gt;""),"Warning","Clean"))</f>
        <v>Warning</v>
      </c>
    </row>
    <row r="229" spans="1:52" ht="15.75" customHeight="1">
      <c r="A229" s="6" t="s">
        <v>1288</v>
      </c>
      <c r="B229" s="7" t="s">
        <v>1289</v>
      </c>
      <c r="C229" s="7" t="str">
        <f t="shared" si="30"/>
        <v>2024-07</v>
      </c>
      <c r="D229" s="7" cm="1">
        <f t="array" ref="D229">_xlfn.LET(_xlpm.x,B229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45478</v>
      </c>
      <c r="E229" s="7" t="s">
        <v>1290</v>
      </c>
      <c r="F229" s="7" cm="1">
        <f t="array" ref="F229">_xlfn.LET(_xlpm.x,E229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45485</v>
      </c>
      <c r="G229" s="8" t="str">
        <f t="shared" si="1"/>
        <v>OK</v>
      </c>
      <c r="H229" s="6">
        <f t="shared" si="2"/>
        <v>7</v>
      </c>
      <c r="I229" s="6" t="s">
        <v>1291</v>
      </c>
      <c r="J229" s="6" t="s">
        <v>161</v>
      </c>
      <c r="K229" s="6" t="str">
        <f t="shared" si="3"/>
        <v>Ananya Rao</v>
      </c>
      <c r="L229" s="6" t="s">
        <v>1292</v>
      </c>
      <c r="M229" s="8" t="str">
        <f t="shared" si="4"/>
        <v>Small Business</v>
      </c>
      <c r="N229" s="6" t="s">
        <v>9</v>
      </c>
      <c r="O229" s="6" t="str">
        <f t="shared" si="5"/>
        <v>West</v>
      </c>
      <c r="P229" s="6" t="s">
        <v>323</v>
      </c>
      <c r="Q229" s="6" t="str">
        <f t="shared" si="6"/>
        <v>Goa</v>
      </c>
      <c r="R229" s="6" t="s">
        <v>324</v>
      </c>
      <c r="S229" s="6" t="str">
        <f t="shared" si="7"/>
        <v>Panaji</v>
      </c>
      <c r="T229" s="6" t="s">
        <v>20</v>
      </c>
      <c r="U229" s="8" t="str">
        <f t="shared" si="8"/>
        <v>Office Supplies</v>
      </c>
      <c r="V229" s="6" t="s">
        <v>22</v>
      </c>
      <c r="W229" s="6" t="str">
        <f t="shared" si="9"/>
        <v>Binders</v>
      </c>
      <c r="X229" s="6" t="s">
        <v>1293</v>
      </c>
      <c r="Y229" s="6" t="s">
        <v>35</v>
      </c>
      <c r="Z229" s="6" t="str">
        <f t="shared" si="10"/>
        <v>First Class</v>
      </c>
      <c r="AA229" s="6">
        <v>3</v>
      </c>
      <c r="AB229" s="6">
        <v>577.75</v>
      </c>
      <c r="AC229" s="6">
        <v>0.15</v>
      </c>
      <c r="AD229" s="6">
        <v>1473.26</v>
      </c>
      <c r="AE229" s="6">
        <v>899.86</v>
      </c>
      <c r="AF229" s="6">
        <v>573.4</v>
      </c>
      <c r="AG229" s="6" t="s">
        <v>52</v>
      </c>
      <c r="AH229" s="6" t="str">
        <f t="shared" si="11"/>
        <v>Paid</v>
      </c>
      <c r="AI229" s="6" t="s">
        <v>134</v>
      </c>
      <c r="AJ229" s="6" t="str">
        <f t="shared" si="12"/>
        <v>Completed</v>
      </c>
      <c r="AK229" s="9" t="str">
        <f>_xlfn.TEXTJOIN("|",FALSE,A229,TEXT(B229,"mm-dd-yyyy"),TEXT(E229,"mm-dd-yyyy"),I229,J229,L229,N229,P229,R229,T229,V229,X229,Y229,AA229,AB229,AC229,AD229,AE229,AF229,AG229,AI229)</f>
        <v>ORD-2024-10228|07-05-2024|07-12-2024|CUST-2819|Ananya Rao|SMALL BUSINESS|West|Goa|Panaji|Office Supplies|Binders|Prime Binders 507|First Class|3|577.75|0.15|1473.26|899.86|573.4|Paid|Completed</v>
      </c>
      <c r="AL229" s="27" t="str">
        <f>IF(COUNTIF($AK$2:AK229,AK229)&gt;1,"Remove exact duplicate copy","Keep")</f>
        <v>Keep</v>
      </c>
      <c r="AM229" s="9">
        <f t="shared" si="13"/>
        <v>1</v>
      </c>
      <c r="AN229" s="9" t="str">
        <f t="shared" si="14"/>
        <v>Unique</v>
      </c>
      <c r="AO229" s="9" t="str">
        <f t="shared" si="15"/>
        <v/>
      </c>
      <c r="AP229" s="9">
        <f t="shared" si="16"/>
        <v>0.15</v>
      </c>
      <c r="AQ229" s="10">
        <f t="shared" si="17"/>
        <v>1473.2625</v>
      </c>
      <c r="AR229" s="10">
        <f t="shared" si="18"/>
        <v>573.40250000000003</v>
      </c>
      <c r="AS229" s="11">
        <f t="shared" si="19"/>
        <v>0.38920592901808065</v>
      </c>
      <c r="AT229" s="9">
        <f t="shared" si="20"/>
        <v>7</v>
      </c>
      <c r="AU229" s="9">
        <f t="shared" si="21"/>
        <v>2024</v>
      </c>
      <c r="AV229" s="9" t="b">
        <f t="shared" si="22"/>
        <v>0</v>
      </c>
      <c r="AW229" s="9" t="b">
        <f t="shared" si="23"/>
        <v>0</v>
      </c>
      <c r="AX229" s="9" t="str">
        <f t="shared" si="24"/>
        <v>Yes</v>
      </c>
      <c r="AY229" s="9" t="str">
        <f t="shared" si="31"/>
        <v/>
      </c>
      <c r="AZ229" s="9" t="str">
        <f>IF(OR(G229="Missing date",G229="Invalid date",G229="Ship date before order date",NOT(ISNUMBER(AP229)),AP229&lt;0,AP229&gt;0.5,AV229=TRUE,AW229=TRUE),"Invalid",IF(OR(O229="Unknown",Z229="Unknown",AC229="",AH229&lt;&gt;"Paid",AJ229&lt;&gt;"Completed",AO229&lt;&gt;""),"Warning","Clean"))</f>
        <v>Clean</v>
      </c>
    </row>
    <row r="230" spans="1:52" ht="15.75" customHeight="1">
      <c r="A230" s="6" t="s">
        <v>1294</v>
      </c>
      <c r="B230" s="7" t="s">
        <v>1295</v>
      </c>
      <c r="C230" s="7" t="str">
        <f t="shared" si="30"/>
        <v>2024-04</v>
      </c>
      <c r="D230" s="7" cm="1">
        <f t="array" ref="D230">_xlfn.LET(_xlpm.x,B230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45406</v>
      </c>
      <c r="E230" s="7" t="s">
        <v>1296</v>
      </c>
      <c r="F230" s="7" cm="1">
        <f t="array" ref="F230">_xlfn.LET(_xlpm.x,E230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45410</v>
      </c>
      <c r="G230" s="8" t="str">
        <f t="shared" si="1"/>
        <v>OK</v>
      </c>
      <c r="H230" s="6">
        <f t="shared" si="2"/>
        <v>4</v>
      </c>
      <c r="I230" s="6" t="s">
        <v>1297</v>
      </c>
      <c r="J230" s="6" t="s">
        <v>129</v>
      </c>
      <c r="K230" s="6" t="str">
        <f t="shared" si="3"/>
        <v>Karan Malhotra</v>
      </c>
      <c r="L230" s="6" t="s">
        <v>46</v>
      </c>
      <c r="M230" s="8" t="str">
        <f t="shared" si="4"/>
        <v>Small Business</v>
      </c>
      <c r="N230" s="6" t="s">
        <v>10</v>
      </c>
      <c r="O230" s="6" t="str">
        <f t="shared" si="5"/>
        <v>South</v>
      </c>
      <c r="P230" s="6" t="s">
        <v>154</v>
      </c>
      <c r="Q230" s="6" t="str">
        <f t="shared" si="6"/>
        <v>Telangana</v>
      </c>
      <c r="R230" s="6" t="s">
        <v>155</v>
      </c>
      <c r="S230" s="6" t="str">
        <f t="shared" si="7"/>
        <v>Hyderabad</v>
      </c>
      <c r="T230" s="6" t="s">
        <v>20</v>
      </c>
      <c r="U230" s="8" t="str">
        <f t="shared" si="8"/>
        <v>Office Supplies</v>
      </c>
      <c r="V230" s="6" t="s">
        <v>23</v>
      </c>
      <c r="W230" s="6" t="str">
        <f t="shared" si="9"/>
        <v>Labels</v>
      </c>
      <c r="X230" s="6" t="s">
        <v>1298</v>
      </c>
      <c r="Y230" s="6" t="s">
        <v>36</v>
      </c>
      <c r="Z230" s="6" t="str">
        <f t="shared" si="10"/>
        <v>Second Class</v>
      </c>
      <c r="AA230" s="6">
        <v>1</v>
      </c>
      <c r="AB230" s="6">
        <v>3194.37</v>
      </c>
      <c r="AC230" s="6">
        <v>0.15</v>
      </c>
      <c r="AD230" s="6">
        <v>2715.21</v>
      </c>
      <c r="AE230" s="6">
        <v>1551.55</v>
      </c>
      <c r="AF230" s="6">
        <v>1163.6600000000001</v>
      </c>
      <c r="AG230" s="6" t="s">
        <v>52</v>
      </c>
      <c r="AH230" s="6" t="str">
        <f t="shared" si="11"/>
        <v>Paid</v>
      </c>
      <c r="AI230" s="6" t="s">
        <v>134</v>
      </c>
      <c r="AJ230" s="6" t="str">
        <f t="shared" si="12"/>
        <v>Completed</v>
      </c>
      <c r="AK230" s="9" t="str">
        <f>_xlfn.TEXTJOIN("|",FALSE,A230,TEXT(B230,"mm-dd-yyyy"),TEXT(E230,"mm-dd-yyyy"),I230,J230,L230,N230,P230,R230,T230,V230,X230,Y230,AA230,AB230,AC230,AD230,AE230,AF230,AG230,AI230)</f>
        <v>ORD-2024-10229|24-04-2024|04-28-2024|CUST-1076|Karan Malhotra|Small Business|South|Telangana|Hyderabad|Office Supplies|Labels|Smart Labels 914|Second Class|1|3194.37|0.15|2715.21|1551.55|1163.66|Paid|Completed</v>
      </c>
      <c r="AL230" s="27" t="str">
        <f>IF(COUNTIF($AK$2:AK230,AK230)&gt;1,"Remove exact duplicate copy","Keep")</f>
        <v>Keep</v>
      </c>
      <c r="AM230" s="9">
        <f t="shared" si="13"/>
        <v>1</v>
      </c>
      <c r="AN230" s="9" t="str">
        <f t="shared" si="14"/>
        <v>Unique</v>
      </c>
      <c r="AO230" s="9" t="str">
        <f t="shared" si="15"/>
        <v/>
      </c>
      <c r="AP230" s="9">
        <f t="shared" si="16"/>
        <v>0.15</v>
      </c>
      <c r="AQ230" s="10">
        <f t="shared" si="17"/>
        <v>2715.2145</v>
      </c>
      <c r="AR230" s="10">
        <f t="shared" si="18"/>
        <v>1163.6645000000001</v>
      </c>
      <c r="AS230" s="11">
        <f t="shared" si="19"/>
        <v>0.42857184948003191</v>
      </c>
      <c r="AT230" s="9">
        <f t="shared" si="20"/>
        <v>4</v>
      </c>
      <c r="AU230" s="9">
        <f t="shared" si="21"/>
        <v>2024</v>
      </c>
      <c r="AV230" s="9" t="b">
        <f t="shared" si="22"/>
        <v>0</v>
      </c>
      <c r="AW230" s="9" t="b">
        <f t="shared" si="23"/>
        <v>0</v>
      </c>
      <c r="AX230" s="9" t="str">
        <f t="shared" si="24"/>
        <v>Yes</v>
      </c>
      <c r="AY230" s="9" t="str">
        <f t="shared" si="31"/>
        <v/>
      </c>
      <c r="AZ230" s="9" t="str">
        <f>IF(OR(G230="Missing date",G230="Invalid date",G230="Ship date before order date",NOT(ISNUMBER(AP230)),AP230&lt;0,AP230&gt;0.5,AV230=TRUE,AW230=TRUE),"Invalid",IF(OR(O230="Unknown",Z230="Unknown",AC230="",AH230&lt;&gt;"Paid",AJ230&lt;&gt;"Completed",AO230&lt;&gt;""),"Warning","Clean"))</f>
        <v>Clean</v>
      </c>
    </row>
    <row r="231" spans="1:52" ht="15.75" customHeight="1">
      <c r="A231" s="6" t="s">
        <v>1299</v>
      </c>
      <c r="B231" s="7" t="s">
        <v>1300</v>
      </c>
      <c r="C231" s="7" t="str">
        <f t="shared" si="30"/>
        <v>2025-06</v>
      </c>
      <c r="D231" s="7" cm="1">
        <f t="array" ref="D231">_xlfn.LET(_xlpm.x,B231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45836</v>
      </c>
      <c r="E231" s="7" t="s">
        <v>1301</v>
      </c>
      <c r="F231" s="7" cm="1">
        <f t="array" ref="F231">_xlfn.LET(_xlpm.x,E231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45842</v>
      </c>
      <c r="G231" s="8" t="str">
        <f t="shared" si="1"/>
        <v>OK</v>
      </c>
      <c r="H231" s="6">
        <f t="shared" si="2"/>
        <v>6</v>
      </c>
      <c r="I231" s="6" t="s">
        <v>1302</v>
      </c>
      <c r="J231" s="6" t="s">
        <v>257</v>
      </c>
      <c r="K231" s="6" t="str">
        <f t="shared" si="3"/>
        <v>Rohan Mehta</v>
      </c>
      <c r="L231" s="6" t="s">
        <v>43</v>
      </c>
      <c r="M231" s="8" t="str">
        <f t="shared" si="4"/>
        <v>Consumer</v>
      </c>
      <c r="N231" s="6" t="s">
        <v>10</v>
      </c>
      <c r="O231" s="6" t="str">
        <f t="shared" si="5"/>
        <v>South</v>
      </c>
      <c r="P231" s="6" t="s">
        <v>154</v>
      </c>
      <c r="Q231" s="6" t="str">
        <f t="shared" si="6"/>
        <v>Telangana</v>
      </c>
      <c r="R231" s="6" t="s">
        <v>155</v>
      </c>
      <c r="S231" s="6" t="str">
        <f t="shared" si="7"/>
        <v>Hyderabad</v>
      </c>
      <c r="T231" s="6" t="s">
        <v>14</v>
      </c>
      <c r="U231" s="8" t="str">
        <f t="shared" si="8"/>
        <v>Furniture</v>
      </c>
      <c r="V231" s="6" t="s">
        <v>15</v>
      </c>
      <c r="W231" s="6" t="str">
        <f t="shared" si="9"/>
        <v>Bookcases</v>
      </c>
      <c r="X231" s="6" t="s">
        <v>1303</v>
      </c>
      <c r="Y231" s="6" t="s">
        <v>35</v>
      </c>
      <c r="Z231" s="6" t="str">
        <f t="shared" si="10"/>
        <v>First Class</v>
      </c>
      <c r="AA231" s="6">
        <v>3</v>
      </c>
      <c r="AB231" s="6">
        <v>2886.23</v>
      </c>
      <c r="AC231" s="6">
        <v>0</v>
      </c>
      <c r="AD231" s="6">
        <v>8658.69</v>
      </c>
      <c r="AE231" s="6">
        <v>5535.94</v>
      </c>
      <c r="AF231" s="6">
        <v>3122.75</v>
      </c>
      <c r="AG231" s="6" t="s">
        <v>56</v>
      </c>
      <c r="AH231" s="6" t="str">
        <f t="shared" si="11"/>
        <v>Refunded</v>
      </c>
      <c r="AI231" s="6" t="s">
        <v>59</v>
      </c>
      <c r="AJ231" s="6" t="str">
        <f t="shared" si="12"/>
        <v>Returned</v>
      </c>
      <c r="AK231" s="9" t="str">
        <f>_xlfn.TEXTJOIN("|",FALSE,A231,TEXT(B231,"mm-dd-yyyy"),TEXT(E231,"mm-dd-yyyy"),I231,J231,L231,N231,P231,R231,T231,V231,X231,Y231,AA231,AB231,AC231,AD231,AE231,AF231,AG231,AI231)</f>
        <v>ORD-2025-10230|06-28-2025|07-04-2025|CUST-1943|Rohan Mehta|Consumer|South|Telangana|Hyderabad|Furniture|Bookcases|Smart Bookcases 662|First Class|3|2886.23|0|8658.69|5535.94|3122.75|Refunded|Returned</v>
      </c>
      <c r="AL231" s="27" t="str">
        <f>IF(COUNTIF($AK$2:AK231,AK231)&gt;1,"Remove exact duplicate copy","Keep")</f>
        <v>Keep</v>
      </c>
      <c r="AM231" s="9">
        <f t="shared" si="13"/>
        <v>1</v>
      </c>
      <c r="AN231" s="9" t="str">
        <f t="shared" si="14"/>
        <v>Unique</v>
      </c>
      <c r="AO231" s="9" t="str">
        <f t="shared" si="15"/>
        <v/>
      </c>
      <c r="AP231" s="9">
        <f t="shared" si="16"/>
        <v>0</v>
      </c>
      <c r="AQ231" s="10">
        <f t="shared" si="17"/>
        <v>8658.69</v>
      </c>
      <c r="AR231" s="10">
        <f t="shared" si="18"/>
        <v>3122.7500000000009</v>
      </c>
      <c r="AS231" s="11">
        <f t="shared" si="19"/>
        <v>0.36064924370776652</v>
      </c>
      <c r="AT231" s="9">
        <f t="shared" si="20"/>
        <v>6</v>
      </c>
      <c r="AU231" s="9">
        <f t="shared" si="21"/>
        <v>2025</v>
      </c>
      <c r="AV231" s="9" t="b">
        <f t="shared" si="22"/>
        <v>0</v>
      </c>
      <c r="AW231" s="9" t="b">
        <f t="shared" si="23"/>
        <v>0</v>
      </c>
      <c r="AX231" s="9" t="str">
        <f t="shared" si="24"/>
        <v>No</v>
      </c>
      <c r="AY231" s="9" t="str">
        <f t="shared" si="31"/>
        <v>Refunded order summarized separately; Returned order excluded</v>
      </c>
      <c r="AZ231" s="9" t="str">
        <f>IF(OR(G231="Missing date",G231="Invalid date",G231="Ship date before order date",NOT(ISNUMBER(AP231)),AP231&lt;0,AP231&gt;0.5,AV231=TRUE,AW231=TRUE),"Invalid",IF(OR(O231="Unknown",Z231="Unknown",AC231="",AH231&lt;&gt;"Paid",AJ231&lt;&gt;"Completed",AO231&lt;&gt;""),"Warning","Clean"))</f>
        <v>Warning</v>
      </c>
    </row>
    <row r="232" spans="1:52" ht="15.75" customHeight="1">
      <c r="A232" s="6" t="s">
        <v>1304</v>
      </c>
      <c r="B232" s="7" t="s">
        <v>167</v>
      </c>
      <c r="C232" s="7" t="str">
        <f t="shared" si="30"/>
        <v>2024-05</v>
      </c>
      <c r="D232" s="7" cm="1">
        <f t="array" ref="D232">_xlfn.LET(_xlpm.x,B232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45440</v>
      </c>
      <c r="E232" s="7" t="s">
        <v>1305</v>
      </c>
      <c r="F232" s="7" cm="1">
        <f t="array" ref="F232">_xlfn.LET(_xlpm.x,E232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45446</v>
      </c>
      <c r="G232" s="8" t="str">
        <f t="shared" si="1"/>
        <v>OK</v>
      </c>
      <c r="H232" s="6">
        <f t="shared" si="2"/>
        <v>6</v>
      </c>
      <c r="I232" s="6" t="s">
        <v>1306</v>
      </c>
      <c r="J232" s="6" t="s">
        <v>177</v>
      </c>
      <c r="K232" s="6" t="str">
        <f t="shared" si="3"/>
        <v>Neha Gupta</v>
      </c>
      <c r="L232" s="6" t="s">
        <v>46</v>
      </c>
      <c r="M232" s="8" t="str">
        <f t="shared" si="4"/>
        <v>Small Business</v>
      </c>
      <c r="N232" s="6" t="s">
        <v>7</v>
      </c>
      <c r="O232" s="6" t="str">
        <f t="shared" si="5"/>
        <v>North</v>
      </c>
      <c r="P232" s="6" t="s">
        <v>131</v>
      </c>
      <c r="Q232" s="6" t="str">
        <f t="shared" si="6"/>
        <v>Rajasthan</v>
      </c>
      <c r="R232" s="6" t="s">
        <v>132</v>
      </c>
      <c r="S232" s="6" t="str">
        <f t="shared" si="7"/>
        <v>Jaipur</v>
      </c>
      <c r="T232" s="6" t="s">
        <v>20</v>
      </c>
      <c r="U232" s="8" t="str">
        <f t="shared" si="8"/>
        <v>Office Supplies</v>
      </c>
      <c r="V232" s="6" t="s">
        <v>24</v>
      </c>
      <c r="W232" s="6" t="str">
        <f t="shared" si="9"/>
        <v>Paper</v>
      </c>
      <c r="X232" s="6" t="s">
        <v>1307</v>
      </c>
      <c r="Y232" s="6" t="s">
        <v>34</v>
      </c>
      <c r="Z232" s="6" t="str">
        <f t="shared" si="10"/>
        <v>Standard Class</v>
      </c>
      <c r="AA232" s="6">
        <v>8</v>
      </c>
      <c r="AB232" s="6">
        <v>1540.33</v>
      </c>
      <c r="AC232" s="6">
        <v>0.1</v>
      </c>
      <c r="AD232" s="6">
        <v>11090.38</v>
      </c>
      <c r="AE232" s="6">
        <v>8840.9500000000007</v>
      </c>
      <c r="AF232" s="6">
        <v>2249.4299999999998</v>
      </c>
      <c r="AG232" s="6" t="s">
        <v>52</v>
      </c>
      <c r="AH232" s="6" t="str">
        <f t="shared" si="11"/>
        <v>Paid</v>
      </c>
      <c r="AI232" s="6" t="s">
        <v>134</v>
      </c>
      <c r="AJ232" s="6" t="str">
        <f t="shared" si="12"/>
        <v>Completed</v>
      </c>
      <c r="AK232" s="9" t="str">
        <f>_xlfn.TEXTJOIN("|",FALSE,A232,TEXT(B232,"mm-dd-yyyy"),TEXT(E232,"mm-dd-yyyy"),I232,J232,L232,N232,P232,R232,T232,V232,X232,Y232,AA232,AB232,AC232,AD232,AE232,AF232,AG232,AI232)</f>
        <v>ORD-2024-10231|28-05-2024|03-06-2024|CUST-3434|Neha Gupta|Small Business|North|Rajasthan|Jaipur|Office Supplies|Paper|Eco Paper 937|Standard Class|8|1540.33|0.1|11090.38|8840.95|2249.43|Paid|Completed</v>
      </c>
      <c r="AL232" s="27" t="str">
        <f>IF(COUNTIF($AK$2:AK232,AK232)&gt;1,"Remove exact duplicate copy","Keep")</f>
        <v>Keep</v>
      </c>
      <c r="AM232" s="9">
        <f t="shared" si="13"/>
        <v>1</v>
      </c>
      <c r="AN232" s="9" t="str">
        <f t="shared" si="14"/>
        <v>Unique</v>
      </c>
      <c r="AO232" s="9" t="str">
        <f t="shared" si="15"/>
        <v/>
      </c>
      <c r="AP232" s="9">
        <f t="shared" si="16"/>
        <v>0.1</v>
      </c>
      <c r="AQ232" s="10">
        <f t="shared" si="17"/>
        <v>11090.376</v>
      </c>
      <c r="AR232" s="10">
        <f t="shared" si="18"/>
        <v>2249.4259999999995</v>
      </c>
      <c r="AS232" s="11">
        <f t="shared" si="19"/>
        <v>0.20282684734944958</v>
      </c>
      <c r="AT232" s="9">
        <f t="shared" si="20"/>
        <v>5</v>
      </c>
      <c r="AU232" s="9">
        <f t="shared" si="21"/>
        <v>2024</v>
      </c>
      <c r="AV232" s="9" t="b">
        <f t="shared" si="22"/>
        <v>0</v>
      </c>
      <c r="AW232" s="9" t="b">
        <f t="shared" si="23"/>
        <v>0</v>
      </c>
      <c r="AX232" s="9" t="str">
        <f t="shared" si="24"/>
        <v>Yes</v>
      </c>
      <c r="AY232" s="9" t="str">
        <f t="shared" si="31"/>
        <v/>
      </c>
      <c r="AZ232" s="9" t="str">
        <f>IF(OR(G232="Missing date",G232="Invalid date",G232="Ship date before order date",NOT(ISNUMBER(AP232)),AP232&lt;0,AP232&gt;0.5,AV232=TRUE,AW232=TRUE),"Invalid",IF(OR(O232="Unknown",Z232="Unknown",AC232="",AH232&lt;&gt;"Paid",AJ232&lt;&gt;"Completed",AO232&lt;&gt;""),"Warning","Clean"))</f>
        <v>Clean</v>
      </c>
    </row>
    <row r="233" spans="1:52" ht="15.75" customHeight="1">
      <c r="A233" s="6" t="s">
        <v>1308</v>
      </c>
      <c r="B233" s="7" t="s">
        <v>1309</v>
      </c>
      <c r="C233" s="7" t="str">
        <f t="shared" si="30"/>
        <v>2024-05</v>
      </c>
      <c r="D233" s="7" cm="1">
        <f t="array" ref="D233">_xlfn.LET(_xlpm.x,B233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45414</v>
      </c>
      <c r="E233" s="7" t="s">
        <v>1310</v>
      </c>
      <c r="F233" s="7" cm="1">
        <f t="array" ref="F233">_xlfn.LET(_xlpm.x,E233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45414</v>
      </c>
      <c r="G233" s="8" t="str">
        <f t="shared" si="1"/>
        <v>OK</v>
      </c>
      <c r="H233" s="6">
        <f t="shared" si="2"/>
        <v>0</v>
      </c>
      <c r="I233" s="6" t="s">
        <v>1311</v>
      </c>
      <c r="J233" s="6" t="s">
        <v>161</v>
      </c>
      <c r="K233" s="6" t="str">
        <f t="shared" si="3"/>
        <v>Ananya Rao</v>
      </c>
      <c r="L233" s="6" t="s">
        <v>45</v>
      </c>
      <c r="M233" s="8" t="str">
        <f t="shared" si="4"/>
        <v>Corporate</v>
      </c>
      <c r="N233" s="6" t="s">
        <v>7</v>
      </c>
      <c r="O233" s="6" t="str">
        <f t="shared" si="5"/>
        <v>North</v>
      </c>
      <c r="P233" s="6" t="s">
        <v>131</v>
      </c>
      <c r="Q233" s="6" t="str">
        <f t="shared" si="6"/>
        <v>Rajasthan</v>
      </c>
      <c r="R233" s="6" t="s">
        <v>132</v>
      </c>
      <c r="S233" s="6" t="str">
        <f t="shared" si="7"/>
        <v>Jaipur</v>
      </c>
      <c r="T233" s="6" t="s">
        <v>1312</v>
      </c>
      <c r="U233" s="8" t="str">
        <f t="shared" si="8"/>
        <v>Office Supplies</v>
      </c>
      <c r="V233" s="6" t="s">
        <v>23</v>
      </c>
      <c r="W233" s="6" t="str">
        <f t="shared" si="9"/>
        <v>Labels</v>
      </c>
      <c r="X233" s="6" t="s">
        <v>1313</v>
      </c>
      <c r="Y233" s="6" t="s">
        <v>35</v>
      </c>
      <c r="Z233" s="6" t="str">
        <f t="shared" si="10"/>
        <v>First Class</v>
      </c>
      <c r="AA233" s="6">
        <v>7</v>
      </c>
      <c r="AB233" s="6">
        <v>2183.38</v>
      </c>
      <c r="AC233" s="6">
        <v>0.25</v>
      </c>
      <c r="AD233" s="6">
        <v>11462.74</v>
      </c>
      <c r="AE233" s="6">
        <v>7163.54</v>
      </c>
      <c r="AF233" s="6">
        <v>4299.2</v>
      </c>
      <c r="AG233" s="6" t="s">
        <v>56</v>
      </c>
      <c r="AH233" s="6" t="str">
        <f t="shared" si="11"/>
        <v>Refunded</v>
      </c>
      <c r="AI233" s="6" t="s">
        <v>58</v>
      </c>
      <c r="AJ233" s="6" t="str">
        <f t="shared" si="12"/>
        <v>Cancelled</v>
      </c>
      <c r="AK233" s="9" t="str">
        <f>_xlfn.TEXTJOIN("|",FALSE,A233,TEXT(B233,"mm-dd-yyyy"),TEXT(E233,"mm-dd-yyyy"),I233,J233,L233,N233,P233,R233,T233,V233,X233,Y233,AA233,AB233,AC233,AD233,AE233,AF233,AG233,AI233)</f>
        <v>ORD-2024-10232|05-02-2024|05-02-2024|CUST-9139|Ananya Rao|Corporate|North|Rajasthan|Jaipur|Office  Supplies|Labels|Max Labels 370|First Class|7|2183.38|0.25|11462.74|7163.54|4299.2|Refunded|Cancelled</v>
      </c>
      <c r="AL233" s="27" t="str">
        <f>IF(COUNTIF($AK$2:AK233,AK233)&gt;1,"Remove exact duplicate copy","Keep")</f>
        <v>Keep</v>
      </c>
      <c r="AM233" s="9">
        <f t="shared" si="13"/>
        <v>1</v>
      </c>
      <c r="AN233" s="9" t="str">
        <f t="shared" si="14"/>
        <v>Unique</v>
      </c>
      <c r="AO233" s="9" t="str">
        <f t="shared" si="15"/>
        <v/>
      </c>
      <c r="AP233" s="9">
        <f t="shared" si="16"/>
        <v>0.25</v>
      </c>
      <c r="AQ233" s="10">
        <f t="shared" si="17"/>
        <v>11462.744999999999</v>
      </c>
      <c r="AR233" s="10">
        <f t="shared" si="18"/>
        <v>4299.204999999999</v>
      </c>
      <c r="AS233" s="11">
        <f t="shared" si="19"/>
        <v>0.37505894094302888</v>
      </c>
      <c r="AT233" s="9">
        <f t="shared" si="20"/>
        <v>5</v>
      </c>
      <c r="AU233" s="9">
        <f t="shared" si="21"/>
        <v>2024</v>
      </c>
      <c r="AV233" s="9" t="b">
        <f t="shared" si="22"/>
        <v>0</v>
      </c>
      <c r="AW233" s="9" t="b">
        <f t="shared" si="23"/>
        <v>0</v>
      </c>
      <c r="AX233" s="9" t="str">
        <f t="shared" si="24"/>
        <v>No</v>
      </c>
      <c r="AY233" s="9" t="str">
        <f t="shared" si="31"/>
        <v>Refunded order summarized separately; Cancelled order excluded</v>
      </c>
      <c r="AZ233" s="9" t="str">
        <f>IF(OR(G233="Missing date",G233="Invalid date",G233="Ship date before order date",NOT(ISNUMBER(AP233)),AP233&lt;0,AP233&gt;0.5,AV233=TRUE,AW233=TRUE),"Invalid",IF(OR(O233="Unknown",Z233="Unknown",AC233="",AH233&lt;&gt;"Paid",AJ233&lt;&gt;"Completed",AO233&lt;&gt;""),"Warning","Clean"))</f>
        <v>Warning</v>
      </c>
    </row>
    <row r="234" spans="1:52" ht="15.75" customHeight="1">
      <c r="A234" s="6" t="s">
        <v>1314</v>
      </c>
      <c r="B234" s="7" t="s">
        <v>1315</v>
      </c>
      <c r="C234" s="7" t="str">
        <f t="shared" si="30"/>
        <v>2025-06</v>
      </c>
      <c r="D234" s="7" cm="1">
        <f t="array" ref="D234">_xlfn.LET(_xlpm.x,B234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E234" s="7" t="s">
        <v>1316</v>
      </c>
      <c r="F234" s="7" cm="1">
        <f t="array" ref="F234">_xlfn.LET(_xlpm.x,E234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45818</v>
      </c>
      <c r="G234" s="8" t="str">
        <f t="shared" si="1"/>
        <v>OK</v>
      </c>
      <c r="H234" s="6">
        <f t="shared" si="2"/>
        <v>6</v>
      </c>
      <c r="I234" s="6" t="s">
        <v>1317</v>
      </c>
      <c r="J234" s="6" t="s">
        <v>226</v>
      </c>
      <c r="K234" s="6" t="str">
        <f t="shared" si="3"/>
        <v>Rahul Verma</v>
      </c>
      <c r="L234" s="6" t="s">
        <v>43</v>
      </c>
      <c r="M234" s="8" t="str">
        <f t="shared" si="4"/>
        <v>Consumer</v>
      </c>
      <c r="N234" s="6" t="s">
        <v>10</v>
      </c>
      <c r="O234" s="6" t="str">
        <f t="shared" si="5"/>
        <v>South</v>
      </c>
      <c r="P234" s="6" t="s">
        <v>183</v>
      </c>
      <c r="Q234" s="6" t="str">
        <f t="shared" si="6"/>
        <v>Andhra Pradesh</v>
      </c>
      <c r="R234" s="6" t="s">
        <v>184</v>
      </c>
      <c r="S234" s="6" t="str">
        <f t="shared" si="7"/>
        <v>Vijayawada</v>
      </c>
      <c r="T234" s="6" t="s">
        <v>27</v>
      </c>
      <c r="U234" s="8" t="str">
        <f t="shared" si="8"/>
        <v>Technology</v>
      </c>
      <c r="V234" s="6" t="s">
        <v>31</v>
      </c>
      <c r="W234" s="6" t="str">
        <f t="shared" si="9"/>
        <v>Phones</v>
      </c>
      <c r="X234" s="6" t="s">
        <v>1318</v>
      </c>
      <c r="Y234" s="6" t="s">
        <v>34</v>
      </c>
      <c r="Z234" s="6" t="str">
        <f t="shared" si="10"/>
        <v>Standard Class</v>
      </c>
      <c r="AA234" s="6">
        <v>4</v>
      </c>
      <c r="AB234" s="6">
        <v>223.37</v>
      </c>
      <c r="AC234" s="6">
        <v>0.25</v>
      </c>
      <c r="AD234" s="6">
        <v>670.11</v>
      </c>
      <c r="AE234" s="6">
        <v>559.57000000000005</v>
      </c>
      <c r="AF234" s="6">
        <v>110.54</v>
      </c>
      <c r="AG234" s="6" t="s">
        <v>52</v>
      </c>
      <c r="AH234" s="6" t="str">
        <f t="shared" si="11"/>
        <v>Paid</v>
      </c>
      <c r="AI234" s="6" t="s">
        <v>134</v>
      </c>
      <c r="AJ234" s="6" t="str">
        <f t="shared" si="12"/>
        <v>Completed</v>
      </c>
      <c r="AK234" s="9" t="str">
        <f>_xlfn.TEXTJOIN("|",FALSE,A234,TEXT(B234,"mm-dd-yyyy"),TEXT(E234,"mm-dd-yyyy"),I234,J234,L234,N234,P234,R234,T234,V234,X234,Y234,AA234,AB234,AC234,AD234,AE234,AF234,AG234,AI234)</f>
        <v>ORD-2025-10233|06-04-2025|06-10-2025|CUST-5341|Rahul Verma|Consumer|South|Andhra Pradesh|Vijayawada|Technology|Phones|Classic Phones 530|Standard Class|4|223.37|0.25|670.11|559.57|110.54|Paid|Completed</v>
      </c>
      <c r="AL234" s="27" t="str">
        <f>IF(COUNTIF($AK$2:AK234,AK234)&gt;1,"Remove exact duplicate copy","Keep")</f>
        <v>Keep</v>
      </c>
      <c r="AM234" s="9">
        <f t="shared" si="13"/>
        <v>1</v>
      </c>
      <c r="AN234" s="9" t="str">
        <f t="shared" si="14"/>
        <v>Unique</v>
      </c>
      <c r="AO234" s="9" t="str">
        <f t="shared" si="15"/>
        <v/>
      </c>
      <c r="AP234" s="9">
        <f t="shared" si="16"/>
        <v>0.25</v>
      </c>
      <c r="AQ234" s="10">
        <f t="shared" si="17"/>
        <v>670.11</v>
      </c>
      <c r="AR234" s="10">
        <f t="shared" si="18"/>
        <v>110.53999999999996</v>
      </c>
      <c r="AS234" s="11">
        <f t="shared" si="19"/>
        <v>0.16495799197146732</v>
      </c>
      <c r="AT234" s="9">
        <f t="shared" si="20"/>
        <v>6</v>
      </c>
      <c r="AU234" s="9">
        <f t="shared" si="21"/>
        <v>2025</v>
      </c>
      <c r="AV234" s="9" t="b">
        <f t="shared" si="22"/>
        <v>0</v>
      </c>
      <c r="AW234" s="9" t="b">
        <f t="shared" si="23"/>
        <v>0</v>
      </c>
      <c r="AX234" s="9" t="str">
        <f t="shared" si="24"/>
        <v>Yes</v>
      </c>
      <c r="AY234" s="9" t="str">
        <f t="shared" si="31"/>
        <v/>
      </c>
      <c r="AZ234" s="9" t="str">
        <f>IF(OR(G234="Missing date",G234="Invalid date",G234="Ship date before order date",NOT(ISNUMBER(AP234)),AP234&lt;0,AP234&gt;0.5,AV234=TRUE,AW234=TRUE),"Invalid",IF(OR(O234="Unknown",Z234="Unknown",AC234="",AH234&lt;&gt;"Paid",AJ234&lt;&gt;"Completed",AO234&lt;&gt;""),"Warning","Clean"))</f>
        <v>Clean</v>
      </c>
    </row>
    <row r="235" spans="1:52" ht="15.75" customHeight="1">
      <c r="A235" s="6" t="s">
        <v>1319</v>
      </c>
      <c r="B235" s="7" t="s">
        <v>1320</v>
      </c>
      <c r="C235" s="7" t="str">
        <f t="shared" si="30"/>
        <v>2024-10</v>
      </c>
      <c r="D235" s="7" cm="1">
        <f t="array" ref="D235">_xlfn.LET(_xlpm.x,B235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45579</v>
      </c>
      <c r="E235" s="7" t="s">
        <v>1321</v>
      </c>
      <c r="F235" s="7" cm="1">
        <f t="array" ref="F235">_xlfn.LET(_xlpm.x,E235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45579</v>
      </c>
      <c r="G235" s="8" t="str">
        <f t="shared" si="1"/>
        <v>OK</v>
      </c>
      <c r="H235" s="6">
        <f t="shared" si="2"/>
        <v>0</v>
      </c>
      <c r="I235" s="6" t="s">
        <v>1322</v>
      </c>
      <c r="J235" s="6" t="s">
        <v>169</v>
      </c>
      <c r="K235" s="6" t="str">
        <f t="shared" si="3"/>
        <v>Vikram Iyer</v>
      </c>
      <c r="L235" s="6" t="s">
        <v>45</v>
      </c>
      <c r="M235" s="8" t="str">
        <f t="shared" si="4"/>
        <v>Corporate</v>
      </c>
      <c r="N235" s="6" t="s">
        <v>10</v>
      </c>
      <c r="O235" s="6" t="str">
        <f t="shared" si="5"/>
        <v>South</v>
      </c>
      <c r="P235" s="6" t="s">
        <v>303</v>
      </c>
      <c r="Q235" s="6" t="str">
        <f t="shared" si="6"/>
        <v>Karnataka</v>
      </c>
      <c r="R235" s="6" t="s">
        <v>304</v>
      </c>
      <c r="S235" s="6" t="str">
        <f t="shared" si="7"/>
        <v>Bengaluru</v>
      </c>
      <c r="T235" s="6" t="s">
        <v>14</v>
      </c>
      <c r="U235" s="8" t="str">
        <f t="shared" si="8"/>
        <v>Furniture</v>
      </c>
      <c r="V235" s="6" t="s">
        <v>15</v>
      </c>
      <c r="W235" s="6" t="str">
        <f t="shared" si="9"/>
        <v>Bookcases</v>
      </c>
      <c r="X235" s="6" t="s">
        <v>1323</v>
      </c>
      <c r="Y235" s="6"/>
      <c r="Z235" s="6" t="str">
        <f t="shared" si="10"/>
        <v>Unknown</v>
      </c>
      <c r="AA235" s="6">
        <v>8</v>
      </c>
      <c r="AB235" s="6">
        <v>3904.59</v>
      </c>
      <c r="AC235" s="6">
        <v>0</v>
      </c>
      <c r="AD235" s="6">
        <v>31236.720000000001</v>
      </c>
      <c r="AE235" s="6">
        <v>26377.7</v>
      </c>
      <c r="AF235" s="6">
        <v>4859.0200000000004</v>
      </c>
      <c r="AG235" s="6" t="s">
        <v>52</v>
      </c>
      <c r="AH235" s="6" t="str">
        <f t="shared" si="11"/>
        <v>Paid</v>
      </c>
      <c r="AI235" s="6" t="s">
        <v>134</v>
      </c>
      <c r="AJ235" s="6" t="str">
        <f t="shared" si="12"/>
        <v>Completed</v>
      </c>
      <c r="AK235" s="9" t="str">
        <f>_xlfn.TEXTJOIN("|",FALSE,A235,TEXT(B235,"mm-dd-yyyy"),TEXT(E235,"mm-dd-yyyy"),I235,J235,L235,N235,P235,R235,T235,V235,X235,Y235,AA235,AB235,AC235,AD235,AE235,AF235,AG235,AI235)</f>
        <v>ORD-2024-10234|14-10-2024|10-14-2024|CUST-3710|Vikram Iyer|Corporate|South|Karnataka|Bengaluru|Furniture|Bookcases|Smart Bookcases 328||8|3904.59|0|31236.72|26377.7|4859.02|Paid|Completed</v>
      </c>
      <c r="AL235" s="27" t="str">
        <f>IF(COUNTIF($AK$2:AK235,AK235)&gt;1,"Remove exact duplicate copy","Keep")</f>
        <v>Keep</v>
      </c>
      <c r="AM235" s="9">
        <f t="shared" si="13"/>
        <v>1</v>
      </c>
      <c r="AN235" s="9" t="str">
        <f t="shared" si="14"/>
        <v>Unique</v>
      </c>
      <c r="AO235" s="9" t="str">
        <f t="shared" si="15"/>
        <v/>
      </c>
      <c r="AP235" s="9">
        <f t="shared" si="16"/>
        <v>0</v>
      </c>
      <c r="AQ235" s="10">
        <f t="shared" si="17"/>
        <v>31236.720000000001</v>
      </c>
      <c r="AR235" s="10">
        <f t="shared" si="18"/>
        <v>4859.0200000000004</v>
      </c>
      <c r="AS235" s="11">
        <f t="shared" si="19"/>
        <v>0.15555474454424154</v>
      </c>
      <c r="AT235" s="9">
        <f t="shared" si="20"/>
        <v>10</v>
      </c>
      <c r="AU235" s="9">
        <f t="shared" si="21"/>
        <v>2024</v>
      </c>
      <c r="AV235" s="9" t="b">
        <f t="shared" si="22"/>
        <v>0</v>
      </c>
      <c r="AW235" s="9" t="b">
        <f t="shared" si="23"/>
        <v>0</v>
      </c>
      <c r="AX235" s="9" t="str">
        <f t="shared" si="24"/>
        <v>Yes</v>
      </c>
      <c r="AY235" s="9" t="str">
        <f t="shared" si="31"/>
        <v>Missing ship mode filled as Unknown</v>
      </c>
      <c r="AZ235" s="9" t="str">
        <f>IF(OR(G235="Missing date",G235="Invalid date",G235="Ship date before order date",NOT(ISNUMBER(AP235)),AP235&lt;0,AP235&gt;0.5,AV235=TRUE,AW235=TRUE),"Invalid",IF(OR(O235="Unknown",Z235="Unknown",AC235="",AH235&lt;&gt;"Paid",AJ235&lt;&gt;"Completed",AO235&lt;&gt;""),"Warning","Clean"))</f>
        <v>Warning</v>
      </c>
    </row>
    <row r="236" spans="1:52" ht="15.75" customHeight="1">
      <c r="A236" s="6" t="s">
        <v>1324</v>
      </c>
      <c r="B236" s="7" t="s">
        <v>1325</v>
      </c>
      <c r="C236" s="7" t="str">
        <f t="shared" si="30"/>
        <v>2024-09</v>
      </c>
      <c r="D236" s="7" cm="1">
        <f t="array" ref="D236">_xlfn.LET(_xlpm.x,B236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45537</v>
      </c>
      <c r="E236" s="7" t="s">
        <v>1326</v>
      </c>
      <c r="F236" s="7" cm="1">
        <f t="array" ref="F236">_xlfn.LET(_xlpm.x,E236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45538</v>
      </c>
      <c r="G236" s="8" t="str">
        <f t="shared" si="1"/>
        <v>OK</v>
      </c>
      <c r="H236" s="6">
        <f t="shared" si="2"/>
        <v>1</v>
      </c>
      <c r="I236" s="6" t="s">
        <v>1327</v>
      </c>
      <c r="J236" s="6" t="s">
        <v>442</v>
      </c>
      <c r="K236" s="6" t="str">
        <f t="shared" si="3"/>
        <v>Kabir Singh</v>
      </c>
      <c r="L236" s="6" t="s">
        <v>44</v>
      </c>
      <c r="M236" s="8" t="str">
        <f t="shared" si="4"/>
        <v>Home Office</v>
      </c>
      <c r="N236" s="6" t="s">
        <v>7</v>
      </c>
      <c r="O236" s="6" t="str">
        <f t="shared" si="5"/>
        <v>North</v>
      </c>
      <c r="P236" s="6" t="s">
        <v>583</v>
      </c>
      <c r="Q236" s="6" t="str">
        <f t="shared" si="6"/>
        <v>Delhi</v>
      </c>
      <c r="R236" s="6" t="s">
        <v>584</v>
      </c>
      <c r="S236" s="6" t="str">
        <f t="shared" si="7"/>
        <v>New Delhi</v>
      </c>
      <c r="T236" s="6" t="s">
        <v>14</v>
      </c>
      <c r="U236" s="8" t="str">
        <f t="shared" si="8"/>
        <v>Furniture</v>
      </c>
      <c r="V236" s="6" t="s">
        <v>17</v>
      </c>
      <c r="W236" s="6" t="str">
        <f t="shared" si="9"/>
        <v>Furnishings</v>
      </c>
      <c r="X236" s="6" t="s">
        <v>1328</v>
      </c>
      <c r="Y236" s="6" t="s">
        <v>35</v>
      </c>
      <c r="Z236" s="6" t="str">
        <f t="shared" si="10"/>
        <v>First Class</v>
      </c>
      <c r="AA236" s="6">
        <v>9</v>
      </c>
      <c r="AB236" s="6">
        <v>1353.61</v>
      </c>
      <c r="AC236" s="6">
        <v>0.1</v>
      </c>
      <c r="AD236" s="6">
        <v>10964.24</v>
      </c>
      <c r="AE236" s="6">
        <v>9262.4699999999993</v>
      </c>
      <c r="AF236" s="6">
        <v>1701.77</v>
      </c>
      <c r="AG236" s="6" t="s">
        <v>52</v>
      </c>
      <c r="AH236" s="6" t="str">
        <f t="shared" si="11"/>
        <v>Paid</v>
      </c>
      <c r="AI236" s="6" t="s">
        <v>134</v>
      </c>
      <c r="AJ236" s="6" t="str">
        <f t="shared" si="12"/>
        <v>Completed</v>
      </c>
      <c r="AK236" s="9" t="str">
        <f>_xlfn.TEXTJOIN("|",FALSE,A236,TEXT(B236,"mm-dd-yyyy"),TEXT(E236,"mm-dd-yyyy"),I236,J236,L236,N236,P236,R236,T236,V236,X236,Y236,AA236,AB236,AC236,AD236,AE236,AF236,AG236,AI236)</f>
        <v>ORD-2024-10235|09-02-2024|09-03-2024|CUST-9754|Kabir Singh|Home Office|North|Delhi|New Delhi|Furniture|Furnishings|Eco Furnishings 981|First Class|9|1353.61|0.1|10964.24|9262.47|1701.77|Paid|Completed</v>
      </c>
      <c r="AL236" s="27" t="str">
        <f>IF(COUNTIF($AK$2:AK236,AK236)&gt;1,"Remove exact duplicate copy","Keep")</f>
        <v>Keep</v>
      </c>
      <c r="AM236" s="9">
        <f t="shared" si="13"/>
        <v>1</v>
      </c>
      <c r="AN236" s="9" t="str">
        <f t="shared" si="14"/>
        <v>Unique</v>
      </c>
      <c r="AO236" s="9" t="str">
        <f t="shared" si="15"/>
        <v/>
      </c>
      <c r="AP236" s="9">
        <f t="shared" si="16"/>
        <v>0.1</v>
      </c>
      <c r="AQ236" s="10">
        <f t="shared" si="17"/>
        <v>10964.241</v>
      </c>
      <c r="AR236" s="10">
        <f t="shared" si="18"/>
        <v>1701.7710000000006</v>
      </c>
      <c r="AS236" s="11">
        <f t="shared" si="19"/>
        <v>0.15521101734265058</v>
      </c>
      <c r="AT236" s="9">
        <f t="shared" si="20"/>
        <v>9</v>
      </c>
      <c r="AU236" s="9">
        <f t="shared" si="21"/>
        <v>2024</v>
      </c>
      <c r="AV236" s="9" t="b">
        <f t="shared" si="22"/>
        <v>0</v>
      </c>
      <c r="AW236" s="9" t="b">
        <f t="shared" si="23"/>
        <v>0</v>
      </c>
      <c r="AX236" s="9" t="str">
        <f t="shared" si="24"/>
        <v>Yes</v>
      </c>
      <c r="AY236" s="9" t="str">
        <f t="shared" si="31"/>
        <v/>
      </c>
      <c r="AZ236" s="9" t="str">
        <f>IF(OR(G236="Missing date",G236="Invalid date",G236="Ship date before order date",NOT(ISNUMBER(AP236)),AP236&lt;0,AP236&gt;0.5,AV236=TRUE,AW236=TRUE),"Invalid",IF(OR(O236="Unknown",Z236="Unknown",AC236="",AH236&lt;&gt;"Paid",AJ236&lt;&gt;"Completed",AO236&lt;&gt;""),"Warning","Clean"))</f>
        <v>Clean</v>
      </c>
    </row>
    <row r="237" spans="1:52" ht="15.75" customHeight="1">
      <c r="A237" s="6" t="s">
        <v>1329</v>
      </c>
      <c r="B237" s="7" t="s">
        <v>1330</v>
      </c>
      <c r="C237" s="7" t="str">
        <f t="shared" si="30"/>
        <v>2024-11</v>
      </c>
      <c r="D237" s="7" cm="1">
        <f t="array" ref="D237">_xlfn.LET(_xlpm.x,B237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45598</v>
      </c>
      <c r="E237" s="7" t="s">
        <v>1331</v>
      </c>
      <c r="F237" s="7" cm="1">
        <f t="array" ref="F237">_xlfn.LET(_xlpm.x,E237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45599</v>
      </c>
      <c r="G237" s="8" t="str">
        <f t="shared" si="1"/>
        <v>OK</v>
      </c>
      <c r="H237" s="6">
        <f t="shared" si="2"/>
        <v>1</v>
      </c>
      <c r="I237" s="6" t="s">
        <v>1332</v>
      </c>
      <c r="J237" s="6" t="s">
        <v>226</v>
      </c>
      <c r="K237" s="6" t="str">
        <f t="shared" si="3"/>
        <v>Rahul Verma</v>
      </c>
      <c r="L237" s="6" t="s">
        <v>46</v>
      </c>
      <c r="M237" s="8" t="str">
        <f t="shared" si="4"/>
        <v>Small Business</v>
      </c>
      <c r="N237" s="6" t="s">
        <v>9</v>
      </c>
      <c r="O237" s="6" t="str">
        <f t="shared" si="5"/>
        <v>West</v>
      </c>
      <c r="P237" s="6" t="s">
        <v>131</v>
      </c>
      <c r="Q237" s="6" t="str">
        <f t="shared" si="6"/>
        <v>Rajasthan</v>
      </c>
      <c r="R237" s="6" t="s">
        <v>214</v>
      </c>
      <c r="S237" s="6" t="str">
        <f t="shared" si="7"/>
        <v>Udaipur</v>
      </c>
      <c r="T237" s="6" t="s">
        <v>20</v>
      </c>
      <c r="U237" s="8" t="str">
        <f t="shared" si="8"/>
        <v>Office Supplies</v>
      </c>
      <c r="V237" s="6" t="s">
        <v>25</v>
      </c>
      <c r="W237" s="6" t="str">
        <f t="shared" si="9"/>
        <v>Storage</v>
      </c>
      <c r="X237" s="6" t="s">
        <v>1333</v>
      </c>
      <c r="Y237" s="6" t="s">
        <v>34</v>
      </c>
      <c r="Z237" s="6" t="str">
        <f t="shared" si="10"/>
        <v>Standard Class</v>
      </c>
      <c r="AA237" s="6">
        <v>6</v>
      </c>
      <c r="AB237" s="6">
        <v>2671.29</v>
      </c>
      <c r="AC237" s="6">
        <v>0.05</v>
      </c>
      <c r="AD237" s="6">
        <v>15226.35</v>
      </c>
      <c r="AE237" s="6">
        <v>11145.28</v>
      </c>
      <c r="AF237" s="6">
        <v>4081.07</v>
      </c>
      <c r="AG237" s="6" t="s">
        <v>52</v>
      </c>
      <c r="AH237" s="6" t="str">
        <f t="shared" si="11"/>
        <v>Paid</v>
      </c>
      <c r="AI237" s="6" t="s">
        <v>134</v>
      </c>
      <c r="AJ237" s="6" t="str">
        <f t="shared" si="12"/>
        <v>Completed</v>
      </c>
      <c r="AK237" s="9" t="str">
        <f>_xlfn.TEXTJOIN("|",FALSE,A237,TEXT(B237,"mm-dd-yyyy"),TEXT(E237,"mm-dd-yyyy"),I237,J237,L237,N237,P237,R237,T237,V237,X237,Y237,AA237,AB237,AC237,AD237,AE237,AF237,AG237,AI237)</f>
        <v>ORD-2024-10236|11-02-2024|11-03-2024|CUST-6256|Rahul Verma|Small Business|West|Rajasthan|Udaipur|Office Supplies|Storage|Basic Storage 195|Standard Class|6|2671.29|0.05|15226.35|11145.28|4081.07|Paid|Completed</v>
      </c>
      <c r="AL237" s="27" t="str">
        <f>IF(COUNTIF($AK$2:AK237,AK237)&gt;1,"Remove exact duplicate copy","Keep")</f>
        <v>Keep</v>
      </c>
      <c r="AM237" s="9">
        <f t="shared" si="13"/>
        <v>1</v>
      </c>
      <c r="AN237" s="9" t="str">
        <f t="shared" si="14"/>
        <v>Unique</v>
      </c>
      <c r="AO237" s="9" t="str">
        <f t="shared" si="15"/>
        <v/>
      </c>
      <c r="AP237" s="9">
        <f t="shared" si="16"/>
        <v>0.05</v>
      </c>
      <c r="AQ237" s="10">
        <f t="shared" si="17"/>
        <v>15226.352999999999</v>
      </c>
      <c r="AR237" s="10">
        <f t="shared" si="18"/>
        <v>4081.0729999999985</v>
      </c>
      <c r="AS237" s="11">
        <f t="shared" si="19"/>
        <v>0.26802695300706603</v>
      </c>
      <c r="AT237" s="9">
        <f t="shared" si="20"/>
        <v>11</v>
      </c>
      <c r="AU237" s="9">
        <f t="shared" si="21"/>
        <v>2024</v>
      </c>
      <c r="AV237" s="9" t="b">
        <f t="shared" si="22"/>
        <v>0</v>
      </c>
      <c r="AW237" s="9" t="b">
        <f t="shared" si="23"/>
        <v>0</v>
      </c>
      <c r="AX237" s="9" t="str">
        <f t="shared" si="24"/>
        <v>Yes</v>
      </c>
      <c r="AY237" s="9" t="str">
        <f t="shared" si="31"/>
        <v/>
      </c>
      <c r="AZ237" s="9" t="str">
        <f>IF(OR(G237="Missing date",G237="Invalid date",G237="Ship date before order date",NOT(ISNUMBER(AP237)),AP237&lt;0,AP237&gt;0.5,AV237=TRUE,AW237=TRUE),"Invalid",IF(OR(O237="Unknown",Z237="Unknown",AC237="",AH237&lt;&gt;"Paid",AJ237&lt;&gt;"Completed",AO237&lt;&gt;""),"Warning","Clean"))</f>
        <v>Clean</v>
      </c>
    </row>
    <row r="238" spans="1:52" ht="15.75" customHeight="1">
      <c r="A238" s="6" t="s">
        <v>1334</v>
      </c>
      <c r="B238" s="7" t="s">
        <v>1321</v>
      </c>
      <c r="C238" s="7" t="str">
        <f t="shared" si="30"/>
        <v>2024-10</v>
      </c>
      <c r="D238" s="7" cm="1">
        <f t="array" ref="D238">_xlfn.LET(_xlpm.x,B238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45579</v>
      </c>
      <c r="E238" s="7" t="s">
        <v>1335</v>
      </c>
      <c r="F238" s="7" cm="1">
        <f t="array" ref="F238">_xlfn.LET(_xlpm.x,E238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45586</v>
      </c>
      <c r="G238" s="8" t="str">
        <f t="shared" si="1"/>
        <v>OK</v>
      </c>
      <c r="H238" s="6">
        <f t="shared" si="2"/>
        <v>7</v>
      </c>
      <c r="I238" s="6" t="s">
        <v>1336</v>
      </c>
      <c r="J238" s="6" t="s">
        <v>220</v>
      </c>
      <c r="K238" s="6" t="str">
        <f t="shared" si="3"/>
        <v>Priya Menon</v>
      </c>
      <c r="L238" s="6" t="s">
        <v>45</v>
      </c>
      <c r="M238" s="8" t="str">
        <f t="shared" si="4"/>
        <v>Corporate</v>
      </c>
      <c r="N238" s="6" t="s">
        <v>7</v>
      </c>
      <c r="O238" s="6" t="str">
        <f t="shared" si="5"/>
        <v>North</v>
      </c>
      <c r="P238" s="6" t="s">
        <v>251</v>
      </c>
      <c r="Q238" s="6" t="str">
        <f t="shared" si="6"/>
        <v>Uttar Pradesh</v>
      </c>
      <c r="R238" s="6" t="s">
        <v>252</v>
      </c>
      <c r="S238" s="6" t="str">
        <f t="shared" si="7"/>
        <v>Noida</v>
      </c>
      <c r="T238" s="6" t="s">
        <v>14</v>
      </c>
      <c r="U238" s="8" t="str">
        <f t="shared" si="8"/>
        <v>Furniture</v>
      </c>
      <c r="V238" s="6" t="s">
        <v>15</v>
      </c>
      <c r="W238" s="6" t="str">
        <f t="shared" si="9"/>
        <v>Bookcases</v>
      </c>
      <c r="X238" s="6" t="s">
        <v>1337</v>
      </c>
      <c r="Y238" s="6" t="s">
        <v>35</v>
      </c>
      <c r="Z238" s="6" t="str">
        <f t="shared" si="10"/>
        <v>First Class</v>
      </c>
      <c r="AA238" s="6">
        <v>6</v>
      </c>
      <c r="AB238" s="6">
        <v>4062.78</v>
      </c>
      <c r="AC238" s="6">
        <v>0</v>
      </c>
      <c r="AD238" s="6">
        <v>24376.68</v>
      </c>
      <c r="AE238" s="6">
        <v>18533.39</v>
      </c>
      <c r="AF238" s="6">
        <v>5843.29</v>
      </c>
      <c r="AG238" s="6" t="s">
        <v>52</v>
      </c>
      <c r="AH238" s="6" t="str">
        <f t="shared" si="11"/>
        <v>Paid</v>
      </c>
      <c r="AI238" s="6" t="s">
        <v>134</v>
      </c>
      <c r="AJ238" s="6" t="str">
        <f t="shared" si="12"/>
        <v>Completed</v>
      </c>
      <c r="AK238" s="9" t="str">
        <f>_xlfn.TEXTJOIN("|",FALSE,A238,TEXT(B238,"mm-dd-yyyy"),TEXT(E238,"mm-dd-yyyy"),I238,J238,L238,N238,P238,R238,T238,V238,X238,Y238,AA238,AB238,AC238,AD238,AE238,AF238,AG238,AI238)</f>
        <v>ORD-2024-10237|10-14-2024|10-21-2024|CUST-7113|Priya Menon|Corporate|North|Uttar Pradesh|Noida|Furniture|Bookcases|Elite Bookcases 907|First Class|6|4062.78|0|24376.68|18533.39|5843.29|Paid|Completed</v>
      </c>
      <c r="AL238" s="27" t="str">
        <f>IF(COUNTIF($AK$2:AK238,AK238)&gt;1,"Remove exact duplicate copy","Keep")</f>
        <v>Keep</v>
      </c>
      <c r="AM238" s="9">
        <f t="shared" si="13"/>
        <v>1</v>
      </c>
      <c r="AN238" s="9" t="str">
        <f t="shared" si="14"/>
        <v>Unique</v>
      </c>
      <c r="AO238" s="9" t="str">
        <f t="shared" si="15"/>
        <v/>
      </c>
      <c r="AP238" s="9">
        <f t="shared" si="16"/>
        <v>0</v>
      </c>
      <c r="AQ238" s="10">
        <f t="shared" si="17"/>
        <v>24376.68</v>
      </c>
      <c r="AR238" s="10">
        <f t="shared" si="18"/>
        <v>5843.2900000000009</v>
      </c>
      <c r="AS238" s="11">
        <f t="shared" si="19"/>
        <v>0.23970819652224998</v>
      </c>
      <c r="AT238" s="9">
        <f t="shared" si="20"/>
        <v>10</v>
      </c>
      <c r="AU238" s="9">
        <f t="shared" si="21"/>
        <v>2024</v>
      </c>
      <c r="AV238" s="9" t="b">
        <f t="shared" si="22"/>
        <v>0</v>
      </c>
      <c r="AW238" s="9" t="b">
        <f t="shared" si="23"/>
        <v>0</v>
      </c>
      <c r="AX238" s="9" t="str">
        <f t="shared" si="24"/>
        <v>Yes</v>
      </c>
      <c r="AY238" s="9" t="str">
        <f t="shared" si="31"/>
        <v/>
      </c>
      <c r="AZ238" s="9" t="str">
        <f>IF(OR(G238="Missing date",G238="Invalid date",G238="Ship date before order date",NOT(ISNUMBER(AP238)),AP238&lt;0,AP238&gt;0.5,AV238=TRUE,AW238=TRUE),"Invalid",IF(OR(O238="Unknown",Z238="Unknown",AC238="",AH238&lt;&gt;"Paid",AJ238&lt;&gt;"Completed",AO238&lt;&gt;""),"Warning","Clean"))</f>
        <v>Clean</v>
      </c>
    </row>
    <row r="239" spans="1:52" ht="15.75" customHeight="1">
      <c r="A239" s="6" t="s">
        <v>1338</v>
      </c>
      <c r="B239" s="7" t="s">
        <v>1339</v>
      </c>
      <c r="C239" s="7" t="str">
        <f t="shared" si="30"/>
        <v>2024-08</v>
      </c>
      <c r="D239" s="7" cm="1">
        <f t="array" ref="D239">_xlfn.LET(_xlpm.x,B239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45531</v>
      </c>
      <c r="E239" s="7" t="s">
        <v>1339</v>
      </c>
      <c r="F239" s="7" cm="1">
        <f t="array" ref="F239">_xlfn.LET(_xlpm.x,E239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45531</v>
      </c>
      <c r="G239" s="8" t="str">
        <f t="shared" si="1"/>
        <v>OK</v>
      </c>
      <c r="H239" s="6">
        <f t="shared" si="2"/>
        <v>0</v>
      </c>
      <c r="I239" s="6" t="s">
        <v>1340</v>
      </c>
      <c r="J239" s="6" t="s">
        <v>139</v>
      </c>
      <c r="K239" s="6" t="str">
        <f t="shared" si="3"/>
        <v>Mira Das</v>
      </c>
      <c r="L239" s="6" t="s">
        <v>43</v>
      </c>
      <c r="M239" s="8" t="str">
        <f t="shared" si="4"/>
        <v>Consumer</v>
      </c>
      <c r="N239" s="6" t="s">
        <v>7</v>
      </c>
      <c r="O239" s="6" t="str">
        <f t="shared" si="5"/>
        <v>North</v>
      </c>
      <c r="P239" s="6" t="s">
        <v>397</v>
      </c>
      <c r="Q239" s="6" t="str">
        <f t="shared" si="6"/>
        <v>Haryana</v>
      </c>
      <c r="R239" s="6" t="s">
        <v>398</v>
      </c>
      <c r="S239" s="6" t="str">
        <f t="shared" si="7"/>
        <v>Gurugram</v>
      </c>
      <c r="T239" s="6" t="s">
        <v>27</v>
      </c>
      <c r="U239" s="8" t="str">
        <f t="shared" si="8"/>
        <v>Technology</v>
      </c>
      <c r="V239" s="6" t="s">
        <v>29</v>
      </c>
      <c r="W239" s="6" t="str">
        <f t="shared" si="9"/>
        <v>Copiers</v>
      </c>
      <c r="X239" s="6" t="s">
        <v>1341</v>
      </c>
      <c r="Y239" s="6" t="s">
        <v>34</v>
      </c>
      <c r="Z239" s="6" t="str">
        <f t="shared" si="10"/>
        <v>Standard Class</v>
      </c>
      <c r="AA239" s="6">
        <v>9</v>
      </c>
      <c r="AB239" s="6">
        <v>2330.3000000000002</v>
      </c>
      <c r="AC239" s="6">
        <v>0</v>
      </c>
      <c r="AD239" s="6">
        <v>20972.7</v>
      </c>
      <c r="AE239" s="6">
        <v>13504.88</v>
      </c>
      <c r="AF239" s="6">
        <v>7467.82</v>
      </c>
      <c r="AG239" s="6" t="s">
        <v>52</v>
      </c>
      <c r="AH239" s="6" t="str">
        <f t="shared" si="11"/>
        <v>Paid</v>
      </c>
      <c r="AI239" s="6" t="s">
        <v>134</v>
      </c>
      <c r="AJ239" s="6" t="str">
        <f t="shared" si="12"/>
        <v>Completed</v>
      </c>
      <c r="AK239" s="9" t="str">
        <f>_xlfn.TEXTJOIN("|",FALSE,A239,TEXT(B239,"mm-dd-yyyy"),TEXT(E239,"mm-dd-yyyy"),I239,J239,L239,N239,P239,R239,T239,V239,X239,Y239,AA239,AB239,AC239,AD239,AE239,AF239,AG239,AI239)</f>
        <v>ORD-2024-10238|08-27-2024|08-27-2024|CUST-3827|Mira Das|Consumer|North|Haryana|Gurugram|Technology|Copiers|Smart Copiers 471|Standard Class|9|2330.3|0|20972.7|13504.88|7467.82|Paid|Completed</v>
      </c>
      <c r="AL239" s="27" t="str">
        <f>IF(COUNTIF($AK$2:AK239,AK239)&gt;1,"Remove exact duplicate copy","Keep")</f>
        <v>Keep</v>
      </c>
      <c r="AM239" s="9">
        <f t="shared" si="13"/>
        <v>1</v>
      </c>
      <c r="AN239" s="9" t="str">
        <f t="shared" si="14"/>
        <v>Unique</v>
      </c>
      <c r="AO239" s="9" t="str">
        <f t="shared" si="15"/>
        <v/>
      </c>
      <c r="AP239" s="9">
        <f t="shared" si="16"/>
        <v>0</v>
      </c>
      <c r="AQ239" s="10">
        <f t="shared" si="17"/>
        <v>20972.7</v>
      </c>
      <c r="AR239" s="10">
        <f t="shared" si="18"/>
        <v>7467.8200000000015</v>
      </c>
      <c r="AS239" s="11">
        <f t="shared" si="19"/>
        <v>0.35607337157352181</v>
      </c>
      <c r="AT239" s="9">
        <f t="shared" si="20"/>
        <v>8</v>
      </c>
      <c r="AU239" s="9">
        <f t="shared" si="21"/>
        <v>2024</v>
      </c>
      <c r="AV239" s="9" t="b">
        <f t="shared" si="22"/>
        <v>0</v>
      </c>
      <c r="AW239" s="9" t="b">
        <f t="shared" si="23"/>
        <v>0</v>
      </c>
      <c r="AX239" s="9" t="str">
        <f t="shared" si="24"/>
        <v>Yes</v>
      </c>
      <c r="AY239" s="9" t="str">
        <f t="shared" si="31"/>
        <v/>
      </c>
      <c r="AZ239" s="9" t="str">
        <f>IF(OR(G239="Missing date",G239="Invalid date",G239="Ship date before order date",NOT(ISNUMBER(AP239)),AP239&lt;0,AP239&gt;0.5,AV239=TRUE,AW239=TRUE),"Invalid",IF(OR(O239="Unknown",Z239="Unknown",AC239="",AH239&lt;&gt;"Paid",AJ239&lt;&gt;"Completed",AO239&lt;&gt;""),"Warning","Clean"))</f>
        <v>Clean</v>
      </c>
    </row>
    <row r="240" spans="1:52" ht="15.75" customHeight="1">
      <c r="A240" s="6" t="s">
        <v>1342</v>
      </c>
      <c r="B240" s="7" t="s">
        <v>1343</v>
      </c>
      <c r="C240" s="7" t="str">
        <f t="shared" si="30"/>
        <v>2024-01</v>
      </c>
      <c r="D240" s="7" cm="1">
        <f t="array" ref="D240">_xlfn.LET(_xlpm.x,B240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45303</v>
      </c>
      <c r="E240" s="7" t="s">
        <v>1344</v>
      </c>
      <c r="F240" s="7" cm="1">
        <f t="array" ref="F240">_xlfn.LET(_xlpm.x,E240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45308</v>
      </c>
      <c r="G240" s="8" t="str">
        <f t="shared" si="1"/>
        <v>OK</v>
      </c>
      <c r="H240" s="6">
        <f t="shared" si="2"/>
        <v>5</v>
      </c>
      <c r="I240" s="6" t="s">
        <v>1345</v>
      </c>
      <c r="J240" s="6" t="s">
        <v>153</v>
      </c>
      <c r="K240" s="6" t="str">
        <f t="shared" si="3"/>
        <v>Arjun Bose</v>
      </c>
      <c r="L240" s="6" t="s">
        <v>43</v>
      </c>
      <c r="M240" s="8" t="str">
        <f t="shared" si="4"/>
        <v>Consumer</v>
      </c>
      <c r="N240" s="6" t="s">
        <v>10</v>
      </c>
      <c r="O240" s="6" t="str">
        <f t="shared" si="5"/>
        <v>South</v>
      </c>
      <c r="P240" s="6" t="s">
        <v>183</v>
      </c>
      <c r="Q240" s="6" t="str">
        <f t="shared" si="6"/>
        <v>Andhra Pradesh</v>
      </c>
      <c r="R240" s="6" t="s">
        <v>184</v>
      </c>
      <c r="S240" s="6" t="str">
        <f t="shared" si="7"/>
        <v>Vijayawada</v>
      </c>
      <c r="T240" s="6" t="s">
        <v>20</v>
      </c>
      <c r="U240" s="8" t="str">
        <f t="shared" si="8"/>
        <v>Office Supplies</v>
      </c>
      <c r="V240" s="6" t="s">
        <v>25</v>
      </c>
      <c r="W240" s="6" t="str">
        <f t="shared" si="9"/>
        <v>Storage</v>
      </c>
      <c r="X240" s="6" t="s">
        <v>1346</v>
      </c>
      <c r="Y240" s="6" t="s">
        <v>35</v>
      </c>
      <c r="Z240" s="6" t="str">
        <f t="shared" si="10"/>
        <v>First Class</v>
      </c>
      <c r="AA240" s="6">
        <v>7</v>
      </c>
      <c r="AB240" s="6">
        <v>4005.05</v>
      </c>
      <c r="AC240" s="6">
        <v>0.55000000000000004</v>
      </c>
      <c r="AD240" s="6">
        <v>26633.58</v>
      </c>
      <c r="AE240" s="6">
        <v>18838.75</v>
      </c>
      <c r="AF240" s="6">
        <v>7794.83</v>
      </c>
      <c r="AG240" s="6" t="s">
        <v>52</v>
      </c>
      <c r="AH240" s="6" t="str">
        <f t="shared" si="11"/>
        <v>Paid</v>
      </c>
      <c r="AI240" s="6" t="s">
        <v>134</v>
      </c>
      <c r="AJ240" s="6" t="str">
        <f t="shared" si="12"/>
        <v>Completed</v>
      </c>
      <c r="AK240" s="9" t="str">
        <f>_xlfn.TEXTJOIN("|",FALSE,A240,TEXT(B240,"mm-dd-yyyy"),TEXT(E240,"mm-dd-yyyy"),I240,J240,L240,N240,P240,R240,T240,V240,X240,Y240,AA240,AB240,AC240,AD240,AE240,AF240,AG240,AI240)</f>
        <v>ORD-2024-10239|01-12-2024|01-17-2024|CUST-2375|Arjun Bose|Consumer|South|Andhra Pradesh|Vijayawada|Office Supplies|Storage|Prime Storage 625|First Class|7|4005.05|0.55|26633.58|18838.75|7794.83|Paid|Completed</v>
      </c>
      <c r="AL240" s="27" t="str">
        <f>IF(COUNTIF($AK$2:AK240,AK240)&gt;1,"Remove exact duplicate copy","Keep")</f>
        <v>Keep</v>
      </c>
      <c r="AM240" s="9">
        <f t="shared" si="13"/>
        <v>1</v>
      </c>
      <c r="AN240" s="9" t="str">
        <f t="shared" si="14"/>
        <v>Unique</v>
      </c>
      <c r="AO240" s="9" t="str">
        <f t="shared" si="15"/>
        <v/>
      </c>
      <c r="AP240" s="9">
        <f t="shared" si="16"/>
        <v>0.55000000000000004</v>
      </c>
      <c r="AQ240" s="10">
        <f t="shared" si="17"/>
        <v>12615.907499999999</v>
      </c>
      <c r="AR240" s="10">
        <f t="shared" si="18"/>
        <v>-6222.8425000000007</v>
      </c>
      <c r="AS240" s="11">
        <f t="shared" si="19"/>
        <v>-0.4932536561480021</v>
      </c>
      <c r="AT240" s="9">
        <f t="shared" si="20"/>
        <v>1</v>
      </c>
      <c r="AU240" s="9">
        <f t="shared" si="21"/>
        <v>2024</v>
      </c>
      <c r="AV240" s="9" t="b">
        <f t="shared" si="22"/>
        <v>1</v>
      </c>
      <c r="AW240" s="9" t="b">
        <f t="shared" si="23"/>
        <v>1</v>
      </c>
      <c r="AX240" s="9" t="str">
        <f t="shared" si="24"/>
        <v>No</v>
      </c>
      <c r="AY240" s="9" t="str">
        <f t="shared" si="31"/>
        <v>Discount above 50%; Sales mismatch; Profit mismatch</v>
      </c>
      <c r="AZ240" s="9" t="str">
        <f>IF(OR(G240="Missing date",G240="Invalid date",G240="Ship date before order date",NOT(ISNUMBER(AP240)),AP240&lt;0,AP240&gt;0.5,AV240=TRUE,AW240=TRUE),"Invalid",IF(OR(O240="Unknown",Z240="Unknown",AC240="",AH240&lt;&gt;"Paid",AJ240&lt;&gt;"Completed",AO240&lt;&gt;""),"Warning","Clean"))</f>
        <v>Invalid</v>
      </c>
    </row>
    <row r="241" spans="1:52" ht="15.75" customHeight="1">
      <c r="A241" s="6" t="s">
        <v>1347</v>
      </c>
      <c r="B241" s="7" t="s">
        <v>1348</v>
      </c>
      <c r="C241" s="7" t="str">
        <f t="shared" si="30"/>
        <v>2024-09</v>
      </c>
      <c r="D241" s="7" cm="1">
        <f t="array" ref="D241">_xlfn.LET(_xlpm.x,B241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45556</v>
      </c>
      <c r="E241" s="7" t="s">
        <v>1217</v>
      </c>
      <c r="F241" s="7" cm="1">
        <f t="array" ref="F241">_xlfn.LET(_xlpm.x,E241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45556</v>
      </c>
      <c r="G241" s="8" t="str">
        <f t="shared" si="1"/>
        <v>OK</v>
      </c>
      <c r="H241" s="6">
        <f t="shared" si="2"/>
        <v>0</v>
      </c>
      <c r="I241" s="6" t="s">
        <v>1349</v>
      </c>
      <c r="J241" s="6" t="s">
        <v>442</v>
      </c>
      <c r="K241" s="6" t="str">
        <f t="shared" si="3"/>
        <v>Kabir Singh</v>
      </c>
      <c r="L241" s="6" t="s">
        <v>45</v>
      </c>
      <c r="M241" s="8" t="str">
        <f t="shared" si="4"/>
        <v>Corporate</v>
      </c>
      <c r="N241" s="6" t="s">
        <v>10</v>
      </c>
      <c r="O241" s="6" t="str">
        <f t="shared" si="5"/>
        <v>South</v>
      </c>
      <c r="P241" s="6" t="s">
        <v>303</v>
      </c>
      <c r="Q241" s="6" t="str">
        <f t="shared" si="6"/>
        <v>Karnataka</v>
      </c>
      <c r="R241" s="6" t="s">
        <v>304</v>
      </c>
      <c r="S241" s="6" t="str">
        <f t="shared" si="7"/>
        <v>Bengaluru</v>
      </c>
      <c r="T241" s="6" t="s">
        <v>27</v>
      </c>
      <c r="U241" s="8" t="str">
        <f t="shared" si="8"/>
        <v>Technology</v>
      </c>
      <c r="V241" s="6" t="s">
        <v>30</v>
      </c>
      <c r="W241" s="6" t="str">
        <f t="shared" si="9"/>
        <v>Machines</v>
      </c>
      <c r="X241" s="6" t="s">
        <v>1350</v>
      </c>
      <c r="Y241" s="6" t="s">
        <v>35</v>
      </c>
      <c r="Z241" s="6" t="str">
        <f t="shared" si="10"/>
        <v>First Class</v>
      </c>
      <c r="AA241" s="6">
        <v>2</v>
      </c>
      <c r="AB241" s="6">
        <v>1960.06</v>
      </c>
      <c r="AC241" s="6">
        <v>0.2</v>
      </c>
      <c r="AD241" s="6">
        <v>3136.1</v>
      </c>
      <c r="AE241" s="6">
        <v>2279.4899999999998</v>
      </c>
      <c r="AF241" s="6">
        <v>856.61</v>
      </c>
      <c r="AG241" s="6" t="s">
        <v>52</v>
      </c>
      <c r="AH241" s="6" t="str">
        <f t="shared" si="11"/>
        <v>Paid</v>
      </c>
      <c r="AI241" s="6" t="s">
        <v>134</v>
      </c>
      <c r="AJ241" s="6" t="str">
        <f t="shared" si="12"/>
        <v>Completed</v>
      </c>
      <c r="AK241" s="9" t="str">
        <f>_xlfn.TEXTJOIN("|",FALSE,A241,TEXT(B241,"mm-dd-yyyy"),TEXT(E241,"mm-dd-yyyy"),I241,J241,L241,N241,P241,R241,T241,V241,X241,Y241,AA241,AB241,AC241,AD241,AE241,AF241,AG241,AI241)</f>
        <v>ORD-2024-10240|21-09-2024|09-21-2024|CUST-2233|Kabir Singh|Corporate|South|Karnataka|Bengaluru|Technology|Machines|Smart Machines 801|First Class|2|1960.06|0.2|3136.1|2279.49|856.61|Paid|Completed</v>
      </c>
      <c r="AL241" s="27" t="str">
        <f>IF(COUNTIF($AK$2:AK241,AK241)&gt;1,"Remove exact duplicate copy","Keep")</f>
        <v>Keep</v>
      </c>
      <c r="AM241" s="9">
        <f t="shared" si="13"/>
        <v>1</v>
      </c>
      <c r="AN241" s="9" t="str">
        <f t="shared" si="14"/>
        <v>Unique</v>
      </c>
      <c r="AO241" s="9" t="str">
        <f t="shared" si="15"/>
        <v/>
      </c>
      <c r="AP241" s="9">
        <f t="shared" si="16"/>
        <v>0.2</v>
      </c>
      <c r="AQ241" s="10">
        <f t="shared" si="17"/>
        <v>3136.096</v>
      </c>
      <c r="AR241" s="10">
        <f t="shared" si="18"/>
        <v>856.60600000000022</v>
      </c>
      <c r="AS241" s="11">
        <f t="shared" si="19"/>
        <v>0.273144061916472</v>
      </c>
      <c r="AT241" s="9">
        <f t="shared" si="20"/>
        <v>9</v>
      </c>
      <c r="AU241" s="9">
        <f t="shared" si="21"/>
        <v>2024</v>
      </c>
      <c r="AV241" s="9" t="b">
        <f t="shared" si="22"/>
        <v>0</v>
      </c>
      <c r="AW241" s="9" t="b">
        <f t="shared" si="23"/>
        <v>0</v>
      </c>
      <c r="AX241" s="9" t="str">
        <f t="shared" si="24"/>
        <v>Yes</v>
      </c>
      <c r="AY241" s="9" t="str">
        <f t="shared" si="31"/>
        <v/>
      </c>
      <c r="AZ241" s="9" t="str">
        <f>IF(OR(G241="Missing date",G241="Invalid date",G241="Ship date before order date",NOT(ISNUMBER(AP241)),AP241&lt;0,AP241&gt;0.5,AV241=TRUE,AW241=TRUE),"Invalid",IF(OR(O241="Unknown",Z241="Unknown",AC241="",AH241&lt;&gt;"Paid",AJ241&lt;&gt;"Completed",AO241&lt;&gt;""),"Warning","Clean"))</f>
        <v>Clean</v>
      </c>
    </row>
    <row r="242" spans="1:52" ht="15.75" customHeight="1">
      <c r="A242" s="6" t="s">
        <v>1351</v>
      </c>
      <c r="B242" s="7" t="s">
        <v>1352</v>
      </c>
      <c r="C242" s="7" t="str">
        <f t="shared" si="30"/>
        <v>2024-12</v>
      </c>
      <c r="D242" s="7" cm="1">
        <f t="array" ref="D242">_xlfn.LET(_xlpm.x,B242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45643</v>
      </c>
      <c r="E242" s="7" t="s">
        <v>907</v>
      </c>
      <c r="F242" s="7" cm="1">
        <f t="array" ref="F242">_xlfn.LET(_xlpm.x,E242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45649</v>
      </c>
      <c r="G242" s="8" t="str">
        <f t="shared" si="1"/>
        <v>OK</v>
      </c>
      <c r="H242" s="6">
        <f t="shared" si="2"/>
        <v>6</v>
      </c>
      <c r="I242" s="6" t="s">
        <v>1353</v>
      </c>
      <c r="J242" s="6" t="s">
        <v>239</v>
      </c>
      <c r="K242" s="6" t="str">
        <f t="shared" si="3"/>
        <v>Aarav Sharma</v>
      </c>
      <c r="L242" s="6" t="s">
        <v>45</v>
      </c>
      <c r="M242" s="8" t="str">
        <f t="shared" si="4"/>
        <v>Corporate</v>
      </c>
      <c r="N242" s="6" t="s">
        <v>10</v>
      </c>
      <c r="O242" s="6" t="str">
        <f t="shared" si="5"/>
        <v>South</v>
      </c>
      <c r="P242" s="6" t="s">
        <v>154</v>
      </c>
      <c r="Q242" s="6" t="str">
        <f t="shared" si="6"/>
        <v>Telangana</v>
      </c>
      <c r="R242" s="6" t="s">
        <v>155</v>
      </c>
      <c r="S242" s="6" t="str">
        <f t="shared" si="7"/>
        <v>Hyderabad</v>
      </c>
      <c r="T242" s="6" t="s">
        <v>20</v>
      </c>
      <c r="U242" s="8" t="str">
        <f t="shared" si="8"/>
        <v>Office Supplies</v>
      </c>
      <c r="V242" s="6" t="s">
        <v>22</v>
      </c>
      <c r="W242" s="6" t="str">
        <f t="shared" si="9"/>
        <v>Binders</v>
      </c>
      <c r="X242" s="6" t="s">
        <v>1354</v>
      </c>
      <c r="Y242" s="6" t="s">
        <v>35</v>
      </c>
      <c r="Z242" s="6" t="str">
        <f t="shared" si="10"/>
        <v>First Class</v>
      </c>
      <c r="AA242" s="6">
        <v>9</v>
      </c>
      <c r="AB242" s="6">
        <v>2315.1</v>
      </c>
      <c r="AC242" s="6">
        <v>0</v>
      </c>
      <c r="AD242" s="6">
        <v>20835.900000000001</v>
      </c>
      <c r="AE242" s="6">
        <v>13928.19</v>
      </c>
      <c r="AF242" s="6">
        <v>6907.71</v>
      </c>
      <c r="AG242" s="6" t="s">
        <v>52</v>
      </c>
      <c r="AH242" s="6" t="str">
        <f t="shared" si="11"/>
        <v>Paid</v>
      </c>
      <c r="AI242" s="6" t="s">
        <v>134</v>
      </c>
      <c r="AJ242" s="6" t="str">
        <f t="shared" si="12"/>
        <v>Completed</v>
      </c>
      <c r="AK242" s="9" t="str">
        <f>_xlfn.TEXTJOIN("|",FALSE,A242,TEXT(B242,"mm-dd-yyyy"),TEXT(E242,"mm-dd-yyyy"),I242,J242,L242,N242,P242,R242,T242,V242,X242,Y242,AA242,AB242,AC242,AD242,AE242,AF242,AG242,AI242)</f>
        <v>ORD-2024-10241|12-17-2024|23-12-2024|CUST-9778|Aarav Sharma|Corporate|South|Telangana|Hyderabad|Office Supplies|Binders|Max Binders 170|First Class|9|2315.1|0|20835.9|13928.19|6907.71|Paid|Completed</v>
      </c>
      <c r="AL242" s="27" t="str">
        <f>IF(COUNTIF($AK$2:AK242,AK242)&gt;1,"Remove exact duplicate copy","Keep")</f>
        <v>Keep</v>
      </c>
      <c r="AM242" s="9">
        <f t="shared" si="13"/>
        <v>1</v>
      </c>
      <c r="AN242" s="9" t="str">
        <f t="shared" si="14"/>
        <v>Unique</v>
      </c>
      <c r="AO242" s="9" t="str">
        <f t="shared" si="15"/>
        <v/>
      </c>
      <c r="AP242" s="9">
        <f t="shared" si="16"/>
        <v>0</v>
      </c>
      <c r="AQ242" s="10">
        <f t="shared" si="17"/>
        <v>20835.899999999998</v>
      </c>
      <c r="AR242" s="10">
        <f t="shared" si="18"/>
        <v>6907.7099999999973</v>
      </c>
      <c r="AS242" s="11">
        <f t="shared" si="19"/>
        <v>0.33152923559817421</v>
      </c>
      <c r="AT242" s="9">
        <f t="shared" si="20"/>
        <v>12</v>
      </c>
      <c r="AU242" s="9">
        <f t="shared" si="21"/>
        <v>2024</v>
      </c>
      <c r="AV242" s="9" t="b">
        <f t="shared" si="22"/>
        <v>0</v>
      </c>
      <c r="AW242" s="9" t="b">
        <f t="shared" si="23"/>
        <v>0</v>
      </c>
      <c r="AX242" s="9" t="str">
        <f t="shared" si="24"/>
        <v>Yes</v>
      </c>
      <c r="AY242" s="9" t="str">
        <f t="shared" si="31"/>
        <v/>
      </c>
      <c r="AZ242" s="9" t="str">
        <f>IF(OR(G242="Missing date",G242="Invalid date",G242="Ship date before order date",NOT(ISNUMBER(AP242)),AP242&lt;0,AP242&gt;0.5,AV242=TRUE,AW242=TRUE),"Invalid",IF(OR(O242="Unknown",Z242="Unknown",AC242="",AH242&lt;&gt;"Paid",AJ242&lt;&gt;"Completed",AO242&lt;&gt;""),"Warning","Clean"))</f>
        <v>Clean</v>
      </c>
    </row>
    <row r="243" spans="1:52" ht="15.75" customHeight="1">
      <c r="A243" s="6" t="s">
        <v>1355</v>
      </c>
      <c r="B243" s="7" t="s">
        <v>1356</v>
      </c>
      <c r="C243" s="7" t="str">
        <f t="shared" si="30"/>
        <v>2025-07</v>
      </c>
      <c r="D243" s="7" cm="1">
        <f t="array" ref="D243">_xlfn.LET(_xlpm.x,B243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45844</v>
      </c>
      <c r="E243" s="7" t="s">
        <v>1357</v>
      </c>
      <c r="F243" s="7" cm="1">
        <f t="array" ref="F243">_xlfn.LET(_xlpm.x,E243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45844</v>
      </c>
      <c r="G243" s="8" t="str">
        <f t="shared" si="1"/>
        <v>OK</v>
      </c>
      <c r="H243" s="6">
        <f t="shared" si="2"/>
        <v>0</v>
      </c>
      <c r="I243" s="6" t="s">
        <v>1358</v>
      </c>
      <c r="J243" s="6" t="s">
        <v>245</v>
      </c>
      <c r="K243" s="6" t="str">
        <f t="shared" si="3"/>
        <v>Sneha Kapoor</v>
      </c>
      <c r="L243" s="6" t="s">
        <v>45</v>
      </c>
      <c r="M243" s="8" t="str">
        <f t="shared" si="4"/>
        <v>Corporate</v>
      </c>
      <c r="N243" s="6" t="s">
        <v>7</v>
      </c>
      <c r="O243" s="6" t="str">
        <f t="shared" si="5"/>
        <v>North</v>
      </c>
      <c r="P243" s="6" t="s">
        <v>397</v>
      </c>
      <c r="Q243" s="6" t="str">
        <f t="shared" si="6"/>
        <v>Haryana</v>
      </c>
      <c r="R243" s="6" t="s">
        <v>398</v>
      </c>
      <c r="S243" s="6" t="str">
        <f t="shared" si="7"/>
        <v>Gurugram</v>
      </c>
      <c r="T243" s="6" t="s">
        <v>20</v>
      </c>
      <c r="U243" s="8" t="str">
        <f t="shared" si="8"/>
        <v>Office Supplies</v>
      </c>
      <c r="V243" s="6" t="s">
        <v>25</v>
      </c>
      <c r="W243" s="6" t="str">
        <f t="shared" si="9"/>
        <v>Storage</v>
      </c>
      <c r="X243" s="6" t="s">
        <v>1359</v>
      </c>
      <c r="Y243" s="6" t="s">
        <v>34</v>
      </c>
      <c r="Z243" s="6" t="str">
        <f t="shared" si="10"/>
        <v>Standard Class</v>
      </c>
      <c r="AA243" s="6">
        <v>1</v>
      </c>
      <c r="AB243" s="6">
        <v>1617.2</v>
      </c>
      <c r="AC243" s="6">
        <v>0.25</v>
      </c>
      <c r="AD243" s="6">
        <v>1212.9000000000001</v>
      </c>
      <c r="AE243" s="6">
        <v>690.52</v>
      </c>
      <c r="AF243" s="6">
        <v>522.38</v>
      </c>
      <c r="AG243" s="6" t="s">
        <v>54</v>
      </c>
      <c r="AH243" s="6" t="str">
        <f t="shared" si="11"/>
        <v>Pending</v>
      </c>
      <c r="AI243" s="6" t="s">
        <v>59</v>
      </c>
      <c r="AJ243" s="6" t="str">
        <f t="shared" si="12"/>
        <v>Returned</v>
      </c>
      <c r="AK243" s="9" t="str">
        <f>_xlfn.TEXTJOIN("|",FALSE,A243,TEXT(B243,"mm-dd-yyyy"),TEXT(E243,"mm-dd-yyyy"),I243,J243,L243,N243,P243,R243,T243,V243,X243,Y243,AA243,AB243,AC243,AD243,AE243,AF243,AG243,AI243)</f>
        <v>ORD-2025-10242|07-06-2025|06-07-2025|CUST-6949|Sneha Kapoor|Corporate|North|Haryana|Gurugram|Office Supplies|Storage|Basic Storage 737|Standard Class|1|1617.2|0.25|1212.9|690.52|522.38|Pending|Returned</v>
      </c>
      <c r="AL243" s="27" t="str">
        <f>IF(COUNTIF($AK$2:AK243,AK243)&gt;1,"Remove exact duplicate copy","Keep")</f>
        <v>Keep</v>
      </c>
      <c r="AM243" s="9">
        <f t="shared" si="13"/>
        <v>1</v>
      </c>
      <c r="AN243" s="9" t="str">
        <f t="shared" si="14"/>
        <v>Unique</v>
      </c>
      <c r="AO243" s="9" t="str">
        <f t="shared" si="15"/>
        <v/>
      </c>
      <c r="AP243" s="9">
        <f t="shared" si="16"/>
        <v>0.25</v>
      </c>
      <c r="AQ243" s="10">
        <f t="shared" si="17"/>
        <v>1212.9000000000001</v>
      </c>
      <c r="AR243" s="10">
        <f t="shared" si="18"/>
        <v>522.38000000000011</v>
      </c>
      <c r="AS243" s="11">
        <f t="shared" si="19"/>
        <v>0.4306867837414462</v>
      </c>
      <c r="AT243" s="9">
        <f t="shared" si="20"/>
        <v>7</v>
      </c>
      <c r="AU243" s="9">
        <f t="shared" si="21"/>
        <v>2025</v>
      </c>
      <c r="AV243" s="9" t="b">
        <f t="shared" si="22"/>
        <v>0</v>
      </c>
      <c r="AW243" s="9" t="b">
        <f t="shared" si="23"/>
        <v>0</v>
      </c>
      <c r="AX243" s="9" t="str">
        <f t="shared" si="24"/>
        <v>No</v>
      </c>
      <c r="AY243" s="9" t="str">
        <f t="shared" si="31"/>
        <v>Returned order excluded</v>
      </c>
      <c r="AZ243" s="9" t="str">
        <f>IF(OR(G243="Missing date",G243="Invalid date",G243="Ship date before order date",NOT(ISNUMBER(AP243)),AP243&lt;0,AP243&gt;0.5,AV243=TRUE,AW243=TRUE),"Invalid",IF(OR(O243="Unknown",Z243="Unknown",AC243="",AH243&lt;&gt;"Paid",AJ243&lt;&gt;"Completed",AO243&lt;&gt;""),"Warning","Clean"))</f>
        <v>Warning</v>
      </c>
    </row>
    <row r="244" spans="1:52" ht="15.75" customHeight="1">
      <c r="A244" s="6" t="s">
        <v>1360</v>
      </c>
      <c r="B244" s="7" t="s">
        <v>1361</v>
      </c>
      <c r="C244" s="7" t="str">
        <f t="shared" si="30"/>
        <v>2025-02</v>
      </c>
      <c r="D244" s="7" cm="1">
        <f t="array" ref="D244">_xlfn.LET(_xlpm.x,B244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45695</v>
      </c>
      <c r="E244" s="7" t="s">
        <v>1362</v>
      </c>
      <c r="F244" s="7" cm="1">
        <f t="array" ref="F244">_xlfn.LET(_xlpm.x,E244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45695</v>
      </c>
      <c r="G244" s="8" t="str">
        <f t="shared" si="1"/>
        <v>OK</v>
      </c>
      <c r="H244" s="6">
        <f t="shared" si="2"/>
        <v>0</v>
      </c>
      <c r="I244" s="6" t="s">
        <v>1363</v>
      </c>
      <c r="J244" s="6" t="s">
        <v>153</v>
      </c>
      <c r="K244" s="6" t="str">
        <f t="shared" si="3"/>
        <v>Arjun Bose</v>
      </c>
      <c r="L244" s="6" t="s">
        <v>43</v>
      </c>
      <c r="M244" s="8" t="str">
        <f t="shared" si="4"/>
        <v>Consumer</v>
      </c>
      <c r="N244" s="6" t="s">
        <v>7</v>
      </c>
      <c r="O244" s="6" t="str">
        <f t="shared" si="5"/>
        <v>North</v>
      </c>
      <c r="P244" s="6" t="s">
        <v>251</v>
      </c>
      <c r="Q244" s="6" t="str">
        <f t="shared" si="6"/>
        <v>Uttar Pradesh</v>
      </c>
      <c r="R244" s="6" t="s">
        <v>252</v>
      </c>
      <c r="S244" s="6" t="str">
        <f t="shared" si="7"/>
        <v>Noida</v>
      </c>
      <c r="T244" s="6" t="s">
        <v>20</v>
      </c>
      <c r="U244" s="8" t="str">
        <f t="shared" si="8"/>
        <v>Office Supplies</v>
      </c>
      <c r="V244" s="6" t="s">
        <v>21</v>
      </c>
      <c r="W244" s="6" t="str">
        <f t="shared" si="9"/>
        <v>Art</v>
      </c>
      <c r="X244" s="6" t="s">
        <v>1364</v>
      </c>
      <c r="Y244" s="6" t="s">
        <v>36</v>
      </c>
      <c r="Z244" s="6" t="str">
        <f t="shared" si="10"/>
        <v>Second Class</v>
      </c>
      <c r="AA244" s="6">
        <v>3</v>
      </c>
      <c r="AB244" s="6">
        <v>1999.24</v>
      </c>
      <c r="AC244" s="6">
        <v>0.05</v>
      </c>
      <c r="AD244" s="6">
        <v>5697.83</v>
      </c>
      <c r="AE244" s="6">
        <v>4251.5</v>
      </c>
      <c r="AF244" s="6">
        <v>1446.33</v>
      </c>
      <c r="AG244" s="6" t="s">
        <v>52</v>
      </c>
      <c r="AH244" s="6" t="str">
        <f t="shared" si="11"/>
        <v>Paid</v>
      </c>
      <c r="AI244" s="6" t="s">
        <v>134</v>
      </c>
      <c r="AJ244" s="6" t="str">
        <f t="shared" si="12"/>
        <v>Completed</v>
      </c>
      <c r="AK244" s="9" t="str">
        <f>_xlfn.TEXTJOIN("|",FALSE,A244,TEXT(B244,"mm-dd-yyyy"),TEXT(E244,"mm-dd-yyyy"),I244,J244,L244,N244,P244,R244,T244,V244,X244,Y244,AA244,AB244,AC244,AD244,AE244,AF244,AG244,AI244)</f>
        <v>ORD-2025-10243|02-07-2025|02-07-2025|CUST-3430|Arjun Bose|Consumer|North|Uttar Pradesh|Noida|Office Supplies|Art|Classic Art 126|Second Class|3|1999.24|0.05|5697.83|4251.5|1446.33|Paid|Completed</v>
      </c>
      <c r="AL244" s="27" t="str">
        <f>IF(COUNTIF($AK$2:AK244,AK244)&gt;1,"Remove exact duplicate copy","Keep")</f>
        <v>Keep</v>
      </c>
      <c r="AM244" s="9">
        <f t="shared" si="13"/>
        <v>1</v>
      </c>
      <c r="AN244" s="9" t="str">
        <f t="shared" si="14"/>
        <v>Unique</v>
      </c>
      <c r="AO244" s="9" t="str">
        <f t="shared" si="15"/>
        <v/>
      </c>
      <c r="AP244" s="9">
        <f t="shared" si="16"/>
        <v>0.05</v>
      </c>
      <c r="AQ244" s="10">
        <f t="shared" si="17"/>
        <v>5697.8339999999998</v>
      </c>
      <c r="AR244" s="10">
        <f t="shared" si="18"/>
        <v>1446.3339999999998</v>
      </c>
      <c r="AS244" s="11">
        <f t="shared" si="19"/>
        <v>0.25383926593860051</v>
      </c>
      <c r="AT244" s="9">
        <f t="shared" si="20"/>
        <v>2</v>
      </c>
      <c r="AU244" s="9">
        <f t="shared" si="21"/>
        <v>2025</v>
      </c>
      <c r="AV244" s="9" t="b">
        <f t="shared" si="22"/>
        <v>0</v>
      </c>
      <c r="AW244" s="9" t="b">
        <f t="shared" si="23"/>
        <v>0</v>
      </c>
      <c r="AX244" s="9" t="str">
        <f t="shared" si="24"/>
        <v>Yes</v>
      </c>
      <c r="AY244" s="9" t="str">
        <f t="shared" si="31"/>
        <v/>
      </c>
      <c r="AZ244" s="9" t="str">
        <f>IF(OR(G244="Missing date",G244="Invalid date",G244="Ship date before order date",NOT(ISNUMBER(AP244)),AP244&lt;0,AP244&gt;0.5,AV244=TRUE,AW244=TRUE),"Invalid",IF(OR(O244="Unknown",Z244="Unknown",AC244="",AH244&lt;&gt;"Paid",AJ244&lt;&gt;"Completed",AO244&lt;&gt;""),"Warning","Clean"))</f>
        <v>Clean</v>
      </c>
    </row>
    <row r="245" spans="1:52" ht="15.75" customHeight="1">
      <c r="A245" s="6" t="s">
        <v>1365</v>
      </c>
      <c r="B245" s="7" t="s">
        <v>357</v>
      </c>
      <c r="C245" s="7" t="str">
        <f t="shared" si="30"/>
        <v>2025-07</v>
      </c>
      <c r="D245" s="7" cm="1">
        <f t="array" ref="D245">_xlfn.LET(_xlpm.x,B245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45867</v>
      </c>
      <c r="E245" s="7" t="s">
        <v>1366</v>
      </c>
      <c r="F245" s="7" cm="1">
        <f t="array" ref="F245">_xlfn.LET(_xlpm.x,E245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45871</v>
      </c>
      <c r="G245" s="8" t="str">
        <f t="shared" si="1"/>
        <v>OK</v>
      </c>
      <c r="H245" s="6">
        <f t="shared" si="2"/>
        <v>4</v>
      </c>
      <c r="I245" s="6" t="s">
        <v>1367</v>
      </c>
      <c r="J245" s="6" t="s">
        <v>245</v>
      </c>
      <c r="K245" s="6" t="str">
        <f t="shared" si="3"/>
        <v>Sneha Kapoor</v>
      </c>
      <c r="L245" s="6" t="s">
        <v>46</v>
      </c>
      <c r="M245" s="8" t="str">
        <f t="shared" si="4"/>
        <v>Small Business</v>
      </c>
      <c r="N245" s="6"/>
      <c r="O245" s="6" t="str">
        <f t="shared" si="5"/>
        <v>Unknown</v>
      </c>
      <c r="P245" s="6" t="s">
        <v>170</v>
      </c>
      <c r="Q245" s="6" t="str">
        <f t="shared" si="6"/>
        <v>Madhya Pradesh</v>
      </c>
      <c r="R245" s="6" t="s">
        <v>171</v>
      </c>
      <c r="S245" s="6" t="str">
        <f t="shared" si="7"/>
        <v>Indore</v>
      </c>
      <c r="T245" s="6" t="s">
        <v>27</v>
      </c>
      <c r="U245" s="8" t="str">
        <f t="shared" si="8"/>
        <v>Technology</v>
      </c>
      <c r="V245" s="6" t="s">
        <v>28</v>
      </c>
      <c r="W245" s="6" t="str">
        <f t="shared" si="9"/>
        <v>Accessories</v>
      </c>
      <c r="X245" s="6" t="s">
        <v>1368</v>
      </c>
      <c r="Y245" s="6" t="s">
        <v>35</v>
      </c>
      <c r="Z245" s="6" t="str">
        <f t="shared" si="10"/>
        <v>First Class</v>
      </c>
      <c r="AA245" s="6">
        <v>1</v>
      </c>
      <c r="AB245" s="6">
        <v>4499.46</v>
      </c>
      <c r="AC245" s="6">
        <v>0.1</v>
      </c>
      <c r="AD245" s="6">
        <v>4049.51</v>
      </c>
      <c r="AE245" s="6">
        <v>2509.1999999999998</v>
      </c>
      <c r="AF245" s="6">
        <v>1540.31</v>
      </c>
      <c r="AG245" s="6" t="s">
        <v>52</v>
      </c>
      <c r="AH245" s="6" t="str">
        <f t="shared" si="11"/>
        <v>Paid</v>
      </c>
      <c r="AI245" s="6" t="s">
        <v>1108</v>
      </c>
      <c r="AJ245" s="6" t="str">
        <f t="shared" si="12"/>
        <v>Completed</v>
      </c>
      <c r="AK245" s="9" t="str">
        <f>_xlfn.TEXTJOIN("|",FALSE,A245,TEXT(B245,"mm-dd-yyyy"),TEXT(E245,"mm-dd-yyyy"),I245,J245,L245,N245,P245,R245,T245,V245,X245,Y245,AA245,AB245,AC245,AD245,AE245,AF245,AG245,AI245)</f>
        <v>ORD-2025-10244|29-07-2025|08-02-2025|CUST-6310|Sneha Kapoor|Small Business||Madhya Pradesh|Indore|Technology|Accessories|Prime Accessories 243|First Class|1|4499.46|0.1|4049.51|2509.2|1540.31|Paid|completed</v>
      </c>
      <c r="AL245" s="27" t="str">
        <f>IF(COUNTIF($AK$2:AK245,AK245)&gt;1,"Remove exact duplicate copy","Keep")</f>
        <v>Keep</v>
      </c>
      <c r="AM245" s="9">
        <f t="shared" si="13"/>
        <v>1</v>
      </c>
      <c r="AN245" s="9" t="str">
        <f t="shared" si="14"/>
        <v>Unique</v>
      </c>
      <c r="AO245" s="9" t="str">
        <f t="shared" si="15"/>
        <v/>
      </c>
      <c r="AP245" s="9">
        <f t="shared" si="16"/>
        <v>0.1</v>
      </c>
      <c r="AQ245" s="10">
        <f t="shared" si="17"/>
        <v>4049.5140000000001</v>
      </c>
      <c r="AR245" s="10">
        <f t="shared" si="18"/>
        <v>1540.3140000000003</v>
      </c>
      <c r="AS245" s="11">
        <f t="shared" si="19"/>
        <v>0.38037008885510715</v>
      </c>
      <c r="AT245" s="9">
        <f t="shared" si="20"/>
        <v>7</v>
      </c>
      <c r="AU245" s="9">
        <f t="shared" si="21"/>
        <v>2025</v>
      </c>
      <c r="AV245" s="9" t="b">
        <f t="shared" si="22"/>
        <v>0</v>
      </c>
      <c r="AW245" s="9" t="b">
        <f t="shared" si="23"/>
        <v>0</v>
      </c>
      <c r="AX245" s="9" t="str">
        <f t="shared" si="24"/>
        <v>Yes</v>
      </c>
      <c r="AY245" s="9" t="str">
        <f t="shared" si="31"/>
        <v>Missing region filled as Unknown</v>
      </c>
      <c r="AZ245" s="9" t="str">
        <f>IF(OR(G245="Missing date",G245="Invalid date",G245="Ship date before order date",NOT(ISNUMBER(AP245)),AP245&lt;0,AP245&gt;0.5,AV245=TRUE,AW245=TRUE),"Invalid",IF(OR(O245="Unknown",Z245="Unknown",AC245="",AH245&lt;&gt;"Paid",AJ245&lt;&gt;"Completed",AO245&lt;&gt;""),"Warning","Clean"))</f>
        <v>Warning</v>
      </c>
    </row>
    <row r="246" spans="1:52" ht="15.75" customHeight="1">
      <c r="A246" s="6" t="s">
        <v>1369</v>
      </c>
      <c r="B246" s="7" t="s">
        <v>715</v>
      </c>
      <c r="C246" s="7" t="str">
        <f t="shared" si="30"/>
        <v>2024-08</v>
      </c>
      <c r="D246" s="7" cm="1">
        <f t="array" ref="D246">_xlfn.LET(_xlpm.x,B246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45527</v>
      </c>
      <c r="E246" s="7" t="s">
        <v>1370</v>
      </c>
      <c r="F246" s="7" cm="1">
        <f t="array" ref="F246">_xlfn.LET(_xlpm.x,E246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45528</v>
      </c>
      <c r="G246" s="8" t="str">
        <f t="shared" si="1"/>
        <v>OK</v>
      </c>
      <c r="H246" s="6">
        <f t="shared" si="2"/>
        <v>1</v>
      </c>
      <c r="I246" s="6" t="s">
        <v>1371</v>
      </c>
      <c r="J246" s="6" t="s">
        <v>177</v>
      </c>
      <c r="K246" s="6" t="str">
        <f t="shared" si="3"/>
        <v>Neha Gupta</v>
      </c>
      <c r="L246" s="6" t="s">
        <v>43</v>
      </c>
      <c r="M246" s="8" t="str">
        <f t="shared" si="4"/>
        <v>Consumer</v>
      </c>
      <c r="N246" s="6" t="s">
        <v>10</v>
      </c>
      <c r="O246" s="6" t="str">
        <f t="shared" si="5"/>
        <v>South</v>
      </c>
      <c r="P246" s="6" t="s">
        <v>154</v>
      </c>
      <c r="Q246" s="6" t="str">
        <f t="shared" si="6"/>
        <v>Telangana</v>
      </c>
      <c r="R246" s="6" t="s">
        <v>155</v>
      </c>
      <c r="S246" s="6" t="str">
        <f t="shared" si="7"/>
        <v>Hyderabad</v>
      </c>
      <c r="T246" s="6" t="s">
        <v>14</v>
      </c>
      <c r="U246" s="8" t="str">
        <f t="shared" si="8"/>
        <v>Furniture</v>
      </c>
      <c r="V246" s="6" t="s">
        <v>15</v>
      </c>
      <c r="W246" s="6" t="str">
        <f t="shared" si="9"/>
        <v>Bookcases</v>
      </c>
      <c r="X246" s="6" t="s">
        <v>1372</v>
      </c>
      <c r="Y246" s="6" t="s">
        <v>37</v>
      </c>
      <c r="Z246" s="6" t="str">
        <f t="shared" si="10"/>
        <v>Same Day</v>
      </c>
      <c r="AA246" s="6">
        <v>6</v>
      </c>
      <c r="AB246" s="6">
        <v>1021.89</v>
      </c>
      <c r="AC246" s="6">
        <v>0</v>
      </c>
      <c r="AD246" s="6">
        <v>6131.34</v>
      </c>
      <c r="AE246" s="6">
        <v>4060.88</v>
      </c>
      <c r="AF246" s="6">
        <v>2070.46</v>
      </c>
      <c r="AG246" s="6" t="s">
        <v>52</v>
      </c>
      <c r="AH246" s="6" t="str">
        <f t="shared" si="11"/>
        <v>Paid</v>
      </c>
      <c r="AI246" s="6" t="s">
        <v>134</v>
      </c>
      <c r="AJ246" s="6" t="str">
        <f t="shared" si="12"/>
        <v>Completed</v>
      </c>
      <c r="AK246" s="9" t="str">
        <f>_xlfn.TEXTJOIN("|",FALSE,A246,TEXT(B246,"mm-dd-yyyy"),TEXT(E246,"mm-dd-yyyy"),I246,J246,L246,N246,P246,R246,T246,V246,X246,Y246,AA246,AB246,AC246,AD246,AE246,AF246,AG246,AI246)</f>
        <v>ORD-2024-10245|08-23-2024|08-24-2024|CUST-6008|Neha Gupta|Consumer|South|Telangana|Hyderabad|Furniture|Bookcases|Eco Bookcases 768|Same Day|6|1021.89|0|6131.34|4060.88|2070.46|Paid|Completed</v>
      </c>
      <c r="AL246" s="27" t="str">
        <f>IF(COUNTIF($AK$2:AK246,AK246)&gt;1,"Remove exact duplicate copy","Keep")</f>
        <v>Keep</v>
      </c>
      <c r="AM246" s="9">
        <f t="shared" si="13"/>
        <v>1</v>
      </c>
      <c r="AN246" s="9" t="str">
        <f t="shared" si="14"/>
        <v>Unique</v>
      </c>
      <c r="AO246" s="9" t="str">
        <f t="shared" si="15"/>
        <v/>
      </c>
      <c r="AP246" s="9">
        <f t="shared" si="16"/>
        <v>0</v>
      </c>
      <c r="AQ246" s="10">
        <f t="shared" si="17"/>
        <v>6131.34</v>
      </c>
      <c r="AR246" s="10">
        <f t="shared" si="18"/>
        <v>2070.46</v>
      </c>
      <c r="AS246" s="11">
        <f t="shared" si="19"/>
        <v>0.33768474754295147</v>
      </c>
      <c r="AT246" s="9">
        <f t="shared" si="20"/>
        <v>8</v>
      </c>
      <c r="AU246" s="9">
        <f t="shared" si="21"/>
        <v>2024</v>
      </c>
      <c r="AV246" s="9" t="b">
        <f t="shared" si="22"/>
        <v>0</v>
      </c>
      <c r="AW246" s="9" t="b">
        <f t="shared" si="23"/>
        <v>0</v>
      </c>
      <c r="AX246" s="9" t="str">
        <f t="shared" si="24"/>
        <v>Yes</v>
      </c>
      <c r="AY246" s="9" t="str">
        <f t="shared" si="31"/>
        <v/>
      </c>
      <c r="AZ246" s="9" t="str">
        <f>IF(OR(G246="Missing date",G246="Invalid date",G246="Ship date before order date",NOT(ISNUMBER(AP246)),AP246&lt;0,AP246&gt;0.5,AV246=TRUE,AW246=TRUE),"Invalid",IF(OR(O246="Unknown",Z246="Unknown",AC246="",AH246&lt;&gt;"Paid",AJ246&lt;&gt;"Completed",AO246&lt;&gt;""),"Warning","Clean"))</f>
        <v>Clean</v>
      </c>
    </row>
    <row r="247" spans="1:52" ht="15.75" customHeight="1">
      <c r="A247" s="6" t="s">
        <v>1373</v>
      </c>
      <c r="B247" s="7" t="s">
        <v>723</v>
      </c>
      <c r="C247" s="7" t="str">
        <f t="shared" si="30"/>
        <v>2024-10</v>
      </c>
      <c r="D247" s="7" cm="1">
        <f t="array" ref="D247">_xlfn.LET(_xlpm.x,B247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45583</v>
      </c>
      <c r="E247" s="7" t="s">
        <v>955</v>
      </c>
      <c r="F247" s="7" cm="1">
        <f t="array" ref="F247">_xlfn.LET(_xlpm.x,E247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45589</v>
      </c>
      <c r="G247" s="8" t="str">
        <f t="shared" si="1"/>
        <v>OK</v>
      </c>
      <c r="H247" s="6">
        <f t="shared" si="2"/>
        <v>6</v>
      </c>
      <c r="I247" s="6" t="s">
        <v>1374</v>
      </c>
      <c r="J247" s="6" t="s">
        <v>177</v>
      </c>
      <c r="K247" s="6" t="str">
        <f t="shared" si="3"/>
        <v>Neha Gupta</v>
      </c>
      <c r="L247" s="6" t="s">
        <v>44</v>
      </c>
      <c r="M247" s="8" t="str">
        <f t="shared" si="4"/>
        <v>Home Office</v>
      </c>
      <c r="N247" s="6" t="s">
        <v>10</v>
      </c>
      <c r="O247" s="6" t="str">
        <f t="shared" si="5"/>
        <v>South</v>
      </c>
      <c r="P247" s="6" t="s">
        <v>316</v>
      </c>
      <c r="Q247" s="6" t="str">
        <f t="shared" si="6"/>
        <v>Kerala</v>
      </c>
      <c r="R247" s="6" t="s">
        <v>317</v>
      </c>
      <c r="S247" s="6" t="str">
        <f t="shared" si="7"/>
        <v>Kochi</v>
      </c>
      <c r="T247" s="6" t="s">
        <v>1375</v>
      </c>
      <c r="U247" s="8" t="str">
        <f t="shared" si="8"/>
        <v>Furniture</v>
      </c>
      <c r="V247" s="6" t="s">
        <v>16</v>
      </c>
      <c r="W247" s="6" t="str">
        <f t="shared" si="9"/>
        <v>Chairs</v>
      </c>
      <c r="X247" s="6" t="s">
        <v>1376</v>
      </c>
      <c r="Y247" s="6" t="s">
        <v>36</v>
      </c>
      <c r="Z247" s="6" t="str">
        <f t="shared" si="10"/>
        <v>Second Class</v>
      </c>
      <c r="AA247" s="6">
        <v>3</v>
      </c>
      <c r="AB247" s="6">
        <v>3275.93</v>
      </c>
      <c r="AC247" s="6">
        <v>0</v>
      </c>
      <c r="AD247" s="6">
        <v>9827.7900000000009</v>
      </c>
      <c r="AE247" s="6">
        <v>5478.28</v>
      </c>
      <c r="AF247" s="6">
        <v>4349.51</v>
      </c>
      <c r="AG247" s="6" t="s">
        <v>52</v>
      </c>
      <c r="AH247" s="6" t="str">
        <f t="shared" si="11"/>
        <v>Paid</v>
      </c>
      <c r="AI247" s="6" t="s">
        <v>134</v>
      </c>
      <c r="AJ247" s="6" t="str">
        <f t="shared" si="12"/>
        <v>Completed</v>
      </c>
      <c r="AK247" s="9" t="str">
        <f>_xlfn.TEXTJOIN("|",FALSE,A247,TEXT(B247,"mm-dd-yyyy"),TEXT(E247,"mm-dd-yyyy"),I247,J247,L247,N247,P247,R247,T247,V247,X247,Y247,AA247,AB247,AC247,AD247,AE247,AF247,AG247,AI247)</f>
        <v>ORD-2024-10246|10-18-2024|24-10-2024|CUST-1704|Neha Gupta|Home Office|South|Kerala|Kochi|FURNITURE|Chairs|Pro Chairs 316|Second Class|3|3275.93|0|9827.79|5478.28|4349.51|Paid|Completed</v>
      </c>
      <c r="AL247" s="27" t="str">
        <f>IF(COUNTIF($AK$2:AK247,AK247)&gt;1,"Remove exact duplicate copy","Keep")</f>
        <v>Keep</v>
      </c>
      <c r="AM247" s="9">
        <f t="shared" si="13"/>
        <v>1</v>
      </c>
      <c r="AN247" s="9" t="str">
        <f t="shared" si="14"/>
        <v>Unique</v>
      </c>
      <c r="AO247" s="9" t="str">
        <f t="shared" si="15"/>
        <v/>
      </c>
      <c r="AP247" s="9">
        <f t="shared" si="16"/>
        <v>0</v>
      </c>
      <c r="AQ247" s="10">
        <f t="shared" si="17"/>
        <v>9827.7899999999991</v>
      </c>
      <c r="AR247" s="10">
        <f t="shared" si="18"/>
        <v>4349.5099999999993</v>
      </c>
      <c r="AS247" s="11">
        <f t="shared" si="19"/>
        <v>0.44257254174132737</v>
      </c>
      <c r="AT247" s="9">
        <f t="shared" si="20"/>
        <v>10</v>
      </c>
      <c r="AU247" s="9">
        <f t="shared" si="21"/>
        <v>2024</v>
      </c>
      <c r="AV247" s="9" t="b">
        <f t="shared" si="22"/>
        <v>0</v>
      </c>
      <c r="AW247" s="9" t="b">
        <f t="shared" si="23"/>
        <v>0</v>
      </c>
      <c r="AX247" s="9" t="str">
        <f t="shared" si="24"/>
        <v>Yes</v>
      </c>
      <c r="AY247" s="9" t="str">
        <f t="shared" si="31"/>
        <v/>
      </c>
      <c r="AZ247" s="9" t="str">
        <f>IF(OR(G247="Missing date",G247="Invalid date",G247="Ship date before order date",NOT(ISNUMBER(AP247)),AP247&lt;0,AP247&gt;0.5,AV247=TRUE,AW247=TRUE),"Invalid",IF(OR(O247="Unknown",Z247="Unknown",AC247="",AH247&lt;&gt;"Paid",AJ247&lt;&gt;"Completed",AO247&lt;&gt;""),"Warning","Clean"))</f>
        <v>Clean</v>
      </c>
    </row>
    <row r="248" spans="1:52" ht="15.75" customHeight="1">
      <c r="A248" s="6" t="s">
        <v>1377</v>
      </c>
      <c r="B248" s="7" t="s">
        <v>1378</v>
      </c>
      <c r="C248" s="7" t="str">
        <f t="shared" si="30"/>
        <v>2024-05</v>
      </c>
      <c r="D248" s="7" cm="1">
        <f t="array" ref="D248">_xlfn.LET(_xlpm.x,B248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45416</v>
      </c>
      <c r="E248" s="7" t="s">
        <v>1379</v>
      </c>
      <c r="F248" s="7" cm="1">
        <f t="array" ref="F248">_xlfn.LET(_xlpm.x,E248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45421</v>
      </c>
      <c r="G248" s="8" t="str">
        <f t="shared" si="1"/>
        <v>OK</v>
      </c>
      <c r="H248" s="6">
        <f t="shared" si="2"/>
        <v>5</v>
      </c>
      <c r="I248" s="6" t="s">
        <v>1380</v>
      </c>
      <c r="J248" s="6" t="s">
        <v>161</v>
      </c>
      <c r="K248" s="6" t="str">
        <f t="shared" si="3"/>
        <v>Ananya Rao</v>
      </c>
      <c r="L248" s="6" t="s">
        <v>45</v>
      </c>
      <c r="M248" s="8" t="str">
        <f t="shared" si="4"/>
        <v>Corporate</v>
      </c>
      <c r="N248" s="6" t="s">
        <v>7</v>
      </c>
      <c r="O248" s="6" t="str">
        <f t="shared" si="5"/>
        <v>North</v>
      </c>
      <c r="P248" s="6" t="s">
        <v>232</v>
      </c>
      <c r="Q248" s="6" t="str">
        <f t="shared" si="6"/>
        <v>Punjab</v>
      </c>
      <c r="R248" s="6" t="s">
        <v>233</v>
      </c>
      <c r="S248" s="6" t="str">
        <f t="shared" si="7"/>
        <v>Ludhiana</v>
      </c>
      <c r="T248" s="6" t="s">
        <v>27</v>
      </c>
      <c r="U248" s="8" t="str">
        <f t="shared" si="8"/>
        <v>Technology</v>
      </c>
      <c r="V248" s="6" t="s">
        <v>30</v>
      </c>
      <c r="W248" s="6" t="str">
        <f t="shared" si="9"/>
        <v>Machines</v>
      </c>
      <c r="X248" s="6" t="s">
        <v>1381</v>
      </c>
      <c r="Y248" s="6" t="s">
        <v>37</v>
      </c>
      <c r="Z248" s="6" t="str">
        <f t="shared" si="10"/>
        <v>Same Day</v>
      </c>
      <c r="AA248" s="6">
        <v>3</v>
      </c>
      <c r="AB248" s="6">
        <v>231.95</v>
      </c>
      <c r="AC248" s="6">
        <v>0.25</v>
      </c>
      <c r="AD248" s="6">
        <v>521.89</v>
      </c>
      <c r="AE248" s="6">
        <v>444.52</v>
      </c>
      <c r="AF248" s="6">
        <v>77.37</v>
      </c>
      <c r="AG248" s="6" t="s">
        <v>56</v>
      </c>
      <c r="AH248" s="6" t="str">
        <f t="shared" si="11"/>
        <v>Refunded</v>
      </c>
      <c r="AI248" s="6" t="s">
        <v>58</v>
      </c>
      <c r="AJ248" s="6" t="str">
        <f t="shared" si="12"/>
        <v>Cancelled</v>
      </c>
      <c r="AK248" s="9" t="str">
        <f>_xlfn.TEXTJOIN("|",FALSE,A248,TEXT(B248,"mm-dd-yyyy"),TEXT(E248,"mm-dd-yyyy"),I248,J248,L248,N248,P248,R248,T248,V248,X248,Y248,AA248,AB248,AC248,AD248,AE248,AF248,AG248,AI248)</f>
        <v>ORD-2024-10247|05-04-2024|05-09-2024|CUST-1827|Ananya Rao|Corporate|North|Punjab|Ludhiana|Technology|Machines|Classic Machines 819|Same Day|3|231.95|0.25|521.89|444.52|77.37|Refunded|Cancelled</v>
      </c>
      <c r="AL248" s="27" t="str">
        <f>IF(COUNTIF($AK$2:AK248,AK248)&gt;1,"Remove exact duplicate copy","Keep")</f>
        <v>Keep</v>
      </c>
      <c r="AM248" s="9">
        <f t="shared" si="13"/>
        <v>1</v>
      </c>
      <c r="AN248" s="9" t="str">
        <f t="shared" si="14"/>
        <v>Unique</v>
      </c>
      <c r="AO248" s="9" t="str">
        <f t="shared" si="15"/>
        <v/>
      </c>
      <c r="AP248" s="9">
        <f t="shared" si="16"/>
        <v>0.25</v>
      </c>
      <c r="AQ248" s="10">
        <f t="shared" si="17"/>
        <v>521.88749999999993</v>
      </c>
      <c r="AR248" s="10">
        <f t="shared" si="18"/>
        <v>77.36749999999995</v>
      </c>
      <c r="AS248" s="11">
        <f t="shared" si="19"/>
        <v>0.14824555100476627</v>
      </c>
      <c r="AT248" s="9">
        <f t="shared" si="20"/>
        <v>5</v>
      </c>
      <c r="AU248" s="9">
        <f t="shared" si="21"/>
        <v>2024</v>
      </c>
      <c r="AV248" s="9" t="b">
        <f t="shared" si="22"/>
        <v>0</v>
      </c>
      <c r="AW248" s="9" t="b">
        <f t="shared" si="23"/>
        <v>0</v>
      </c>
      <c r="AX248" s="9" t="str">
        <f t="shared" si="24"/>
        <v>No</v>
      </c>
      <c r="AY248" s="9" t="str">
        <f t="shared" si="31"/>
        <v>Refunded order summarized separately; Cancelled order excluded</v>
      </c>
      <c r="AZ248" s="9" t="str">
        <f>IF(OR(G248="Missing date",G248="Invalid date",G248="Ship date before order date",NOT(ISNUMBER(AP248)),AP248&lt;0,AP248&gt;0.5,AV248=TRUE,AW248=TRUE),"Invalid",IF(OR(O248="Unknown",Z248="Unknown",AC248="",AH248&lt;&gt;"Paid",AJ248&lt;&gt;"Completed",AO248&lt;&gt;""),"Warning","Clean"))</f>
        <v>Warning</v>
      </c>
    </row>
    <row r="249" spans="1:52" ht="15.75" customHeight="1">
      <c r="A249" s="6" t="s">
        <v>1382</v>
      </c>
      <c r="B249" s="7" t="s">
        <v>1383</v>
      </c>
      <c r="C249" s="7" t="str">
        <f t="shared" si="30"/>
        <v>2024-07</v>
      </c>
      <c r="D249" s="7" cm="1">
        <f t="array" ref="D249">_xlfn.LET(_xlpm.x,B249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45498</v>
      </c>
      <c r="E249" s="7" t="s">
        <v>1384</v>
      </c>
      <c r="F249" s="7" cm="1">
        <f t="array" ref="F249">_xlfn.LET(_xlpm.x,E249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45505</v>
      </c>
      <c r="G249" s="8" t="str">
        <f t="shared" si="1"/>
        <v>OK</v>
      </c>
      <c r="H249" s="6">
        <f t="shared" si="2"/>
        <v>7</v>
      </c>
      <c r="I249" s="6" t="s">
        <v>1385</v>
      </c>
      <c r="J249" s="6" t="s">
        <v>226</v>
      </c>
      <c r="K249" s="6" t="str">
        <f t="shared" si="3"/>
        <v>Rahul Verma</v>
      </c>
      <c r="L249" s="6" t="s">
        <v>45</v>
      </c>
      <c r="M249" s="8" t="str">
        <f t="shared" si="4"/>
        <v>Corporate</v>
      </c>
      <c r="N249" s="6" t="s">
        <v>7</v>
      </c>
      <c r="O249" s="6" t="str">
        <f t="shared" si="5"/>
        <v>North</v>
      </c>
      <c r="P249" s="6" t="s">
        <v>131</v>
      </c>
      <c r="Q249" s="6" t="str">
        <f t="shared" si="6"/>
        <v>Rajasthan</v>
      </c>
      <c r="R249" s="6" t="s">
        <v>132</v>
      </c>
      <c r="S249" s="6" t="str">
        <f t="shared" si="7"/>
        <v>Jaipur</v>
      </c>
      <c r="T249" s="6" t="s">
        <v>27</v>
      </c>
      <c r="U249" s="8" t="str">
        <f t="shared" si="8"/>
        <v>Technology</v>
      </c>
      <c r="V249" s="6" t="s">
        <v>28</v>
      </c>
      <c r="W249" s="6" t="str">
        <f t="shared" si="9"/>
        <v>Accessories</v>
      </c>
      <c r="X249" s="6" t="s">
        <v>1386</v>
      </c>
      <c r="Y249" s="6" t="s">
        <v>36</v>
      </c>
      <c r="Z249" s="6" t="str">
        <f t="shared" si="10"/>
        <v>Second Class</v>
      </c>
      <c r="AA249" s="6">
        <v>8</v>
      </c>
      <c r="AB249" s="6">
        <v>2493.4</v>
      </c>
      <c r="AC249" s="6">
        <v>0.25</v>
      </c>
      <c r="AD249" s="6">
        <v>14960.4</v>
      </c>
      <c r="AE249" s="6">
        <v>12500.84</v>
      </c>
      <c r="AF249" s="6">
        <v>2459.56</v>
      </c>
      <c r="AG249" s="6" t="s">
        <v>52</v>
      </c>
      <c r="AH249" s="6" t="str">
        <f t="shared" si="11"/>
        <v>Paid</v>
      </c>
      <c r="AI249" s="6" t="s">
        <v>134</v>
      </c>
      <c r="AJ249" s="6" t="str">
        <f t="shared" si="12"/>
        <v>Completed</v>
      </c>
      <c r="AK249" s="9" t="str">
        <f>_xlfn.TEXTJOIN("|",FALSE,A249,TEXT(B249,"mm-dd-yyyy"),TEXT(E249,"mm-dd-yyyy"),I249,J249,L249,N249,P249,R249,T249,V249,X249,Y249,AA249,AB249,AC249,AD249,AE249,AF249,AG249,AI249)</f>
        <v>ORD-2024-10248|07-25-2024|08-01-2024|CUST-6663|Rahul Verma|Corporate|North|Rajasthan|Jaipur|Technology|Accessories|Smart Accessories 572|Second Class|8|2493.4|0.25|14960.4|12500.84|2459.56|Paid|Completed</v>
      </c>
      <c r="AL249" s="27" t="str">
        <f>IF(COUNTIF($AK$2:AK249,AK249)&gt;1,"Remove exact duplicate copy","Keep")</f>
        <v>Keep</v>
      </c>
      <c r="AM249" s="9">
        <f t="shared" si="13"/>
        <v>1</v>
      </c>
      <c r="AN249" s="9" t="str">
        <f t="shared" si="14"/>
        <v>Unique</v>
      </c>
      <c r="AO249" s="9" t="str">
        <f t="shared" si="15"/>
        <v/>
      </c>
      <c r="AP249" s="9">
        <f t="shared" si="16"/>
        <v>0.25</v>
      </c>
      <c r="AQ249" s="10">
        <f t="shared" si="17"/>
        <v>14960.400000000001</v>
      </c>
      <c r="AR249" s="10">
        <f t="shared" si="18"/>
        <v>2459.5600000000013</v>
      </c>
      <c r="AS249" s="11">
        <f t="shared" si="19"/>
        <v>0.16440469506162944</v>
      </c>
      <c r="AT249" s="9">
        <f t="shared" si="20"/>
        <v>7</v>
      </c>
      <c r="AU249" s="9">
        <f t="shared" si="21"/>
        <v>2024</v>
      </c>
      <c r="AV249" s="9" t="b">
        <f t="shared" si="22"/>
        <v>0</v>
      </c>
      <c r="AW249" s="9" t="b">
        <f t="shared" si="23"/>
        <v>0</v>
      </c>
      <c r="AX249" s="9" t="str">
        <f t="shared" si="24"/>
        <v>Yes</v>
      </c>
      <c r="AY249" s="9" t="str">
        <f t="shared" si="31"/>
        <v/>
      </c>
      <c r="AZ249" s="9" t="str">
        <f>IF(OR(G249="Missing date",G249="Invalid date",G249="Ship date before order date",NOT(ISNUMBER(AP249)),AP249&lt;0,AP249&gt;0.5,AV249=TRUE,AW249=TRUE),"Invalid",IF(OR(O249="Unknown",Z249="Unknown",AC249="",AH249&lt;&gt;"Paid",AJ249&lt;&gt;"Completed",AO249&lt;&gt;""),"Warning","Clean"))</f>
        <v>Clean</v>
      </c>
    </row>
    <row r="250" spans="1:52" ht="15.75" customHeight="1">
      <c r="A250" s="6" t="s">
        <v>1387</v>
      </c>
      <c r="B250" s="7" t="s">
        <v>1388</v>
      </c>
      <c r="C250" s="7" t="str">
        <f t="shared" si="30"/>
        <v>2024-06</v>
      </c>
      <c r="D250" s="7" cm="1">
        <f t="array" ref="D250">_xlfn.LET(_xlpm.x,B250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45445</v>
      </c>
      <c r="E250" s="7" t="s">
        <v>656</v>
      </c>
      <c r="F250" s="7" cm="1">
        <f t="array" ref="F250">_xlfn.LET(_xlpm.x,E250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45450</v>
      </c>
      <c r="G250" s="8" t="str">
        <f t="shared" si="1"/>
        <v>OK</v>
      </c>
      <c r="H250" s="6">
        <f t="shared" si="2"/>
        <v>5</v>
      </c>
      <c r="I250" s="6" t="s">
        <v>1389</v>
      </c>
      <c r="J250" s="6" t="s">
        <v>257</v>
      </c>
      <c r="K250" s="6" t="str">
        <f t="shared" si="3"/>
        <v>Rohan Mehta</v>
      </c>
      <c r="L250" s="6" t="s">
        <v>44</v>
      </c>
      <c r="M250" s="8" t="str">
        <f t="shared" si="4"/>
        <v>Home Office</v>
      </c>
      <c r="N250" s="6" t="s">
        <v>8</v>
      </c>
      <c r="O250" s="6" t="str">
        <f t="shared" si="5"/>
        <v>East</v>
      </c>
      <c r="P250" s="6" t="s">
        <v>140</v>
      </c>
      <c r="Q250" s="6" t="str">
        <f t="shared" si="6"/>
        <v>Odisha</v>
      </c>
      <c r="R250" s="6" t="s">
        <v>141</v>
      </c>
      <c r="S250" s="6" t="str">
        <f t="shared" si="7"/>
        <v>Bhubaneswar</v>
      </c>
      <c r="T250" s="6" t="s">
        <v>20</v>
      </c>
      <c r="U250" s="8" t="str">
        <f t="shared" si="8"/>
        <v>Office Supplies</v>
      </c>
      <c r="V250" s="6" t="s">
        <v>23</v>
      </c>
      <c r="W250" s="6" t="str">
        <f t="shared" si="9"/>
        <v>Labels</v>
      </c>
      <c r="X250" s="6" t="s">
        <v>1390</v>
      </c>
      <c r="Y250" s="6" t="s">
        <v>36</v>
      </c>
      <c r="Z250" s="6" t="str">
        <f t="shared" si="10"/>
        <v>Second Class</v>
      </c>
      <c r="AA250" s="6">
        <v>9</v>
      </c>
      <c r="AB250" s="6">
        <v>787.91</v>
      </c>
      <c r="AC250" s="6">
        <v>0.15</v>
      </c>
      <c r="AD250" s="6">
        <v>6027.51</v>
      </c>
      <c r="AE250" s="6">
        <v>4883.82</v>
      </c>
      <c r="AF250" s="6">
        <v>1143.69</v>
      </c>
      <c r="AG250" s="6" t="s">
        <v>52</v>
      </c>
      <c r="AH250" s="6" t="str">
        <f t="shared" si="11"/>
        <v>Paid</v>
      </c>
      <c r="AI250" s="6" t="s">
        <v>134</v>
      </c>
      <c r="AJ250" s="6" t="str">
        <f t="shared" si="12"/>
        <v>Completed</v>
      </c>
      <c r="AK250" s="9" t="str">
        <f>_xlfn.TEXTJOIN("|",FALSE,A250,TEXT(B250,"mm-dd-yyyy"),TEXT(E250,"mm-dd-yyyy"),I250,J250,L250,N250,P250,R250,T250,V250,X250,Y250,AA250,AB250,AC250,AD250,AE250,AF250,AG250,AI250)</f>
        <v>ORD-2024-10249|06-02-2024|07-06-2024|CUST-6278|Rohan Mehta|Home Office|East|Odisha|Bhubaneswar|Office Supplies|Labels|Basic Labels 432|Second Class|9|787.91|0.15|6027.51|4883.82|1143.69|Paid|Completed</v>
      </c>
      <c r="AL250" s="27" t="str">
        <f>IF(COUNTIF($AK$2:AK250,AK250)&gt;1,"Remove exact duplicate copy","Keep")</f>
        <v>Keep</v>
      </c>
      <c r="AM250" s="9">
        <f t="shared" si="13"/>
        <v>1</v>
      </c>
      <c r="AN250" s="9" t="str">
        <f t="shared" si="14"/>
        <v>Unique</v>
      </c>
      <c r="AO250" s="9" t="str">
        <f t="shared" si="15"/>
        <v/>
      </c>
      <c r="AP250" s="9">
        <f t="shared" si="16"/>
        <v>0.15</v>
      </c>
      <c r="AQ250" s="10">
        <f t="shared" si="17"/>
        <v>6027.5114999999996</v>
      </c>
      <c r="AR250" s="10">
        <f t="shared" si="18"/>
        <v>1143.6914999999999</v>
      </c>
      <c r="AS250" s="11">
        <f t="shared" si="19"/>
        <v>0.18974522072666306</v>
      </c>
      <c r="AT250" s="9">
        <f t="shared" si="20"/>
        <v>6</v>
      </c>
      <c r="AU250" s="9">
        <f t="shared" si="21"/>
        <v>2024</v>
      </c>
      <c r="AV250" s="9" t="b">
        <f t="shared" si="22"/>
        <v>0</v>
      </c>
      <c r="AW250" s="9" t="b">
        <f t="shared" si="23"/>
        <v>0</v>
      </c>
      <c r="AX250" s="9" t="str">
        <f t="shared" si="24"/>
        <v>Yes</v>
      </c>
      <c r="AY250" s="9" t="str">
        <f t="shared" si="31"/>
        <v/>
      </c>
      <c r="AZ250" s="9" t="str">
        <f>IF(OR(G250="Missing date",G250="Invalid date",G250="Ship date before order date",NOT(ISNUMBER(AP250)),AP250&lt;0,AP250&gt;0.5,AV250=TRUE,AW250=TRUE),"Invalid",IF(OR(O250="Unknown",Z250="Unknown",AC250="",AH250&lt;&gt;"Paid",AJ250&lt;&gt;"Completed",AO250&lt;&gt;""),"Warning","Clean"))</f>
        <v>Clean</v>
      </c>
    </row>
    <row r="251" spans="1:52" ht="15.75" customHeight="1">
      <c r="A251" s="6" t="s">
        <v>1391</v>
      </c>
      <c r="B251" s="7" t="s">
        <v>903</v>
      </c>
      <c r="C251" s="7" t="str">
        <f t="shared" si="30"/>
        <v>2025-08</v>
      </c>
      <c r="D251" s="7" cm="1">
        <f t="array" ref="D251">_xlfn.LET(_xlpm.x,B251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45870</v>
      </c>
      <c r="E251" s="7" t="s">
        <v>1392</v>
      </c>
      <c r="F251" s="7" cm="1">
        <f t="array" ref="F251">_xlfn.LET(_xlpm.x,E251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45871</v>
      </c>
      <c r="G251" s="8" t="str">
        <f t="shared" si="1"/>
        <v>OK</v>
      </c>
      <c r="H251" s="6">
        <f t="shared" si="2"/>
        <v>1</v>
      </c>
      <c r="I251" s="6" t="s">
        <v>1393</v>
      </c>
      <c r="J251" s="6" t="s">
        <v>139</v>
      </c>
      <c r="K251" s="6" t="str">
        <f t="shared" si="3"/>
        <v>Mira Das</v>
      </c>
      <c r="L251" s="6" t="s">
        <v>45</v>
      </c>
      <c r="M251" s="8" t="str">
        <f t="shared" si="4"/>
        <v>Corporate</v>
      </c>
      <c r="N251" s="6" t="s">
        <v>7</v>
      </c>
      <c r="O251" s="6" t="str">
        <f t="shared" si="5"/>
        <v>North</v>
      </c>
      <c r="P251" s="6" t="s">
        <v>131</v>
      </c>
      <c r="Q251" s="6" t="str">
        <f t="shared" si="6"/>
        <v>Rajasthan</v>
      </c>
      <c r="R251" s="6" t="s">
        <v>132</v>
      </c>
      <c r="S251" s="6" t="str">
        <f t="shared" si="7"/>
        <v>Jaipur</v>
      </c>
      <c r="T251" s="6" t="s">
        <v>14</v>
      </c>
      <c r="U251" s="8" t="str">
        <f t="shared" si="8"/>
        <v>Furniture</v>
      </c>
      <c r="V251" s="6" t="s">
        <v>17</v>
      </c>
      <c r="W251" s="6" t="str">
        <f t="shared" si="9"/>
        <v>Furnishings</v>
      </c>
      <c r="X251" s="6" t="s">
        <v>1394</v>
      </c>
      <c r="Y251" s="6" t="s">
        <v>35</v>
      </c>
      <c r="Z251" s="6" t="str">
        <f t="shared" si="10"/>
        <v>First Class</v>
      </c>
      <c r="AA251" s="6">
        <v>4</v>
      </c>
      <c r="AB251" s="6">
        <v>2790.29</v>
      </c>
      <c r="AC251" s="6">
        <v>0.2</v>
      </c>
      <c r="AD251" s="6">
        <v>8928.93</v>
      </c>
      <c r="AE251" s="6">
        <v>5634.38</v>
      </c>
      <c r="AF251" s="6">
        <v>3294.55</v>
      </c>
      <c r="AG251" s="6" t="s">
        <v>52</v>
      </c>
      <c r="AH251" s="6" t="str">
        <f t="shared" si="11"/>
        <v>Paid</v>
      </c>
      <c r="AI251" s="6" t="s">
        <v>134</v>
      </c>
      <c r="AJ251" s="6" t="str">
        <f t="shared" si="12"/>
        <v>Completed</v>
      </c>
      <c r="AK251" s="9" t="str">
        <f>_xlfn.TEXTJOIN("|",FALSE,A251,TEXT(B251,"mm-dd-yyyy"),TEXT(E251,"mm-dd-yyyy"),I251,J251,L251,N251,P251,R251,T251,V251,X251,Y251,AA251,AB251,AC251,AD251,AE251,AF251,AG251,AI251)</f>
        <v>ORD-2025-10250|08-01-2025|08-02-2025|CUST-2305|Mira Das|Corporate|North|Rajasthan|Jaipur|Furniture|Furnishings|Classic Furnishings 378|First Class|4|2790.29|0.2|8928.93|5634.38|3294.55|Paid|Completed</v>
      </c>
      <c r="AL251" s="27" t="str">
        <f>IF(COUNTIF($AK$2:AK251,AK251)&gt;1,"Remove exact duplicate copy","Keep")</f>
        <v>Keep</v>
      </c>
      <c r="AM251" s="9">
        <f t="shared" si="13"/>
        <v>1</v>
      </c>
      <c r="AN251" s="9" t="str">
        <f t="shared" si="14"/>
        <v>Unique</v>
      </c>
      <c r="AO251" s="9" t="str">
        <f t="shared" si="15"/>
        <v/>
      </c>
      <c r="AP251" s="9">
        <f t="shared" si="16"/>
        <v>0.2</v>
      </c>
      <c r="AQ251" s="10">
        <f t="shared" si="17"/>
        <v>8928.9279999999999</v>
      </c>
      <c r="AR251" s="10">
        <f t="shared" si="18"/>
        <v>3294.5479999999998</v>
      </c>
      <c r="AS251" s="11">
        <f t="shared" si="19"/>
        <v>0.36897464062875185</v>
      </c>
      <c r="AT251" s="9">
        <f t="shared" si="20"/>
        <v>8</v>
      </c>
      <c r="AU251" s="9">
        <f t="shared" si="21"/>
        <v>2025</v>
      </c>
      <c r="AV251" s="9" t="b">
        <f t="shared" si="22"/>
        <v>0</v>
      </c>
      <c r="AW251" s="9" t="b">
        <f t="shared" si="23"/>
        <v>0</v>
      </c>
      <c r="AX251" s="9" t="str">
        <f t="shared" si="24"/>
        <v>Yes</v>
      </c>
      <c r="AY251" s="9" t="str">
        <f t="shared" si="31"/>
        <v/>
      </c>
      <c r="AZ251" s="9" t="str">
        <f>IF(OR(G251="Missing date",G251="Invalid date",G251="Ship date before order date",NOT(ISNUMBER(AP251)),AP251&lt;0,AP251&gt;0.5,AV251=TRUE,AW251=TRUE),"Invalid",IF(OR(O251="Unknown",Z251="Unknown",AC251="",AH251&lt;&gt;"Paid",AJ251&lt;&gt;"Completed",AO251&lt;&gt;""),"Warning","Clean"))</f>
        <v>Clean</v>
      </c>
    </row>
    <row r="252" spans="1:52" ht="15.75" customHeight="1">
      <c r="A252" s="6" t="s">
        <v>1395</v>
      </c>
      <c r="B252" s="7" t="s">
        <v>1396</v>
      </c>
      <c r="C252" s="7" t="str">
        <f t="shared" si="30"/>
        <v>2024-02</v>
      </c>
      <c r="D252" s="7" cm="1">
        <f t="array" ref="D252">_xlfn.LET(_xlpm.x,B252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45343</v>
      </c>
      <c r="E252" s="7" t="s">
        <v>1397</v>
      </c>
      <c r="F252" s="7" cm="1">
        <f t="array" ref="F252">_xlfn.LET(_xlpm.x,E252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45349</v>
      </c>
      <c r="G252" s="8" t="str">
        <f t="shared" si="1"/>
        <v>OK</v>
      </c>
      <c r="H252" s="6">
        <f t="shared" si="2"/>
        <v>6</v>
      </c>
      <c r="I252" s="6" t="s">
        <v>1398</v>
      </c>
      <c r="J252" s="6" t="s">
        <v>153</v>
      </c>
      <c r="K252" s="6" t="str">
        <f t="shared" si="3"/>
        <v>Arjun Bose</v>
      </c>
      <c r="L252" s="6" t="s">
        <v>46</v>
      </c>
      <c r="M252" s="8" t="str">
        <f t="shared" si="4"/>
        <v>Small Business</v>
      </c>
      <c r="N252" s="6" t="s">
        <v>8</v>
      </c>
      <c r="O252" s="6" t="str">
        <f t="shared" si="5"/>
        <v>East</v>
      </c>
      <c r="P252" s="6" t="s">
        <v>201</v>
      </c>
      <c r="Q252" s="6" t="str">
        <f t="shared" si="6"/>
        <v>West Bengal</v>
      </c>
      <c r="R252" s="6" t="s">
        <v>202</v>
      </c>
      <c r="S252" s="6" t="str">
        <f t="shared" si="7"/>
        <v>Kolkata</v>
      </c>
      <c r="T252" s="6" t="s">
        <v>14</v>
      </c>
      <c r="U252" s="8" t="str">
        <f t="shared" si="8"/>
        <v>Furniture</v>
      </c>
      <c r="V252" s="6" t="s">
        <v>17</v>
      </c>
      <c r="W252" s="6" t="str">
        <f t="shared" si="9"/>
        <v>Furnishings</v>
      </c>
      <c r="X252" s="6" t="s">
        <v>1399</v>
      </c>
      <c r="Y252" s="6" t="s">
        <v>34</v>
      </c>
      <c r="Z252" s="6" t="str">
        <f t="shared" si="10"/>
        <v>Standard Class</v>
      </c>
      <c r="AA252" s="6">
        <v>5</v>
      </c>
      <c r="AB252" s="6">
        <v>3373.86</v>
      </c>
      <c r="AC252" s="6">
        <v>0.15</v>
      </c>
      <c r="AD252" s="6">
        <v>14338.9</v>
      </c>
      <c r="AE252" s="6">
        <v>11897.65</v>
      </c>
      <c r="AF252" s="6">
        <v>2441.25</v>
      </c>
      <c r="AG252" s="6" t="s">
        <v>54</v>
      </c>
      <c r="AH252" s="6" t="str">
        <f t="shared" si="11"/>
        <v>Pending</v>
      </c>
      <c r="AI252" s="6" t="s">
        <v>59</v>
      </c>
      <c r="AJ252" s="6" t="str">
        <f t="shared" si="12"/>
        <v>Returned</v>
      </c>
      <c r="AK252" s="9" t="str">
        <f>_xlfn.TEXTJOIN("|",FALSE,A252,TEXT(B252,"mm-dd-yyyy"),TEXT(E252,"mm-dd-yyyy"),I252,J252,L252,N252,P252,R252,T252,V252,X252,Y252,AA252,AB252,AC252,AD252,AE252,AF252,AG252,AI252)</f>
        <v>ORD-2024-10251|02-21-2024|02-27-2024|CUST-5351|Arjun Bose|Small Business|East|West Bengal|Kolkata|Furniture|Furnishings|Prime Furnishings 781|Standard Class|5|3373.86|0.15|14338.9|11897.65|2441.25|Pending|Returned</v>
      </c>
      <c r="AL252" s="27" t="str">
        <f>IF(COUNTIF($AK$2:AK252,AK252)&gt;1,"Remove exact duplicate copy","Keep")</f>
        <v>Keep</v>
      </c>
      <c r="AM252" s="9">
        <f t="shared" si="13"/>
        <v>1</v>
      </c>
      <c r="AN252" s="9" t="str">
        <f t="shared" si="14"/>
        <v>Unique</v>
      </c>
      <c r="AO252" s="9" t="str">
        <f t="shared" si="15"/>
        <v/>
      </c>
      <c r="AP252" s="9">
        <f t="shared" si="16"/>
        <v>0.15</v>
      </c>
      <c r="AQ252" s="10">
        <f t="shared" si="17"/>
        <v>14338.904999999999</v>
      </c>
      <c r="AR252" s="10">
        <f t="shared" si="18"/>
        <v>2441.2549999999992</v>
      </c>
      <c r="AS252" s="11">
        <f t="shared" si="19"/>
        <v>0.17025393501107647</v>
      </c>
      <c r="AT252" s="9">
        <f t="shared" si="20"/>
        <v>2</v>
      </c>
      <c r="AU252" s="9">
        <f t="shared" si="21"/>
        <v>2024</v>
      </c>
      <c r="AV252" s="9" t="b">
        <f t="shared" si="22"/>
        <v>0</v>
      </c>
      <c r="AW252" s="9" t="b">
        <f t="shared" si="23"/>
        <v>0</v>
      </c>
      <c r="AX252" s="9" t="str">
        <f t="shared" si="24"/>
        <v>No</v>
      </c>
      <c r="AY252" s="9" t="str">
        <f t="shared" si="31"/>
        <v>Returned order excluded</v>
      </c>
      <c r="AZ252" s="9" t="str">
        <f>IF(OR(G252="Missing date",G252="Invalid date",G252="Ship date before order date",NOT(ISNUMBER(AP252)),AP252&lt;0,AP252&gt;0.5,AV252=TRUE,AW252=TRUE),"Invalid",IF(OR(O252="Unknown",Z252="Unknown",AC252="",AH252&lt;&gt;"Paid",AJ252&lt;&gt;"Completed",AO252&lt;&gt;""),"Warning","Clean"))</f>
        <v>Warning</v>
      </c>
    </row>
    <row r="253" spans="1:52" ht="15.75" customHeight="1">
      <c r="A253" s="6" t="s">
        <v>1400</v>
      </c>
      <c r="B253" s="7" t="s">
        <v>1401</v>
      </c>
      <c r="C253" s="7" t="str">
        <f t="shared" si="30"/>
        <v>2025-04</v>
      </c>
      <c r="D253" s="7" cm="1">
        <f t="array" ref="D253">_xlfn.LET(_xlpm.x,B253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45753</v>
      </c>
      <c r="E253" s="7" t="s">
        <v>174</v>
      </c>
      <c r="F253" s="7" cm="1">
        <f t="array" ref="F253">_xlfn.LET(_xlpm.x,E253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45757</v>
      </c>
      <c r="G253" s="8" t="str">
        <f t="shared" si="1"/>
        <v>OK</v>
      </c>
      <c r="H253" s="6">
        <f t="shared" si="2"/>
        <v>4</v>
      </c>
      <c r="I253" s="6" t="s">
        <v>1402</v>
      </c>
      <c r="J253" s="6" t="s">
        <v>161</v>
      </c>
      <c r="K253" s="6" t="str">
        <f t="shared" si="3"/>
        <v>Ananya Rao</v>
      </c>
      <c r="L253" s="6" t="s">
        <v>45</v>
      </c>
      <c r="M253" s="8" t="str">
        <f t="shared" si="4"/>
        <v>Corporate</v>
      </c>
      <c r="N253" s="6" t="s">
        <v>9</v>
      </c>
      <c r="O253" s="6" t="str">
        <f t="shared" si="5"/>
        <v>West</v>
      </c>
      <c r="P253" s="6" t="s">
        <v>309</v>
      </c>
      <c r="Q253" s="6" t="str">
        <f t="shared" si="6"/>
        <v>Gujarat</v>
      </c>
      <c r="R253" s="6" t="s">
        <v>310</v>
      </c>
      <c r="S253" s="6" t="str">
        <f t="shared" si="7"/>
        <v>Ahmedabad</v>
      </c>
      <c r="T253" s="6" t="s">
        <v>14</v>
      </c>
      <c r="U253" s="8" t="str">
        <f t="shared" si="8"/>
        <v>Furniture</v>
      </c>
      <c r="V253" s="6" t="s">
        <v>18</v>
      </c>
      <c r="W253" s="6" t="str">
        <f t="shared" si="9"/>
        <v>Tables</v>
      </c>
      <c r="X253" s="6" t="s">
        <v>1403</v>
      </c>
      <c r="Y253" s="6" t="s">
        <v>36</v>
      </c>
      <c r="Z253" s="6" t="str">
        <f t="shared" si="10"/>
        <v>Second Class</v>
      </c>
      <c r="AA253" s="6">
        <v>6</v>
      </c>
      <c r="AB253" s="6">
        <v>1022.16</v>
      </c>
      <c r="AC253" s="6">
        <v>0</v>
      </c>
      <c r="AD253" s="6">
        <v>6132.96</v>
      </c>
      <c r="AE253" s="6">
        <v>4881.1000000000004</v>
      </c>
      <c r="AF253" s="6">
        <v>1251.8599999999999</v>
      </c>
      <c r="AG253" s="6" t="s">
        <v>52</v>
      </c>
      <c r="AH253" s="6" t="str">
        <f t="shared" si="11"/>
        <v>Paid</v>
      </c>
      <c r="AI253" s="6" t="s">
        <v>134</v>
      </c>
      <c r="AJ253" s="6" t="str">
        <f t="shared" si="12"/>
        <v>Completed</v>
      </c>
      <c r="AK253" s="9" t="str">
        <f>_xlfn.TEXTJOIN("|",FALSE,A253,TEXT(B253,"mm-dd-yyyy"),TEXT(E253,"mm-dd-yyyy"),I253,J253,L253,N253,P253,R253,T253,V253,X253,Y253,AA253,AB253,AC253,AD253,AE253,AF253,AG253,AI253)</f>
        <v>ORD-2025-10252|04-06-2025|04-10-2025|CUST-6268|Ananya Rao|Corporate|West|Gujarat|Ahmedabad|Furniture|Tables|Prime Tables 263|Second Class|6|1022.16|0|6132.96|4881.1|1251.86|Paid|Completed</v>
      </c>
      <c r="AL253" s="27" t="str">
        <f>IF(COUNTIF($AK$2:AK253,AK253)&gt;1,"Remove exact duplicate copy","Keep")</f>
        <v>Keep</v>
      </c>
      <c r="AM253" s="9">
        <f t="shared" si="13"/>
        <v>1</v>
      </c>
      <c r="AN253" s="9" t="str">
        <f t="shared" si="14"/>
        <v>Unique</v>
      </c>
      <c r="AO253" s="9" t="str">
        <f t="shared" si="15"/>
        <v/>
      </c>
      <c r="AP253" s="9">
        <f t="shared" si="16"/>
        <v>0</v>
      </c>
      <c r="AQ253" s="10">
        <f t="shared" si="17"/>
        <v>6132.96</v>
      </c>
      <c r="AR253" s="10">
        <f t="shared" si="18"/>
        <v>1251.8599999999997</v>
      </c>
      <c r="AS253" s="11">
        <f t="shared" si="19"/>
        <v>0.20412003339333692</v>
      </c>
      <c r="AT253" s="9">
        <f t="shared" si="20"/>
        <v>4</v>
      </c>
      <c r="AU253" s="9">
        <f t="shared" si="21"/>
        <v>2025</v>
      </c>
      <c r="AV253" s="9" t="b">
        <f t="shared" si="22"/>
        <v>0</v>
      </c>
      <c r="AW253" s="9" t="b">
        <f t="shared" si="23"/>
        <v>0</v>
      </c>
      <c r="AX253" s="9" t="str">
        <f t="shared" si="24"/>
        <v>Yes</v>
      </c>
      <c r="AY253" s="9" t="str">
        <f t="shared" si="31"/>
        <v/>
      </c>
      <c r="AZ253" s="9" t="str">
        <f>IF(OR(G253="Missing date",G253="Invalid date",G253="Ship date before order date",NOT(ISNUMBER(AP253)),AP253&lt;0,AP253&gt;0.5,AV253=TRUE,AW253=TRUE),"Invalid",IF(OR(O253="Unknown",Z253="Unknown",AC253="",AH253&lt;&gt;"Paid",AJ253&lt;&gt;"Completed",AO253&lt;&gt;""),"Warning","Clean"))</f>
        <v>Clean</v>
      </c>
    </row>
    <row r="254" spans="1:52" ht="15.75" customHeight="1">
      <c r="A254" s="6" t="s">
        <v>1404</v>
      </c>
      <c r="B254" s="7" t="s">
        <v>1405</v>
      </c>
      <c r="C254" s="7" t="str">
        <f t="shared" si="30"/>
        <v>2025-06</v>
      </c>
      <c r="D254" s="7" cm="1">
        <f t="array" ref="D254">_xlfn.LET(_xlpm.x,B254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45833</v>
      </c>
      <c r="E254" s="7" t="s">
        <v>1300</v>
      </c>
      <c r="F254" s="7" cm="1">
        <f t="array" ref="F254">_xlfn.LET(_xlpm.x,E254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45836</v>
      </c>
      <c r="G254" s="8" t="str">
        <f t="shared" si="1"/>
        <v>OK</v>
      </c>
      <c r="H254" s="6">
        <f t="shared" si="2"/>
        <v>3</v>
      </c>
      <c r="I254" s="6" t="s">
        <v>1406</v>
      </c>
      <c r="J254" s="6" t="s">
        <v>153</v>
      </c>
      <c r="K254" s="6" t="str">
        <f t="shared" si="3"/>
        <v>Arjun Bose</v>
      </c>
      <c r="L254" s="6" t="s">
        <v>45</v>
      </c>
      <c r="M254" s="8" t="str">
        <f t="shared" si="4"/>
        <v>Corporate</v>
      </c>
      <c r="N254" s="6" t="s">
        <v>7</v>
      </c>
      <c r="O254" s="6" t="str">
        <f t="shared" si="5"/>
        <v>North</v>
      </c>
      <c r="P254" s="6" t="s">
        <v>397</v>
      </c>
      <c r="Q254" s="6" t="str">
        <f t="shared" si="6"/>
        <v>Haryana</v>
      </c>
      <c r="R254" s="6" t="s">
        <v>398</v>
      </c>
      <c r="S254" s="6" t="str">
        <f t="shared" si="7"/>
        <v>Gurugram</v>
      </c>
      <c r="T254" s="6" t="s">
        <v>20</v>
      </c>
      <c r="U254" s="8" t="str">
        <f t="shared" si="8"/>
        <v>Office Supplies</v>
      </c>
      <c r="V254" s="6" t="s">
        <v>25</v>
      </c>
      <c r="W254" s="6" t="str">
        <f t="shared" si="9"/>
        <v>Storage</v>
      </c>
      <c r="X254" s="6" t="s">
        <v>1407</v>
      </c>
      <c r="Y254" s="6" t="s">
        <v>35</v>
      </c>
      <c r="Z254" s="6" t="str">
        <f t="shared" si="10"/>
        <v>First Class</v>
      </c>
      <c r="AA254" s="6">
        <v>2</v>
      </c>
      <c r="AB254" s="6">
        <v>1455.92</v>
      </c>
      <c r="AC254" s="6">
        <v>0.2</v>
      </c>
      <c r="AD254" s="6">
        <v>2329.4699999999998</v>
      </c>
      <c r="AE254" s="6">
        <v>1603.62</v>
      </c>
      <c r="AF254" s="6">
        <v>725.85</v>
      </c>
      <c r="AG254" s="6" t="s">
        <v>54</v>
      </c>
      <c r="AH254" s="6" t="str">
        <f t="shared" si="11"/>
        <v>Pending</v>
      </c>
      <c r="AI254" s="6" t="s">
        <v>59</v>
      </c>
      <c r="AJ254" s="6" t="str">
        <f t="shared" si="12"/>
        <v>Returned</v>
      </c>
      <c r="AK254" s="9" t="str">
        <f>_xlfn.TEXTJOIN("|",FALSE,A254,TEXT(B254,"mm-dd-yyyy"),TEXT(E254,"mm-dd-yyyy"),I254,J254,L254,N254,P254,R254,T254,V254,X254,Y254,AA254,AB254,AC254,AD254,AE254,AF254,AG254,AI254)</f>
        <v>ORD-2025-10253|25-06-2025|06-28-2025|CUST-2103|Arjun Bose|Corporate|North|Haryana|Gurugram|Office Supplies|Storage|Basic Storage 269|First Class|2|1455.92|0.2|2329.47|1603.62|725.85|Pending|Returned</v>
      </c>
      <c r="AL254" s="27" t="str">
        <f>IF(COUNTIF($AK$2:AK254,AK254)&gt;1,"Remove exact duplicate copy","Keep")</f>
        <v>Keep</v>
      </c>
      <c r="AM254" s="9">
        <f t="shared" si="13"/>
        <v>1</v>
      </c>
      <c r="AN254" s="9" t="str">
        <f t="shared" si="14"/>
        <v>Unique</v>
      </c>
      <c r="AO254" s="9" t="str">
        <f t="shared" si="15"/>
        <v/>
      </c>
      <c r="AP254" s="9">
        <f t="shared" si="16"/>
        <v>0.2</v>
      </c>
      <c r="AQ254" s="10">
        <f t="shared" si="17"/>
        <v>2329.4720000000002</v>
      </c>
      <c r="AR254" s="10">
        <f t="shared" si="18"/>
        <v>725.85200000000032</v>
      </c>
      <c r="AS254" s="11">
        <f t="shared" si="19"/>
        <v>0.31159507390515973</v>
      </c>
      <c r="AT254" s="9">
        <f t="shared" si="20"/>
        <v>6</v>
      </c>
      <c r="AU254" s="9">
        <f t="shared" si="21"/>
        <v>2025</v>
      </c>
      <c r="AV254" s="9" t="b">
        <f t="shared" si="22"/>
        <v>0</v>
      </c>
      <c r="AW254" s="9" t="b">
        <f t="shared" si="23"/>
        <v>0</v>
      </c>
      <c r="AX254" s="9" t="str">
        <f t="shared" si="24"/>
        <v>No</v>
      </c>
      <c r="AY254" s="9" t="str">
        <f t="shared" si="31"/>
        <v>Returned order excluded</v>
      </c>
      <c r="AZ254" s="9" t="str">
        <f>IF(OR(G254="Missing date",G254="Invalid date",G254="Ship date before order date",NOT(ISNUMBER(AP254)),AP254&lt;0,AP254&gt;0.5,AV254=TRUE,AW254=TRUE),"Invalid",IF(OR(O254="Unknown",Z254="Unknown",AC254="",AH254&lt;&gt;"Paid",AJ254&lt;&gt;"Completed",AO254&lt;&gt;""),"Warning","Clean"))</f>
        <v>Warning</v>
      </c>
    </row>
    <row r="255" spans="1:52" ht="15.75" customHeight="1">
      <c r="A255" s="6" t="s">
        <v>1408</v>
      </c>
      <c r="B255" s="7" t="s">
        <v>1409</v>
      </c>
      <c r="C255" s="7" t="str">
        <f t="shared" si="30"/>
        <v>2024-09</v>
      </c>
      <c r="D255" s="7" cm="1">
        <f t="array" ref="D255">_xlfn.LET(_xlpm.x,B255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45547</v>
      </c>
      <c r="E255" s="7" t="s">
        <v>1410</v>
      </c>
      <c r="F255" s="7" cm="1">
        <f t="array" ref="F255">_xlfn.LET(_xlpm.x,E255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45548</v>
      </c>
      <c r="G255" s="8" t="str">
        <f t="shared" si="1"/>
        <v>OK</v>
      </c>
      <c r="H255" s="6">
        <f t="shared" si="2"/>
        <v>1</v>
      </c>
      <c r="I255" s="6" t="s">
        <v>1411</v>
      </c>
      <c r="J255" s="6" t="s">
        <v>220</v>
      </c>
      <c r="K255" s="6" t="str">
        <f t="shared" si="3"/>
        <v>Priya Menon</v>
      </c>
      <c r="L255" s="6" t="s">
        <v>46</v>
      </c>
      <c r="M255" s="8" t="str">
        <f t="shared" si="4"/>
        <v>Small Business</v>
      </c>
      <c r="N255" s="6" t="s">
        <v>7</v>
      </c>
      <c r="O255" s="6" t="str">
        <f t="shared" si="5"/>
        <v>North</v>
      </c>
      <c r="P255" s="6" t="s">
        <v>131</v>
      </c>
      <c r="Q255" s="6" t="str">
        <f t="shared" si="6"/>
        <v>Rajasthan</v>
      </c>
      <c r="R255" s="6" t="s">
        <v>132</v>
      </c>
      <c r="S255" s="6" t="str">
        <f t="shared" si="7"/>
        <v>Jaipur</v>
      </c>
      <c r="T255" s="6" t="s">
        <v>27</v>
      </c>
      <c r="U255" s="8" t="str">
        <f t="shared" si="8"/>
        <v>Technology</v>
      </c>
      <c r="V255" s="6" t="s">
        <v>31</v>
      </c>
      <c r="W255" s="6" t="str">
        <f t="shared" si="9"/>
        <v>Phones</v>
      </c>
      <c r="X255" s="6" t="s">
        <v>1412</v>
      </c>
      <c r="Y255" s="6" t="s">
        <v>37</v>
      </c>
      <c r="Z255" s="6" t="str">
        <f t="shared" si="10"/>
        <v>Same Day</v>
      </c>
      <c r="AA255" s="6">
        <v>6</v>
      </c>
      <c r="AB255" s="6">
        <v>832.79</v>
      </c>
      <c r="AC255" s="6">
        <v>0.05</v>
      </c>
      <c r="AD255" s="6">
        <v>4746.8999999999996</v>
      </c>
      <c r="AE255" s="6">
        <v>2825.38</v>
      </c>
      <c r="AF255" s="6">
        <v>1472.89</v>
      </c>
      <c r="AG255" s="6" t="s">
        <v>56</v>
      </c>
      <c r="AH255" s="6" t="str">
        <f t="shared" si="11"/>
        <v>Refunded</v>
      </c>
      <c r="AI255" s="6" t="s">
        <v>58</v>
      </c>
      <c r="AJ255" s="6" t="str">
        <f t="shared" si="12"/>
        <v>Cancelled</v>
      </c>
      <c r="AK255" s="9" t="str">
        <f>_xlfn.TEXTJOIN("|",FALSE,A255,TEXT(B255,"mm-dd-yyyy"),TEXT(E255,"mm-dd-yyyy"),I255,J255,L255,N255,P255,R255,T255,V255,X255,Y255,AA255,AB255,AC255,AD255,AE255,AF255,AG255,AI255)</f>
        <v>ORD-2024-10254|09-12-2024|09-13-2024|CUST-5394|Priya Menon|Small Business|North|Rajasthan|Jaipur|Technology|Phones|Classic Phones 442|Same Day|6|832.79|0.05|4746.9|2825.38|1472.89|Refunded|Cancelled</v>
      </c>
      <c r="AL255" s="27" t="str">
        <f>IF(COUNTIF($AK$2:AK255,AK255)&gt;1,"Remove exact duplicate copy","Keep")</f>
        <v>Keep</v>
      </c>
      <c r="AM255" s="9">
        <f t="shared" si="13"/>
        <v>1</v>
      </c>
      <c r="AN255" s="9" t="str">
        <f t="shared" si="14"/>
        <v>Unique</v>
      </c>
      <c r="AO255" s="9" t="str">
        <f t="shared" si="15"/>
        <v/>
      </c>
      <c r="AP255" s="9">
        <f t="shared" si="16"/>
        <v>0.05</v>
      </c>
      <c r="AQ255" s="10">
        <f t="shared" si="17"/>
        <v>4746.9029999999993</v>
      </c>
      <c r="AR255" s="10">
        <f t="shared" si="18"/>
        <v>1921.5229999999992</v>
      </c>
      <c r="AS255" s="11">
        <f t="shared" si="19"/>
        <v>0.40479508428969363</v>
      </c>
      <c r="AT255" s="9">
        <f t="shared" si="20"/>
        <v>9</v>
      </c>
      <c r="AU255" s="9">
        <f t="shared" si="21"/>
        <v>2024</v>
      </c>
      <c r="AV255" s="9" t="b">
        <f t="shared" si="22"/>
        <v>0</v>
      </c>
      <c r="AW255" s="9" t="b">
        <f t="shared" si="23"/>
        <v>1</v>
      </c>
      <c r="AX255" s="9" t="str">
        <f t="shared" si="24"/>
        <v>No</v>
      </c>
      <c r="AY255" s="9" t="str">
        <f t="shared" si="31"/>
        <v>Refunded order summarized separately; Cancelled order excluded; Profit mismatch</v>
      </c>
      <c r="AZ255" s="9" t="str">
        <f>IF(OR(G255="Missing date",G255="Invalid date",G255="Ship date before order date",NOT(ISNUMBER(AP255)),AP255&lt;0,AP255&gt;0.5,AV255=TRUE,AW255=TRUE),"Invalid",IF(OR(O255="Unknown",Z255="Unknown",AC255="",AH255&lt;&gt;"Paid",AJ255&lt;&gt;"Completed",AO255&lt;&gt;""),"Warning","Clean"))</f>
        <v>Invalid</v>
      </c>
    </row>
    <row r="256" spans="1:52" ht="15.75" customHeight="1">
      <c r="A256" s="6" t="s">
        <v>1413</v>
      </c>
      <c r="B256" s="7" t="s">
        <v>1414</v>
      </c>
      <c r="C256" s="7" t="str">
        <f t="shared" si="30"/>
        <v>2025-01</v>
      </c>
      <c r="D256" s="7" cm="1">
        <f t="array" ref="D256">_xlfn.LET(_xlpm.x,B256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45658</v>
      </c>
      <c r="E256" s="7" t="s">
        <v>1415</v>
      </c>
      <c r="F256" s="7" cm="1">
        <f t="array" ref="F256">_xlfn.LET(_xlpm.x,E256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45660</v>
      </c>
      <c r="G256" s="8" t="str">
        <f t="shared" si="1"/>
        <v>OK</v>
      </c>
      <c r="H256" s="6">
        <f t="shared" si="2"/>
        <v>2</v>
      </c>
      <c r="I256" s="6" t="s">
        <v>1416</v>
      </c>
      <c r="J256" s="6" t="s">
        <v>161</v>
      </c>
      <c r="K256" s="6" t="str">
        <f t="shared" si="3"/>
        <v>Ananya Rao</v>
      </c>
      <c r="L256" s="6" t="s">
        <v>43</v>
      </c>
      <c r="M256" s="8" t="str">
        <f t="shared" si="4"/>
        <v>Consumer</v>
      </c>
      <c r="N256" s="6" t="s">
        <v>9</v>
      </c>
      <c r="O256" s="6" t="str">
        <f t="shared" si="5"/>
        <v>West</v>
      </c>
      <c r="P256" s="6" t="s">
        <v>170</v>
      </c>
      <c r="Q256" s="6" t="str">
        <f t="shared" si="6"/>
        <v>Madhya Pradesh</v>
      </c>
      <c r="R256" s="6" t="s">
        <v>171</v>
      </c>
      <c r="S256" s="6" t="str">
        <f t="shared" si="7"/>
        <v>Indore</v>
      </c>
      <c r="T256" s="6" t="s">
        <v>27</v>
      </c>
      <c r="U256" s="8" t="str">
        <f t="shared" si="8"/>
        <v>Technology</v>
      </c>
      <c r="V256" s="6" t="s">
        <v>28</v>
      </c>
      <c r="W256" s="6" t="str">
        <f t="shared" si="9"/>
        <v>Accessories</v>
      </c>
      <c r="X256" s="6" t="s">
        <v>1417</v>
      </c>
      <c r="Y256" s="6" t="s">
        <v>37</v>
      </c>
      <c r="Z256" s="6" t="str">
        <f t="shared" si="10"/>
        <v>Same Day</v>
      </c>
      <c r="AA256" s="6">
        <v>7</v>
      </c>
      <c r="AB256" s="6">
        <v>1000.55</v>
      </c>
      <c r="AC256" s="6">
        <v>0.2</v>
      </c>
      <c r="AD256" s="6">
        <v>5603.08</v>
      </c>
      <c r="AE256" s="6">
        <v>3132.52</v>
      </c>
      <c r="AF256" s="6">
        <v>2470.56</v>
      </c>
      <c r="AG256" s="6" t="s">
        <v>52</v>
      </c>
      <c r="AH256" s="6" t="str">
        <f t="shared" si="11"/>
        <v>Paid</v>
      </c>
      <c r="AI256" s="6" t="s">
        <v>59</v>
      </c>
      <c r="AJ256" s="6" t="str">
        <f t="shared" si="12"/>
        <v>Returned</v>
      </c>
      <c r="AK256" s="9" t="str">
        <f>_xlfn.TEXTJOIN("|",FALSE,A256,TEXT(B256,"mm-dd-yyyy"),TEXT(E256,"mm-dd-yyyy"),I256,J256,L256,N256,P256,R256,T256,V256,X256,Y256,AA256,AB256,AC256,AD256,AE256,AF256,AG256,AI256)</f>
        <v>ORD-2025-10255|01-01-2025|03-01-2025|CUST-6853|Ananya Rao|Consumer|West|Madhya Pradesh|Indore|Technology|Accessories|Elite Accessories 978|Same Day|7|1000.55|0.2|5603.08|3132.52|2470.56|Paid|Returned</v>
      </c>
      <c r="AL256" s="27" t="str">
        <f>IF(COUNTIF($AK$2:AK256,AK256)&gt;1,"Remove exact duplicate copy","Keep")</f>
        <v>Keep</v>
      </c>
      <c r="AM256" s="9">
        <f t="shared" si="13"/>
        <v>1</v>
      </c>
      <c r="AN256" s="9" t="str">
        <f t="shared" si="14"/>
        <v>Unique</v>
      </c>
      <c r="AO256" s="9" t="str">
        <f t="shared" si="15"/>
        <v/>
      </c>
      <c r="AP256" s="9">
        <f t="shared" si="16"/>
        <v>0.2</v>
      </c>
      <c r="AQ256" s="10">
        <f t="shared" si="17"/>
        <v>5603.08</v>
      </c>
      <c r="AR256" s="10">
        <f t="shared" si="18"/>
        <v>2470.56</v>
      </c>
      <c r="AS256" s="11">
        <f t="shared" si="19"/>
        <v>0.44092891766671188</v>
      </c>
      <c r="AT256" s="9">
        <f t="shared" si="20"/>
        <v>1</v>
      </c>
      <c r="AU256" s="9">
        <f t="shared" si="21"/>
        <v>2025</v>
      </c>
      <c r="AV256" s="9" t="b">
        <f t="shared" si="22"/>
        <v>0</v>
      </c>
      <c r="AW256" s="9" t="b">
        <f t="shared" si="23"/>
        <v>0</v>
      </c>
      <c r="AX256" s="9" t="str">
        <f t="shared" si="24"/>
        <v>No</v>
      </c>
      <c r="AY256" s="9" t="str">
        <f t="shared" si="31"/>
        <v>Returned order excluded</v>
      </c>
      <c r="AZ256" s="9" t="str">
        <f>IF(OR(G256="Missing date",G256="Invalid date",G256="Ship date before order date",NOT(ISNUMBER(AP256)),AP256&lt;0,AP256&gt;0.5,AV256=TRUE,AW256=TRUE),"Invalid",IF(OR(O256="Unknown",Z256="Unknown",AC256="",AH256&lt;&gt;"Paid",AJ256&lt;&gt;"Completed",AO256&lt;&gt;""),"Warning","Clean"))</f>
        <v>Warning</v>
      </c>
    </row>
    <row r="257" spans="1:52" ht="15.75" customHeight="1">
      <c r="A257" s="6" t="s">
        <v>1418</v>
      </c>
      <c r="B257" s="7" t="s">
        <v>1419</v>
      </c>
      <c r="C257" s="7" t="str">
        <f t="shared" si="30"/>
        <v>2025-02</v>
      </c>
      <c r="D257" s="7" cm="1">
        <f t="array" ref="D257">_xlfn.LET(_xlpm.x,B257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45692</v>
      </c>
      <c r="E257" s="7" t="s">
        <v>1420</v>
      </c>
      <c r="F257" s="7" cm="1">
        <f t="array" ref="F257">_xlfn.LET(_xlpm.x,E257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45698</v>
      </c>
      <c r="G257" s="8" t="str">
        <f t="shared" ref="G257:G511" si="32">IF(OR(D257="",F257=""),"Missing date",IF(OR(D257="Invalid Date",F257="Invalid Date"),"Invalid date",IF(F257&lt;D257,"Ship date before order date","OK")))</f>
        <v>OK</v>
      </c>
      <c r="H257" s="6">
        <f t="shared" ref="H257:H511" si="33">IF(AND(ISNUMBER(D257),ISNUMBER(F257)),F257-D257,"")</f>
        <v>6</v>
      </c>
      <c r="I257" s="6" t="s">
        <v>1421</v>
      </c>
      <c r="J257" s="6" t="s">
        <v>147</v>
      </c>
      <c r="K257" s="6" t="str">
        <f t="shared" ref="K257:K511" si="34">PROPER(TRIM(CLEAN(SUBSTITUTE(J257,CHAR(160)," "))))</f>
        <v>Isha Nair</v>
      </c>
      <c r="L257" s="6" t="s">
        <v>45</v>
      </c>
      <c r="M257" s="8" t="str">
        <f t="shared" ref="M257:M511" si="35">IF(LOWER(TRIM(L257))="consumer","Consumer", IF(LOWER(TRIM(L257))="corporate","Corporate", IF(LOWER(TRIM(L257))="home office","Home Office", IF(LOWER(TRIM(SUBSTITUTE(L257," "," ")))="small business","Small Business", PROPER(TRIM(L257))))))</f>
        <v>Corporate</v>
      </c>
      <c r="N257" s="6" t="s">
        <v>9</v>
      </c>
      <c r="O257" s="6" t="str">
        <f t="shared" ref="O257:O511" si="36">IF(TRIM(N257)="","Unknown",PROPER(TRIM(CLEAN(SUBSTITUTE(N257,CHAR(160)," ")))))</f>
        <v>West</v>
      </c>
      <c r="P257" s="6" t="s">
        <v>162</v>
      </c>
      <c r="Q257" s="6" t="str">
        <f t="shared" ref="Q257:Q511" si="37">PROPER(TRIM(P257))</f>
        <v>Maharashtra</v>
      </c>
      <c r="R257" s="6" t="s">
        <v>163</v>
      </c>
      <c r="S257" s="6" t="str">
        <f t="shared" ref="S257:S511" si="38">PROPER(TRIM(R257))</f>
        <v>Mumbai</v>
      </c>
      <c r="T257" s="6" t="s">
        <v>27</v>
      </c>
      <c r="U257" s="8" t="str">
        <f t="shared" ref="U257:U511" si="39">IF(LOWER(TRIM(SUBSTITUTE(T257," "," ")))="office supplies","Office Supplies", IF(LOWER(TRIM(T257))="furniture","Furniture", IF(LOWER(TRIM(T257))="technology","Technology", PROPER(TRIM(T257)))))</f>
        <v>Technology</v>
      </c>
      <c r="V257" s="6" t="s">
        <v>31</v>
      </c>
      <c r="W257" s="6" t="str">
        <f t="shared" ref="W257:W511" si="40">PROPER(TRIM(V257))</f>
        <v>Phones</v>
      </c>
      <c r="X257" s="6" t="s">
        <v>1422</v>
      </c>
      <c r="Y257" s="6" t="s">
        <v>35</v>
      </c>
      <c r="Z257" s="6" t="str">
        <f t="shared" ref="Z257:Z511" si="41">IF(TRIM(Y257)="","Unknown",PROPER(TRIM(CLEAN(SUBSTITUTE(Y257,CHAR(160)," ")))))</f>
        <v>First Class</v>
      </c>
      <c r="AA257" s="6">
        <v>7</v>
      </c>
      <c r="AB257" s="6">
        <v>1830</v>
      </c>
      <c r="AC257" s="6">
        <v>0</v>
      </c>
      <c r="AD257" s="6">
        <v>12810</v>
      </c>
      <c r="AE257" s="6">
        <v>9334.1200000000008</v>
      </c>
      <c r="AF257" s="6">
        <v>3475.88</v>
      </c>
      <c r="AG257" s="6" t="s">
        <v>52</v>
      </c>
      <c r="AH257" s="6" t="str">
        <f t="shared" ref="AH257:AH511" si="42">PROPER(TRIM(AG257))</f>
        <v>Paid</v>
      </c>
      <c r="AI257" s="6" t="s">
        <v>134</v>
      </c>
      <c r="AJ257" s="6" t="str">
        <f t="shared" ref="AJ257:AJ511" si="43">PROPER(TRIM(AI257))</f>
        <v>Completed</v>
      </c>
      <c r="AK257" s="9" t="str">
        <f>_xlfn.TEXTJOIN("|",FALSE,A257,TEXT(B257,"mm-dd-yyyy"),TEXT(E257,"mm-dd-yyyy"),I257,J257,L257,N257,P257,R257,T257,V257,X257,Y257,AA257,AB257,AC257,AD257,AE257,AF257,AG257,AI257)</f>
        <v>ORD-2025-10256|02-04-2025|02-10-2025|CUST-1549|Isha Nair|Corporate|West|Maharashtra|Mumbai|Technology|Phones|Eco Phones 132|First Class|7|1830|0|12810|9334.12|3475.88|Paid|Completed</v>
      </c>
      <c r="AL257" s="27" t="str">
        <f>IF(COUNTIF($AK$2:AK257,AK257)&gt;1,"Remove exact duplicate copy","Keep")</f>
        <v>Keep</v>
      </c>
      <c r="AM257" s="9">
        <f t="shared" ref="AM257:AM511" si="44">COUNTIF($A$2:$A$913,A257)</f>
        <v>1</v>
      </c>
      <c r="AN257" s="9" t="str">
        <f t="shared" ref="AN257:AN511" si="45">IF(AM257&gt;1,"Duplicate order_id","Unique")</f>
        <v>Unique</v>
      </c>
      <c r="AO257" s="9" t="str">
        <f t="shared" ref="AO257:AO511" si="46">IF(AND(AM257&gt;1,COUNTIF($AK$2:$AK$913,AK257)&lt;AM257),"Review conflicting duplicate","")</f>
        <v/>
      </c>
      <c r="AP257" s="9">
        <f t="shared" ref="AP257:AP511" si="47">IF(TRIM(AC257&amp;"")="",IF(AND(ISNUMBER(AA257),ISNUMBER(AB257),ISNUMBER(AD257),ISNUMBER(AE257),ISNUMBER(AF257)),0,""),IF(RIGHT(TRIM(AC257&amp;""),1)="%",VALUE(SUBSTITUTE(TRIM(AC257&amp;""),"%",""))/100,VALUE(AC257)))</f>
        <v>0</v>
      </c>
      <c r="AQ257" s="10">
        <f t="shared" ref="AQ257:AQ511" si="48">IF(AND(ISNUMBER(AA257),ISNUMBER(AB257),ISNUMBER(AP257)),AA257*AB257*(1-AP257),"")</f>
        <v>12810</v>
      </c>
      <c r="AR257" s="10">
        <f t="shared" ref="AR257:AR511" si="49">IF(AND(ISNUMBER(AQ257),ISNUMBER(AE257)),AQ257-AE257,"")</f>
        <v>3475.8799999999992</v>
      </c>
      <c r="AS257" s="11">
        <f t="shared" ref="AS257:AS511" si="50">IFERROR(AR257/AQ257,"")</f>
        <v>0.27134113973458229</v>
      </c>
      <c r="AT257" s="9">
        <f t="shared" ref="AT257:AT511" si="51">IF(ISNUMBER(D257),MONTH(D257),"")</f>
        <v>2</v>
      </c>
      <c r="AU257" s="9">
        <f t="shared" ref="AU257:AU511" si="52">IF(ISNUMBER(D257),YEAR(D257),"")</f>
        <v>2025</v>
      </c>
      <c r="AV257" s="9" t="b">
        <f t="shared" ref="AV257:AV511" si="53">IF(AND(ISNUMBER(AQ257),ISNUMBER(AD257)),ABS(AQ257-AD257)&gt;0.05,FALSE)</f>
        <v>0</v>
      </c>
      <c r="AW257" s="9" t="b">
        <f t="shared" ref="AW257:AW511" si="54">IF(AND(ISNUMBER(AR257),ISNUMBER(AF257)),ABS(AR257-AF257)&gt;0.05,FALSE)</f>
        <v>0</v>
      </c>
      <c r="AX257" s="9" t="str">
        <f t="shared" ref="AX257:AX511" si="55">IF(AND(AJ257="Completed",AH257="Paid",AZ257&lt;&gt;"Invalid",AO257="",AL257="Keep"),"Yes","No")</f>
        <v>Yes</v>
      </c>
      <c r="AY257" s="9" t="str">
        <f t="shared" si="31"/>
        <v/>
      </c>
      <c r="AZ257" s="9" t="str">
        <f>IF(OR(G257="Missing date",G257="Invalid date",G257="Ship date before order date",NOT(ISNUMBER(AP257)),AP257&lt;0,AP257&gt;0.5,AV257=TRUE,AW257=TRUE),"Invalid",IF(OR(O257="Unknown",Z257="Unknown",AC257="",AH257&lt;&gt;"Paid",AJ257&lt;&gt;"Completed",AO257&lt;&gt;""),"Warning","Clean"))</f>
        <v>Clean</v>
      </c>
    </row>
    <row r="258" spans="1:52" ht="15.75" customHeight="1">
      <c r="A258" s="6" t="s">
        <v>1423</v>
      </c>
      <c r="B258" s="7" t="s">
        <v>1424</v>
      </c>
      <c r="C258" s="7" t="str">
        <f t="shared" ref="C258:C321" si="56">TEXT(D258, "yyyy-mm")</f>
        <v>2024-11</v>
      </c>
      <c r="D258" s="7" cm="1">
        <f t="array" ref="D258">_xlfn.LET(_xlpm.x,B258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45601</v>
      </c>
      <c r="E258" s="7" t="s">
        <v>559</v>
      </c>
      <c r="F258" s="7" cm="1">
        <f t="array" ref="F258">_xlfn.LET(_xlpm.x,E258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45599</v>
      </c>
      <c r="G258" s="8" t="str">
        <f t="shared" si="32"/>
        <v>Ship date before order date</v>
      </c>
      <c r="H258" s="6">
        <f t="shared" si="33"/>
        <v>-2</v>
      </c>
      <c r="I258" s="6" t="s">
        <v>1425</v>
      </c>
      <c r="J258" s="6" t="s">
        <v>161</v>
      </c>
      <c r="K258" s="6" t="str">
        <f t="shared" si="34"/>
        <v>Ananya Rao</v>
      </c>
      <c r="L258" s="6" t="s">
        <v>43</v>
      </c>
      <c r="M258" s="8" t="str">
        <f t="shared" si="35"/>
        <v>Consumer</v>
      </c>
      <c r="N258" s="6" t="s">
        <v>8</v>
      </c>
      <c r="O258" s="6" t="str">
        <f t="shared" si="36"/>
        <v>East</v>
      </c>
      <c r="P258" s="6" t="s">
        <v>201</v>
      </c>
      <c r="Q258" s="6" t="str">
        <f t="shared" si="37"/>
        <v>West Bengal</v>
      </c>
      <c r="R258" s="6" t="s">
        <v>202</v>
      </c>
      <c r="S258" s="6" t="str">
        <f t="shared" si="38"/>
        <v>Kolkata</v>
      </c>
      <c r="T258" s="6" t="s">
        <v>14</v>
      </c>
      <c r="U258" s="8" t="str">
        <f t="shared" si="39"/>
        <v>Furniture</v>
      </c>
      <c r="V258" s="6" t="s">
        <v>18</v>
      </c>
      <c r="W258" s="6" t="str">
        <f t="shared" si="40"/>
        <v>Tables</v>
      </c>
      <c r="X258" s="6" t="s">
        <v>1426</v>
      </c>
      <c r="Y258" s="6" t="s">
        <v>35</v>
      </c>
      <c r="Z258" s="6" t="str">
        <f t="shared" si="41"/>
        <v>First Class</v>
      </c>
      <c r="AA258" s="6">
        <v>9</v>
      </c>
      <c r="AB258" s="6">
        <v>2260.61</v>
      </c>
      <c r="AC258" s="6">
        <v>0.05</v>
      </c>
      <c r="AD258" s="6">
        <v>19328.22</v>
      </c>
      <c r="AE258" s="6">
        <v>12039.5</v>
      </c>
      <c r="AF258" s="6">
        <v>7288.72</v>
      </c>
      <c r="AG258" s="6" t="s">
        <v>52</v>
      </c>
      <c r="AH258" s="6" t="str">
        <f t="shared" si="42"/>
        <v>Paid</v>
      </c>
      <c r="AI258" s="6" t="s">
        <v>134</v>
      </c>
      <c r="AJ258" s="6" t="str">
        <f t="shared" si="43"/>
        <v>Completed</v>
      </c>
      <c r="AK258" s="9" t="str">
        <f>_xlfn.TEXTJOIN("|",FALSE,A258,TEXT(B258,"mm-dd-yyyy"),TEXT(E258,"mm-dd-yyyy"),I258,J258,L258,N258,P258,R258,T258,V258,X258,Y258,AA258,AB258,AC258,AD258,AE258,AF258,AG258,AI258)</f>
        <v>ORD-2024-10257|11-05-2024|11-03-2024|CUST-8411|Ananya Rao|Consumer|East|West Bengal|Kolkata|Furniture|Tables|Prime Tables 481|First Class|9|2260.61|0.05|19328.22|12039.5|7288.72|Paid|Completed</v>
      </c>
      <c r="AL258" s="27" t="str">
        <f>IF(COUNTIF($AK$2:AK258,AK258)&gt;1,"Remove exact duplicate copy","Keep")</f>
        <v>Keep</v>
      </c>
      <c r="AM258" s="9">
        <f t="shared" si="44"/>
        <v>1</v>
      </c>
      <c r="AN258" s="9" t="str">
        <f t="shared" si="45"/>
        <v>Unique</v>
      </c>
      <c r="AO258" s="9" t="str">
        <f t="shared" si="46"/>
        <v/>
      </c>
      <c r="AP258" s="9">
        <f t="shared" si="47"/>
        <v>0.05</v>
      </c>
      <c r="AQ258" s="10">
        <f t="shared" si="48"/>
        <v>19328.215500000002</v>
      </c>
      <c r="AR258" s="10">
        <f t="shared" si="49"/>
        <v>7288.7155000000021</v>
      </c>
      <c r="AS258" s="11">
        <f t="shared" si="50"/>
        <v>0.3771023507058891</v>
      </c>
      <c r="AT258" s="9">
        <f t="shared" si="51"/>
        <v>11</v>
      </c>
      <c r="AU258" s="9">
        <f t="shared" si="52"/>
        <v>2024</v>
      </c>
      <c r="AV258" s="9" t="b">
        <f t="shared" si="53"/>
        <v>0</v>
      </c>
      <c r="AW258" s="9" t="b">
        <f t="shared" si="54"/>
        <v>0</v>
      </c>
      <c r="AX258" s="9" t="str">
        <f t="shared" si="55"/>
        <v>No</v>
      </c>
      <c r="AY258" s="9" t="str">
        <f t="shared" si="31"/>
        <v>Ship date before order date</v>
      </c>
      <c r="AZ258" s="9" t="str">
        <f>IF(OR(G258="Missing date",G258="Invalid date",G258="Ship date before order date",NOT(ISNUMBER(AP258)),AP258&lt;0,AP258&gt;0.5,AV258=TRUE,AW258=TRUE),"Invalid",IF(OR(O258="Unknown",Z258="Unknown",AC258="",AH258&lt;&gt;"Paid",AJ258&lt;&gt;"Completed",AO258&lt;&gt;""),"Warning","Clean"))</f>
        <v>Invalid</v>
      </c>
    </row>
    <row r="259" spans="1:52" ht="15.75" customHeight="1">
      <c r="A259" s="6" t="s">
        <v>1427</v>
      </c>
      <c r="B259" s="7" t="s">
        <v>1428</v>
      </c>
      <c r="C259" s="7" t="str">
        <f t="shared" si="56"/>
        <v>2025-08</v>
      </c>
      <c r="D259" s="7" cm="1">
        <f t="array" ref="D259">_xlfn.LET(_xlpm.x,B259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45878</v>
      </c>
      <c r="E259" s="7" t="s">
        <v>1429</v>
      </c>
      <c r="F259" s="7" cm="1">
        <f t="array" ref="F259">_xlfn.LET(_xlpm.x,E259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45881</v>
      </c>
      <c r="G259" s="8" t="str">
        <f t="shared" si="32"/>
        <v>OK</v>
      </c>
      <c r="H259" s="6">
        <f t="shared" si="33"/>
        <v>3</v>
      </c>
      <c r="I259" s="6" t="s">
        <v>1430</v>
      </c>
      <c r="J259" s="6" t="s">
        <v>284</v>
      </c>
      <c r="K259" s="6" t="str">
        <f t="shared" si="34"/>
        <v>Diya Patel</v>
      </c>
      <c r="L259" s="6" t="s">
        <v>45</v>
      </c>
      <c r="M259" s="8" t="str">
        <f t="shared" si="35"/>
        <v>Corporate</v>
      </c>
      <c r="N259" s="6" t="s">
        <v>10</v>
      </c>
      <c r="O259" s="6" t="str">
        <f t="shared" si="36"/>
        <v>South</v>
      </c>
      <c r="P259" s="6" t="s">
        <v>303</v>
      </c>
      <c r="Q259" s="6" t="str">
        <f t="shared" si="37"/>
        <v>Karnataka</v>
      </c>
      <c r="R259" s="6" t="s">
        <v>304</v>
      </c>
      <c r="S259" s="6" t="str">
        <f t="shared" si="38"/>
        <v>Bengaluru</v>
      </c>
      <c r="T259" s="6" t="s">
        <v>27</v>
      </c>
      <c r="U259" s="8" t="str">
        <f t="shared" si="39"/>
        <v>Technology</v>
      </c>
      <c r="V259" s="6" t="s">
        <v>28</v>
      </c>
      <c r="W259" s="6" t="str">
        <f t="shared" si="40"/>
        <v>Accessories</v>
      </c>
      <c r="X259" s="6" t="s">
        <v>1431</v>
      </c>
      <c r="Y259" s="6" t="s">
        <v>36</v>
      </c>
      <c r="Z259" s="6" t="str">
        <f t="shared" si="41"/>
        <v>Second Class</v>
      </c>
      <c r="AA259" s="6">
        <v>2</v>
      </c>
      <c r="AB259" s="6">
        <v>3237.27</v>
      </c>
      <c r="AC259" s="6">
        <v>0</v>
      </c>
      <c r="AD259" s="6">
        <v>6474.54</v>
      </c>
      <c r="AE259" s="6">
        <v>5095.91</v>
      </c>
      <c r="AF259" s="6">
        <v>1378.63</v>
      </c>
      <c r="AG259" s="6" t="s">
        <v>52</v>
      </c>
      <c r="AH259" s="6" t="str">
        <f t="shared" si="42"/>
        <v>Paid</v>
      </c>
      <c r="AI259" s="6" t="s">
        <v>58</v>
      </c>
      <c r="AJ259" s="6" t="str">
        <f t="shared" si="43"/>
        <v>Cancelled</v>
      </c>
      <c r="AK259" s="9" t="str">
        <f>_xlfn.TEXTJOIN("|",FALSE,A259,TEXT(B259,"mm-dd-yyyy"),TEXT(E259,"mm-dd-yyyy"),I259,J259,L259,N259,P259,R259,T259,V259,X259,Y259,AA259,AB259,AC259,AD259,AE259,AF259,AG259,AI259)</f>
        <v>ORD-2025-10258|08-09-2025|08-12-2025|CUST-5615|Diya Patel|Corporate|South|Karnataka|Bengaluru|Technology|Accessories|Smart Accessories 180|Second Class|2|3237.27|0|6474.54|5095.91|1378.63|Paid|Cancelled</v>
      </c>
      <c r="AL259" s="27" t="str">
        <f>IF(COUNTIF($AK$2:AK259,AK259)&gt;1,"Remove exact duplicate copy","Keep")</f>
        <v>Keep</v>
      </c>
      <c r="AM259" s="9">
        <f t="shared" si="44"/>
        <v>1</v>
      </c>
      <c r="AN259" s="9" t="str">
        <f t="shared" si="45"/>
        <v>Unique</v>
      </c>
      <c r="AO259" s="9" t="str">
        <f t="shared" si="46"/>
        <v/>
      </c>
      <c r="AP259" s="9">
        <f t="shared" si="47"/>
        <v>0</v>
      </c>
      <c r="AQ259" s="10">
        <f t="shared" si="48"/>
        <v>6474.54</v>
      </c>
      <c r="AR259" s="10">
        <f t="shared" si="49"/>
        <v>1378.63</v>
      </c>
      <c r="AS259" s="11">
        <f t="shared" si="50"/>
        <v>0.21293095725719513</v>
      </c>
      <c r="AT259" s="9">
        <f t="shared" si="51"/>
        <v>8</v>
      </c>
      <c r="AU259" s="9">
        <f t="shared" si="52"/>
        <v>2025</v>
      </c>
      <c r="AV259" s="9" t="b">
        <f t="shared" si="53"/>
        <v>0</v>
      </c>
      <c r="AW259" s="9" t="b">
        <f t="shared" si="54"/>
        <v>0</v>
      </c>
      <c r="AX259" s="9" t="str">
        <f t="shared" si="55"/>
        <v>No</v>
      </c>
      <c r="AY259" s="9" t="str">
        <f t="shared" ref="AY259:AY322" si="57">_xlfn.TEXTJOIN("; ",TRUE,IF(O259="Unknown","Missing region filled as Unknown",""),IF(Z259="Unknown","Missing ship mode filled as Unknown",""),IF(AND(AC259="",AP259=0),"Missing discount treated as 0",""),IF(AP259&lt;0,"Negative discount",""),IF(AP259&gt;0.5,"Discount above 50%",""),IF(G259="Ship date before order date","Ship date before order date",""),IF(AH259="Failed","Failed payment excluded",""),IF(AH259="Refunded","Refunded order summarized separately",""),IF(AJ259="Cancelled","Cancelled order excluded",""),IF(AJ259="Returned","Returned order excluded",""),IF(AO259&lt;&gt;"","Duplicate order ID conflict",""),IF(AV259=TRUE,"Sales mismatch",""),IF(AW259=TRUE,"Profit mismatch",""))</f>
        <v>Cancelled order excluded</v>
      </c>
      <c r="AZ259" s="9" t="str">
        <f>IF(OR(G259="Missing date",G259="Invalid date",G259="Ship date before order date",NOT(ISNUMBER(AP259)),AP259&lt;0,AP259&gt;0.5,AV259=TRUE,AW259=TRUE),"Invalid",IF(OR(O259="Unknown",Z259="Unknown",AC259="",AH259&lt;&gt;"Paid",AJ259&lt;&gt;"Completed",AO259&lt;&gt;""),"Warning","Clean"))</f>
        <v>Warning</v>
      </c>
    </row>
    <row r="260" spans="1:52" ht="15.75" customHeight="1">
      <c r="A260" s="6" t="s">
        <v>1432</v>
      </c>
      <c r="B260" s="7" t="s">
        <v>908</v>
      </c>
      <c r="C260" s="7" t="str">
        <f t="shared" si="56"/>
        <v>2024-12</v>
      </c>
      <c r="D260" s="7" cm="1">
        <f t="array" ref="D260">_xlfn.LET(_xlpm.x,B260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45656</v>
      </c>
      <c r="E260" s="7" t="s">
        <v>1433</v>
      </c>
      <c r="F260" s="7" cm="1">
        <f t="array" ref="F260">_xlfn.LET(_xlpm.x,E260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45661</v>
      </c>
      <c r="G260" s="8" t="str">
        <f t="shared" si="32"/>
        <v>OK</v>
      </c>
      <c r="H260" s="6">
        <f t="shared" si="33"/>
        <v>5</v>
      </c>
      <c r="I260" s="6" t="s">
        <v>1434</v>
      </c>
      <c r="J260" s="6" t="s">
        <v>245</v>
      </c>
      <c r="K260" s="6" t="str">
        <f t="shared" si="34"/>
        <v>Sneha Kapoor</v>
      </c>
      <c r="L260" s="6" t="s">
        <v>45</v>
      </c>
      <c r="M260" s="8" t="str">
        <f t="shared" si="35"/>
        <v>Corporate</v>
      </c>
      <c r="N260" s="6" t="s">
        <v>10</v>
      </c>
      <c r="O260" s="6" t="str">
        <f t="shared" si="36"/>
        <v>South</v>
      </c>
      <c r="P260" s="6" t="s">
        <v>413</v>
      </c>
      <c r="Q260" s="6" t="str">
        <f t="shared" si="37"/>
        <v>Tamil Nadu</v>
      </c>
      <c r="R260" s="6" t="s">
        <v>414</v>
      </c>
      <c r="S260" s="6" t="str">
        <f t="shared" si="38"/>
        <v>Chennai</v>
      </c>
      <c r="T260" s="6" t="s">
        <v>14</v>
      </c>
      <c r="U260" s="8" t="str">
        <f t="shared" si="39"/>
        <v>Furniture</v>
      </c>
      <c r="V260" s="6" t="s">
        <v>18</v>
      </c>
      <c r="W260" s="6" t="str">
        <f t="shared" si="40"/>
        <v>Tables</v>
      </c>
      <c r="X260" s="6" t="s">
        <v>1435</v>
      </c>
      <c r="Y260" s="6" t="s">
        <v>37</v>
      </c>
      <c r="Z260" s="6" t="str">
        <f t="shared" si="41"/>
        <v>Same Day</v>
      </c>
      <c r="AA260" s="6">
        <v>2</v>
      </c>
      <c r="AB260" s="6">
        <v>3720.07</v>
      </c>
      <c r="AC260" s="6">
        <v>0.25</v>
      </c>
      <c r="AD260" s="6">
        <v>5580.11</v>
      </c>
      <c r="AE260" s="6">
        <v>4307.01</v>
      </c>
      <c r="AF260" s="6">
        <v>1273.0999999999999</v>
      </c>
      <c r="AG260" s="6" t="s">
        <v>52</v>
      </c>
      <c r="AH260" s="6" t="str">
        <f t="shared" si="42"/>
        <v>Paid</v>
      </c>
      <c r="AI260" s="6" t="s">
        <v>134</v>
      </c>
      <c r="AJ260" s="6" t="str">
        <f t="shared" si="43"/>
        <v>Completed</v>
      </c>
      <c r="AK260" s="9" t="str">
        <f>_xlfn.TEXTJOIN("|",FALSE,A260,TEXT(B260,"mm-dd-yyyy"),TEXT(E260,"mm-dd-yyyy"),I260,J260,L260,N260,P260,R260,T260,V260,X260,Y260,AA260,AB260,AC260,AD260,AE260,AF260,AG260,AI260)</f>
        <v>ORD-2024-10259|12-30-2024|01-04-2025|CUST-8467|Sneha Kapoor|Corporate|South|Tamil Nadu|Chennai|Furniture|Tables|Smart Tables 774|Same Day|2|3720.07|0.25|5580.11|4307.01|1273.1|Paid|Completed</v>
      </c>
      <c r="AL260" s="27" t="str">
        <f>IF(COUNTIF($AK$2:AK260,AK260)&gt;1,"Remove exact duplicate copy","Keep")</f>
        <v>Keep</v>
      </c>
      <c r="AM260" s="9">
        <f t="shared" si="44"/>
        <v>1</v>
      </c>
      <c r="AN260" s="9" t="str">
        <f t="shared" si="45"/>
        <v>Unique</v>
      </c>
      <c r="AO260" s="9" t="str">
        <f t="shared" si="46"/>
        <v/>
      </c>
      <c r="AP260" s="9">
        <f t="shared" si="47"/>
        <v>0.25</v>
      </c>
      <c r="AQ260" s="10">
        <f t="shared" si="48"/>
        <v>5580.1050000000005</v>
      </c>
      <c r="AR260" s="10">
        <f t="shared" si="49"/>
        <v>1273.0950000000003</v>
      </c>
      <c r="AS260" s="11">
        <f t="shared" si="50"/>
        <v>0.22814893268137429</v>
      </c>
      <c r="AT260" s="9">
        <f t="shared" si="51"/>
        <v>12</v>
      </c>
      <c r="AU260" s="9">
        <f t="shared" si="52"/>
        <v>2024</v>
      </c>
      <c r="AV260" s="9" t="b">
        <f t="shared" si="53"/>
        <v>0</v>
      </c>
      <c r="AW260" s="9" t="b">
        <f t="shared" si="54"/>
        <v>0</v>
      </c>
      <c r="AX260" s="9" t="str">
        <f t="shared" si="55"/>
        <v>Yes</v>
      </c>
      <c r="AY260" s="9" t="str">
        <f t="shared" si="57"/>
        <v/>
      </c>
      <c r="AZ260" s="9" t="str">
        <f>IF(OR(G260="Missing date",G260="Invalid date",G260="Ship date before order date",NOT(ISNUMBER(AP260)),AP260&lt;0,AP260&gt;0.5,AV260=TRUE,AW260=TRUE),"Invalid",IF(OR(O260="Unknown",Z260="Unknown",AC260="",AH260&lt;&gt;"Paid",AJ260&lt;&gt;"Completed",AO260&lt;&gt;""),"Warning","Clean"))</f>
        <v>Clean</v>
      </c>
    </row>
    <row r="261" spans="1:52" ht="15.75" customHeight="1">
      <c r="A261" s="6" t="s">
        <v>1436</v>
      </c>
      <c r="B261" s="7" t="s">
        <v>1437</v>
      </c>
      <c r="C261" s="7" t="str">
        <f t="shared" si="56"/>
        <v>2024-06</v>
      </c>
      <c r="D261" s="7" cm="1">
        <f t="array" ref="D261">_xlfn.LET(_xlpm.x,B261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45464</v>
      </c>
      <c r="E261" s="7" t="s">
        <v>1438</v>
      </c>
      <c r="F261" s="7" cm="1">
        <f t="array" ref="F261">_xlfn.LET(_xlpm.x,E261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45472</v>
      </c>
      <c r="G261" s="8" t="str">
        <f t="shared" si="32"/>
        <v>OK</v>
      </c>
      <c r="H261" s="6">
        <f t="shared" si="33"/>
        <v>8</v>
      </c>
      <c r="I261" s="6" t="s">
        <v>1439</v>
      </c>
      <c r="J261" s="6" t="s">
        <v>177</v>
      </c>
      <c r="K261" s="6" t="str">
        <f t="shared" si="34"/>
        <v>Neha Gupta</v>
      </c>
      <c r="L261" s="6" t="s">
        <v>43</v>
      </c>
      <c r="M261" s="8" t="str">
        <f t="shared" si="35"/>
        <v>Consumer</v>
      </c>
      <c r="N261" s="6" t="s">
        <v>10</v>
      </c>
      <c r="O261" s="6" t="str">
        <f t="shared" si="36"/>
        <v>South</v>
      </c>
      <c r="P261" s="6" t="s">
        <v>413</v>
      </c>
      <c r="Q261" s="6" t="str">
        <f t="shared" si="37"/>
        <v>Tamil Nadu</v>
      </c>
      <c r="R261" s="6" t="s">
        <v>414</v>
      </c>
      <c r="S261" s="6" t="str">
        <f t="shared" si="38"/>
        <v>Chennai</v>
      </c>
      <c r="T261" s="6" t="s">
        <v>27</v>
      </c>
      <c r="U261" s="8" t="str">
        <f t="shared" si="39"/>
        <v>Technology</v>
      </c>
      <c r="V261" s="6" t="s">
        <v>30</v>
      </c>
      <c r="W261" s="6" t="str">
        <f t="shared" si="40"/>
        <v>Machines</v>
      </c>
      <c r="X261" s="6" t="s">
        <v>1440</v>
      </c>
      <c r="Y261" s="6" t="s">
        <v>34</v>
      </c>
      <c r="Z261" s="6" t="str">
        <f t="shared" si="41"/>
        <v>Standard Class</v>
      </c>
      <c r="AA261" s="6">
        <v>8</v>
      </c>
      <c r="AB261" s="6">
        <v>2853.92</v>
      </c>
      <c r="AC261" s="6">
        <v>0.2</v>
      </c>
      <c r="AD261" s="6">
        <v>18265.09</v>
      </c>
      <c r="AE261" s="6">
        <v>10437.14</v>
      </c>
      <c r="AF261" s="6">
        <v>7827.95</v>
      </c>
      <c r="AG261" s="6" t="s">
        <v>52</v>
      </c>
      <c r="AH261" s="6" t="str">
        <f t="shared" si="42"/>
        <v>Paid</v>
      </c>
      <c r="AI261" s="6" t="s">
        <v>134</v>
      </c>
      <c r="AJ261" s="6" t="str">
        <f t="shared" si="43"/>
        <v>Completed</v>
      </c>
      <c r="AK261" s="9" t="str">
        <f>_xlfn.TEXTJOIN("|",FALSE,A261,TEXT(B261,"mm-dd-yyyy"),TEXT(E261,"mm-dd-yyyy"),I261,J261,L261,N261,P261,R261,T261,V261,X261,Y261,AA261,AB261,AC261,AD261,AE261,AF261,AG261,AI261)</f>
        <v>ORD-2024-10260|06-21-2024|06-29-2024|CUST-5174|Neha Gupta|Consumer|South|Tamil Nadu|Chennai|Technology|Machines|Prime Machines 793|Standard Class|8|2853.92|0.2|18265.09|10437.14|7827.95|Paid|Completed</v>
      </c>
      <c r="AL261" s="27" t="str">
        <f>IF(COUNTIF($AK$2:AK261,AK261)&gt;1,"Remove exact duplicate copy","Keep")</f>
        <v>Keep</v>
      </c>
      <c r="AM261" s="9">
        <f t="shared" si="44"/>
        <v>1</v>
      </c>
      <c r="AN261" s="9" t="str">
        <f t="shared" si="45"/>
        <v>Unique</v>
      </c>
      <c r="AO261" s="9" t="str">
        <f t="shared" si="46"/>
        <v/>
      </c>
      <c r="AP261" s="9">
        <f t="shared" si="47"/>
        <v>0.2</v>
      </c>
      <c r="AQ261" s="10">
        <f t="shared" si="48"/>
        <v>18265.088</v>
      </c>
      <c r="AR261" s="10">
        <f t="shared" si="49"/>
        <v>7827.9480000000003</v>
      </c>
      <c r="AS261" s="11">
        <f t="shared" si="50"/>
        <v>0.42857433810338064</v>
      </c>
      <c r="AT261" s="9">
        <f t="shared" si="51"/>
        <v>6</v>
      </c>
      <c r="AU261" s="9">
        <f t="shared" si="52"/>
        <v>2024</v>
      </c>
      <c r="AV261" s="9" t="b">
        <f t="shared" si="53"/>
        <v>0</v>
      </c>
      <c r="AW261" s="9" t="b">
        <f t="shared" si="54"/>
        <v>0</v>
      </c>
      <c r="AX261" s="9" t="str">
        <f t="shared" si="55"/>
        <v>Yes</v>
      </c>
      <c r="AY261" s="9" t="str">
        <f t="shared" si="57"/>
        <v/>
      </c>
      <c r="AZ261" s="9" t="str">
        <f>IF(OR(G261="Missing date",G261="Invalid date",G261="Ship date before order date",NOT(ISNUMBER(AP261)),AP261&lt;0,AP261&gt;0.5,AV261=TRUE,AW261=TRUE),"Invalid",IF(OR(O261="Unknown",Z261="Unknown",AC261="",AH261&lt;&gt;"Paid",AJ261&lt;&gt;"Completed",AO261&lt;&gt;""),"Warning","Clean"))</f>
        <v>Clean</v>
      </c>
    </row>
    <row r="262" spans="1:52" ht="15.75" customHeight="1">
      <c r="A262" s="6" t="s">
        <v>1441</v>
      </c>
      <c r="B262" s="7" t="s">
        <v>1442</v>
      </c>
      <c r="C262" s="7" t="str">
        <f t="shared" si="56"/>
        <v>2025-09</v>
      </c>
      <c r="D262" s="7" cm="1">
        <f t="array" ref="D262">_xlfn.LET(_xlpm.x,B262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45923</v>
      </c>
      <c r="E262" s="7" t="s">
        <v>1443</v>
      </c>
      <c r="F262" s="7" cm="1">
        <f t="array" ref="F262">_xlfn.LET(_xlpm.x,E262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45927</v>
      </c>
      <c r="G262" s="8" t="str">
        <f t="shared" si="32"/>
        <v>OK</v>
      </c>
      <c r="H262" s="6">
        <f t="shared" si="33"/>
        <v>4</v>
      </c>
      <c r="I262" s="6" t="s">
        <v>1444</v>
      </c>
      <c r="J262" s="6" t="s">
        <v>190</v>
      </c>
      <c r="K262" s="6" t="str">
        <f t="shared" si="34"/>
        <v>Aditi Sen</v>
      </c>
      <c r="L262" s="6" t="s">
        <v>45</v>
      </c>
      <c r="M262" s="8" t="str">
        <f t="shared" si="35"/>
        <v>Corporate</v>
      </c>
      <c r="N262" s="6" t="s">
        <v>8</v>
      </c>
      <c r="O262" s="6" t="str">
        <f t="shared" si="36"/>
        <v>East</v>
      </c>
      <c r="P262" s="6" t="s">
        <v>201</v>
      </c>
      <c r="Q262" s="6" t="str">
        <f t="shared" si="37"/>
        <v>West Bengal</v>
      </c>
      <c r="R262" s="6" t="s">
        <v>202</v>
      </c>
      <c r="S262" s="6" t="str">
        <f t="shared" si="38"/>
        <v>Kolkata</v>
      </c>
      <c r="T262" s="6" t="s">
        <v>20</v>
      </c>
      <c r="U262" s="8" t="str">
        <f t="shared" si="39"/>
        <v>Office Supplies</v>
      </c>
      <c r="V262" s="6" t="s">
        <v>22</v>
      </c>
      <c r="W262" s="6" t="str">
        <f t="shared" si="40"/>
        <v>Binders</v>
      </c>
      <c r="X262" s="6" t="s">
        <v>1445</v>
      </c>
      <c r="Y262" s="6" t="s">
        <v>37</v>
      </c>
      <c r="Z262" s="6" t="str">
        <f t="shared" si="41"/>
        <v>Same Day</v>
      </c>
      <c r="AA262" s="6">
        <v>7</v>
      </c>
      <c r="AB262" s="6">
        <v>2897.12</v>
      </c>
      <c r="AC262" s="6">
        <v>0.25</v>
      </c>
      <c r="AD262" s="6">
        <v>15209.88</v>
      </c>
      <c r="AE262" s="6">
        <v>10891.15</v>
      </c>
      <c r="AF262" s="6">
        <v>4318.7299999999996</v>
      </c>
      <c r="AG262" s="6" t="s">
        <v>50</v>
      </c>
      <c r="AH262" s="6" t="str">
        <f t="shared" si="42"/>
        <v>Failed</v>
      </c>
      <c r="AI262" s="6" t="s">
        <v>59</v>
      </c>
      <c r="AJ262" s="6" t="str">
        <f t="shared" si="43"/>
        <v>Returned</v>
      </c>
      <c r="AK262" s="9" t="str">
        <f>_xlfn.TEXTJOIN("|",FALSE,A262,TEXT(B262,"mm-dd-yyyy"),TEXT(E262,"mm-dd-yyyy"),I262,J262,L262,N262,P262,R262,T262,V262,X262,Y262,AA262,AB262,AC262,AD262,AE262,AF262,AG262,AI262)</f>
        <v>ORD-2025-10261|09-23-2025|09-27-2025|CUST-3543|Aditi Sen|Corporate|East|West Bengal|Kolkata|Office Supplies|Binders|Elite Binders 827|Same Day|7|2897.12|0.25|15209.88|10891.15|4318.73|Failed|Returned</v>
      </c>
      <c r="AL262" s="27" t="str">
        <f>IF(COUNTIF($AK$2:AK262,AK262)&gt;1,"Remove exact duplicate copy","Keep")</f>
        <v>Keep</v>
      </c>
      <c r="AM262" s="9">
        <f t="shared" si="44"/>
        <v>1</v>
      </c>
      <c r="AN262" s="9" t="str">
        <f t="shared" si="45"/>
        <v>Unique</v>
      </c>
      <c r="AO262" s="9" t="str">
        <f t="shared" si="46"/>
        <v/>
      </c>
      <c r="AP262" s="9">
        <f t="shared" si="47"/>
        <v>0.25</v>
      </c>
      <c r="AQ262" s="10">
        <f t="shared" si="48"/>
        <v>15209.880000000001</v>
      </c>
      <c r="AR262" s="10">
        <f t="shared" si="49"/>
        <v>4318.7300000000014</v>
      </c>
      <c r="AS262" s="11">
        <f t="shared" si="50"/>
        <v>0.28394241111698454</v>
      </c>
      <c r="AT262" s="9">
        <f t="shared" si="51"/>
        <v>9</v>
      </c>
      <c r="AU262" s="9">
        <f t="shared" si="52"/>
        <v>2025</v>
      </c>
      <c r="AV262" s="9" t="b">
        <f t="shared" si="53"/>
        <v>0</v>
      </c>
      <c r="AW262" s="9" t="b">
        <f t="shared" si="54"/>
        <v>0</v>
      </c>
      <c r="AX262" s="9" t="str">
        <f t="shared" si="55"/>
        <v>No</v>
      </c>
      <c r="AY262" s="9" t="str">
        <f t="shared" si="57"/>
        <v>Failed payment excluded; Returned order excluded</v>
      </c>
      <c r="AZ262" s="9" t="str">
        <f>IF(OR(G262="Missing date",G262="Invalid date",G262="Ship date before order date",NOT(ISNUMBER(AP262)),AP262&lt;0,AP262&gt;0.5,AV262=TRUE,AW262=TRUE),"Invalid",IF(OR(O262="Unknown",Z262="Unknown",AC262="",AH262&lt;&gt;"Paid",AJ262&lt;&gt;"Completed",AO262&lt;&gt;""),"Warning","Clean"))</f>
        <v>Warning</v>
      </c>
    </row>
    <row r="263" spans="1:52" ht="15.75" customHeight="1">
      <c r="A263" s="6" t="s">
        <v>1446</v>
      </c>
      <c r="B263" s="7" t="s">
        <v>1447</v>
      </c>
      <c r="C263" s="7" t="str">
        <f t="shared" si="56"/>
        <v>2025-06</v>
      </c>
      <c r="D263" s="7" cm="1">
        <f t="array" ref="D263">_xlfn.LET(_xlpm.x,B263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45826</v>
      </c>
      <c r="E263" s="7" t="s">
        <v>1448</v>
      </c>
      <c r="F263" s="7" cm="1">
        <f t="array" ref="F263">_xlfn.LET(_xlpm.x,E263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45832</v>
      </c>
      <c r="G263" s="8" t="str">
        <f t="shared" si="32"/>
        <v>OK</v>
      </c>
      <c r="H263" s="6">
        <f t="shared" si="33"/>
        <v>6</v>
      </c>
      <c r="I263" s="6" t="s">
        <v>1449</v>
      </c>
      <c r="J263" s="6" t="s">
        <v>245</v>
      </c>
      <c r="K263" s="6" t="str">
        <f t="shared" si="34"/>
        <v>Sneha Kapoor</v>
      </c>
      <c r="L263" s="6" t="s">
        <v>45</v>
      </c>
      <c r="M263" s="8" t="str">
        <f t="shared" si="35"/>
        <v>Corporate</v>
      </c>
      <c r="N263" s="6" t="s">
        <v>7</v>
      </c>
      <c r="O263" s="6" t="str">
        <f t="shared" si="36"/>
        <v>North</v>
      </c>
      <c r="P263" s="6" t="s">
        <v>131</v>
      </c>
      <c r="Q263" s="6" t="str">
        <f t="shared" si="37"/>
        <v>Rajasthan</v>
      </c>
      <c r="R263" s="6" t="s">
        <v>132</v>
      </c>
      <c r="S263" s="6" t="str">
        <f t="shared" si="38"/>
        <v>Jaipur</v>
      </c>
      <c r="T263" s="6" t="s">
        <v>20</v>
      </c>
      <c r="U263" s="8" t="str">
        <f t="shared" si="39"/>
        <v>Office Supplies</v>
      </c>
      <c r="V263" s="6" t="s">
        <v>23</v>
      </c>
      <c r="W263" s="6" t="str">
        <f t="shared" si="40"/>
        <v>Labels</v>
      </c>
      <c r="X263" s="6" t="s">
        <v>1450</v>
      </c>
      <c r="Y263" s="6" t="s">
        <v>34</v>
      </c>
      <c r="Z263" s="6" t="str">
        <f t="shared" si="41"/>
        <v>Standard Class</v>
      </c>
      <c r="AA263" s="6">
        <v>3</v>
      </c>
      <c r="AB263" s="6">
        <v>686.74</v>
      </c>
      <c r="AC263" s="6">
        <v>0.2</v>
      </c>
      <c r="AD263" s="6">
        <v>1648.18</v>
      </c>
      <c r="AE263" s="6">
        <v>987.91</v>
      </c>
      <c r="AF263" s="6">
        <v>660.27</v>
      </c>
      <c r="AG263" s="6" t="s">
        <v>50</v>
      </c>
      <c r="AH263" s="6" t="str">
        <f t="shared" si="42"/>
        <v>Failed</v>
      </c>
      <c r="AI263" s="6" t="s">
        <v>58</v>
      </c>
      <c r="AJ263" s="6" t="str">
        <f t="shared" si="43"/>
        <v>Cancelled</v>
      </c>
      <c r="AK263" s="9" t="str">
        <f>_xlfn.TEXTJOIN("|",FALSE,A263,TEXT(B263,"mm-dd-yyyy"),TEXT(E263,"mm-dd-yyyy"),I263,J263,L263,N263,P263,R263,T263,V263,X263,Y263,AA263,AB263,AC263,AD263,AE263,AF263,AG263,AI263)</f>
        <v>ORD-2025-10262|06-18-2025|06-24-2025|CUST-7623|Sneha Kapoor|Corporate|North|Rajasthan|Jaipur|Office Supplies|Labels|Prime Labels 326|Standard Class|3|686.74|0.2|1648.18|987.91|660.27|Failed|Cancelled</v>
      </c>
      <c r="AL263" s="27" t="str">
        <f>IF(COUNTIF($AK$2:AK263,AK263)&gt;1,"Remove exact duplicate copy","Keep")</f>
        <v>Keep</v>
      </c>
      <c r="AM263" s="9">
        <f t="shared" si="44"/>
        <v>1</v>
      </c>
      <c r="AN263" s="9" t="str">
        <f t="shared" si="45"/>
        <v>Unique</v>
      </c>
      <c r="AO263" s="9" t="str">
        <f t="shared" si="46"/>
        <v/>
      </c>
      <c r="AP263" s="9">
        <f t="shared" si="47"/>
        <v>0.2</v>
      </c>
      <c r="AQ263" s="10">
        <f t="shared" si="48"/>
        <v>1648.1760000000004</v>
      </c>
      <c r="AR263" s="10">
        <f t="shared" si="49"/>
        <v>660.26600000000042</v>
      </c>
      <c r="AS263" s="11">
        <f t="shared" si="50"/>
        <v>0.40060406170214846</v>
      </c>
      <c r="AT263" s="9">
        <f t="shared" si="51"/>
        <v>6</v>
      </c>
      <c r="AU263" s="9">
        <f t="shared" si="52"/>
        <v>2025</v>
      </c>
      <c r="AV263" s="9" t="b">
        <f t="shared" si="53"/>
        <v>0</v>
      </c>
      <c r="AW263" s="9" t="b">
        <f t="shared" si="54"/>
        <v>0</v>
      </c>
      <c r="AX263" s="9" t="str">
        <f t="shared" si="55"/>
        <v>No</v>
      </c>
      <c r="AY263" s="9" t="str">
        <f t="shared" si="57"/>
        <v>Failed payment excluded; Cancelled order excluded</v>
      </c>
      <c r="AZ263" s="9" t="str">
        <f>IF(OR(G263="Missing date",G263="Invalid date",G263="Ship date before order date",NOT(ISNUMBER(AP263)),AP263&lt;0,AP263&gt;0.5,AV263=TRUE,AW263=TRUE),"Invalid",IF(OR(O263="Unknown",Z263="Unknown",AC263="",AH263&lt;&gt;"Paid",AJ263&lt;&gt;"Completed",AO263&lt;&gt;""),"Warning","Clean"))</f>
        <v>Warning</v>
      </c>
    </row>
    <row r="264" spans="1:52" ht="15.75" customHeight="1">
      <c r="A264" s="6" t="s">
        <v>1451</v>
      </c>
      <c r="B264" s="7" t="s">
        <v>1452</v>
      </c>
      <c r="C264" s="7" t="str">
        <f t="shared" si="56"/>
        <v>2025-05</v>
      </c>
      <c r="D264" s="7" cm="1">
        <f t="array" ref="D264">_xlfn.LET(_xlpm.x,B264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45803</v>
      </c>
      <c r="E264" s="7" t="s">
        <v>1453</v>
      </c>
      <c r="F264" s="7" cm="1">
        <f t="array" ref="F264">_xlfn.LET(_xlpm.x,E264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45809</v>
      </c>
      <c r="G264" s="8" t="str">
        <f t="shared" si="32"/>
        <v>OK</v>
      </c>
      <c r="H264" s="6">
        <f t="shared" si="33"/>
        <v>6</v>
      </c>
      <c r="I264" s="6" t="s">
        <v>1032</v>
      </c>
      <c r="J264" s="6" t="s">
        <v>153</v>
      </c>
      <c r="K264" s="6" t="str">
        <f t="shared" si="34"/>
        <v>Arjun Bose</v>
      </c>
      <c r="L264" s="6" t="s">
        <v>46</v>
      </c>
      <c r="M264" s="8" t="str">
        <f t="shared" si="35"/>
        <v>Small Business</v>
      </c>
      <c r="N264" s="6" t="s">
        <v>7</v>
      </c>
      <c r="O264" s="6" t="str">
        <f t="shared" si="36"/>
        <v>North</v>
      </c>
      <c r="P264" s="6" t="s">
        <v>583</v>
      </c>
      <c r="Q264" s="6" t="str">
        <f t="shared" si="37"/>
        <v>Delhi</v>
      </c>
      <c r="R264" s="6" t="s">
        <v>584</v>
      </c>
      <c r="S264" s="6" t="str">
        <f t="shared" si="38"/>
        <v>New Delhi</v>
      </c>
      <c r="T264" s="6" t="s">
        <v>27</v>
      </c>
      <c r="U264" s="8" t="str">
        <f t="shared" si="39"/>
        <v>Technology</v>
      </c>
      <c r="V264" s="6" t="s">
        <v>31</v>
      </c>
      <c r="W264" s="6" t="str">
        <f t="shared" si="40"/>
        <v>Phones</v>
      </c>
      <c r="X264" s="6" t="s">
        <v>1454</v>
      </c>
      <c r="Y264" s="6" t="s">
        <v>37</v>
      </c>
      <c r="Z264" s="6" t="str">
        <f t="shared" si="41"/>
        <v>Same Day</v>
      </c>
      <c r="AA264" s="6">
        <v>4</v>
      </c>
      <c r="AB264" s="6">
        <v>3349.86</v>
      </c>
      <c r="AC264" s="6">
        <v>0</v>
      </c>
      <c r="AD264" s="6">
        <v>13399.44</v>
      </c>
      <c r="AE264" s="6">
        <v>8581.35</v>
      </c>
      <c r="AF264" s="6">
        <v>4818.09</v>
      </c>
      <c r="AG264" s="6" t="s">
        <v>54</v>
      </c>
      <c r="AH264" s="6" t="str">
        <f t="shared" si="42"/>
        <v>Pending</v>
      </c>
      <c r="AI264" s="6" t="s">
        <v>59</v>
      </c>
      <c r="AJ264" s="6" t="str">
        <f t="shared" si="43"/>
        <v>Returned</v>
      </c>
      <c r="AK264" s="9" t="str">
        <f>_xlfn.TEXTJOIN("|",FALSE,A264,TEXT(B264,"mm-dd-yyyy"),TEXT(E264,"mm-dd-yyyy"),I264,J264,L264,N264,P264,R264,T264,V264,X264,Y264,AA264,AB264,AC264,AD264,AE264,AF264,AG264,AI264)</f>
        <v>ORD-2025-10263|05-26-2025|06-01-2025|CUST-6153|Arjun Bose|Small Business|North|Delhi|New Delhi|Technology|Phones|Eco Phones 245|Same Day|4|3349.86|0|13399.44|8581.35|4818.09|Pending|Returned</v>
      </c>
      <c r="AL264" s="27" t="str">
        <f>IF(COUNTIF($AK$2:AK264,AK264)&gt;1,"Remove exact duplicate copy","Keep")</f>
        <v>Keep</v>
      </c>
      <c r="AM264" s="9">
        <f t="shared" si="44"/>
        <v>1</v>
      </c>
      <c r="AN264" s="9" t="str">
        <f t="shared" si="45"/>
        <v>Unique</v>
      </c>
      <c r="AO264" s="9" t="str">
        <f t="shared" si="46"/>
        <v/>
      </c>
      <c r="AP264" s="9">
        <f t="shared" si="47"/>
        <v>0</v>
      </c>
      <c r="AQ264" s="10">
        <f t="shared" si="48"/>
        <v>13399.44</v>
      </c>
      <c r="AR264" s="10">
        <f t="shared" si="49"/>
        <v>4818.09</v>
      </c>
      <c r="AS264" s="11">
        <f t="shared" si="50"/>
        <v>0.3595739821962709</v>
      </c>
      <c r="AT264" s="9">
        <f t="shared" si="51"/>
        <v>5</v>
      </c>
      <c r="AU264" s="9">
        <f t="shared" si="52"/>
        <v>2025</v>
      </c>
      <c r="AV264" s="9" t="b">
        <f t="shared" si="53"/>
        <v>0</v>
      </c>
      <c r="AW264" s="9" t="b">
        <f t="shared" si="54"/>
        <v>0</v>
      </c>
      <c r="AX264" s="9" t="str">
        <f t="shared" si="55"/>
        <v>No</v>
      </c>
      <c r="AY264" s="9" t="str">
        <f t="shared" si="57"/>
        <v>Returned order excluded</v>
      </c>
      <c r="AZ264" s="9" t="str">
        <f>IF(OR(G264="Missing date",G264="Invalid date",G264="Ship date before order date",NOT(ISNUMBER(AP264)),AP264&lt;0,AP264&gt;0.5,AV264=TRUE,AW264=TRUE),"Invalid",IF(OR(O264="Unknown",Z264="Unknown",AC264="",AH264&lt;&gt;"Paid",AJ264&lt;&gt;"Completed",AO264&lt;&gt;""),"Warning","Clean"))</f>
        <v>Warning</v>
      </c>
    </row>
    <row r="265" spans="1:52" ht="15.75" customHeight="1">
      <c r="A265" s="6" t="s">
        <v>1455</v>
      </c>
      <c r="B265" s="7" t="s">
        <v>1456</v>
      </c>
      <c r="C265" s="7" t="str">
        <f t="shared" si="56"/>
        <v>2025-08</v>
      </c>
      <c r="D265" s="7" cm="1">
        <f t="array" ref="D265">_xlfn.LET(_xlpm.x,B265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45875</v>
      </c>
      <c r="E265" s="7" t="s">
        <v>1026</v>
      </c>
      <c r="F265" s="7" cm="1">
        <f t="array" ref="F265">_xlfn.LET(_xlpm.x,E265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45879</v>
      </c>
      <c r="G265" s="8" t="str">
        <f t="shared" si="32"/>
        <v>OK</v>
      </c>
      <c r="H265" s="6">
        <f t="shared" si="33"/>
        <v>4</v>
      </c>
      <c r="I265" s="6" t="s">
        <v>1457</v>
      </c>
      <c r="J265" s="6" t="s">
        <v>257</v>
      </c>
      <c r="K265" s="6" t="str">
        <f t="shared" si="34"/>
        <v>Rohan Mehta</v>
      </c>
      <c r="L265" s="6" t="s">
        <v>46</v>
      </c>
      <c r="M265" s="8" t="str">
        <f t="shared" si="35"/>
        <v>Small Business</v>
      </c>
      <c r="N265" s="6" t="s">
        <v>7</v>
      </c>
      <c r="O265" s="6" t="str">
        <f t="shared" si="36"/>
        <v>North</v>
      </c>
      <c r="P265" s="6" t="s">
        <v>583</v>
      </c>
      <c r="Q265" s="6" t="str">
        <f t="shared" si="37"/>
        <v>Delhi</v>
      </c>
      <c r="R265" s="6" t="s">
        <v>584</v>
      </c>
      <c r="S265" s="6" t="str">
        <f t="shared" si="38"/>
        <v>New Delhi</v>
      </c>
      <c r="T265" s="6" t="s">
        <v>20</v>
      </c>
      <c r="U265" s="8" t="str">
        <f t="shared" si="39"/>
        <v>Office Supplies</v>
      </c>
      <c r="V265" s="6" t="s">
        <v>22</v>
      </c>
      <c r="W265" s="6" t="str">
        <f t="shared" si="40"/>
        <v>Binders</v>
      </c>
      <c r="X265" s="6" t="s">
        <v>1458</v>
      </c>
      <c r="Y265" s="6" t="s">
        <v>36</v>
      </c>
      <c r="Z265" s="6" t="str">
        <f t="shared" si="41"/>
        <v>Second Class</v>
      </c>
      <c r="AA265" s="6">
        <v>9</v>
      </c>
      <c r="AB265" s="6">
        <v>4042.45</v>
      </c>
      <c r="AC265" s="6">
        <v>0.1</v>
      </c>
      <c r="AD265" s="6">
        <v>32743.84</v>
      </c>
      <c r="AE265" s="6">
        <v>22452.05</v>
      </c>
      <c r="AF265" s="6">
        <v>10291.790000000001</v>
      </c>
      <c r="AG265" s="6" t="s">
        <v>54</v>
      </c>
      <c r="AH265" s="6" t="str">
        <f t="shared" si="42"/>
        <v>Pending</v>
      </c>
      <c r="AI265" s="6" t="s">
        <v>59</v>
      </c>
      <c r="AJ265" s="6" t="str">
        <f t="shared" si="43"/>
        <v>Returned</v>
      </c>
      <c r="AK265" s="9" t="str">
        <f>_xlfn.TEXTJOIN("|",FALSE,A265,TEXT(B265,"mm-dd-yyyy"),TEXT(E265,"mm-dd-yyyy"),I265,J265,L265,N265,P265,R265,T265,V265,X265,Y265,AA265,AB265,AC265,AD265,AE265,AF265,AG265,AI265)</f>
        <v>ORD-2025-10264|08-06-2025|10-08-2025|CUST-8265|Rohan Mehta|Small Business|North|Delhi|New Delhi|Office Supplies|Binders|Smart Binders 905|Second Class|9|4042.45|0.1|32743.84|22452.05|10291.79|Pending|Returned</v>
      </c>
      <c r="AL265" s="27" t="str">
        <f>IF(COUNTIF($AK$2:AK265,AK265)&gt;1,"Remove exact duplicate copy","Keep")</f>
        <v>Keep</v>
      </c>
      <c r="AM265" s="9">
        <f t="shared" si="44"/>
        <v>1</v>
      </c>
      <c r="AN265" s="9" t="str">
        <f t="shared" si="45"/>
        <v>Unique</v>
      </c>
      <c r="AO265" s="9" t="str">
        <f t="shared" si="46"/>
        <v/>
      </c>
      <c r="AP265" s="9">
        <f t="shared" si="47"/>
        <v>0.1</v>
      </c>
      <c r="AQ265" s="10">
        <f t="shared" si="48"/>
        <v>32743.844999999998</v>
      </c>
      <c r="AR265" s="10">
        <f t="shared" si="49"/>
        <v>10291.794999999998</v>
      </c>
      <c r="AS265" s="11">
        <f t="shared" si="50"/>
        <v>0.314312353970647</v>
      </c>
      <c r="AT265" s="9">
        <f t="shared" si="51"/>
        <v>8</v>
      </c>
      <c r="AU265" s="9">
        <f t="shared" si="52"/>
        <v>2025</v>
      </c>
      <c r="AV265" s="9" t="b">
        <f t="shared" si="53"/>
        <v>0</v>
      </c>
      <c r="AW265" s="9" t="b">
        <f t="shared" si="54"/>
        <v>0</v>
      </c>
      <c r="AX265" s="9" t="str">
        <f t="shared" si="55"/>
        <v>No</v>
      </c>
      <c r="AY265" s="9" t="str">
        <f t="shared" si="57"/>
        <v>Returned order excluded</v>
      </c>
      <c r="AZ265" s="9" t="str">
        <f>IF(OR(G265="Missing date",G265="Invalid date",G265="Ship date before order date",NOT(ISNUMBER(AP265)),AP265&lt;0,AP265&gt;0.5,AV265=TRUE,AW265=TRUE),"Invalid",IF(OR(O265="Unknown",Z265="Unknown",AC265="",AH265&lt;&gt;"Paid",AJ265&lt;&gt;"Completed",AO265&lt;&gt;""),"Warning","Clean"))</f>
        <v>Warning</v>
      </c>
    </row>
    <row r="266" spans="1:52" ht="15.75" customHeight="1">
      <c r="A266" s="6" t="s">
        <v>1459</v>
      </c>
      <c r="B266" s="7" t="s">
        <v>1460</v>
      </c>
      <c r="C266" s="7" t="str">
        <f t="shared" si="56"/>
        <v>2024-05</v>
      </c>
      <c r="D266" s="7" cm="1">
        <f t="array" ref="D266">_xlfn.LET(_xlpm.x,B266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45428</v>
      </c>
      <c r="E266" s="7" t="s">
        <v>1461</v>
      </c>
      <c r="F266" s="7" cm="1">
        <f t="array" ref="F266">_xlfn.LET(_xlpm.x,E266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45433</v>
      </c>
      <c r="G266" s="8" t="str">
        <f t="shared" si="32"/>
        <v>OK</v>
      </c>
      <c r="H266" s="6">
        <f t="shared" si="33"/>
        <v>5</v>
      </c>
      <c r="I266" s="6" t="s">
        <v>1462</v>
      </c>
      <c r="J266" s="6" t="s">
        <v>284</v>
      </c>
      <c r="K266" s="6" t="str">
        <f t="shared" si="34"/>
        <v>Diya Patel</v>
      </c>
      <c r="L266" s="6" t="s">
        <v>46</v>
      </c>
      <c r="M266" s="8" t="str">
        <f t="shared" si="35"/>
        <v>Small Business</v>
      </c>
      <c r="N266" s="6" t="s">
        <v>8</v>
      </c>
      <c r="O266" s="6" t="str">
        <f t="shared" si="36"/>
        <v>East</v>
      </c>
      <c r="P266" s="6" t="s">
        <v>263</v>
      </c>
      <c r="Q266" s="6" t="str">
        <f t="shared" si="37"/>
        <v>Bihar</v>
      </c>
      <c r="R266" s="6" t="s">
        <v>264</v>
      </c>
      <c r="S266" s="6" t="str">
        <f t="shared" si="38"/>
        <v>Patna</v>
      </c>
      <c r="T266" s="6" t="s">
        <v>27</v>
      </c>
      <c r="U266" s="8" t="str">
        <f t="shared" si="39"/>
        <v>Technology</v>
      </c>
      <c r="V266" s="6" t="s">
        <v>29</v>
      </c>
      <c r="W266" s="6" t="str">
        <f t="shared" si="40"/>
        <v>Copiers</v>
      </c>
      <c r="X266" s="6" t="s">
        <v>1463</v>
      </c>
      <c r="Y266" s="6" t="s">
        <v>34</v>
      </c>
      <c r="Z266" s="6" t="str">
        <f t="shared" si="41"/>
        <v>Standard Class</v>
      </c>
      <c r="AA266" s="6">
        <v>4</v>
      </c>
      <c r="AB266" s="6">
        <v>1503.07</v>
      </c>
      <c r="AC266" s="6">
        <v>0</v>
      </c>
      <c r="AD266" s="6">
        <v>6012.28</v>
      </c>
      <c r="AE266" s="6">
        <v>3927.64</v>
      </c>
      <c r="AF266" s="6">
        <v>2084.64</v>
      </c>
      <c r="AG266" s="6" t="s">
        <v>52</v>
      </c>
      <c r="AH266" s="6" t="str">
        <f t="shared" si="42"/>
        <v>Paid</v>
      </c>
      <c r="AI266" s="6" t="s">
        <v>134</v>
      </c>
      <c r="AJ266" s="6" t="str">
        <f t="shared" si="43"/>
        <v>Completed</v>
      </c>
      <c r="AK266" s="9" t="str">
        <f>_xlfn.TEXTJOIN("|",FALSE,A266,TEXT(B266,"mm-dd-yyyy"),TEXT(E266,"mm-dd-yyyy"),I266,J266,L266,N266,P266,R266,T266,V266,X266,Y266,AA266,AB266,AC266,AD266,AE266,AF266,AG266,AI266)</f>
        <v>ORD-2024-10265|16-05-2024|05-21-2024|CUST-4750|Diya Patel|Small Business|East|Bihar|Patna|Technology|Copiers|Pro Copiers 599|Standard Class|4|1503.07|0|6012.28|3927.64|2084.64|Paid|Completed</v>
      </c>
      <c r="AL266" s="27" t="str">
        <f>IF(COUNTIF($AK$2:AK266,AK266)&gt;1,"Remove exact duplicate copy","Keep")</f>
        <v>Keep</v>
      </c>
      <c r="AM266" s="9">
        <f t="shared" si="44"/>
        <v>1</v>
      </c>
      <c r="AN266" s="9" t="str">
        <f t="shared" si="45"/>
        <v>Unique</v>
      </c>
      <c r="AO266" s="9" t="str">
        <f t="shared" si="46"/>
        <v/>
      </c>
      <c r="AP266" s="9">
        <f t="shared" si="47"/>
        <v>0</v>
      </c>
      <c r="AQ266" s="10">
        <f t="shared" si="48"/>
        <v>6012.28</v>
      </c>
      <c r="AR266" s="10">
        <f t="shared" si="49"/>
        <v>2084.64</v>
      </c>
      <c r="AS266" s="11">
        <f t="shared" si="50"/>
        <v>0.34673035853286938</v>
      </c>
      <c r="AT266" s="9">
        <f t="shared" si="51"/>
        <v>5</v>
      </c>
      <c r="AU266" s="9">
        <f t="shared" si="52"/>
        <v>2024</v>
      </c>
      <c r="AV266" s="9" t="b">
        <f t="shared" si="53"/>
        <v>0</v>
      </c>
      <c r="AW266" s="9" t="b">
        <f t="shared" si="54"/>
        <v>0</v>
      </c>
      <c r="AX266" s="9" t="str">
        <f t="shared" si="55"/>
        <v>Yes</v>
      </c>
      <c r="AY266" s="9" t="str">
        <f t="shared" si="57"/>
        <v/>
      </c>
      <c r="AZ266" s="9" t="str">
        <f>IF(OR(G266="Missing date",G266="Invalid date",G266="Ship date before order date",NOT(ISNUMBER(AP266)),AP266&lt;0,AP266&gt;0.5,AV266=TRUE,AW266=TRUE),"Invalid",IF(OR(O266="Unknown",Z266="Unknown",AC266="",AH266&lt;&gt;"Paid",AJ266&lt;&gt;"Completed",AO266&lt;&gt;""),"Warning","Clean"))</f>
        <v>Clean</v>
      </c>
    </row>
    <row r="267" spans="1:52" ht="15.75" customHeight="1">
      <c r="A267" s="6" t="s">
        <v>1464</v>
      </c>
      <c r="B267" s="7" t="s">
        <v>1465</v>
      </c>
      <c r="C267" s="7" t="str">
        <f t="shared" si="56"/>
        <v>2024-11</v>
      </c>
      <c r="D267" s="7" cm="1">
        <f t="array" ref="D267">_xlfn.LET(_xlpm.x,B267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45610</v>
      </c>
      <c r="E267" s="7" t="s">
        <v>993</v>
      </c>
      <c r="F267" s="7" cm="1">
        <f t="array" ref="F267">_xlfn.LET(_xlpm.x,E267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45618</v>
      </c>
      <c r="G267" s="8" t="str">
        <f t="shared" si="32"/>
        <v>OK</v>
      </c>
      <c r="H267" s="6">
        <f t="shared" si="33"/>
        <v>8</v>
      </c>
      <c r="I267" s="6" t="s">
        <v>1466</v>
      </c>
      <c r="J267" s="6" t="s">
        <v>220</v>
      </c>
      <c r="K267" s="6" t="str">
        <f t="shared" si="34"/>
        <v>Priya Menon</v>
      </c>
      <c r="L267" s="6" t="s">
        <v>45</v>
      </c>
      <c r="M267" s="8" t="str">
        <f t="shared" si="35"/>
        <v>Corporate</v>
      </c>
      <c r="N267" s="6" t="s">
        <v>8</v>
      </c>
      <c r="O267" s="6" t="str">
        <f t="shared" si="36"/>
        <v>East</v>
      </c>
      <c r="P267" s="6" t="s">
        <v>263</v>
      </c>
      <c r="Q267" s="6" t="str">
        <f t="shared" si="37"/>
        <v>Bihar</v>
      </c>
      <c r="R267" s="6" t="s">
        <v>264</v>
      </c>
      <c r="S267" s="6" t="str">
        <f t="shared" si="38"/>
        <v>Patna</v>
      </c>
      <c r="T267" s="6" t="s">
        <v>14</v>
      </c>
      <c r="U267" s="8" t="str">
        <f t="shared" si="39"/>
        <v>Furniture</v>
      </c>
      <c r="V267" s="6" t="s">
        <v>15</v>
      </c>
      <c r="W267" s="6" t="str">
        <f t="shared" si="40"/>
        <v>Bookcases</v>
      </c>
      <c r="X267" s="6" t="s">
        <v>1467</v>
      </c>
      <c r="Y267" s="6" t="s">
        <v>37</v>
      </c>
      <c r="Z267" s="6" t="str">
        <f t="shared" si="41"/>
        <v>Same Day</v>
      </c>
      <c r="AA267" s="6">
        <v>1</v>
      </c>
      <c r="AB267" s="6">
        <v>582.37</v>
      </c>
      <c r="AC267" s="6">
        <v>0.15</v>
      </c>
      <c r="AD267" s="6">
        <v>495.01</v>
      </c>
      <c r="AE267" s="6">
        <v>285.13</v>
      </c>
      <c r="AF267" s="6">
        <v>209.88</v>
      </c>
      <c r="AG267" s="6" t="s">
        <v>56</v>
      </c>
      <c r="AH267" s="6" t="str">
        <f t="shared" si="42"/>
        <v>Refunded</v>
      </c>
      <c r="AI267" s="6" t="s">
        <v>1468</v>
      </c>
      <c r="AJ267" s="6" t="str">
        <f t="shared" si="43"/>
        <v>Cancelled</v>
      </c>
      <c r="AK267" s="9" t="str">
        <f>_xlfn.TEXTJOIN("|",FALSE,A267,TEXT(B267,"mm-dd-yyyy"),TEXT(E267,"mm-dd-yyyy"),I267,J267,L267,N267,P267,R267,T267,V267,X267,Y267,AA267,AB267,AC267,AD267,AE267,AF267,AG267,AI267)</f>
        <v xml:space="preserve">ORD-2024-10266|11-14-2024|11-22-2024|CUST-3974|Priya Menon|Corporate|East|Bihar|Patna|Furniture|Bookcases|Basic Bookcases 570|Same Day|1|582.37|0.15|495.01|285.13|209.88|Refunded|  Cancelled </v>
      </c>
      <c r="AL267" s="27" t="str">
        <f>IF(COUNTIF($AK$2:AK267,AK267)&gt;1,"Remove exact duplicate copy","Keep")</f>
        <v>Keep</v>
      </c>
      <c r="AM267" s="9">
        <f t="shared" si="44"/>
        <v>1</v>
      </c>
      <c r="AN267" s="9" t="str">
        <f t="shared" si="45"/>
        <v>Unique</v>
      </c>
      <c r="AO267" s="9" t="str">
        <f t="shared" si="46"/>
        <v/>
      </c>
      <c r="AP267" s="9">
        <f t="shared" si="47"/>
        <v>0.15</v>
      </c>
      <c r="AQ267" s="10">
        <f t="shared" si="48"/>
        <v>495.0145</v>
      </c>
      <c r="AR267" s="10">
        <f t="shared" si="49"/>
        <v>209.8845</v>
      </c>
      <c r="AS267" s="11">
        <f t="shared" si="50"/>
        <v>0.42399667080459258</v>
      </c>
      <c r="AT267" s="9">
        <f t="shared" si="51"/>
        <v>11</v>
      </c>
      <c r="AU267" s="9">
        <f t="shared" si="52"/>
        <v>2024</v>
      </c>
      <c r="AV267" s="9" t="b">
        <f t="shared" si="53"/>
        <v>0</v>
      </c>
      <c r="AW267" s="9" t="b">
        <f t="shared" si="54"/>
        <v>0</v>
      </c>
      <c r="AX267" s="9" t="str">
        <f t="shared" si="55"/>
        <v>No</v>
      </c>
      <c r="AY267" s="9" t="str">
        <f t="shared" si="57"/>
        <v>Refunded order summarized separately; Cancelled order excluded</v>
      </c>
      <c r="AZ267" s="9" t="str">
        <f>IF(OR(G267="Missing date",G267="Invalid date",G267="Ship date before order date",NOT(ISNUMBER(AP267)),AP267&lt;0,AP267&gt;0.5,AV267=TRUE,AW267=TRUE),"Invalid",IF(OR(O267="Unknown",Z267="Unknown",AC267="",AH267&lt;&gt;"Paid",AJ267&lt;&gt;"Completed",AO267&lt;&gt;""),"Warning","Clean"))</f>
        <v>Warning</v>
      </c>
    </row>
    <row r="268" spans="1:52" ht="15.75" customHeight="1">
      <c r="A268" s="6" t="s">
        <v>1469</v>
      </c>
      <c r="B268" s="7" t="s">
        <v>1470</v>
      </c>
      <c r="C268" s="7" t="str">
        <f t="shared" si="56"/>
        <v>2025-05</v>
      </c>
      <c r="D268" s="7" cm="1">
        <f t="array" ref="D268">_xlfn.LET(_xlpm.x,B268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45780</v>
      </c>
      <c r="E268" s="7" t="s">
        <v>1471</v>
      </c>
      <c r="F268" s="7" cm="1">
        <f t="array" ref="F268">_xlfn.LET(_xlpm.x,E268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45787</v>
      </c>
      <c r="G268" s="8" t="str">
        <f t="shared" si="32"/>
        <v>OK</v>
      </c>
      <c r="H268" s="6">
        <f t="shared" si="33"/>
        <v>7</v>
      </c>
      <c r="I268" s="6" t="s">
        <v>1472</v>
      </c>
      <c r="J268" s="6" t="s">
        <v>177</v>
      </c>
      <c r="K268" s="6" t="str">
        <f t="shared" si="34"/>
        <v>Neha Gupta</v>
      </c>
      <c r="L268" s="6" t="s">
        <v>44</v>
      </c>
      <c r="M268" s="8" t="str">
        <f t="shared" si="35"/>
        <v>Home Office</v>
      </c>
      <c r="N268" s="6" t="s">
        <v>9</v>
      </c>
      <c r="O268" s="6" t="str">
        <f t="shared" si="36"/>
        <v>West</v>
      </c>
      <c r="P268" s="6" t="s">
        <v>162</v>
      </c>
      <c r="Q268" s="6" t="str">
        <f t="shared" si="37"/>
        <v>Maharashtra</v>
      </c>
      <c r="R268" s="6" t="s">
        <v>163</v>
      </c>
      <c r="S268" s="6" t="str">
        <f t="shared" si="38"/>
        <v>Mumbai</v>
      </c>
      <c r="T268" s="6" t="s">
        <v>20</v>
      </c>
      <c r="U268" s="8" t="str">
        <f t="shared" si="39"/>
        <v>Office Supplies</v>
      </c>
      <c r="V268" s="6" t="s">
        <v>25</v>
      </c>
      <c r="W268" s="6" t="str">
        <f t="shared" si="40"/>
        <v>Storage</v>
      </c>
      <c r="X268" s="6" t="s">
        <v>1473</v>
      </c>
      <c r="Y268" s="6" t="s">
        <v>36</v>
      </c>
      <c r="Z268" s="6" t="str">
        <f t="shared" si="41"/>
        <v>Second Class</v>
      </c>
      <c r="AA268" s="6">
        <v>3</v>
      </c>
      <c r="AB268" s="6">
        <v>4339.24</v>
      </c>
      <c r="AC268" s="6">
        <v>0</v>
      </c>
      <c r="AD268" s="6">
        <v>13017.72</v>
      </c>
      <c r="AE268" s="6">
        <v>10170.57</v>
      </c>
      <c r="AF268" s="6">
        <v>2847.15</v>
      </c>
      <c r="AG268" s="6" t="s">
        <v>52</v>
      </c>
      <c r="AH268" s="6" t="str">
        <f t="shared" si="42"/>
        <v>Paid</v>
      </c>
      <c r="AI268" s="6" t="s">
        <v>134</v>
      </c>
      <c r="AJ268" s="6" t="str">
        <f t="shared" si="43"/>
        <v>Completed</v>
      </c>
      <c r="AK268" s="9" t="str">
        <f>_xlfn.TEXTJOIN("|",FALSE,A268,TEXT(B268,"mm-dd-yyyy"),TEXT(E268,"mm-dd-yyyy"),I268,J268,L268,N268,P268,R268,T268,V268,X268,Y268,AA268,AB268,AC268,AD268,AE268,AF268,AG268,AI268)</f>
        <v>ORD-2025-10267|05-03-2025|05-10-2025|CUST-7114|Neha Gupta|Home Office|West|Maharashtra|Mumbai|Office Supplies|Storage|Classic Storage 926|Second Class|3|4339.24|0|13017.72|10170.57|2847.15|Paid|Completed</v>
      </c>
      <c r="AL268" s="27" t="str">
        <f>IF(COUNTIF($AK$2:AK268,AK268)&gt;1,"Remove exact duplicate copy","Keep")</f>
        <v>Keep</v>
      </c>
      <c r="AM268" s="9">
        <f t="shared" si="44"/>
        <v>1</v>
      </c>
      <c r="AN268" s="9" t="str">
        <f t="shared" si="45"/>
        <v>Unique</v>
      </c>
      <c r="AO268" s="9" t="str">
        <f t="shared" si="46"/>
        <v/>
      </c>
      <c r="AP268" s="9">
        <f t="shared" si="47"/>
        <v>0</v>
      </c>
      <c r="AQ268" s="10">
        <f t="shared" si="48"/>
        <v>13017.72</v>
      </c>
      <c r="AR268" s="10">
        <f t="shared" si="49"/>
        <v>2847.1499999999996</v>
      </c>
      <c r="AS268" s="11">
        <f t="shared" si="50"/>
        <v>0.21871341525244051</v>
      </c>
      <c r="AT268" s="9">
        <f t="shared" si="51"/>
        <v>5</v>
      </c>
      <c r="AU268" s="9">
        <f t="shared" si="52"/>
        <v>2025</v>
      </c>
      <c r="AV268" s="9" t="b">
        <f t="shared" si="53"/>
        <v>0</v>
      </c>
      <c r="AW268" s="9" t="b">
        <f t="shared" si="54"/>
        <v>0</v>
      </c>
      <c r="AX268" s="9" t="str">
        <f t="shared" si="55"/>
        <v>Yes</v>
      </c>
      <c r="AY268" s="9" t="str">
        <f t="shared" si="57"/>
        <v/>
      </c>
      <c r="AZ268" s="9" t="str">
        <f>IF(OR(G268="Missing date",G268="Invalid date",G268="Ship date before order date",NOT(ISNUMBER(AP268)),AP268&lt;0,AP268&gt;0.5,AV268=TRUE,AW268=TRUE),"Invalid",IF(OR(O268="Unknown",Z268="Unknown",AC268="",AH268&lt;&gt;"Paid",AJ268&lt;&gt;"Completed",AO268&lt;&gt;""),"Warning","Clean"))</f>
        <v>Clean</v>
      </c>
    </row>
    <row r="269" spans="1:52" ht="15.75" customHeight="1">
      <c r="A269" s="6" t="s">
        <v>1474</v>
      </c>
      <c r="B269" s="7" t="s">
        <v>1100</v>
      </c>
      <c r="C269" s="7" t="str">
        <f t="shared" si="56"/>
        <v>2025-05</v>
      </c>
      <c r="D269" s="7" cm="1">
        <f t="array" ref="D269">_xlfn.LET(_xlpm.x,B269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45805</v>
      </c>
      <c r="E269" s="7" t="s">
        <v>1475</v>
      </c>
      <c r="F269" s="7" cm="1">
        <f t="array" ref="F269">_xlfn.LET(_xlpm.x,E269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G269" s="8" t="str">
        <f t="shared" si="32"/>
        <v>OK</v>
      </c>
      <c r="H269" s="6">
        <f t="shared" si="33"/>
        <v>7</v>
      </c>
      <c r="I269" s="6" t="s">
        <v>1476</v>
      </c>
      <c r="J269" s="6" t="s">
        <v>284</v>
      </c>
      <c r="K269" s="6" t="str">
        <f t="shared" si="34"/>
        <v>Diya Patel</v>
      </c>
      <c r="L269" s="6" t="s">
        <v>45</v>
      </c>
      <c r="M269" s="8" t="str">
        <f t="shared" si="35"/>
        <v>Corporate</v>
      </c>
      <c r="N269" s="6" t="s">
        <v>8</v>
      </c>
      <c r="O269" s="6" t="str">
        <f t="shared" si="36"/>
        <v>East</v>
      </c>
      <c r="P269" s="6" t="s">
        <v>385</v>
      </c>
      <c r="Q269" s="6" t="str">
        <f t="shared" si="37"/>
        <v>Jharkhand</v>
      </c>
      <c r="R269" s="6" t="s">
        <v>386</v>
      </c>
      <c r="S269" s="6" t="str">
        <f t="shared" si="38"/>
        <v>Ranchi</v>
      </c>
      <c r="T269" s="6" t="s">
        <v>14</v>
      </c>
      <c r="U269" s="8" t="str">
        <f t="shared" si="39"/>
        <v>Furniture</v>
      </c>
      <c r="V269" s="6" t="s">
        <v>17</v>
      </c>
      <c r="W269" s="6" t="str">
        <f t="shared" si="40"/>
        <v>Furnishings</v>
      </c>
      <c r="X269" s="6" t="s">
        <v>1477</v>
      </c>
      <c r="Y269" s="6" t="s">
        <v>35</v>
      </c>
      <c r="Z269" s="6" t="str">
        <f t="shared" si="41"/>
        <v>First Class</v>
      </c>
      <c r="AA269" s="6">
        <v>4</v>
      </c>
      <c r="AB269" s="6">
        <v>261.8</v>
      </c>
      <c r="AC269" s="6">
        <v>0.25</v>
      </c>
      <c r="AD269" s="6">
        <v>785.4</v>
      </c>
      <c r="AE269" s="6">
        <v>557.22</v>
      </c>
      <c r="AF269" s="6">
        <v>228.18</v>
      </c>
      <c r="AG269" s="6" t="s">
        <v>52</v>
      </c>
      <c r="AH269" s="6" t="str">
        <f t="shared" si="42"/>
        <v>Paid</v>
      </c>
      <c r="AI269" s="6" t="s">
        <v>134</v>
      </c>
      <c r="AJ269" s="6" t="str">
        <f t="shared" si="43"/>
        <v>Completed</v>
      </c>
      <c r="AK269" s="9" t="str">
        <f>_xlfn.TEXTJOIN("|",FALSE,A269,TEXT(B269,"mm-dd-yyyy"),TEXT(E269,"mm-dd-yyyy"),I269,J269,L269,N269,P269,R269,T269,V269,X269,Y269,AA269,AB269,AC269,AD269,AE269,AF269,AG269,AI269)</f>
        <v>ORD-2025-10268|05-28-2025|04-06-2025|CUST-4431|Diya Patel|Corporate|East|Jharkhand|Ranchi|Furniture|Furnishings|Basic Furnishings 372|First Class|4|261.8|0.25|785.4|557.22|228.18|Paid|Completed</v>
      </c>
      <c r="AL269" s="27" t="str">
        <f>IF(COUNTIF($AK$2:AK269,AK269)&gt;1,"Remove exact duplicate copy","Keep")</f>
        <v>Keep</v>
      </c>
      <c r="AM269" s="9">
        <f t="shared" si="44"/>
        <v>1</v>
      </c>
      <c r="AN269" s="9" t="str">
        <f t="shared" si="45"/>
        <v>Unique</v>
      </c>
      <c r="AO269" s="9" t="str">
        <f t="shared" si="46"/>
        <v/>
      </c>
      <c r="AP269" s="9">
        <f t="shared" si="47"/>
        <v>0.25</v>
      </c>
      <c r="AQ269" s="10">
        <f t="shared" si="48"/>
        <v>785.40000000000009</v>
      </c>
      <c r="AR269" s="10">
        <f t="shared" si="49"/>
        <v>228.18000000000006</v>
      </c>
      <c r="AS269" s="11">
        <f t="shared" si="50"/>
        <v>0.29052711993888469</v>
      </c>
      <c r="AT269" s="9">
        <f t="shared" si="51"/>
        <v>5</v>
      </c>
      <c r="AU269" s="9">
        <f t="shared" si="52"/>
        <v>2025</v>
      </c>
      <c r="AV269" s="9" t="b">
        <f t="shared" si="53"/>
        <v>0</v>
      </c>
      <c r="AW269" s="9" t="b">
        <f t="shared" si="54"/>
        <v>0</v>
      </c>
      <c r="AX269" s="9" t="str">
        <f t="shared" si="55"/>
        <v>Yes</v>
      </c>
      <c r="AY269" s="9" t="str">
        <f t="shared" si="57"/>
        <v/>
      </c>
      <c r="AZ269" s="9" t="str">
        <f>IF(OR(G269="Missing date",G269="Invalid date",G269="Ship date before order date",NOT(ISNUMBER(AP269)),AP269&lt;0,AP269&gt;0.5,AV269=TRUE,AW269=TRUE),"Invalid",IF(OR(O269="Unknown",Z269="Unknown",AC269="",AH269&lt;&gt;"Paid",AJ269&lt;&gt;"Completed",AO269&lt;&gt;""),"Warning","Clean"))</f>
        <v>Clean</v>
      </c>
    </row>
    <row r="270" spans="1:52" ht="15.75" customHeight="1">
      <c r="A270" s="6" t="s">
        <v>1478</v>
      </c>
      <c r="B270" s="7" t="s">
        <v>1479</v>
      </c>
      <c r="C270" s="7" t="str">
        <f t="shared" si="56"/>
        <v>2025-08</v>
      </c>
      <c r="D270" s="7" cm="1">
        <f t="array" ref="D270">_xlfn.LET(_xlpm.x,B270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45886</v>
      </c>
      <c r="E270" s="7" t="s">
        <v>1479</v>
      </c>
      <c r="F270" s="7" cm="1">
        <f t="array" ref="F270">_xlfn.LET(_xlpm.x,E270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45886</v>
      </c>
      <c r="G270" s="8" t="str">
        <f t="shared" si="32"/>
        <v>OK</v>
      </c>
      <c r="H270" s="6">
        <f t="shared" si="33"/>
        <v>0</v>
      </c>
      <c r="I270" s="6" t="s">
        <v>1480</v>
      </c>
      <c r="J270" s="6" t="s">
        <v>239</v>
      </c>
      <c r="K270" s="6" t="str">
        <f t="shared" si="34"/>
        <v>Aarav Sharma</v>
      </c>
      <c r="L270" s="6" t="s">
        <v>44</v>
      </c>
      <c r="M270" s="8" t="str">
        <f t="shared" si="35"/>
        <v>Home Office</v>
      </c>
      <c r="N270" s="6" t="s">
        <v>7</v>
      </c>
      <c r="O270" s="6" t="str">
        <f t="shared" si="36"/>
        <v>North</v>
      </c>
      <c r="P270" s="6" t="s">
        <v>232</v>
      </c>
      <c r="Q270" s="6" t="str">
        <f t="shared" si="37"/>
        <v>Punjab</v>
      </c>
      <c r="R270" s="6" t="s">
        <v>233</v>
      </c>
      <c r="S270" s="6" t="str">
        <f t="shared" si="38"/>
        <v>Ludhiana</v>
      </c>
      <c r="T270" s="6" t="s">
        <v>27</v>
      </c>
      <c r="U270" s="8" t="str">
        <f t="shared" si="39"/>
        <v>Technology</v>
      </c>
      <c r="V270" s="6" t="s">
        <v>28</v>
      </c>
      <c r="W270" s="6" t="str">
        <f t="shared" si="40"/>
        <v>Accessories</v>
      </c>
      <c r="X270" s="6" t="s">
        <v>1481</v>
      </c>
      <c r="Y270" s="6" t="s">
        <v>35</v>
      </c>
      <c r="Z270" s="6" t="str">
        <f t="shared" si="41"/>
        <v>First Class</v>
      </c>
      <c r="AA270" s="6">
        <v>7</v>
      </c>
      <c r="AB270" s="6">
        <v>632.20000000000005</v>
      </c>
      <c r="AC270" s="6">
        <v>0.25</v>
      </c>
      <c r="AD270" s="6">
        <v>3319.05</v>
      </c>
      <c r="AE270" s="6">
        <v>2124.6</v>
      </c>
      <c r="AF270" s="6">
        <v>1194.45</v>
      </c>
      <c r="AG270" s="6" t="s">
        <v>52</v>
      </c>
      <c r="AH270" s="6" t="str">
        <f t="shared" si="42"/>
        <v>Paid</v>
      </c>
      <c r="AI270" s="6" t="s">
        <v>134</v>
      </c>
      <c r="AJ270" s="6" t="str">
        <f t="shared" si="43"/>
        <v>Completed</v>
      </c>
      <c r="AK270" s="9" t="str">
        <f>_xlfn.TEXTJOIN("|",FALSE,A270,TEXT(B270,"mm-dd-yyyy"),TEXT(E270,"mm-dd-yyyy"),I270,J270,L270,N270,P270,R270,T270,V270,X270,Y270,AA270,AB270,AC270,AD270,AE270,AF270,AG270,AI270)</f>
        <v>ORD-2025-10269|08-17-2025|08-17-2025|CUST-1488|Aarav Sharma|Home Office|North|Punjab|Ludhiana|Technology|Accessories|Prime Accessories 367|First Class|7|632.2|0.25|3319.05|2124.6|1194.45|Paid|Completed</v>
      </c>
      <c r="AL270" s="27" t="str">
        <f>IF(COUNTIF($AK$2:AK270,AK270)&gt;1,"Remove exact duplicate copy","Keep")</f>
        <v>Keep</v>
      </c>
      <c r="AM270" s="9">
        <f t="shared" si="44"/>
        <v>1</v>
      </c>
      <c r="AN270" s="9" t="str">
        <f t="shared" si="45"/>
        <v>Unique</v>
      </c>
      <c r="AO270" s="9" t="str">
        <f t="shared" si="46"/>
        <v/>
      </c>
      <c r="AP270" s="9">
        <f t="shared" si="47"/>
        <v>0.25</v>
      </c>
      <c r="AQ270" s="10">
        <f t="shared" si="48"/>
        <v>3319.05</v>
      </c>
      <c r="AR270" s="10">
        <f t="shared" si="49"/>
        <v>1194.4500000000003</v>
      </c>
      <c r="AS270" s="11">
        <f t="shared" si="50"/>
        <v>0.35987707325891449</v>
      </c>
      <c r="AT270" s="9">
        <f t="shared" si="51"/>
        <v>8</v>
      </c>
      <c r="AU270" s="9">
        <f t="shared" si="52"/>
        <v>2025</v>
      </c>
      <c r="AV270" s="9" t="b">
        <f t="shared" si="53"/>
        <v>0</v>
      </c>
      <c r="AW270" s="9" t="b">
        <f t="shared" si="54"/>
        <v>0</v>
      </c>
      <c r="AX270" s="9" t="str">
        <f t="shared" si="55"/>
        <v>Yes</v>
      </c>
      <c r="AY270" s="9" t="str">
        <f t="shared" si="57"/>
        <v/>
      </c>
      <c r="AZ270" s="9" t="str">
        <f>IF(OR(G270="Missing date",G270="Invalid date",G270="Ship date before order date",NOT(ISNUMBER(AP270)),AP270&lt;0,AP270&gt;0.5,AV270=TRUE,AW270=TRUE),"Invalid",IF(OR(O270="Unknown",Z270="Unknown",AC270="",AH270&lt;&gt;"Paid",AJ270&lt;&gt;"Completed",AO270&lt;&gt;""),"Warning","Clean"))</f>
        <v>Clean</v>
      </c>
    </row>
    <row r="271" spans="1:52" ht="15.75" customHeight="1">
      <c r="A271" s="6" t="s">
        <v>1482</v>
      </c>
      <c r="B271" s="7" t="s">
        <v>1420</v>
      </c>
      <c r="C271" s="7" t="str">
        <f t="shared" si="56"/>
        <v>2025-02</v>
      </c>
      <c r="D271" s="7" cm="1">
        <f t="array" ref="D271">_xlfn.LET(_xlpm.x,B271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45698</v>
      </c>
      <c r="E271" s="7" t="s">
        <v>1483</v>
      </c>
      <c r="F271" s="7" cm="1">
        <f t="array" ref="F271">_xlfn.LET(_xlpm.x,E271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45700</v>
      </c>
      <c r="G271" s="8" t="str">
        <f t="shared" si="32"/>
        <v>OK</v>
      </c>
      <c r="H271" s="6">
        <f t="shared" si="33"/>
        <v>2</v>
      </c>
      <c r="I271" s="6" t="s">
        <v>1484</v>
      </c>
      <c r="J271" s="6" t="s">
        <v>226</v>
      </c>
      <c r="K271" s="6" t="str">
        <f t="shared" si="34"/>
        <v>Rahul Verma</v>
      </c>
      <c r="L271" s="6" t="s">
        <v>46</v>
      </c>
      <c r="M271" s="8" t="str">
        <f t="shared" si="35"/>
        <v>Small Business</v>
      </c>
      <c r="N271" s="6" t="s">
        <v>9</v>
      </c>
      <c r="O271" s="6" t="str">
        <f t="shared" si="36"/>
        <v>West</v>
      </c>
      <c r="P271" s="6" t="s">
        <v>131</v>
      </c>
      <c r="Q271" s="6" t="str">
        <f t="shared" si="37"/>
        <v>Rajasthan</v>
      </c>
      <c r="R271" s="6" t="s">
        <v>214</v>
      </c>
      <c r="S271" s="6" t="str">
        <f t="shared" si="38"/>
        <v>Udaipur</v>
      </c>
      <c r="T271" s="6" t="s">
        <v>577</v>
      </c>
      <c r="U271" s="8" t="str">
        <f t="shared" si="39"/>
        <v>Furniture</v>
      </c>
      <c r="V271" s="6" t="s">
        <v>18</v>
      </c>
      <c r="W271" s="6" t="str">
        <f t="shared" si="40"/>
        <v>Tables</v>
      </c>
      <c r="X271" s="6" t="s">
        <v>1485</v>
      </c>
      <c r="Y271" s="6" t="s">
        <v>37</v>
      </c>
      <c r="Z271" s="6" t="str">
        <f t="shared" si="41"/>
        <v>Same Day</v>
      </c>
      <c r="AA271" s="6">
        <v>1</v>
      </c>
      <c r="AB271" s="6">
        <v>1925.86</v>
      </c>
      <c r="AC271" s="6">
        <v>0</v>
      </c>
      <c r="AD271" s="6">
        <v>1925.86</v>
      </c>
      <c r="AE271" s="6">
        <v>1321.89</v>
      </c>
      <c r="AF271" s="6">
        <v>603.97</v>
      </c>
      <c r="AG271" s="6" t="s">
        <v>52</v>
      </c>
      <c r="AH271" s="6" t="str">
        <f t="shared" si="42"/>
        <v>Paid</v>
      </c>
      <c r="AI271" s="6" t="s">
        <v>134</v>
      </c>
      <c r="AJ271" s="6" t="str">
        <f t="shared" si="43"/>
        <v>Completed</v>
      </c>
      <c r="AK271" s="9" t="str">
        <f>_xlfn.TEXTJOIN("|",FALSE,A271,TEXT(B271,"mm-dd-yyyy"),TEXT(E271,"mm-dd-yyyy"),I271,J271,L271,N271,P271,R271,T271,V271,X271,Y271,AA271,AB271,AC271,AD271,AE271,AF271,AG271,AI271)</f>
        <v>ORD-2025-10270|02-10-2025|02-12-2025|CUST-1586|Rahul Verma|Small Business|West|Rajasthan|Udaipur|  Furniture |Tables|Max Tables 526|Same Day|1|1925.86|0|1925.86|1321.89|603.97|Paid|Completed</v>
      </c>
      <c r="AL271" s="27" t="str">
        <f>IF(COUNTIF($AK$2:AK271,AK271)&gt;1,"Remove exact duplicate copy","Keep")</f>
        <v>Keep</v>
      </c>
      <c r="AM271" s="9">
        <f t="shared" si="44"/>
        <v>1</v>
      </c>
      <c r="AN271" s="9" t="str">
        <f t="shared" si="45"/>
        <v>Unique</v>
      </c>
      <c r="AO271" s="9" t="str">
        <f t="shared" si="46"/>
        <v/>
      </c>
      <c r="AP271" s="9">
        <f t="shared" si="47"/>
        <v>0</v>
      </c>
      <c r="AQ271" s="10">
        <f t="shared" si="48"/>
        <v>1925.86</v>
      </c>
      <c r="AR271" s="10">
        <f t="shared" si="49"/>
        <v>603.9699999999998</v>
      </c>
      <c r="AS271" s="11">
        <f t="shared" si="50"/>
        <v>0.31361054282242729</v>
      </c>
      <c r="AT271" s="9">
        <f t="shared" si="51"/>
        <v>2</v>
      </c>
      <c r="AU271" s="9">
        <f t="shared" si="52"/>
        <v>2025</v>
      </c>
      <c r="AV271" s="9" t="b">
        <f t="shared" si="53"/>
        <v>0</v>
      </c>
      <c r="AW271" s="9" t="b">
        <f t="shared" si="54"/>
        <v>0</v>
      </c>
      <c r="AX271" s="9" t="str">
        <f t="shared" si="55"/>
        <v>Yes</v>
      </c>
      <c r="AY271" s="9" t="str">
        <f t="shared" si="57"/>
        <v/>
      </c>
      <c r="AZ271" s="9" t="str">
        <f>IF(OR(G271="Missing date",G271="Invalid date",G271="Ship date before order date",NOT(ISNUMBER(AP271)),AP271&lt;0,AP271&gt;0.5,AV271=TRUE,AW271=TRUE),"Invalid",IF(OR(O271="Unknown",Z271="Unknown",AC271="",AH271&lt;&gt;"Paid",AJ271&lt;&gt;"Completed",AO271&lt;&gt;""),"Warning","Clean"))</f>
        <v>Clean</v>
      </c>
    </row>
    <row r="272" spans="1:52" ht="15.75" customHeight="1">
      <c r="A272" s="6" t="s">
        <v>1486</v>
      </c>
      <c r="B272" s="7" t="s">
        <v>1343</v>
      </c>
      <c r="C272" s="7" t="str">
        <f t="shared" si="56"/>
        <v>2024-01</v>
      </c>
      <c r="D272" s="7" cm="1">
        <f t="array" ref="D272">_xlfn.LET(_xlpm.x,B272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45303</v>
      </c>
      <c r="E272" s="7" t="s">
        <v>641</v>
      </c>
      <c r="F272" s="7" cm="1">
        <f t="array" ref="F272">_xlfn.LET(_xlpm.x,E272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45304</v>
      </c>
      <c r="G272" s="8" t="str">
        <f t="shared" si="32"/>
        <v>OK</v>
      </c>
      <c r="H272" s="6">
        <f t="shared" si="33"/>
        <v>1</v>
      </c>
      <c r="I272" s="6" t="s">
        <v>1487</v>
      </c>
      <c r="J272" s="6" t="s">
        <v>190</v>
      </c>
      <c r="K272" s="6" t="str">
        <f t="shared" si="34"/>
        <v>Aditi Sen</v>
      </c>
      <c r="L272" s="6" t="s">
        <v>45</v>
      </c>
      <c r="M272" s="8" t="str">
        <f t="shared" si="35"/>
        <v>Corporate</v>
      </c>
      <c r="N272" s="6" t="s">
        <v>7</v>
      </c>
      <c r="O272" s="6" t="str">
        <f t="shared" si="36"/>
        <v>North</v>
      </c>
      <c r="P272" s="6" t="s">
        <v>251</v>
      </c>
      <c r="Q272" s="6" t="str">
        <f t="shared" si="37"/>
        <v>Uttar Pradesh</v>
      </c>
      <c r="R272" s="6" t="s">
        <v>252</v>
      </c>
      <c r="S272" s="6" t="str">
        <f t="shared" si="38"/>
        <v>Noida</v>
      </c>
      <c r="T272" s="6" t="s">
        <v>27</v>
      </c>
      <c r="U272" s="8" t="str">
        <f t="shared" si="39"/>
        <v>Technology</v>
      </c>
      <c r="V272" s="6" t="s">
        <v>30</v>
      </c>
      <c r="W272" s="6" t="str">
        <f t="shared" si="40"/>
        <v>Machines</v>
      </c>
      <c r="X272" s="6" t="s">
        <v>1488</v>
      </c>
      <c r="Y272" s="6" t="s">
        <v>37</v>
      </c>
      <c r="Z272" s="6" t="str">
        <f t="shared" si="41"/>
        <v>Same Day</v>
      </c>
      <c r="AA272" s="6">
        <v>3</v>
      </c>
      <c r="AB272" s="6">
        <v>827.44</v>
      </c>
      <c r="AC272" s="6">
        <v>0</v>
      </c>
      <c r="AD272" s="6">
        <v>2482.3200000000002</v>
      </c>
      <c r="AE272" s="6">
        <v>1520.21</v>
      </c>
      <c r="AF272" s="6">
        <v>962.11</v>
      </c>
      <c r="AG272" s="6" t="s">
        <v>52</v>
      </c>
      <c r="AH272" s="6" t="str">
        <f t="shared" si="42"/>
        <v>Paid</v>
      </c>
      <c r="AI272" s="6" t="s">
        <v>134</v>
      </c>
      <c r="AJ272" s="6" t="str">
        <f t="shared" si="43"/>
        <v>Completed</v>
      </c>
      <c r="AK272" s="9" t="str">
        <f>_xlfn.TEXTJOIN("|",FALSE,A272,TEXT(B272,"mm-dd-yyyy"),TEXT(E272,"mm-dd-yyyy"),I272,J272,L272,N272,P272,R272,T272,V272,X272,Y272,AA272,AB272,AC272,AD272,AE272,AF272,AG272,AI272)</f>
        <v>ORD-2024-10271|01-12-2024|13-01-2024|CUST-2487|Aditi Sen|Corporate|North|Uttar Pradesh|Noida|Technology|Machines|Prime Machines 794|Same Day|3|827.44|0|2482.32|1520.21|962.11|Paid|Completed</v>
      </c>
      <c r="AL272" s="27" t="str">
        <f>IF(COUNTIF($AK$2:AK272,AK272)&gt;1,"Remove exact duplicate copy","Keep")</f>
        <v>Keep</v>
      </c>
      <c r="AM272" s="9">
        <f t="shared" si="44"/>
        <v>1</v>
      </c>
      <c r="AN272" s="9" t="str">
        <f t="shared" si="45"/>
        <v>Unique</v>
      </c>
      <c r="AO272" s="9" t="str">
        <f t="shared" si="46"/>
        <v/>
      </c>
      <c r="AP272" s="9">
        <f t="shared" si="47"/>
        <v>0</v>
      </c>
      <c r="AQ272" s="10">
        <f t="shared" si="48"/>
        <v>2482.3200000000002</v>
      </c>
      <c r="AR272" s="10">
        <f t="shared" si="49"/>
        <v>962.11000000000013</v>
      </c>
      <c r="AS272" s="11">
        <f t="shared" si="50"/>
        <v>0.38758500112797706</v>
      </c>
      <c r="AT272" s="9">
        <f t="shared" si="51"/>
        <v>1</v>
      </c>
      <c r="AU272" s="9">
        <f t="shared" si="52"/>
        <v>2024</v>
      </c>
      <c r="AV272" s="9" t="b">
        <f t="shared" si="53"/>
        <v>0</v>
      </c>
      <c r="AW272" s="9" t="b">
        <f t="shared" si="54"/>
        <v>0</v>
      </c>
      <c r="AX272" s="9" t="str">
        <f t="shared" si="55"/>
        <v>Yes</v>
      </c>
      <c r="AY272" s="9" t="str">
        <f t="shared" si="57"/>
        <v/>
      </c>
      <c r="AZ272" s="9" t="str">
        <f>IF(OR(G272="Missing date",G272="Invalid date",G272="Ship date before order date",NOT(ISNUMBER(AP272)),AP272&lt;0,AP272&gt;0.5,AV272=TRUE,AW272=TRUE),"Invalid",IF(OR(O272="Unknown",Z272="Unknown",AC272="",AH272&lt;&gt;"Paid",AJ272&lt;&gt;"Completed",AO272&lt;&gt;""),"Warning","Clean"))</f>
        <v>Clean</v>
      </c>
    </row>
    <row r="273" spans="1:52" ht="15.75" customHeight="1">
      <c r="A273" s="6" t="s">
        <v>1489</v>
      </c>
      <c r="B273" s="7" t="s">
        <v>1490</v>
      </c>
      <c r="C273" s="7" t="str">
        <f t="shared" si="56"/>
        <v>2024-12</v>
      </c>
      <c r="D273" s="7" cm="1">
        <f t="array" ref="D273">_xlfn.LET(_xlpm.x,B273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45647</v>
      </c>
      <c r="E273" s="7" t="s">
        <v>1491</v>
      </c>
      <c r="F273" s="7" cm="1">
        <f t="array" ref="F273">_xlfn.LET(_xlpm.x,E273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45651</v>
      </c>
      <c r="G273" s="8" t="str">
        <f t="shared" si="32"/>
        <v>OK</v>
      </c>
      <c r="H273" s="6">
        <f t="shared" si="33"/>
        <v>4</v>
      </c>
      <c r="I273" s="6" t="s">
        <v>1492</v>
      </c>
      <c r="J273" s="6" t="s">
        <v>190</v>
      </c>
      <c r="K273" s="6" t="str">
        <f t="shared" si="34"/>
        <v>Aditi Sen</v>
      </c>
      <c r="L273" s="6" t="s">
        <v>43</v>
      </c>
      <c r="M273" s="8" t="str">
        <f t="shared" si="35"/>
        <v>Consumer</v>
      </c>
      <c r="N273" s="6" t="s">
        <v>10</v>
      </c>
      <c r="O273" s="6" t="str">
        <f t="shared" si="36"/>
        <v>South</v>
      </c>
      <c r="P273" s="6" t="s">
        <v>154</v>
      </c>
      <c r="Q273" s="6" t="str">
        <f t="shared" si="37"/>
        <v>Telangana</v>
      </c>
      <c r="R273" s="6" t="s">
        <v>155</v>
      </c>
      <c r="S273" s="6" t="str">
        <f t="shared" si="38"/>
        <v>Hyderabad</v>
      </c>
      <c r="T273" s="6" t="s">
        <v>20</v>
      </c>
      <c r="U273" s="8" t="str">
        <f t="shared" si="39"/>
        <v>Office Supplies</v>
      </c>
      <c r="V273" s="6" t="s">
        <v>22</v>
      </c>
      <c r="W273" s="6" t="str">
        <f t="shared" si="40"/>
        <v>Binders</v>
      </c>
      <c r="X273" s="6" t="s">
        <v>1493</v>
      </c>
      <c r="Y273" s="6" t="s">
        <v>34</v>
      </c>
      <c r="Z273" s="6" t="str">
        <f t="shared" si="41"/>
        <v>Standard Class</v>
      </c>
      <c r="AA273" s="6">
        <v>7</v>
      </c>
      <c r="AB273" s="6">
        <v>1667.75</v>
      </c>
      <c r="AC273" s="6">
        <v>0</v>
      </c>
      <c r="AD273" s="6">
        <v>11674.25</v>
      </c>
      <c r="AE273" s="6">
        <v>9621.19</v>
      </c>
      <c r="AF273" s="6">
        <v>2053.06</v>
      </c>
      <c r="AG273" s="6" t="s">
        <v>50</v>
      </c>
      <c r="AH273" s="6" t="str">
        <f t="shared" si="42"/>
        <v>Failed</v>
      </c>
      <c r="AI273" s="6" t="s">
        <v>58</v>
      </c>
      <c r="AJ273" s="6" t="str">
        <f t="shared" si="43"/>
        <v>Cancelled</v>
      </c>
      <c r="AK273" s="9" t="str">
        <f>_xlfn.TEXTJOIN("|",FALSE,A273,TEXT(B273,"mm-dd-yyyy"),TEXT(E273,"mm-dd-yyyy"),I273,J273,L273,N273,P273,R273,T273,V273,X273,Y273,AA273,AB273,AC273,AD273,AE273,AF273,AG273,AI273)</f>
        <v>ORD-2024-10272|12-21-2024|12-25-2024|CUST-8009|Aditi Sen|Consumer|South|Telangana|Hyderabad|Office Supplies|Binders|Max Binders 927|Standard Class|7|1667.75|0|11674.25|9621.19|2053.06|Failed|Cancelled</v>
      </c>
      <c r="AL273" s="27" t="str">
        <f>IF(COUNTIF($AK$2:AK273,AK273)&gt;1,"Remove exact duplicate copy","Keep")</f>
        <v>Keep</v>
      </c>
      <c r="AM273" s="9">
        <f t="shared" si="44"/>
        <v>1</v>
      </c>
      <c r="AN273" s="9" t="str">
        <f t="shared" si="45"/>
        <v>Unique</v>
      </c>
      <c r="AO273" s="9" t="str">
        <f t="shared" si="46"/>
        <v/>
      </c>
      <c r="AP273" s="9">
        <f t="shared" si="47"/>
        <v>0</v>
      </c>
      <c r="AQ273" s="10">
        <f t="shared" si="48"/>
        <v>11674.25</v>
      </c>
      <c r="AR273" s="10">
        <f t="shared" si="49"/>
        <v>2053.0599999999995</v>
      </c>
      <c r="AS273" s="11">
        <f t="shared" si="50"/>
        <v>0.17586226095894808</v>
      </c>
      <c r="AT273" s="9">
        <f t="shared" si="51"/>
        <v>12</v>
      </c>
      <c r="AU273" s="9">
        <f t="shared" si="52"/>
        <v>2024</v>
      </c>
      <c r="AV273" s="9" t="b">
        <f t="shared" si="53"/>
        <v>0</v>
      </c>
      <c r="AW273" s="9" t="b">
        <f t="shared" si="54"/>
        <v>0</v>
      </c>
      <c r="AX273" s="9" t="str">
        <f t="shared" si="55"/>
        <v>No</v>
      </c>
      <c r="AY273" s="9" t="str">
        <f t="shared" si="57"/>
        <v>Failed payment excluded; Cancelled order excluded</v>
      </c>
      <c r="AZ273" s="9" t="str">
        <f>IF(OR(G273="Missing date",G273="Invalid date",G273="Ship date before order date",NOT(ISNUMBER(AP273)),AP273&lt;0,AP273&gt;0.5,AV273=TRUE,AW273=TRUE),"Invalid",IF(OR(O273="Unknown",Z273="Unknown",AC273="",AH273&lt;&gt;"Paid",AJ273&lt;&gt;"Completed",AO273&lt;&gt;""),"Warning","Clean"))</f>
        <v>Warning</v>
      </c>
    </row>
    <row r="274" spans="1:52" ht="15.75" customHeight="1">
      <c r="A274" s="6" t="s">
        <v>1494</v>
      </c>
      <c r="B274" s="7" t="s">
        <v>1495</v>
      </c>
      <c r="C274" s="7" t="str">
        <f t="shared" si="56"/>
        <v>2024-08</v>
      </c>
      <c r="D274" s="7" cm="1">
        <f t="array" ref="D274">_xlfn.LET(_xlpm.x,B274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45522</v>
      </c>
      <c r="E274" s="7" t="s">
        <v>1496</v>
      </c>
      <c r="F274" s="7" cm="1">
        <f t="array" ref="F274">_xlfn.LET(_xlpm.x,E274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45528</v>
      </c>
      <c r="G274" s="8" t="str">
        <f t="shared" si="32"/>
        <v>OK</v>
      </c>
      <c r="H274" s="6">
        <f t="shared" si="33"/>
        <v>6</v>
      </c>
      <c r="I274" s="6" t="s">
        <v>1497</v>
      </c>
      <c r="J274" s="6" t="s">
        <v>153</v>
      </c>
      <c r="K274" s="6" t="str">
        <f t="shared" si="34"/>
        <v>Arjun Bose</v>
      </c>
      <c r="L274" s="6" t="s">
        <v>43</v>
      </c>
      <c r="M274" s="8" t="str">
        <f t="shared" si="35"/>
        <v>Consumer</v>
      </c>
      <c r="N274" s="6" t="s">
        <v>10</v>
      </c>
      <c r="O274" s="6" t="str">
        <f t="shared" si="36"/>
        <v>South</v>
      </c>
      <c r="P274" s="6" t="s">
        <v>183</v>
      </c>
      <c r="Q274" s="6" t="str">
        <f t="shared" si="37"/>
        <v>Andhra Pradesh</v>
      </c>
      <c r="R274" s="6" t="s">
        <v>184</v>
      </c>
      <c r="S274" s="6" t="str">
        <f t="shared" si="38"/>
        <v>Vijayawada</v>
      </c>
      <c r="T274" s="6" t="s">
        <v>14</v>
      </c>
      <c r="U274" s="8" t="str">
        <f t="shared" si="39"/>
        <v>Furniture</v>
      </c>
      <c r="V274" s="6" t="s">
        <v>16</v>
      </c>
      <c r="W274" s="6" t="str">
        <f t="shared" si="40"/>
        <v>Chairs</v>
      </c>
      <c r="X274" s="6" t="s">
        <v>1498</v>
      </c>
      <c r="Y274" s="6" t="s">
        <v>35</v>
      </c>
      <c r="Z274" s="6" t="str">
        <f t="shared" si="41"/>
        <v>First Class</v>
      </c>
      <c r="AA274" s="6">
        <v>7</v>
      </c>
      <c r="AB274" s="6">
        <v>557.21</v>
      </c>
      <c r="AC274" s="6">
        <v>0.1</v>
      </c>
      <c r="AD274" s="6">
        <v>3510.42</v>
      </c>
      <c r="AE274" s="6">
        <v>2191.5</v>
      </c>
      <c r="AF274" s="6">
        <v>1213.48</v>
      </c>
      <c r="AG274" s="6" t="s">
        <v>52</v>
      </c>
      <c r="AH274" s="6" t="str">
        <f t="shared" si="42"/>
        <v>Paid</v>
      </c>
      <c r="AI274" s="6" t="s">
        <v>134</v>
      </c>
      <c r="AJ274" s="6" t="str">
        <f t="shared" si="43"/>
        <v>Completed</v>
      </c>
      <c r="AK274" s="9" t="str">
        <f>_xlfn.TEXTJOIN("|",FALSE,A274,TEXT(B274,"mm-dd-yyyy"),TEXT(E274,"mm-dd-yyyy"),I274,J274,L274,N274,P274,R274,T274,V274,X274,Y274,AA274,AB274,AC274,AD274,AE274,AF274,AG274,AI274)</f>
        <v>ORD-2024-10273|08-18-2024|08-24-2024|CUST-7389|Arjun Bose|Consumer|South|Andhra Pradesh|Vijayawada|Furniture|Chairs|Eco Chairs 314|First Class|7|557.21|0.1|3510.42|2191.5|1213.48|Paid|Completed</v>
      </c>
      <c r="AL274" s="27" t="str">
        <f>IF(COUNTIF($AK$2:AK274,AK274)&gt;1,"Remove exact duplicate copy","Keep")</f>
        <v>Keep</v>
      </c>
      <c r="AM274" s="9">
        <f t="shared" si="44"/>
        <v>2</v>
      </c>
      <c r="AN274" s="9" t="str">
        <f t="shared" si="45"/>
        <v>Duplicate order_id</v>
      </c>
      <c r="AO274" s="9" t="str">
        <f t="shared" si="46"/>
        <v>Review conflicting duplicate</v>
      </c>
      <c r="AP274" s="9">
        <f t="shared" si="47"/>
        <v>0.1</v>
      </c>
      <c r="AQ274" s="10">
        <f t="shared" si="48"/>
        <v>3510.4230000000002</v>
      </c>
      <c r="AR274" s="10">
        <f t="shared" si="49"/>
        <v>1318.9230000000002</v>
      </c>
      <c r="AS274" s="11">
        <f t="shared" si="50"/>
        <v>0.37571625983535323</v>
      </c>
      <c r="AT274" s="9">
        <f t="shared" si="51"/>
        <v>8</v>
      </c>
      <c r="AU274" s="9">
        <f t="shared" si="52"/>
        <v>2024</v>
      </c>
      <c r="AV274" s="9" t="b">
        <f t="shared" si="53"/>
        <v>0</v>
      </c>
      <c r="AW274" s="9" t="b">
        <f t="shared" si="54"/>
        <v>1</v>
      </c>
      <c r="AX274" s="9" t="str">
        <f t="shared" si="55"/>
        <v>No</v>
      </c>
      <c r="AY274" s="9" t="str">
        <f t="shared" si="57"/>
        <v>Duplicate order ID conflict; Profit mismatch</v>
      </c>
      <c r="AZ274" s="9" t="str">
        <f>IF(OR(G274="Missing date",G274="Invalid date",G274="Ship date before order date",NOT(ISNUMBER(AP274)),AP274&lt;0,AP274&gt;0.5,AV274=TRUE,AW274=TRUE),"Invalid",IF(OR(O274="Unknown",Z274="Unknown",AC274="",AH274&lt;&gt;"Paid",AJ274&lt;&gt;"Completed",AO274&lt;&gt;""),"Warning","Clean"))</f>
        <v>Invalid</v>
      </c>
    </row>
    <row r="275" spans="1:52" ht="15.75" customHeight="1">
      <c r="A275" s="6" t="s">
        <v>1499</v>
      </c>
      <c r="B275" s="7" t="s">
        <v>1500</v>
      </c>
      <c r="C275" s="7" t="str">
        <f t="shared" si="56"/>
        <v>2025-02</v>
      </c>
      <c r="D275" s="7" cm="1">
        <f t="array" ref="D275">_xlfn.LET(_xlpm.x,B275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45701</v>
      </c>
      <c r="E275" s="7" t="s">
        <v>1501</v>
      </c>
      <c r="F275" s="7" cm="1">
        <f t="array" ref="F275">_xlfn.LET(_xlpm.x,E275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45701</v>
      </c>
      <c r="G275" s="8" t="str">
        <f t="shared" si="32"/>
        <v>OK</v>
      </c>
      <c r="H275" s="6">
        <f t="shared" si="33"/>
        <v>0</v>
      </c>
      <c r="I275" s="6" t="s">
        <v>1502</v>
      </c>
      <c r="J275" s="6" t="s">
        <v>147</v>
      </c>
      <c r="K275" s="6" t="str">
        <f t="shared" si="34"/>
        <v>Isha Nair</v>
      </c>
      <c r="L275" s="6" t="s">
        <v>43</v>
      </c>
      <c r="M275" s="8" t="str">
        <f t="shared" si="35"/>
        <v>Consumer</v>
      </c>
      <c r="N275" s="6" t="s">
        <v>8</v>
      </c>
      <c r="O275" s="6" t="str">
        <f t="shared" si="36"/>
        <v>East</v>
      </c>
      <c r="P275" s="6" t="s">
        <v>263</v>
      </c>
      <c r="Q275" s="6" t="str">
        <f t="shared" si="37"/>
        <v>Bihar</v>
      </c>
      <c r="R275" s="6" t="s">
        <v>264</v>
      </c>
      <c r="S275" s="6" t="str">
        <f t="shared" si="38"/>
        <v>Patna</v>
      </c>
      <c r="T275" s="6" t="s">
        <v>20</v>
      </c>
      <c r="U275" s="8" t="str">
        <f t="shared" si="39"/>
        <v>Office Supplies</v>
      </c>
      <c r="V275" s="6" t="s">
        <v>24</v>
      </c>
      <c r="W275" s="6" t="str">
        <f t="shared" si="40"/>
        <v>Paper</v>
      </c>
      <c r="X275" s="6" t="s">
        <v>1503</v>
      </c>
      <c r="Y275" s="6" t="s">
        <v>36</v>
      </c>
      <c r="Z275" s="6" t="str">
        <f t="shared" si="41"/>
        <v>Second Class</v>
      </c>
      <c r="AA275" s="6">
        <v>9</v>
      </c>
      <c r="AB275" s="6">
        <v>2521.63</v>
      </c>
      <c r="AC275" s="6">
        <v>0</v>
      </c>
      <c r="AD275" s="6">
        <v>22694.67</v>
      </c>
      <c r="AE275" s="6">
        <v>15405.36</v>
      </c>
      <c r="AF275" s="6">
        <v>7289.31</v>
      </c>
      <c r="AG275" s="6" t="s">
        <v>52</v>
      </c>
      <c r="AH275" s="6" t="str">
        <f t="shared" si="42"/>
        <v>Paid</v>
      </c>
      <c r="AI275" s="6" t="s">
        <v>59</v>
      </c>
      <c r="AJ275" s="6" t="str">
        <f t="shared" si="43"/>
        <v>Returned</v>
      </c>
      <c r="AK275" s="9" t="str">
        <f>_xlfn.TEXTJOIN("|",FALSE,A275,TEXT(B275,"mm-dd-yyyy"),TEXT(E275,"mm-dd-yyyy"),I275,J275,L275,N275,P275,R275,T275,V275,X275,Y275,AA275,AB275,AC275,AD275,AE275,AF275,AG275,AI275)</f>
        <v>ORD-2025-10274|02-13-2025|02-13-2025|CUST-8249|Isha Nair|Consumer|East|Bihar|Patna|Office Supplies|Paper|Basic Paper 657|Second Class|9|2521.63|0|22694.67|15405.36|7289.31|Paid|Returned</v>
      </c>
      <c r="AL275" s="27" t="str">
        <f>IF(COUNTIF($AK$2:AK275,AK275)&gt;1,"Remove exact duplicate copy","Keep")</f>
        <v>Keep</v>
      </c>
      <c r="AM275" s="9">
        <f t="shared" si="44"/>
        <v>1</v>
      </c>
      <c r="AN275" s="9" t="str">
        <f t="shared" si="45"/>
        <v>Unique</v>
      </c>
      <c r="AO275" s="9" t="str">
        <f t="shared" si="46"/>
        <v/>
      </c>
      <c r="AP275" s="9">
        <f t="shared" si="47"/>
        <v>0</v>
      </c>
      <c r="AQ275" s="10">
        <f t="shared" si="48"/>
        <v>22694.670000000002</v>
      </c>
      <c r="AR275" s="10">
        <f t="shared" si="49"/>
        <v>7289.3100000000013</v>
      </c>
      <c r="AS275" s="11">
        <f t="shared" si="50"/>
        <v>0.32119039404406413</v>
      </c>
      <c r="AT275" s="9">
        <f t="shared" si="51"/>
        <v>2</v>
      </c>
      <c r="AU275" s="9">
        <f t="shared" si="52"/>
        <v>2025</v>
      </c>
      <c r="AV275" s="9" t="b">
        <f t="shared" si="53"/>
        <v>0</v>
      </c>
      <c r="AW275" s="9" t="b">
        <f t="shared" si="54"/>
        <v>0</v>
      </c>
      <c r="AX275" s="9" t="str">
        <f t="shared" si="55"/>
        <v>No</v>
      </c>
      <c r="AY275" s="9" t="str">
        <f t="shared" si="57"/>
        <v>Returned order excluded</v>
      </c>
      <c r="AZ275" s="9" t="str">
        <f>IF(OR(G275="Missing date",G275="Invalid date",G275="Ship date before order date",NOT(ISNUMBER(AP275)),AP275&lt;0,AP275&gt;0.5,AV275=TRUE,AW275=TRUE),"Invalid",IF(OR(O275="Unknown",Z275="Unknown",AC275="",AH275&lt;&gt;"Paid",AJ275&lt;&gt;"Completed",AO275&lt;&gt;""),"Warning","Clean"))</f>
        <v>Warning</v>
      </c>
    </row>
    <row r="276" spans="1:52" ht="15.75" customHeight="1">
      <c r="A276" s="6" t="s">
        <v>1504</v>
      </c>
      <c r="B276" s="7" t="s">
        <v>1505</v>
      </c>
      <c r="C276" s="7" t="str">
        <f t="shared" si="56"/>
        <v>2024-04</v>
      </c>
      <c r="D276" s="7" cm="1">
        <f t="array" ref="D276">_xlfn.LET(_xlpm.x,B276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45389</v>
      </c>
      <c r="E276" s="7" t="s">
        <v>1506</v>
      </c>
      <c r="F276" s="7" cm="1">
        <f t="array" ref="F276">_xlfn.LET(_xlpm.x,E276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45396</v>
      </c>
      <c r="G276" s="8" t="str">
        <f t="shared" si="32"/>
        <v>OK</v>
      </c>
      <c r="H276" s="6">
        <f t="shared" si="33"/>
        <v>7</v>
      </c>
      <c r="I276" s="6" t="s">
        <v>1507</v>
      </c>
      <c r="J276" s="6" t="s">
        <v>257</v>
      </c>
      <c r="K276" s="6" t="str">
        <f t="shared" si="34"/>
        <v>Rohan Mehta</v>
      </c>
      <c r="L276" s="6" t="s">
        <v>43</v>
      </c>
      <c r="M276" s="8" t="str">
        <f t="shared" si="35"/>
        <v>Consumer</v>
      </c>
      <c r="N276" s="6" t="s">
        <v>10</v>
      </c>
      <c r="O276" s="6" t="str">
        <f t="shared" si="36"/>
        <v>South</v>
      </c>
      <c r="P276" s="6" t="s">
        <v>316</v>
      </c>
      <c r="Q276" s="6" t="str">
        <f t="shared" si="37"/>
        <v>Kerala</v>
      </c>
      <c r="R276" s="6" t="s">
        <v>317</v>
      </c>
      <c r="S276" s="6" t="str">
        <f t="shared" si="38"/>
        <v>Kochi</v>
      </c>
      <c r="T276" s="6" t="s">
        <v>27</v>
      </c>
      <c r="U276" s="8" t="str">
        <f t="shared" si="39"/>
        <v>Technology</v>
      </c>
      <c r="V276" s="6" t="s">
        <v>29</v>
      </c>
      <c r="W276" s="6" t="str">
        <f t="shared" si="40"/>
        <v>Copiers</v>
      </c>
      <c r="X276" s="6" t="s">
        <v>1508</v>
      </c>
      <c r="Y276" s="6" t="s">
        <v>34</v>
      </c>
      <c r="Z276" s="6" t="str">
        <f t="shared" si="41"/>
        <v>Standard Class</v>
      </c>
      <c r="AA276" s="6">
        <v>6</v>
      </c>
      <c r="AB276" s="6">
        <v>4246.71</v>
      </c>
      <c r="AC276" s="6">
        <v>0.15</v>
      </c>
      <c r="AD276" s="6">
        <v>21658.22</v>
      </c>
      <c r="AE276" s="6">
        <v>15490.69</v>
      </c>
      <c r="AF276" s="6">
        <v>6167.53</v>
      </c>
      <c r="AG276" s="6" t="s">
        <v>50</v>
      </c>
      <c r="AH276" s="6" t="str">
        <f t="shared" si="42"/>
        <v>Failed</v>
      </c>
      <c r="AI276" s="6" t="s">
        <v>59</v>
      </c>
      <c r="AJ276" s="6" t="str">
        <f t="shared" si="43"/>
        <v>Returned</v>
      </c>
      <c r="AK276" s="9" t="str">
        <f>_xlfn.TEXTJOIN("|",FALSE,A276,TEXT(B276,"mm-dd-yyyy"),TEXT(E276,"mm-dd-yyyy"),I276,J276,L276,N276,P276,R276,T276,V276,X276,Y276,AA276,AB276,AC276,AD276,AE276,AF276,AG276,AI276)</f>
        <v>ORD-2024-10275|07-04-2024|14-04-2024|CUST-4202|Rohan Mehta|Consumer|South|Kerala|Kochi|Technology|Copiers|Pro Copiers 406|Standard Class|6|4246.71|0.15|21658.22|15490.69|6167.53|Failed|Returned</v>
      </c>
      <c r="AL276" s="27" t="str">
        <f>IF(COUNTIF($AK$2:AK276,AK276)&gt;1,"Remove exact duplicate copy","Keep")</f>
        <v>Keep</v>
      </c>
      <c r="AM276" s="9">
        <f t="shared" si="44"/>
        <v>1</v>
      </c>
      <c r="AN276" s="9" t="str">
        <f t="shared" si="45"/>
        <v>Unique</v>
      </c>
      <c r="AO276" s="9" t="str">
        <f t="shared" si="46"/>
        <v/>
      </c>
      <c r="AP276" s="9">
        <f t="shared" si="47"/>
        <v>0.15</v>
      </c>
      <c r="AQ276" s="10">
        <f t="shared" si="48"/>
        <v>21658.221000000001</v>
      </c>
      <c r="AR276" s="10">
        <f t="shared" si="49"/>
        <v>6167.5310000000009</v>
      </c>
      <c r="AS276" s="11">
        <f t="shared" si="50"/>
        <v>0.28476627881856043</v>
      </c>
      <c r="AT276" s="9">
        <f t="shared" si="51"/>
        <v>4</v>
      </c>
      <c r="AU276" s="9">
        <f t="shared" si="52"/>
        <v>2024</v>
      </c>
      <c r="AV276" s="9" t="b">
        <f t="shared" si="53"/>
        <v>0</v>
      </c>
      <c r="AW276" s="9" t="b">
        <f t="shared" si="54"/>
        <v>0</v>
      </c>
      <c r="AX276" s="9" t="str">
        <f t="shared" si="55"/>
        <v>No</v>
      </c>
      <c r="AY276" s="9" t="str">
        <f t="shared" si="57"/>
        <v>Failed payment excluded; Returned order excluded</v>
      </c>
      <c r="AZ276" s="9" t="str">
        <f>IF(OR(G276="Missing date",G276="Invalid date",G276="Ship date before order date",NOT(ISNUMBER(AP276)),AP276&lt;0,AP276&gt;0.5,AV276=TRUE,AW276=TRUE),"Invalid",IF(OR(O276="Unknown",Z276="Unknown",AC276="",AH276&lt;&gt;"Paid",AJ276&lt;&gt;"Completed",AO276&lt;&gt;""),"Warning","Clean"))</f>
        <v>Warning</v>
      </c>
    </row>
    <row r="277" spans="1:52" ht="15.75" customHeight="1">
      <c r="A277" s="6" t="s">
        <v>1509</v>
      </c>
      <c r="B277" s="7" t="s">
        <v>757</v>
      </c>
      <c r="C277" s="7" t="str">
        <f t="shared" si="56"/>
        <v>2024-02</v>
      </c>
      <c r="D277" s="7" cm="1">
        <f t="array" ref="D277">_xlfn.LET(_xlpm.x,B277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45337</v>
      </c>
      <c r="E277" s="7" t="s">
        <v>1510</v>
      </c>
      <c r="F277" s="7" cm="1">
        <f t="array" ref="F277">_xlfn.LET(_xlpm.x,E277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45344</v>
      </c>
      <c r="G277" s="8" t="str">
        <f t="shared" si="32"/>
        <v>OK</v>
      </c>
      <c r="H277" s="6">
        <f t="shared" si="33"/>
        <v>7</v>
      </c>
      <c r="I277" s="6" t="s">
        <v>1511</v>
      </c>
      <c r="J277" s="6" t="s">
        <v>220</v>
      </c>
      <c r="K277" s="6" t="str">
        <f t="shared" si="34"/>
        <v>Priya Menon</v>
      </c>
      <c r="L277" s="6" t="s">
        <v>46</v>
      </c>
      <c r="M277" s="8" t="str">
        <f t="shared" si="35"/>
        <v>Small Business</v>
      </c>
      <c r="N277" s="6" t="s">
        <v>8</v>
      </c>
      <c r="O277" s="6" t="str">
        <f t="shared" si="36"/>
        <v>East</v>
      </c>
      <c r="P277" s="6" t="s">
        <v>201</v>
      </c>
      <c r="Q277" s="6" t="str">
        <f t="shared" si="37"/>
        <v>West Bengal</v>
      </c>
      <c r="R277" s="6" t="s">
        <v>202</v>
      </c>
      <c r="S277" s="6" t="str">
        <f t="shared" si="38"/>
        <v>Kolkata</v>
      </c>
      <c r="T277" s="6" t="s">
        <v>14</v>
      </c>
      <c r="U277" s="8" t="str">
        <f t="shared" si="39"/>
        <v>Furniture</v>
      </c>
      <c r="V277" s="6" t="s">
        <v>17</v>
      </c>
      <c r="W277" s="6" t="str">
        <f t="shared" si="40"/>
        <v>Furnishings</v>
      </c>
      <c r="X277" s="6" t="s">
        <v>1512</v>
      </c>
      <c r="Y277" s="6" t="s">
        <v>37</v>
      </c>
      <c r="Z277" s="6" t="str">
        <f t="shared" si="41"/>
        <v>Same Day</v>
      </c>
      <c r="AA277" s="6">
        <v>1</v>
      </c>
      <c r="AB277" s="6">
        <v>980.51</v>
      </c>
      <c r="AC277" s="6">
        <v>0</v>
      </c>
      <c r="AD277" s="6">
        <v>980.51</v>
      </c>
      <c r="AE277" s="6">
        <v>660.92</v>
      </c>
      <c r="AF277" s="6">
        <v>319.58999999999997</v>
      </c>
      <c r="AG277" s="6" t="s">
        <v>52</v>
      </c>
      <c r="AH277" s="6" t="str">
        <f t="shared" si="42"/>
        <v>Paid</v>
      </c>
      <c r="AI277" s="6" t="s">
        <v>134</v>
      </c>
      <c r="AJ277" s="6" t="str">
        <f t="shared" si="43"/>
        <v>Completed</v>
      </c>
      <c r="AK277" s="9" t="str">
        <f>_xlfn.TEXTJOIN("|",FALSE,A277,TEXT(B277,"mm-dd-yyyy"),TEXT(E277,"mm-dd-yyyy"),I277,J277,L277,N277,P277,R277,T277,V277,X277,Y277,AA277,AB277,AC277,AD277,AE277,AF277,AG277,AI277)</f>
        <v>ORD-2024-10276|02-15-2024|02-22-2024|CUST-2875|Priya Menon|Small Business|East|West Bengal|Kolkata|Furniture|Furnishings|Eco Furnishings 678|Same Day|1|980.51|0|980.51|660.92|319.59|Paid|Completed</v>
      </c>
      <c r="AL277" s="27" t="str">
        <f>IF(COUNTIF($AK$2:AK277,AK277)&gt;1,"Remove exact duplicate copy","Keep")</f>
        <v>Keep</v>
      </c>
      <c r="AM277" s="9">
        <f t="shared" si="44"/>
        <v>1</v>
      </c>
      <c r="AN277" s="9" t="str">
        <f t="shared" si="45"/>
        <v>Unique</v>
      </c>
      <c r="AO277" s="9" t="str">
        <f t="shared" si="46"/>
        <v/>
      </c>
      <c r="AP277" s="9">
        <f t="shared" si="47"/>
        <v>0</v>
      </c>
      <c r="AQ277" s="10">
        <f t="shared" si="48"/>
        <v>980.51</v>
      </c>
      <c r="AR277" s="10">
        <f t="shared" si="49"/>
        <v>319.59000000000003</v>
      </c>
      <c r="AS277" s="11">
        <f t="shared" si="50"/>
        <v>0.32594262169687205</v>
      </c>
      <c r="AT277" s="9">
        <f t="shared" si="51"/>
        <v>2</v>
      </c>
      <c r="AU277" s="9">
        <f t="shared" si="52"/>
        <v>2024</v>
      </c>
      <c r="AV277" s="9" t="b">
        <f t="shared" si="53"/>
        <v>0</v>
      </c>
      <c r="AW277" s="9" t="b">
        <f t="shared" si="54"/>
        <v>0</v>
      </c>
      <c r="AX277" s="9" t="str">
        <f t="shared" si="55"/>
        <v>Yes</v>
      </c>
      <c r="AY277" s="9" t="str">
        <f t="shared" si="57"/>
        <v/>
      </c>
      <c r="AZ277" s="9" t="str">
        <f>IF(OR(G277="Missing date",G277="Invalid date",G277="Ship date before order date",NOT(ISNUMBER(AP277)),AP277&lt;0,AP277&gt;0.5,AV277=TRUE,AW277=TRUE),"Invalid",IF(OR(O277="Unknown",Z277="Unknown",AC277="",AH277&lt;&gt;"Paid",AJ277&lt;&gt;"Completed",AO277&lt;&gt;""),"Warning","Clean"))</f>
        <v>Clean</v>
      </c>
    </row>
    <row r="278" spans="1:52" ht="15.75" customHeight="1">
      <c r="A278" s="6" t="s">
        <v>1513</v>
      </c>
      <c r="B278" s="7" t="s">
        <v>1141</v>
      </c>
      <c r="C278" s="7" t="str">
        <f t="shared" si="56"/>
        <v>2024-01</v>
      </c>
      <c r="D278" s="7" cm="1">
        <f t="array" ref="D278">_xlfn.LET(_xlpm.x,B278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45313</v>
      </c>
      <c r="E278" s="7" t="s">
        <v>1514</v>
      </c>
      <c r="F278" s="7" cm="1">
        <f t="array" ref="F278">_xlfn.LET(_xlpm.x,E278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45314</v>
      </c>
      <c r="G278" s="8" t="str">
        <f t="shared" si="32"/>
        <v>OK</v>
      </c>
      <c r="H278" s="6">
        <f t="shared" si="33"/>
        <v>1</v>
      </c>
      <c r="I278" s="6" t="s">
        <v>1515</v>
      </c>
      <c r="J278" s="6" t="s">
        <v>239</v>
      </c>
      <c r="K278" s="6" t="str">
        <f t="shared" si="34"/>
        <v>Aarav Sharma</v>
      </c>
      <c r="L278" s="6" t="s">
        <v>46</v>
      </c>
      <c r="M278" s="8" t="str">
        <f t="shared" si="35"/>
        <v>Small Business</v>
      </c>
      <c r="N278" s="6"/>
      <c r="O278" s="6" t="str">
        <f t="shared" si="36"/>
        <v>Unknown</v>
      </c>
      <c r="P278" s="6" t="s">
        <v>290</v>
      </c>
      <c r="Q278" s="6" t="str">
        <f t="shared" si="37"/>
        <v>Assam</v>
      </c>
      <c r="R278" s="6" t="s">
        <v>291</v>
      </c>
      <c r="S278" s="6" t="str">
        <f t="shared" si="38"/>
        <v>Guwahati</v>
      </c>
      <c r="T278" s="6" t="s">
        <v>14</v>
      </c>
      <c r="U278" s="8" t="str">
        <f t="shared" si="39"/>
        <v>Furniture</v>
      </c>
      <c r="V278" s="6" t="s">
        <v>16</v>
      </c>
      <c r="W278" s="6" t="str">
        <f t="shared" si="40"/>
        <v>Chairs</v>
      </c>
      <c r="X278" s="6" t="s">
        <v>1516</v>
      </c>
      <c r="Y278" s="6" t="s">
        <v>36</v>
      </c>
      <c r="Z278" s="6" t="str">
        <f t="shared" si="41"/>
        <v>Second Class</v>
      </c>
      <c r="AA278" s="6">
        <v>6</v>
      </c>
      <c r="AB278" s="6">
        <v>3391.53</v>
      </c>
      <c r="AC278" s="6">
        <v>-0.14000000000000001</v>
      </c>
      <c r="AD278" s="6">
        <v>15261.89</v>
      </c>
      <c r="AE278" s="6">
        <v>8413.5300000000007</v>
      </c>
      <c r="AF278" s="6">
        <v>6848.36</v>
      </c>
      <c r="AG278" s="6" t="s">
        <v>52</v>
      </c>
      <c r="AH278" s="6" t="str">
        <f t="shared" si="42"/>
        <v>Paid</v>
      </c>
      <c r="AI278" s="6" t="s">
        <v>134</v>
      </c>
      <c r="AJ278" s="6" t="str">
        <f t="shared" si="43"/>
        <v>Completed</v>
      </c>
      <c r="AK278" s="9" t="str">
        <f>_xlfn.TEXTJOIN("|",FALSE,A278,TEXT(B278,"mm-dd-yyyy"),TEXT(E278,"mm-dd-yyyy"),I278,J278,L278,N278,P278,R278,T278,V278,X278,Y278,AA278,AB278,AC278,AD278,AE278,AF278,AG278,AI278)</f>
        <v>ORD-2024-10277|22-01-2024|23-01-2024|CUST-7039|Aarav Sharma|Small Business||Assam|Guwahati|Furniture|Chairs|Basic Chairs 141|Second Class|6|3391.53|-0.14|15261.89|8413.53|6848.36|Paid|Completed</v>
      </c>
      <c r="AL278" s="27" t="str">
        <f>IF(COUNTIF($AK$2:AK278,AK278)&gt;1,"Remove exact duplicate copy","Keep")</f>
        <v>Keep</v>
      </c>
      <c r="AM278" s="9">
        <f t="shared" si="44"/>
        <v>1</v>
      </c>
      <c r="AN278" s="9" t="str">
        <f t="shared" si="45"/>
        <v>Unique</v>
      </c>
      <c r="AO278" s="9" t="str">
        <f t="shared" si="46"/>
        <v/>
      </c>
      <c r="AP278" s="9">
        <f t="shared" si="47"/>
        <v>-0.14000000000000001</v>
      </c>
      <c r="AQ278" s="10">
        <f t="shared" si="48"/>
        <v>23198.065200000005</v>
      </c>
      <c r="AR278" s="10">
        <f t="shared" si="49"/>
        <v>14784.535200000004</v>
      </c>
      <c r="AS278" s="11">
        <f t="shared" si="50"/>
        <v>0.63731759836591895</v>
      </c>
      <c r="AT278" s="9">
        <f t="shared" si="51"/>
        <v>1</v>
      </c>
      <c r="AU278" s="9">
        <f t="shared" si="52"/>
        <v>2024</v>
      </c>
      <c r="AV278" s="9" t="b">
        <f t="shared" si="53"/>
        <v>1</v>
      </c>
      <c r="AW278" s="9" t="b">
        <f t="shared" si="54"/>
        <v>1</v>
      </c>
      <c r="AX278" s="9" t="str">
        <f t="shared" si="55"/>
        <v>No</v>
      </c>
      <c r="AY278" s="9" t="str">
        <f t="shared" si="57"/>
        <v>Missing region filled as Unknown; Negative discount; Sales mismatch; Profit mismatch</v>
      </c>
      <c r="AZ278" s="9" t="str">
        <f>IF(OR(G278="Missing date",G278="Invalid date",G278="Ship date before order date",NOT(ISNUMBER(AP278)),AP278&lt;0,AP278&gt;0.5,AV278=TRUE,AW278=TRUE),"Invalid",IF(OR(O278="Unknown",Z278="Unknown",AC278="",AH278&lt;&gt;"Paid",AJ278&lt;&gt;"Completed",AO278&lt;&gt;""),"Warning","Clean"))</f>
        <v>Invalid</v>
      </c>
    </row>
    <row r="279" spans="1:52" ht="15.75" customHeight="1">
      <c r="A279" s="6" t="s">
        <v>1517</v>
      </c>
      <c r="B279" s="7" t="s">
        <v>1518</v>
      </c>
      <c r="C279" s="7" t="str">
        <f t="shared" si="56"/>
        <v>2025-06</v>
      </c>
      <c r="D279" s="7" cm="1">
        <f t="array" ref="D279">_xlfn.LET(_xlpm.x,B279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E279" s="7" t="s">
        <v>1518</v>
      </c>
      <c r="F279" s="7" cm="1">
        <f t="array" ref="F279">_xlfn.LET(_xlpm.x,E279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G279" s="8" t="str">
        <f t="shared" si="32"/>
        <v>OK</v>
      </c>
      <c r="H279" s="6">
        <f t="shared" si="33"/>
        <v>0</v>
      </c>
      <c r="I279" s="6" t="s">
        <v>1291</v>
      </c>
      <c r="J279" s="6" t="s">
        <v>147</v>
      </c>
      <c r="K279" s="6" t="str">
        <f t="shared" si="34"/>
        <v>Isha Nair</v>
      </c>
      <c r="L279" s="6" t="s">
        <v>45</v>
      </c>
      <c r="M279" s="8" t="str">
        <f t="shared" si="35"/>
        <v>Corporate</v>
      </c>
      <c r="N279" s="6" t="s">
        <v>7</v>
      </c>
      <c r="O279" s="6" t="str">
        <f t="shared" si="36"/>
        <v>North</v>
      </c>
      <c r="P279" s="6" t="s">
        <v>397</v>
      </c>
      <c r="Q279" s="6" t="str">
        <f t="shared" si="37"/>
        <v>Haryana</v>
      </c>
      <c r="R279" s="6" t="s">
        <v>398</v>
      </c>
      <c r="S279" s="6" t="str">
        <f t="shared" si="38"/>
        <v>Gurugram</v>
      </c>
      <c r="T279" s="6" t="s">
        <v>27</v>
      </c>
      <c r="U279" s="8" t="str">
        <f t="shared" si="39"/>
        <v>Technology</v>
      </c>
      <c r="V279" s="6" t="s">
        <v>28</v>
      </c>
      <c r="W279" s="6" t="str">
        <f t="shared" si="40"/>
        <v>Accessories</v>
      </c>
      <c r="X279" s="6" t="s">
        <v>1519</v>
      </c>
      <c r="Y279" s="6" t="s">
        <v>36</v>
      </c>
      <c r="Z279" s="6" t="str">
        <f t="shared" si="41"/>
        <v>Second Class</v>
      </c>
      <c r="AA279" s="6">
        <v>1</v>
      </c>
      <c r="AB279" s="6">
        <v>2133.73</v>
      </c>
      <c r="AC279" s="6">
        <v>0.15</v>
      </c>
      <c r="AD279" s="6">
        <v>2008.39</v>
      </c>
      <c r="AE279" s="6">
        <v>1002.57</v>
      </c>
      <c r="AF279" s="6">
        <v>811.1</v>
      </c>
      <c r="AG279" s="6" t="s">
        <v>54</v>
      </c>
      <c r="AH279" s="6" t="str">
        <f t="shared" si="42"/>
        <v>Pending</v>
      </c>
      <c r="AI279" s="6" t="s">
        <v>58</v>
      </c>
      <c r="AJ279" s="6" t="str">
        <f t="shared" si="43"/>
        <v>Cancelled</v>
      </c>
      <c r="AK279" s="9" t="str">
        <f>_xlfn.TEXTJOIN("|",FALSE,A279,TEXT(B279,"mm-dd-yyyy"),TEXT(E279,"mm-dd-yyyy"),I279,J279,L279,N279,P279,R279,T279,V279,X279,Y279,AA279,AB279,AC279,AD279,AE279,AF279,AG279,AI279)</f>
        <v>ORD-2025-10278|06-04-2025|06-04-2025|CUST-2819|Isha Nair|Corporate|North|Haryana|Gurugram|Technology|Accessories|Elite Accessories 291|Second Class|1|2133.73|0.15|2008.39|1002.57|811.1|Pending|Cancelled</v>
      </c>
      <c r="AL279" s="27" t="str">
        <f>IF(COUNTIF($AK$2:AK279,AK279)&gt;1,"Remove exact duplicate copy","Keep")</f>
        <v>Keep</v>
      </c>
      <c r="AM279" s="9">
        <f t="shared" si="44"/>
        <v>1</v>
      </c>
      <c r="AN279" s="9" t="str">
        <f t="shared" si="45"/>
        <v>Unique</v>
      </c>
      <c r="AO279" s="9" t="str">
        <f t="shared" si="46"/>
        <v/>
      </c>
      <c r="AP279" s="9">
        <f t="shared" si="47"/>
        <v>0.15</v>
      </c>
      <c r="AQ279" s="10">
        <f t="shared" si="48"/>
        <v>1813.6704999999999</v>
      </c>
      <c r="AR279" s="10">
        <f t="shared" si="49"/>
        <v>811.1004999999999</v>
      </c>
      <c r="AS279" s="11">
        <f t="shared" si="50"/>
        <v>0.4472149158295291</v>
      </c>
      <c r="AT279" s="9">
        <f t="shared" si="51"/>
        <v>6</v>
      </c>
      <c r="AU279" s="9">
        <f t="shared" si="52"/>
        <v>2025</v>
      </c>
      <c r="AV279" s="9" t="b">
        <f t="shared" si="53"/>
        <v>1</v>
      </c>
      <c r="AW279" s="9" t="b">
        <f t="shared" si="54"/>
        <v>0</v>
      </c>
      <c r="AX279" s="9" t="str">
        <f t="shared" si="55"/>
        <v>No</v>
      </c>
      <c r="AY279" s="9" t="str">
        <f t="shared" si="57"/>
        <v>Cancelled order excluded; Sales mismatch</v>
      </c>
      <c r="AZ279" s="9" t="str">
        <f>IF(OR(G279="Missing date",G279="Invalid date",G279="Ship date before order date",NOT(ISNUMBER(AP279)),AP279&lt;0,AP279&gt;0.5,AV279=TRUE,AW279=TRUE),"Invalid",IF(OR(O279="Unknown",Z279="Unknown",AC279="",AH279&lt;&gt;"Paid",AJ279&lt;&gt;"Completed",AO279&lt;&gt;""),"Warning","Clean"))</f>
        <v>Invalid</v>
      </c>
    </row>
    <row r="280" spans="1:52" ht="15.75" customHeight="1">
      <c r="A280" s="6" t="s">
        <v>1520</v>
      </c>
      <c r="B280" s="7" t="s">
        <v>870</v>
      </c>
      <c r="C280" s="7" t="str">
        <f t="shared" si="56"/>
        <v>2025-03</v>
      </c>
      <c r="D280" s="7" cm="1">
        <f t="array" ref="D280">_xlfn.LET(_xlpm.x,B280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45723</v>
      </c>
      <c r="E280" s="7" t="s">
        <v>1521</v>
      </c>
      <c r="F280" s="7" cm="1">
        <f t="array" ref="F280">_xlfn.LET(_xlpm.x,E280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45730</v>
      </c>
      <c r="G280" s="8" t="str">
        <f t="shared" si="32"/>
        <v>OK</v>
      </c>
      <c r="H280" s="6">
        <f t="shared" si="33"/>
        <v>7</v>
      </c>
      <c r="I280" s="6" t="s">
        <v>1522</v>
      </c>
      <c r="J280" s="6" t="s">
        <v>1523</v>
      </c>
      <c r="K280" s="6" t="str">
        <f t="shared" si="34"/>
        <v>Priya Menon</v>
      </c>
      <c r="L280" s="6" t="s">
        <v>46</v>
      </c>
      <c r="M280" s="8" t="str">
        <f t="shared" si="35"/>
        <v>Small Business</v>
      </c>
      <c r="N280" s="6" t="s">
        <v>7</v>
      </c>
      <c r="O280" s="6" t="str">
        <f t="shared" si="36"/>
        <v>North</v>
      </c>
      <c r="P280" s="6" t="s">
        <v>583</v>
      </c>
      <c r="Q280" s="6" t="str">
        <f t="shared" si="37"/>
        <v>Delhi</v>
      </c>
      <c r="R280" s="6" t="s">
        <v>584</v>
      </c>
      <c r="S280" s="6" t="str">
        <f t="shared" si="38"/>
        <v>New Delhi</v>
      </c>
      <c r="T280" s="6" t="s">
        <v>27</v>
      </c>
      <c r="U280" s="8" t="str">
        <f t="shared" si="39"/>
        <v>Technology</v>
      </c>
      <c r="V280" s="6" t="s">
        <v>28</v>
      </c>
      <c r="W280" s="6" t="str">
        <f t="shared" si="40"/>
        <v>Accessories</v>
      </c>
      <c r="X280" s="6" t="s">
        <v>1524</v>
      </c>
      <c r="Y280" s="6" t="s">
        <v>37</v>
      </c>
      <c r="Z280" s="6" t="str">
        <f t="shared" si="41"/>
        <v>Same Day</v>
      </c>
      <c r="AA280" s="6">
        <v>1</v>
      </c>
      <c r="AB280" s="6">
        <v>3979.64</v>
      </c>
      <c r="AC280" s="6">
        <v>0.05</v>
      </c>
      <c r="AD280" s="6">
        <v>3780.66</v>
      </c>
      <c r="AE280" s="6">
        <v>2148.31</v>
      </c>
      <c r="AF280" s="6">
        <v>1632.35</v>
      </c>
      <c r="AG280" s="6" t="s">
        <v>52</v>
      </c>
      <c r="AH280" s="6" t="str">
        <f t="shared" si="42"/>
        <v>Paid</v>
      </c>
      <c r="AI280" s="6" t="s">
        <v>59</v>
      </c>
      <c r="AJ280" s="6" t="str">
        <f t="shared" si="43"/>
        <v>Returned</v>
      </c>
      <c r="AK280" s="9" t="str">
        <f>_xlfn.TEXTJOIN("|",FALSE,A280,TEXT(B280,"mm-dd-yyyy"),TEXT(E280,"mm-dd-yyyy"),I280,J280,L280,N280,P280,R280,T280,V280,X280,Y280,AA280,AB280,AC280,AD280,AE280,AF280,AG280,AI280)</f>
        <v>ORD-2025-10279|07-03-2025|03-14-2025|CUST-8242|Priya Menon |Small Business|North|Delhi|New Delhi|Technology|Accessories|Pro Accessories 207|Same Day|1|3979.64|0.05|3780.66|2148.31|1632.35|Paid|Returned</v>
      </c>
      <c r="AL280" s="27" t="str">
        <f>IF(COUNTIF($AK$2:AK280,AK280)&gt;1,"Remove exact duplicate copy","Keep")</f>
        <v>Keep</v>
      </c>
      <c r="AM280" s="9">
        <f t="shared" si="44"/>
        <v>1</v>
      </c>
      <c r="AN280" s="9" t="str">
        <f t="shared" si="45"/>
        <v>Unique</v>
      </c>
      <c r="AO280" s="9" t="str">
        <f t="shared" si="46"/>
        <v/>
      </c>
      <c r="AP280" s="9">
        <f t="shared" si="47"/>
        <v>0.05</v>
      </c>
      <c r="AQ280" s="10">
        <f t="shared" si="48"/>
        <v>3780.6579999999999</v>
      </c>
      <c r="AR280" s="10">
        <f t="shared" si="49"/>
        <v>1632.348</v>
      </c>
      <c r="AS280" s="11">
        <f t="shared" si="50"/>
        <v>0.43176293650470365</v>
      </c>
      <c r="AT280" s="9">
        <f t="shared" si="51"/>
        <v>3</v>
      </c>
      <c r="AU280" s="9">
        <f t="shared" si="52"/>
        <v>2025</v>
      </c>
      <c r="AV280" s="9" t="b">
        <f t="shared" si="53"/>
        <v>0</v>
      </c>
      <c r="AW280" s="9" t="b">
        <f t="shared" si="54"/>
        <v>0</v>
      </c>
      <c r="AX280" s="9" t="str">
        <f t="shared" si="55"/>
        <v>No</v>
      </c>
      <c r="AY280" s="9" t="str">
        <f t="shared" si="57"/>
        <v>Returned order excluded</v>
      </c>
      <c r="AZ280" s="9" t="str">
        <f>IF(OR(G280="Missing date",G280="Invalid date",G280="Ship date before order date",NOT(ISNUMBER(AP280)),AP280&lt;0,AP280&gt;0.5,AV280=TRUE,AW280=TRUE),"Invalid",IF(OR(O280="Unknown",Z280="Unknown",AC280="",AH280&lt;&gt;"Paid",AJ280&lt;&gt;"Completed",AO280&lt;&gt;""),"Warning","Clean"))</f>
        <v>Warning</v>
      </c>
    </row>
    <row r="281" spans="1:52" ht="15.75" customHeight="1">
      <c r="A281" s="6" t="s">
        <v>1525</v>
      </c>
      <c r="B281" s="7" t="s">
        <v>1526</v>
      </c>
      <c r="C281" s="7" t="str">
        <f t="shared" si="56"/>
        <v>2024-04</v>
      </c>
      <c r="D281" s="7" cm="1">
        <f t="array" ref="D281">_xlfn.LET(_xlpm.x,B281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45391</v>
      </c>
      <c r="E281" s="7" t="s">
        <v>1527</v>
      </c>
      <c r="F281" s="7" cm="1">
        <f t="array" ref="F281">_xlfn.LET(_xlpm.x,E281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45392</v>
      </c>
      <c r="G281" s="8" t="str">
        <f t="shared" si="32"/>
        <v>OK</v>
      </c>
      <c r="H281" s="6">
        <f t="shared" si="33"/>
        <v>1</v>
      </c>
      <c r="I281" s="6" t="s">
        <v>1528</v>
      </c>
      <c r="J281" s="6" t="s">
        <v>257</v>
      </c>
      <c r="K281" s="6" t="str">
        <f t="shared" si="34"/>
        <v>Rohan Mehta</v>
      </c>
      <c r="L281" s="6" t="s">
        <v>46</v>
      </c>
      <c r="M281" s="8" t="str">
        <f t="shared" si="35"/>
        <v>Small Business</v>
      </c>
      <c r="N281" s="6" t="s">
        <v>9</v>
      </c>
      <c r="O281" s="6" t="str">
        <f t="shared" si="36"/>
        <v>West</v>
      </c>
      <c r="P281" s="6" t="s">
        <v>162</v>
      </c>
      <c r="Q281" s="6" t="str">
        <f t="shared" si="37"/>
        <v>Maharashtra</v>
      </c>
      <c r="R281" s="6" t="s">
        <v>163</v>
      </c>
      <c r="S281" s="6" t="str">
        <f t="shared" si="38"/>
        <v>Mumbai</v>
      </c>
      <c r="T281" s="6" t="s">
        <v>20</v>
      </c>
      <c r="U281" s="8" t="str">
        <f t="shared" si="39"/>
        <v>Office Supplies</v>
      </c>
      <c r="V281" s="6" t="s">
        <v>25</v>
      </c>
      <c r="W281" s="6" t="str">
        <f t="shared" si="40"/>
        <v>Storage</v>
      </c>
      <c r="X281" s="6" t="s">
        <v>1529</v>
      </c>
      <c r="Y281" s="6" t="s">
        <v>35</v>
      </c>
      <c r="Z281" s="6" t="str">
        <f t="shared" si="41"/>
        <v>First Class</v>
      </c>
      <c r="AA281" s="6">
        <v>1</v>
      </c>
      <c r="AB281" s="6">
        <v>4359.12</v>
      </c>
      <c r="AC281" s="6">
        <v>0.05</v>
      </c>
      <c r="AD281" s="6">
        <v>4141.16</v>
      </c>
      <c r="AE281" s="6">
        <v>2754.17</v>
      </c>
      <c r="AF281" s="6">
        <v>1386.99</v>
      </c>
      <c r="AG281" s="6" t="s">
        <v>52</v>
      </c>
      <c r="AH281" s="6" t="str">
        <f t="shared" si="42"/>
        <v>Paid</v>
      </c>
      <c r="AI281" s="6" t="s">
        <v>134</v>
      </c>
      <c r="AJ281" s="6" t="str">
        <f t="shared" si="43"/>
        <v>Completed</v>
      </c>
      <c r="AK281" s="9" t="str">
        <f>_xlfn.TEXTJOIN("|",FALSE,A281,TEXT(B281,"mm-dd-yyyy"),TEXT(E281,"mm-dd-yyyy"),I281,J281,L281,N281,P281,R281,T281,V281,X281,Y281,AA281,AB281,AC281,AD281,AE281,AF281,AG281,AI281)</f>
        <v>ORD-2024-10280|04-09-2024|04-10-2024|CUST-4571|Rohan Mehta|Small Business|West|Maharashtra|Mumbai|Office Supplies|Storage|Max Storage 564|First Class|1|4359.12|0.05|4141.16|2754.17|1386.99|Paid|Completed</v>
      </c>
      <c r="AL281" s="27" t="str">
        <f>IF(COUNTIF($AK$2:AK281,AK281)&gt;1,"Remove exact duplicate copy","Keep")</f>
        <v>Keep</v>
      </c>
      <c r="AM281" s="9">
        <f t="shared" si="44"/>
        <v>1</v>
      </c>
      <c r="AN281" s="9" t="str">
        <f t="shared" si="45"/>
        <v>Unique</v>
      </c>
      <c r="AO281" s="9" t="str">
        <f t="shared" si="46"/>
        <v/>
      </c>
      <c r="AP281" s="9">
        <f t="shared" si="47"/>
        <v>0.05</v>
      </c>
      <c r="AQ281" s="10">
        <f t="shared" si="48"/>
        <v>4141.1639999999998</v>
      </c>
      <c r="AR281" s="10">
        <f t="shared" si="49"/>
        <v>1386.9939999999997</v>
      </c>
      <c r="AS281" s="11">
        <f t="shared" si="50"/>
        <v>0.33492853700070796</v>
      </c>
      <c r="AT281" s="9">
        <f t="shared" si="51"/>
        <v>4</v>
      </c>
      <c r="AU281" s="9">
        <f t="shared" si="52"/>
        <v>2024</v>
      </c>
      <c r="AV281" s="9" t="b">
        <f t="shared" si="53"/>
        <v>0</v>
      </c>
      <c r="AW281" s="9" t="b">
        <f t="shared" si="54"/>
        <v>0</v>
      </c>
      <c r="AX281" s="9" t="str">
        <f t="shared" si="55"/>
        <v>Yes</v>
      </c>
      <c r="AY281" s="9" t="str">
        <f t="shared" si="57"/>
        <v/>
      </c>
      <c r="AZ281" s="9" t="str">
        <f>IF(OR(G281="Missing date",G281="Invalid date",G281="Ship date before order date",NOT(ISNUMBER(AP281)),AP281&lt;0,AP281&gt;0.5,AV281=TRUE,AW281=TRUE),"Invalid",IF(OR(O281="Unknown",Z281="Unknown",AC281="",AH281&lt;&gt;"Paid",AJ281&lt;&gt;"Completed",AO281&lt;&gt;""),"Warning","Clean"))</f>
        <v>Clean</v>
      </c>
    </row>
    <row r="282" spans="1:52" ht="15.75" customHeight="1">
      <c r="A282" s="6" t="s">
        <v>1530</v>
      </c>
      <c r="B282" s="7" t="s">
        <v>1531</v>
      </c>
      <c r="C282" s="7" t="str">
        <f t="shared" si="56"/>
        <v>2024-12</v>
      </c>
      <c r="D282" s="7" cm="1">
        <f t="array" ref="D282">_xlfn.LET(_xlpm.x,B282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45649</v>
      </c>
      <c r="E282" s="7" t="s">
        <v>1532</v>
      </c>
      <c r="F282" s="7" cm="1">
        <f t="array" ref="F282">_xlfn.LET(_xlpm.x,E282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45652</v>
      </c>
      <c r="G282" s="8" t="str">
        <f t="shared" si="32"/>
        <v>OK</v>
      </c>
      <c r="H282" s="6">
        <f t="shared" si="33"/>
        <v>3</v>
      </c>
      <c r="I282" s="6" t="s">
        <v>1533</v>
      </c>
      <c r="J282" s="6" t="s">
        <v>190</v>
      </c>
      <c r="K282" s="6" t="str">
        <f t="shared" si="34"/>
        <v>Aditi Sen</v>
      </c>
      <c r="L282" s="6" t="s">
        <v>43</v>
      </c>
      <c r="M282" s="8" t="str">
        <f t="shared" si="35"/>
        <v>Consumer</v>
      </c>
      <c r="N282" s="6" t="s">
        <v>10</v>
      </c>
      <c r="O282" s="6" t="str">
        <f t="shared" si="36"/>
        <v>South</v>
      </c>
      <c r="P282" s="6" t="s">
        <v>303</v>
      </c>
      <c r="Q282" s="6" t="str">
        <f t="shared" si="37"/>
        <v>Karnataka</v>
      </c>
      <c r="R282" s="6" t="s">
        <v>304</v>
      </c>
      <c r="S282" s="6" t="str">
        <f t="shared" si="38"/>
        <v>Bengaluru</v>
      </c>
      <c r="T282" s="6" t="s">
        <v>27</v>
      </c>
      <c r="U282" s="8" t="str">
        <f t="shared" si="39"/>
        <v>Technology</v>
      </c>
      <c r="V282" s="6" t="s">
        <v>29</v>
      </c>
      <c r="W282" s="6" t="str">
        <f t="shared" si="40"/>
        <v>Copiers</v>
      </c>
      <c r="X282" s="6" t="s">
        <v>1534</v>
      </c>
      <c r="Y282" s="6" t="s">
        <v>34</v>
      </c>
      <c r="Z282" s="6" t="str">
        <f t="shared" si="41"/>
        <v>Standard Class</v>
      </c>
      <c r="AA282" s="6">
        <v>9</v>
      </c>
      <c r="AB282" s="6">
        <v>993.67</v>
      </c>
      <c r="AC282" s="6">
        <v>0</v>
      </c>
      <c r="AD282" s="6">
        <v>8943.0300000000007</v>
      </c>
      <c r="AE282" s="6">
        <v>5165.38</v>
      </c>
      <c r="AF282" s="6">
        <v>3777.65</v>
      </c>
      <c r="AG282" s="6" t="s">
        <v>52</v>
      </c>
      <c r="AH282" s="6" t="str">
        <f t="shared" si="42"/>
        <v>Paid</v>
      </c>
      <c r="AI282" s="6" t="s">
        <v>134</v>
      </c>
      <c r="AJ282" s="6" t="str">
        <f t="shared" si="43"/>
        <v>Completed</v>
      </c>
      <c r="AK282" s="9" t="str">
        <f>_xlfn.TEXTJOIN("|",FALSE,A282,TEXT(B282,"mm-dd-yyyy"),TEXT(E282,"mm-dd-yyyy"),I282,J282,L282,N282,P282,R282,T282,V282,X282,Y282,AA282,AB282,AC282,AD282,AE282,AF282,AG282,AI282)</f>
        <v>ORD-2024-10281|12-23-2024|26-12-2024|CUST-4098|Aditi Sen|Consumer|South|Karnataka|Bengaluru|Technology|Copiers|Prime Copiers 961|Standard Class|9|993.67|0|8943.03|5165.38|3777.65|Paid|Completed</v>
      </c>
      <c r="AL282" s="27" t="str">
        <f>IF(COUNTIF($AK$2:AK282,AK282)&gt;1,"Remove exact duplicate copy","Keep")</f>
        <v>Keep</v>
      </c>
      <c r="AM282" s="9">
        <f t="shared" si="44"/>
        <v>1</v>
      </c>
      <c r="AN282" s="9" t="str">
        <f t="shared" si="45"/>
        <v>Unique</v>
      </c>
      <c r="AO282" s="9" t="str">
        <f t="shared" si="46"/>
        <v/>
      </c>
      <c r="AP282" s="9">
        <f t="shared" si="47"/>
        <v>0</v>
      </c>
      <c r="AQ282" s="10">
        <f t="shared" si="48"/>
        <v>8943.0299999999988</v>
      </c>
      <c r="AR282" s="10">
        <f t="shared" si="49"/>
        <v>3777.6499999999987</v>
      </c>
      <c r="AS282" s="11">
        <f t="shared" si="50"/>
        <v>0.42241276167026154</v>
      </c>
      <c r="AT282" s="9">
        <f t="shared" si="51"/>
        <v>12</v>
      </c>
      <c r="AU282" s="9">
        <f t="shared" si="52"/>
        <v>2024</v>
      </c>
      <c r="AV282" s="9" t="b">
        <f t="shared" si="53"/>
        <v>0</v>
      </c>
      <c r="AW282" s="9" t="b">
        <f t="shared" si="54"/>
        <v>0</v>
      </c>
      <c r="AX282" s="9" t="str">
        <f t="shared" si="55"/>
        <v>Yes</v>
      </c>
      <c r="AY282" s="9" t="str">
        <f t="shared" si="57"/>
        <v/>
      </c>
      <c r="AZ282" s="9" t="str">
        <f>IF(OR(G282="Missing date",G282="Invalid date",G282="Ship date before order date",NOT(ISNUMBER(AP282)),AP282&lt;0,AP282&gt;0.5,AV282=TRUE,AW282=TRUE),"Invalid",IF(OR(O282="Unknown",Z282="Unknown",AC282="",AH282&lt;&gt;"Paid",AJ282&lt;&gt;"Completed",AO282&lt;&gt;""),"Warning","Clean"))</f>
        <v>Clean</v>
      </c>
    </row>
    <row r="283" spans="1:52" ht="15.75" customHeight="1">
      <c r="A283" s="6" t="s">
        <v>1535</v>
      </c>
      <c r="B283" s="7" t="s">
        <v>1536</v>
      </c>
      <c r="C283" s="7" t="str">
        <f t="shared" si="56"/>
        <v>2025-07</v>
      </c>
      <c r="D283" s="7" cm="1">
        <f t="array" ref="D283">_xlfn.LET(_xlpm.x,B283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45863</v>
      </c>
      <c r="E283" s="7" t="s">
        <v>1537</v>
      </c>
      <c r="F283" s="7" cm="1">
        <f t="array" ref="F283">_xlfn.LET(_xlpm.x,E283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45865</v>
      </c>
      <c r="G283" s="8" t="str">
        <f t="shared" si="32"/>
        <v>OK</v>
      </c>
      <c r="H283" s="6">
        <f t="shared" si="33"/>
        <v>2</v>
      </c>
      <c r="I283" s="6" t="s">
        <v>1538</v>
      </c>
      <c r="J283" s="6" t="s">
        <v>442</v>
      </c>
      <c r="K283" s="6" t="str">
        <f t="shared" si="34"/>
        <v>Kabir Singh</v>
      </c>
      <c r="L283" s="6" t="s">
        <v>43</v>
      </c>
      <c r="M283" s="8" t="str">
        <f t="shared" si="35"/>
        <v>Consumer</v>
      </c>
      <c r="N283" s="6" t="s">
        <v>8</v>
      </c>
      <c r="O283" s="6" t="str">
        <f t="shared" si="36"/>
        <v>East</v>
      </c>
      <c r="P283" s="6" t="s">
        <v>385</v>
      </c>
      <c r="Q283" s="6" t="str">
        <f t="shared" si="37"/>
        <v>Jharkhand</v>
      </c>
      <c r="R283" s="6" t="s">
        <v>386</v>
      </c>
      <c r="S283" s="6" t="str">
        <f t="shared" si="38"/>
        <v>Ranchi</v>
      </c>
      <c r="T283" s="6" t="s">
        <v>20</v>
      </c>
      <c r="U283" s="8" t="str">
        <f t="shared" si="39"/>
        <v>Office Supplies</v>
      </c>
      <c r="V283" s="6" t="s">
        <v>22</v>
      </c>
      <c r="W283" s="6" t="str">
        <f t="shared" si="40"/>
        <v>Binders</v>
      </c>
      <c r="X283" s="6" t="s">
        <v>1539</v>
      </c>
      <c r="Y283" s="6" t="s">
        <v>36</v>
      </c>
      <c r="Z283" s="6" t="str">
        <f t="shared" si="41"/>
        <v>Second Class</v>
      </c>
      <c r="AA283" s="6">
        <v>6</v>
      </c>
      <c r="AB283" s="6">
        <v>3438.38</v>
      </c>
      <c r="AC283" s="6">
        <v>0.2</v>
      </c>
      <c r="AD283" s="6">
        <v>16504.22</v>
      </c>
      <c r="AE283" s="6">
        <v>11262.71</v>
      </c>
      <c r="AF283" s="6">
        <v>5241.51</v>
      </c>
      <c r="AG283" s="6" t="s">
        <v>52</v>
      </c>
      <c r="AH283" s="6" t="str">
        <f t="shared" si="42"/>
        <v>Paid</v>
      </c>
      <c r="AI283" s="6" t="s">
        <v>134</v>
      </c>
      <c r="AJ283" s="6" t="str">
        <f t="shared" si="43"/>
        <v>Completed</v>
      </c>
      <c r="AK283" s="9" t="str">
        <f>_xlfn.TEXTJOIN("|",FALSE,A283,TEXT(B283,"mm-dd-yyyy"),TEXT(E283,"mm-dd-yyyy"),I283,J283,L283,N283,P283,R283,T283,V283,X283,Y283,AA283,AB283,AC283,AD283,AE283,AF283,AG283,AI283)</f>
        <v>ORD-2025-10282|25-07-2025|07-27-2025|CUST-2052|Kabir Singh|Consumer|East|Jharkhand|Ranchi|Office Supplies|Binders|Basic Binders 637|Second Class|6|3438.38|0.2|16504.22|11262.71|5241.51|Paid|Completed</v>
      </c>
      <c r="AL283" s="27" t="str">
        <f>IF(COUNTIF($AK$2:AK283,AK283)&gt;1,"Remove exact duplicate copy","Keep")</f>
        <v>Keep</v>
      </c>
      <c r="AM283" s="9">
        <f t="shared" si="44"/>
        <v>1</v>
      </c>
      <c r="AN283" s="9" t="str">
        <f t="shared" si="45"/>
        <v>Unique</v>
      </c>
      <c r="AO283" s="9" t="str">
        <f t="shared" si="46"/>
        <v/>
      </c>
      <c r="AP283" s="9">
        <f t="shared" si="47"/>
        <v>0.2</v>
      </c>
      <c r="AQ283" s="10">
        <f t="shared" si="48"/>
        <v>16504.223999999998</v>
      </c>
      <c r="AR283" s="10">
        <f t="shared" si="49"/>
        <v>5241.5139999999992</v>
      </c>
      <c r="AS283" s="11">
        <f t="shared" si="50"/>
        <v>0.31758621308096641</v>
      </c>
      <c r="AT283" s="9">
        <f t="shared" si="51"/>
        <v>7</v>
      </c>
      <c r="AU283" s="9">
        <f t="shared" si="52"/>
        <v>2025</v>
      </c>
      <c r="AV283" s="9" t="b">
        <f t="shared" si="53"/>
        <v>0</v>
      </c>
      <c r="AW283" s="9" t="b">
        <f t="shared" si="54"/>
        <v>0</v>
      </c>
      <c r="AX283" s="9" t="str">
        <f t="shared" si="55"/>
        <v>Yes</v>
      </c>
      <c r="AY283" s="9" t="str">
        <f t="shared" si="57"/>
        <v/>
      </c>
      <c r="AZ283" s="9" t="str">
        <f>IF(OR(G283="Missing date",G283="Invalid date",G283="Ship date before order date",NOT(ISNUMBER(AP283)),AP283&lt;0,AP283&gt;0.5,AV283=TRUE,AW283=TRUE),"Invalid",IF(OR(O283="Unknown",Z283="Unknown",AC283="",AH283&lt;&gt;"Paid",AJ283&lt;&gt;"Completed",AO283&lt;&gt;""),"Warning","Clean"))</f>
        <v>Clean</v>
      </c>
    </row>
    <row r="284" spans="1:52" ht="15.75" customHeight="1">
      <c r="A284" s="6" t="s">
        <v>1540</v>
      </c>
      <c r="B284" s="7" t="s">
        <v>1541</v>
      </c>
      <c r="C284" s="7" t="str">
        <f t="shared" si="56"/>
        <v>2024-10</v>
      </c>
      <c r="D284" s="7" cm="1">
        <f t="array" ref="D284">_xlfn.LET(_xlpm.x,B284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45566</v>
      </c>
      <c r="E284" s="7" t="s">
        <v>1542</v>
      </c>
      <c r="F284" s="7" cm="1">
        <f t="array" ref="F284">_xlfn.LET(_xlpm.x,E284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45567</v>
      </c>
      <c r="G284" s="8" t="str">
        <f t="shared" si="32"/>
        <v>OK</v>
      </c>
      <c r="H284" s="6">
        <f t="shared" si="33"/>
        <v>1</v>
      </c>
      <c r="I284" s="6" t="s">
        <v>1543</v>
      </c>
      <c r="J284" s="6" t="s">
        <v>129</v>
      </c>
      <c r="K284" s="6" t="str">
        <f t="shared" si="34"/>
        <v>Karan Malhotra</v>
      </c>
      <c r="L284" s="6" t="s">
        <v>44</v>
      </c>
      <c r="M284" s="8" t="str">
        <f t="shared" si="35"/>
        <v>Home Office</v>
      </c>
      <c r="N284" s="6" t="s">
        <v>8</v>
      </c>
      <c r="O284" s="6" t="str">
        <f t="shared" si="36"/>
        <v>East</v>
      </c>
      <c r="P284" s="6" t="s">
        <v>290</v>
      </c>
      <c r="Q284" s="6" t="str">
        <f t="shared" si="37"/>
        <v>Assam</v>
      </c>
      <c r="R284" s="6" t="s">
        <v>291</v>
      </c>
      <c r="S284" s="6" t="str">
        <f t="shared" si="38"/>
        <v>Guwahati</v>
      </c>
      <c r="T284" s="6" t="s">
        <v>14</v>
      </c>
      <c r="U284" s="8" t="str">
        <f t="shared" si="39"/>
        <v>Furniture</v>
      </c>
      <c r="V284" s="6" t="s">
        <v>18</v>
      </c>
      <c r="W284" s="6" t="str">
        <f t="shared" si="40"/>
        <v>Tables</v>
      </c>
      <c r="X284" s="6" t="s">
        <v>1544</v>
      </c>
      <c r="Y284" s="6" t="s">
        <v>36</v>
      </c>
      <c r="Z284" s="6" t="str">
        <f t="shared" si="41"/>
        <v>Second Class</v>
      </c>
      <c r="AA284" s="6">
        <v>2</v>
      </c>
      <c r="AB284" s="6">
        <v>2298</v>
      </c>
      <c r="AC284" s="6">
        <v>0</v>
      </c>
      <c r="AD284" s="6">
        <v>4596</v>
      </c>
      <c r="AE284" s="6">
        <v>3220.33</v>
      </c>
      <c r="AF284" s="6">
        <v>1375.67</v>
      </c>
      <c r="AG284" s="6" t="s">
        <v>52</v>
      </c>
      <c r="AH284" s="6" t="str">
        <f t="shared" si="42"/>
        <v>Paid</v>
      </c>
      <c r="AI284" s="6" t="s">
        <v>134</v>
      </c>
      <c r="AJ284" s="6" t="str">
        <f t="shared" si="43"/>
        <v>Completed</v>
      </c>
      <c r="AK284" s="9" t="str">
        <f>_xlfn.TEXTJOIN("|",FALSE,A284,TEXT(B284,"mm-dd-yyyy"),TEXT(E284,"mm-dd-yyyy"),I284,J284,L284,N284,P284,R284,T284,V284,X284,Y284,AA284,AB284,AC284,AD284,AE284,AF284,AG284,AI284)</f>
        <v>ORD-2024-10283|10-01-2024|10-02-2024|CUST-9445|Karan Malhotra|Home Office|East|Assam|Guwahati|Furniture|Tables|Classic Tables 811|Second Class|2|2298|0|4596|3220.33|1375.67|Paid|Completed</v>
      </c>
      <c r="AL284" s="27" t="str">
        <f>IF(COUNTIF($AK$2:AK284,AK284)&gt;1,"Remove exact duplicate copy","Keep")</f>
        <v>Keep</v>
      </c>
      <c r="AM284" s="9">
        <f t="shared" si="44"/>
        <v>1</v>
      </c>
      <c r="AN284" s="9" t="str">
        <f t="shared" si="45"/>
        <v>Unique</v>
      </c>
      <c r="AO284" s="9" t="str">
        <f t="shared" si="46"/>
        <v/>
      </c>
      <c r="AP284" s="9">
        <f t="shared" si="47"/>
        <v>0</v>
      </c>
      <c r="AQ284" s="10">
        <f t="shared" si="48"/>
        <v>4596</v>
      </c>
      <c r="AR284" s="10">
        <f t="shared" si="49"/>
        <v>1375.67</v>
      </c>
      <c r="AS284" s="11">
        <f t="shared" si="50"/>
        <v>0.29931897302001742</v>
      </c>
      <c r="AT284" s="9">
        <f t="shared" si="51"/>
        <v>10</v>
      </c>
      <c r="AU284" s="9">
        <f t="shared" si="52"/>
        <v>2024</v>
      </c>
      <c r="AV284" s="9" t="b">
        <f t="shared" si="53"/>
        <v>0</v>
      </c>
      <c r="AW284" s="9" t="b">
        <f t="shared" si="54"/>
        <v>0</v>
      </c>
      <c r="AX284" s="9" t="str">
        <f t="shared" si="55"/>
        <v>Yes</v>
      </c>
      <c r="AY284" s="9" t="str">
        <f t="shared" si="57"/>
        <v/>
      </c>
      <c r="AZ284" s="9" t="str">
        <f>IF(OR(G284="Missing date",G284="Invalid date",G284="Ship date before order date",NOT(ISNUMBER(AP284)),AP284&lt;0,AP284&gt;0.5,AV284=TRUE,AW284=TRUE),"Invalid",IF(OR(O284="Unknown",Z284="Unknown",AC284="",AH284&lt;&gt;"Paid",AJ284&lt;&gt;"Completed",AO284&lt;&gt;""),"Warning","Clean"))</f>
        <v>Clean</v>
      </c>
    </row>
    <row r="285" spans="1:52" ht="15.75" customHeight="1">
      <c r="A285" s="6" t="s">
        <v>1545</v>
      </c>
      <c r="B285" s="7" t="s">
        <v>1546</v>
      </c>
      <c r="C285" s="7" t="str">
        <f t="shared" si="56"/>
        <v>2025-03</v>
      </c>
      <c r="D285" s="7" cm="1">
        <f t="array" ref="D285">_xlfn.LET(_xlpm.x,B285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45729</v>
      </c>
      <c r="E285" s="7" t="s">
        <v>1547</v>
      </c>
      <c r="F285" s="7" cm="1">
        <f t="array" ref="F285">_xlfn.LET(_xlpm.x,E285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45736</v>
      </c>
      <c r="G285" s="8" t="str">
        <f t="shared" si="32"/>
        <v>OK</v>
      </c>
      <c r="H285" s="6">
        <f t="shared" si="33"/>
        <v>7</v>
      </c>
      <c r="I285" s="6" t="s">
        <v>1548</v>
      </c>
      <c r="J285" s="6" t="s">
        <v>169</v>
      </c>
      <c r="K285" s="6" t="str">
        <f t="shared" si="34"/>
        <v>Vikram Iyer</v>
      </c>
      <c r="L285" s="6" t="s">
        <v>43</v>
      </c>
      <c r="M285" s="8" t="str">
        <f t="shared" si="35"/>
        <v>Consumer</v>
      </c>
      <c r="N285" s="6" t="s">
        <v>9</v>
      </c>
      <c r="O285" s="6" t="str">
        <f t="shared" si="36"/>
        <v>West</v>
      </c>
      <c r="P285" s="6" t="s">
        <v>162</v>
      </c>
      <c r="Q285" s="6" t="str">
        <f t="shared" si="37"/>
        <v>Maharashtra</v>
      </c>
      <c r="R285" s="6" t="s">
        <v>163</v>
      </c>
      <c r="S285" s="6" t="str">
        <f t="shared" si="38"/>
        <v>Mumbai</v>
      </c>
      <c r="T285" s="6" t="s">
        <v>14</v>
      </c>
      <c r="U285" s="8" t="str">
        <f t="shared" si="39"/>
        <v>Furniture</v>
      </c>
      <c r="V285" s="6" t="s">
        <v>17</v>
      </c>
      <c r="W285" s="6" t="str">
        <f t="shared" si="40"/>
        <v>Furnishings</v>
      </c>
      <c r="X285" s="6" t="s">
        <v>1549</v>
      </c>
      <c r="Y285" s="6" t="s">
        <v>35</v>
      </c>
      <c r="Z285" s="6" t="str">
        <f t="shared" si="41"/>
        <v>First Class</v>
      </c>
      <c r="AA285" s="6">
        <v>1</v>
      </c>
      <c r="AB285" s="6">
        <v>1814.01</v>
      </c>
      <c r="AC285" s="6">
        <v>0</v>
      </c>
      <c r="AD285" s="6">
        <v>1814.01</v>
      </c>
      <c r="AE285" s="6">
        <v>1033.47</v>
      </c>
      <c r="AF285" s="6">
        <v>780.54</v>
      </c>
      <c r="AG285" s="6" t="s">
        <v>52</v>
      </c>
      <c r="AH285" s="6" t="str">
        <f t="shared" si="42"/>
        <v>Paid</v>
      </c>
      <c r="AI285" s="6" t="s">
        <v>134</v>
      </c>
      <c r="AJ285" s="6" t="str">
        <f t="shared" si="43"/>
        <v>Completed</v>
      </c>
      <c r="AK285" s="9" t="str">
        <f>_xlfn.TEXTJOIN("|",FALSE,A285,TEXT(B285,"mm-dd-yyyy"),TEXT(E285,"mm-dd-yyyy"),I285,J285,L285,N285,P285,R285,T285,V285,X285,Y285,AA285,AB285,AC285,AD285,AE285,AF285,AG285,AI285)</f>
        <v>ORD-2025-10284|03-13-2025|20-03-2025|CUST-6568|Vikram Iyer|Consumer|West|Maharashtra|Mumbai|Furniture|Furnishings|Classic Furnishings 819|First Class|1|1814.01|0|1814.01|1033.47|780.54|Paid|Completed</v>
      </c>
      <c r="AL285" s="27" t="str">
        <f>IF(COUNTIF($AK$2:AK285,AK285)&gt;1,"Remove exact duplicate copy","Keep")</f>
        <v>Keep</v>
      </c>
      <c r="AM285" s="9">
        <f t="shared" si="44"/>
        <v>1</v>
      </c>
      <c r="AN285" s="9" t="str">
        <f t="shared" si="45"/>
        <v>Unique</v>
      </c>
      <c r="AO285" s="9" t="str">
        <f t="shared" si="46"/>
        <v/>
      </c>
      <c r="AP285" s="9">
        <f t="shared" si="47"/>
        <v>0</v>
      </c>
      <c r="AQ285" s="10">
        <f t="shared" si="48"/>
        <v>1814.01</v>
      </c>
      <c r="AR285" s="10">
        <f t="shared" si="49"/>
        <v>780.54</v>
      </c>
      <c r="AS285" s="11">
        <f t="shared" si="50"/>
        <v>0.43028428729720342</v>
      </c>
      <c r="AT285" s="9">
        <f t="shared" si="51"/>
        <v>3</v>
      </c>
      <c r="AU285" s="9">
        <f t="shared" si="52"/>
        <v>2025</v>
      </c>
      <c r="AV285" s="9" t="b">
        <f t="shared" si="53"/>
        <v>0</v>
      </c>
      <c r="AW285" s="9" t="b">
        <f t="shared" si="54"/>
        <v>0</v>
      </c>
      <c r="AX285" s="9" t="str">
        <f t="shared" si="55"/>
        <v>Yes</v>
      </c>
      <c r="AY285" s="9" t="str">
        <f t="shared" si="57"/>
        <v/>
      </c>
      <c r="AZ285" s="9" t="str">
        <f>IF(OR(G285="Missing date",G285="Invalid date",G285="Ship date before order date",NOT(ISNUMBER(AP285)),AP285&lt;0,AP285&gt;0.5,AV285=TRUE,AW285=TRUE),"Invalid",IF(OR(O285="Unknown",Z285="Unknown",AC285="",AH285&lt;&gt;"Paid",AJ285&lt;&gt;"Completed",AO285&lt;&gt;""),"Warning","Clean"))</f>
        <v>Clean</v>
      </c>
    </row>
    <row r="286" spans="1:52" ht="15.75" customHeight="1">
      <c r="A286" s="6" t="s">
        <v>1550</v>
      </c>
      <c r="B286" s="7" t="s">
        <v>1551</v>
      </c>
      <c r="C286" s="7" t="str">
        <f t="shared" si="56"/>
        <v>2024-12</v>
      </c>
      <c r="D286" s="7" cm="1">
        <f t="array" ref="D286">_xlfn.LET(_xlpm.x,B286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45634</v>
      </c>
      <c r="E286" s="7" t="s">
        <v>1552</v>
      </c>
      <c r="F286" s="7" cm="1">
        <f t="array" ref="F286">_xlfn.LET(_xlpm.x,E286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45640</v>
      </c>
      <c r="G286" s="8" t="str">
        <f t="shared" si="32"/>
        <v>OK</v>
      </c>
      <c r="H286" s="6">
        <f t="shared" si="33"/>
        <v>6</v>
      </c>
      <c r="I286" s="6" t="s">
        <v>1553</v>
      </c>
      <c r="J286" s="6" t="s">
        <v>129</v>
      </c>
      <c r="K286" s="6" t="str">
        <f t="shared" si="34"/>
        <v>Karan Malhotra</v>
      </c>
      <c r="L286" s="6" t="s">
        <v>43</v>
      </c>
      <c r="M286" s="8" t="str">
        <f t="shared" si="35"/>
        <v>Consumer</v>
      </c>
      <c r="N286" s="6" t="s">
        <v>8</v>
      </c>
      <c r="O286" s="6" t="str">
        <f t="shared" si="36"/>
        <v>East</v>
      </c>
      <c r="P286" s="6" t="s">
        <v>140</v>
      </c>
      <c r="Q286" s="6" t="str">
        <f t="shared" si="37"/>
        <v>Odisha</v>
      </c>
      <c r="R286" s="6" t="s">
        <v>141</v>
      </c>
      <c r="S286" s="6" t="str">
        <f t="shared" si="38"/>
        <v>Bhubaneswar</v>
      </c>
      <c r="T286" s="6" t="s">
        <v>14</v>
      </c>
      <c r="U286" s="8" t="str">
        <f t="shared" si="39"/>
        <v>Furniture</v>
      </c>
      <c r="V286" s="6" t="s">
        <v>18</v>
      </c>
      <c r="W286" s="6" t="str">
        <f t="shared" si="40"/>
        <v>Tables</v>
      </c>
      <c r="X286" s="6" t="s">
        <v>1554</v>
      </c>
      <c r="Y286" s="6" t="s">
        <v>37</v>
      </c>
      <c r="Z286" s="6" t="str">
        <f t="shared" si="41"/>
        <v>Same Day</v>
      </c>
      <c r="AA286" s="6">
        <v>3</v>
      </c>
      <c r="AB286" s="6">
        <v>1576.92</v>
      </c>
      <c r="AC286" s="6">
        <v>0</v>
      </c>
      <c r="AD286" s="6">
        <v>4730.76</v>
      </c>
      <c r="AE286" s="6">
        <v>3139.73</v>
      </c>
      <c r="AF286" s="6">
        <v>1591.03</v>
      </c>
      <c r="AG286" s="6" t="s">
        <v>52</v>
      </c>
      <c r="AH286" s="6" t="str">
        <f t="shared" si="42"/>
        <v>Paid</v>
      </c>
      <c r="AI286" s="6" t="s">
        <v>59</v>
      </c>
      <c r="AJ286" s="6" t="str">
        <f t="shared" si="43"/>
        <v>Returned</v>
      </c>
      <c r="AK286" s="9" t="str">
        <f>_xlfn.TEXTJOIN("|",FALSE,A286,TEXT(B286,"mm-dd-yyyy"),TEXT(E286,"mm-dd-yyyy"),I286,J286,L286,N286,P286,R286,T286,V286,X286,Y286,AA286,AB286,AC286,AD286,AE286,AF286,AG286,AI286)</f>
        <v>ORD-2024-10285|12-08-2024|12-14-2024|CUST-2076|Karan Malhotra|Consumer|East|Odisha|Bhubaneswar|Furniture|Tables|Prime Tables 542|Same Day|3|1576.92|0|4730.76|3139.73|1591.03|Paid|Returned</v>
      </c>
      <c r="AL286" s="27" t="str">
        <f>IF(COUNTIF($AK$2:AK286,AK286)&gt;1,"Remove exact duplicate copy","Keep")</f>
        <v>Keep</v>
      </c>
      <c r="AM286" s="9">
        <f t="shared" si="44"/>
        <v>1</v>
      </c>
      <c r="AN286" s="9" t="str">
        <f t="shared" si="45"/>
        <v>Unique</v>
      </c>
      <c r="AO286" s="9" t="str">
        <f t="shared" si="46"/>
        <v/>
      </c>
      <c r="AP286" s="9">
        <f t="shared" si="47"/>
        <v>0</v>
      </c>
      <c r="AQ286" s="10">
        <f t="shared" si="48"/>
        <v>4730.76</v>
      </c>
      <c r="AR286" s="10">
        <f t="shared" si="49"/>
        <v>1591.0300000000002</v>
      </c>
      <c r="AS286" s="11">
        <f t="shared" si="50"/>
        <v>0.33631594077907145</v>
      </c>
      <c r="AT286" s="9">
        <f t="shared" si="51"/>
        <v>12</v>
      </c>
      <c r="AU286" s="9">
        <f t="shared" si="52"/>
        <v>2024</v>
      </c>
      <c r="AV286" s="9" t="b">
        <f t="shared" si="53"/>
        <v>0</v>
      </c>
      <c r="AW286" s="9" t="b">
        <f t="shared" si="54"/>
        <v>0</v>
      </c>
      <c r="AX286" s="9" t="str">
        <f t="shared" si="55"/>
        <v>No</v>
      </c>
      <c r="AY286" s="9" t="str">
        <f t="shared" si="57"/>
        <v>Returned order excluded</v>
      </c>
      <c r="AZ286" s="9" t="str">
        <f>IF(OR(G286="Missing date",G286="Invalid date",G286="Ship date before order date",NOT(ISNUMBER(AP286)),AP286&lt;0,AP286&gt;0.5,AV286=TRUE,AW286=TRUE),"Invalid",IF(OR(O286="Unknown",Z286="Unknown",AC286="",AH286&lt;&gt;"Paid",AJ286&lt;&gt;"Completed",AO286&lt;&gt;""),"Warning","Clean"))</f>
        <v>Warning</v>
      </c>
    </row>
    <row r="287" spans="1:52" ht="15.75" customHeight="1">
      <c r="A287" s="6" t="s">
        <v>1555</v>
      </c>
      <c r="B287" s="7" t="s">
        <v>1556</v>
      </c>
      <c r="C287" s="7" t="str">
        <f t="shared" si="56"/>
        <v>2025-08</v>
      </c>
      <c r="D287" s="7" cm="1">
        <f t="array" ref="D287">_xlfn.LET(_xlpm.x,B287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45884</v>
      </c>
      <c r="E287" s="7" t="s">
        <v>1557</v>
      </c>
      <c r="F287" s="7" cm="1">
        <f t="array" ref="F287">_xlfn.LET(_xlpm.x,E287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45889</v>
      </c>
      <c r="G287" s="8" t="str">
        <f t="shared" si="32"/>
        <v>OK</v>
      </c>
      <c r="H287" s="6">
        <f t="shared" si="33"/>
        <v>5</v>
      </c>
      <c r="I287" s="6" t="s">
        <v>1558</v>
      </c>
      <c r="J287" s="6" t="s">
        <v>177</v>
      </c>
      <c r="K287" s="6" t="str">
        <f t="shared" si="34"/>
        <v>Neha Gupta</v>
      </c>
      <c r="L287" s="6" t="s">
        <v>44</v>
      </c>
      <c r="M287" s="8" t="str">
        <f t="shared" si="35"/>
        <v>Home Office</v>
      </c>
      <c r="N287" s="6" t="s">
        <v>7</v>
      </c>
      <c r="O287" s="6" t="str">
        <f t="shared" si="36"/>
        <v>North</v>
      </c>
      <c r="P287" s="6" t="s">
        <v>131</v>
      </c>
      <c r="Q287" s="6" t="str">
        <f t="shared" si="37"/>
        <v>Rajasthan</v>
      </c>
      <c r="R287" s="6" t="s">
        <v>132</v>
      </c>
      <c r="S287" s="6" t="str">
        <f t="shared" si="38"/>
        <v>Jaipur</v>
      </c>
      <c r="T287" s="6" t="s">
        <v>20</v>
      </c>
      <c r="U287" s="8" t="str">
        <f t="shared" si="39"/>
        <v>Office Supplies</v>
      </c>
      <c r="V287" s="6" t="s">
        <v>25</v>
      </c>
      <c r="W287" s="6" t="str">
        <f t="shared" si="40"/>
        <v>Storage</v>
      </c>
      <c r="X287" s="6" t="s">
        <v>1559</v>
      </c>
      <c r="Y287" s="6" t="s">
        <v>34</v>
      </c>
      <c r="Z287" s="6" t="str">
        <f t="shared" si="41"/>
        <v>Standard Class</v>
      </c>
      <c r="AA287" s="6">
        <v>9</v>
      </c>
      <c r="AB287" s="6">
        <v>4081.77</v>
      </c>
      <c r="AC287" s="6">
        <v>0</v>
      </c>
      <c r="AD287" s="6">
        <v>36735.93</v>
      </c>
      <c r="AE287" s="6">
        <v>30820.84</v>
      </c>
      <c r="AF287" s="6">
        <v>5915.09</v>
      </c>
      <c r="AG287" s="6" t="s">
        <v>52</v>
      </c>
      <c r="AH287" s="6" t="str">
        <f t="shared" si="42"/>
        <v>Paid</v>
      </c>
      <c r="AI287" s="6" t="s">
        <v>134</v>
      </c>
      <c r="AJ287" s="6" t="str">
        <f t="shared" si="43"/>
        <v>Completed</v>
      </c>
      <c r="AK287" s="9" t="str">
        <f>_xlfn.TEXTJOIN("|",FALSE,A287,TEXT(B287,"mm-dd-yyyy"),TEXT(E287,"mm-dd-yyyy"),I287,J287,L287,N287,P287,R287,T287,V287,X287,Y287,AA287,AB287,AC287,AD287,AE287,AF287,AG287,AI287)</f>
        <v>ORD-2025-10286|08-15-2025|08-20-2025|CUST-5610|Neha Gupta|Home Office|North|Rajasthan|Jaipur|Office Supplies|Storage|Basic Storage 771|Standard Class|9|4081.77|0|36735.93|30820.84|5915.09|Paid|Completed</v>
      </c>
      <c r="AL287" s="27" t="str">
        <f>IF(COUNTIF($AK$2:AK287,AK287)&gt;1,"Remove exact duplicate copy","Keep")</f>
        <v>Keep</v>
      </c>
      <c r="AM287" s="9">
        <f t="shared" si="44"/>
        <v>1</v>
      </c>
      <c r="AN287" s="9" t="str">
        <f t="shared" si="45"/>
        <v>Unique</v>
      </c>
      <c r="AO287" s="9" t="str">
        <f t="shared" si="46"/>
        <v/>
      </c>
      <c r="AP287" s="9">
        <f t="shared" si="47"/>
        <v>0</v>
      </c>
      <c r="AQ287" s="10">
        <f t="shared" si="48"/>
        <v>36735.93</v>
      </c>
      <c r="AR287" s="10">
        <f t="shared" si="49"/>
        <v>5915.09</v>
      </c>
      <c r="AS287" s="11">
        <f t="shared" si="50"/>
        <v>0.16101647624001897</v>
      </c>
      <c r="AT287" s="9">
        <f t="shared" si="51"/>
        <v>8</v>
      </c>
      <c r="AU287" s="9">
        <f t="shared" si="52"/>
        <v>2025</v>
      </c>
      <c r="AV287" s="9" t="b">
        <f t="shared" si="53"/>
        <v>0</v>
      </c>
      <c r="AW287" s="9" t="b">
        <f t="shared" si="54"/>
        <v>0</v>
      </c>
      <c r="AX287" s="9" t="str">
        <f t="shared" si="55"/>
        <v>Yes</v>
      </c>
      <c r="AY287" s="9" t="str">
        <f t="shared" si="57"/>
        <v/>
      </c>
      <c r="AZ287" s="9" t="str">
        <f>IF(OR(G287="Missing date",G287="Invalid date",G287="Ship date before order date",NOT(ISNUMBER(AP287)),AP287&lt;0,AP287&gt;0.5,AV287=TRUE,AW287=TRUE),"Invalid",IF(OR(O287="Unknown",Z287="Unknown",AC287="",AH287&lt;&gt;"Paid",AJ287&lt;&gt;"Completed",AO287&lt;&gt;""),"Warning","Clean"))</f>
        <v>Clean</v>
      </c>
    </row>
    <row r="288" spans="1:52" ht="15.75" customHeight="1">
      <c r="A288" s="6" t="s">
        <v>1560</v>
      </c>
      <c r="B288" s="7" t="s">
        <v>1561</v>
      </c>
      <c r="C288" s="7" t="str">
        <f t="shared" si="56"/>
        <v>2024-02</v>
      </c>
      <c r="D288" s="7" cm="1">
        <f t="array" ref="D288">_xlfn.LET(_xlpm.x,B288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45350</v>
      </c>
      <c r="E288" s="7" t="s">
        <v>1562</v>
      </c>
      <c r="F288" s="7" cm="1">
        <f t="array" ref="F288">_xlfn.LET(_xlpm.x,E288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45353</v>
      </c>
      <c r="G288" s="8" t="str">
        <f t="shared" si="32"/>
        <v>OK</v>
      </c>
      <c r="H288" s="6">
        <f t="shared" si="33"/>
        <v>3</v>
      </c>
      <c r="I288" s="6" t="s">
        <v>1563</v>
      </c>
      <c r="J288" s="6" t="s">
        <v>220</v>
      </c>
      <c r="K288" s="6" t="str">
        <f t="shared" si="34"/>
        <v>Priya Menon</v>
      </c>
      <c r="L288" s="6" t="s">
        <v>46</v>
      </c>
      <c r="M288" s="8" t="str">
        <f t="shared" si="35"/>
        <v>Small Business</v>
      </c>
      <c r="N288" s="6" t="s">
        <v>7</v>
      </c>
      <c r="O288" s="6" t="str">
        <f t="shared" si="36"/>
        <v>North</v>
      </c>
      <c r="P288" s="6" t="s">
        <v>583</v>
      </c>
      <c r="Q288" s="6" t="str">
        <f t="shared" si="37"/>
        <v>Delhi</v>
      </c>
      <c r="R288" s="6" t="s">
        <v>584</v>
      </c>
      <c r="S288" s="6" t="str">
        <f t="shared" si="38"/>
        <v>New Delhi</v>
      </c>
      <c r="T288" s="6" t="s">
        <v>14</v>
      </c>
      <c r="U288" s="8" t="str">
        <f t="shared" si="39"/>
        <v>Furniture</v>
      </c>
      <c r="V288" s="6" t="s">
        <v>17</v>
      </c>
      <c r="W288" s="6" t="str">
        <f t="shared" si="40"/>
        <v>Furnishings</v>
      </c>
      <c r="X288" s="6" t="s">
        <v>1564</v>
      </c>
      <c r="Y288" s="6" t="s">
        <v>35</v>
      </c>
      <c r="Z288" s="6" t="str">
        <f t="shared" si="41"/>
        <v>First Class</v>
      </c>
      <c r="AA288" s="6">
        <v>7</v>
      </c>
      <c r="AB288" s="6">
        <v>701.8</v>
      </c>
      <c r="AC288" s="6">
        <v>0.1</v>
      </c>
      <c r="AD288" s="6">
        <v>4421.34</v>
      </c>
      <c r="AE288" s="6">
        <v>2489.98</v>
      </c>
      <c r="AF288" s="6">
        <v>1931.36</v>
      </c>
      <c r="AG288" s="6" t="s">
        <v>54</v>
      </c>
      <c r="AH288" s="6" t="str">
        <f t="shared" si="42"/>
        <v>Pending</v>
      </c>
      <c r="AI288" s="6" t="s">
        <v>59</v>
      </c>
      <c r="AJ288" s="6" t="str">
        <f t="shared" si="43"/>
        <v>Returned</v>
      </c>
      <c r="AK288" s="9" t="str">
        <f>_xlfn.TEXTJOIN("|",FALSE,A288,TEXT(B288,"mm-dd-yyyy"),TEXT(E288,"mm-dd-yyyy"),I288,J288,L288,N288,P288,R288,T288,V288,X288,Y288,AA288,AB288,AC288,AD288,AE288,AF288,AG288,AI288)</f>
        <v>ORD-2024-10287|28-02-2024|03-02-2024|CUST-5823|Priya Menon|Small Business|North|Delhi|New Delhi|Furniture|Furnishings|Pro Furnishings 848|First Class|7|701.8|0.1|4421.34|2489.98|1931.36|Pending|Returned</v>
      </c>
      <c r="AL288" s="27" t="str">
        <f>IF(COUNTIF($AK$2:AK288,AK288)&gt;1,"Remove exact duplicate copy","Keep")</f>
        <v>Keep</v>
      </c>
      <c r="AM288" s="9">
        <f t="shared" si="44"/>
        <v>1</v>
      </c>
      <c r="AN288" s="9" t="str">
        <f t="shared" si="45"/>
        <v>Unique</v>
      </c>
      <c r="AO288" s="9" t="str">
        <f t="shared" si="46"/>
        <v/>
      </c>
      <c r="AP288" s="9">
        <f t="shared" si="47"/>
        <v>0.1</v>
      </c>
      <c r="AQ288" s="10">
        <f t="shared" si="48"/>
        <v>4421.3399999999992</v>
      </c>
      <c r="AR288" s="10">
        <f t="shared" si="49"/>
        <v>1931.3599999999992</v>
      </c>
      <c r="AS288" s="11">
        <f t="shared" si="50"/>
        <v>0.43682684435035524</v>
      </c>
      <c r="AT288" s="9">
        <f t="shared" si="51"/>
        <v>2</v>
      </c>
      <c r="AU288" s="9">
        <f t="shared" si="52"/>
        <v>2024</v>
      </c>
      <c r="AV288" s="9" t="b">
        <f t="shared" si="53"/>
        <v>0</v>
      </c>
      <c r="AW288" s="9" t="b">
        <f t="shared" si="54"/>
        <v>0</v>
      </c>
      <c r="AX288" s="9" t="str">
        <f t="shared" si="55"/>
        <v>No</v>
      </c>
      <c r="AY288" s="9" t="str">
        <f t="shared" si="57"/>
        <v>Returned order excluded</v>
      </c>
      <c r="AZ288" s="9" t="str">
        <f>IF(OR(G288="Missing date",G288="Invalid date",G288="Ship date before order date",NOT(ISNUMBER(AP288)),AP288&lt;0,AP288&gt;0.5,AV288=TRUE,AW288=TRUE),"Invalid",IF(OR(O288="Unknown",Z288="Unknown",AC288="",AH288&lt;&gt;"Paid",AJ288&lt;&gt;"Completed",AO288&lt;&gt;""),"Warning","Clean"))</f>
        <v>Warning</v>
      </c>
    </row>
    <row r="289" spans="1:52" ht="15.75" customHeight="1">
      <c r="A289" s="6" t="s">
        <v>1565</v>
      </c>
      <c r="B289" s="7" t="s">
        <v>1566</v>
      </c>
      <c r="C289" s="7" t="str">
        <f t="shared" si="56"/>
        <v>2024-09</v>
      </c>
      <c r="D289" s="7" cm="1">
        <f t="array" ref="D289">_xlfn.LET(_xlpm.x,B289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45540</v>
      </c>
      <c r="E289" s="7" t="s">
        <v>1567</v>
      </c>
      <c r="F289" s="7" cm="1">
        <f t="array" ref="F289">_xlfn.LET(_xlpm.x,E289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45542</v>
      </c>
      <c r="G289" s="8" t="str">
        <f t="shared" si="32"/>
        <v>OK</v>
      </c>
      <c r="H289" s="6">
        <f t="shared" si="33"/>
        <v>2</v>
      </c>
      <c r="I289" s="6" t="s">
        <v>1568</v>
      </c>
      <c r="J289" s="6" t="s">
        <v>177</v>
      </c>
      <c r="K289" s="6" t="str">
        <f t="shared" si="34"/>
        <v>Neha Gupta</v>
      </c>
      <c r="L289" s="6" t="s">
        <v>46</v>
      </c>
      <c r="M289" s="8" t="str">
        <f t="shared" si="35"/>
        <v>Small Business</v>
      </c>
      <c r="N289" s="6" t="s">
        <v>10</v>
      </c>
      <c r="O289" s="6" t="str">
        <f t="shared" si="36"/>
        <v>South</v>
      </c>
      <c r="P289" s="6" t="s">
        <v>413</v>
      </c>
      <c r="Q289" s="6" t="str">
        <f t="shared" si="37"/>
        <v>Tamil Nadu</v>
      </c>
      <c r="R289" s="6" t="s">
        <v>414</v>
      </c>
      <c r="S289" s="6" t="str">
        <f t="shared" si="38"/>
        <v>Chennai</v>
      </c>
      <c r="T289" s="6" t="s">
        <v>27</v>
      </c>
      <c r="U289" s="8" t="str">
        <f t="shared" si="39"/>
        <v>Technology</v>
      </c>
      <c r="V289" s="6" t="s">
        <v>29</v>
      </c>
      <c r="W289" s="6" t="str">
        <f t="shared" si="40"/>
        <v>Copiers</v>
      </c>
      <c r="X289" s="6" t="s">
        <v>1569</v>
      </c>
      <c r="Y289" s="6" t="s">
        <v>34</v>
      </c>
      <c r="Z289" s="6" t="str">
        <f t="shared" si="41"/>
        <v>Standard Class</v>
      </c>
      <c r="AA289" s="6">
        <v>3</v>
      </c>
      <c r="AB289" s="6">
        <v>2555.66</v>
      </c>
      <c r="AC289" s="6">
        <v>0.15</v>
      </c>
      <c r="AD289" s="6">
        <v>6516.93</v>
      </c>
      <c r="AE289" s="6">
        <v>4511.54</v>
      </c>
      <c r="AF289" s="6">
        <v>2005.39</v>
      </c>
      <c r="AG289" s="6" t="s">
        <v>52</v>
      </c>
      <c r="AH289" s="6" t="str">
        <f t="shared" si="42"/>
        <v>Paid</v>
      </c>
      <c r="AI289" s="6" t="s">
        <v>58</v>
      </c>
      <c r="AJ289" s="6" t="str">
        <f t="shared" si="43"/>
        <v>Cancelled</v>
      </c>
      <c r="AK289" s="9" t="str">
        <f>_xlfn.TEXTJOIN("|",FALSE,A289,TEXT(B289,"mm-dd-yyyy"),TEXT(E289,"mm-dd-yyyy"),I289,J289,L289,N289,P289,R289,T289,V289,X289,Y289,AA289,AB289,AC289,AD289,AE289,AF289,AG289,AI289)</f>
        <v>ORD-2024-10288|09-05-2024|07-09-2024|CUST-7095|Neha Gupta|Small Business|South|Tamil Nadu|Chennai|Technology|Copiers|Prime Copiers 924|Standard Class|3|2555.66|0.15|6516.93|4511.54|2005.39|Paid|Cancelled</v>
      </c>
      <c r="AL289" s="27" t="str">
        <f>IF(COUNTIF($AK$2:AK289,AK289)&gt;1,"Remove exact duplicate copy","Keep")</f>
        <v>Keep</v>
      </c>
      <c r="AM289" s="9">
        <f t="shared" si="44"/>
        <v>1</v>
      </c>
      <c r="AN289" s="9" t="str">
        <f t="shared" si="45"/>
        <v>Unique</v>
      </c>
      <c r="AO289" s="9" t="str">
        <f t="shared" si="46"/>
        <v/>
      </c>
      <c r="AP289" s="9">
        <f t="shared" si="47"/>
        <v>0.15</v>
      </c>
      <c r="AQ289" s="10">
        <f t="shared" si="48"/>
        <v>6516.9329999999991</v>
      </c>
      <c r="AR289" s="10">
        <f t="shared" si="49"/>
        <v>2005.3929999999991</v>
      </c>
      <c r="AS289" s="11">
        <f t="shared" si="50"/>
        <v>0.30772036477895343</v>
      </c>
      <c r="AT289" s="9">
        <f t="shared" si="51"/>
        <v>9</v>
      </c>
      <c r="AU289" s="9">
        <f t="shared" si="52"/>
        <v>2024</v>
      </c>
      <c r="AV289" s="9" t="b">
        <f t="shared" si="53"/>
        <v>0</v>
      </c>
      <c r="AW289" s="9" t="b">
        <f t="shared" si="54"/>
        <v>0</v>
      </c>
      <c r="AX289" s="9" t="str">
        <f t="shared" si="55"/>
        <v>No</v>
      </c>
      <c r="AY289" s="9" t="str">
        <f t="shared" si="57"/>
        <v>Cancelled order excluded</v>
      </c>
      <c r="AZ289" s="9" t="str">
        <f>IF(OR(G289="Missing date",G289="Invalid date",G289="Ship date before order date",NOT(ISNUMBER(AP289)),AP289&lt;0,AP289&gt;0.5,AV289=TRUE,AW289=TRUE),"Invalid",IF(OR(O289="Unknown",Z289="Unknown",AC289="",AH289&lt;&gt;"Paid",AJ289&lt;&gt;"Completed",AO289&lt;&gt;""),"Warning","Clean"))</f>
        <v>Warning</v>
      </c>
    </row>
    <row r="290" spans="1:52" ht="15.75" customHeight="1">
      <c r="A290" s="6" t="s">
        <v>1570</v>
      </c>
      <c r="B290" s="7" t="s">
        <v>1571</v>
      </c>
      <c r="C290" s="7" t="str">
        <f t="shared" si="56"/>
        <v>2024-06</v>
      </c>
      <c r="D290" s="7" cm="1">
        <f t="array" ref="D290">_xlfn.LET(_xlpm.x,B290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45467</v>
      </c>
      <c r="E290" s="7" t="s">
        <v>1571</v>
      </c>
      <c r="F290" s="7" cm="1">
        <f t="array" ref="F290">_xlfn.LET(_xlpm.x,E290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45467</v>
      </c>
      <c r="G290" s="8" t="str">
        <f t="shared" si="32"/>
        <v>OK</v>
      </c>
      <c r="H290" s="6">
        <f t="shared" si="33"/>
        <v>0</v>
      </c>
      <c r="I290" s="6" t="s">
        <v>1572</v>
      </c>
      <c r="J290" s="6" t="s">
        <v>257</v>
      </c>
      <c r="K290" s="6" t="str">
        <f t="shared" si="34"/>
        <v>Rohan Mehta</v>
      </c>
      <c r="L290" s="6" t="s">
        <v>46</v>
      </c>
      <c r="M290" s="8" t="str">
        <f t="shared" si="35"/>
        <v>Small Business</v>
      </c>
      <c r="N290" s="6" t="s">
        <v>8</v>
      </c>
      <c r="O290" s="6" t="str">
        <f t="shared" si="36"/>
        <v>East</v>
      </c>
      <c r="P290" s="6" t="s">
        <v>263</v>
      </c>
      <c r="Q290" s="6" t="str">
        <f t="shared" si="37"/>
        <v>Bihar</v>
      </c>
      <c r="R290" s="6" t="s">
        <v>264</v>
      </c>
      <c r="S290" s="6" t="str">
        <f t="shared" si="38"/>
        <v>Patna</v>
      </c>
      <c r="T290" s="6" t="s">
        <v>20</v>
      </c>
      <c r="U290" s="8" t="str">
        <f t="shared" si="39"/>
        <v>Office Supplies</v>
      </c>
      <c r="V290" s="6" t="s">
        <v>22</v>
      </c>
      <c r="W290" s="6" t="str">
        <f t="shared" si="40"/>
        <v>Binders</v>
      </c>
      <c r="X290" s="6" t="s">
        <v>1573</v>
      </c>
      <c r="Y290" s="6" t="s">
        <v>37</v>
      </c>
      <c r="Z290" s="6" t="str">
        <f t="shared" si="41"/>
        <v>Same Day</v>
      </c>
      <c r="AA290" s="6">
        <v>2</v>
      </c>
      <c r="AB290" s="6">
        <v>4359.8999999999996</v>
      </c>
      <c r="AC290" s="6">
        <v>0.15</v>
      </c>
      <c r="AD290" s="6">
        <v>7411.83</v>
      </c>
      <c r="AE290" s="6">
        <v>4904.63</v>
      </c>
      <c r="AF290" s="6">
        <v>2507.1999999999998</v>
      </c>
      <c r="AG290" s="6" t="s">
        <v>52</v>
      </c>
      <c r="AH290" s="6" t="str">
        <f t="shared" si="42"/>
        <v>Paid</v>
      </c>
      <c r="AI290" s="6" t="s">
        <v>134</v>
      </c>
      <c r="AJ290" s="6" t="str">
        <f t="shared" si="43"/>
        <v>Completed</v>
      </c>
      <c r="AK290" s="9" t="str">
        <f>_xlfn.TEXTJOIN("|",FALSE,A290,TEXT(B290,"mm-dd-yyyy"),TEXT(E290,"mm-dd-yyyy"),I290,J290,L290,N290,P290,R290,T290,V290,X290,Y290,AA290,AB290,AC290,AD290,AE290,AF290,AG290,AI290)</f>
        <v>ORD-2024-10289|06-24-2024|06-24-2024|CUST-4805|Rohan Mehta|Small Business|East|Bihar|Patna|Office Supplies|Binders|Classic Binders 721|Same Day|2|4359.9|0.15|7411.83|4904.63|2507.2|Paid|Completed</v>
      </c>
      <c r="AL290" s="27" t="str">
        <f>IF(COUNTIF($AK$2:AK290,AK290)&gt;1,"Remove exact duplicate copy","Keep")</f>
        <v>Keep</v>
      </c>
      <c r="AM290" s="9">
        <f t="shared" si="44"/>
        <v>1</v>
      </c>
      <c r="AN290" s="9" t="str">
        <f t="shared" si="45"/>
        <v>Unique</v>
      </c>
      <c r="AO290" s="9" t="str">
        <f t="shared" si="46"/>
        <v/>
      </c>
      <c r="AP290" s="9">
        <f t="shared" si="47"/>
        <v>0.15</v>
      </c>
      <c r="AQ290" s="10">
        <f t="shared" si="48"/>
        <v>7411.829999999999</v>
      </c>
      <c r="AR290" s="10">
        <f t="shared" si="49"/>
        <v>2507.1999999999989</v>
      </c>
      <c r="AS290" s="11">
        <f t="shared" si="50"/>
        <v>0.3382700358750807</v>
      </c>
      <c r="AT290" s="9">
        <f t="shared" si="51"/>
        <v>6</v>
      </c>
      <c r="AU290" s="9">
        <f t="shared" si="52"/>
        <v>2024</v>
      </c>
      <c r="AV290" s="9" t="b">
        <f t="shared" si="53"/>
        <v>0</v>
      </c>
      <c r="AW290" s="9" t="b">
        <f t="shared" si="54"/>
        <v>0</v>
      </c>
      <c r="AX290" s="9" t="str">
        <f t="shared" si="55"/>
        <v>Yes</v>
      </c>
      <c r="AY290" s="9" t="str">
        <f t="shared" si="57"/>
        <v/>
      </c>
      <c r="AZ290" s="9" t="str">
        <f>IF(OR(G290="Missing date",G290="Invalid date",G290="Ship date before order date",NOT(ISNUMBER(AP290)),AP290&lt;0,AP290&gt;0.5,AV290=TRUE,AW290=TRUE),"Invalid",IF(OR(O290="Unknown",Z290="Unknown",AC290="",AH290&lt;&gt;"Paid",AJ290&lt;&gt;"Completed",AO290&lt;&gt;""),"Warning","Clean"))</f>
        <v>Clean</v>
      </c>
    </row>
    <row r="291" spans="1:52" ht="15.75" customHeight="1">
      <c r="A291" s="6" t="s">
        <v>1574</v>
      </c>
      <c r="B291" s="7" t="s">
        <v>328</v>
      </c>
      <c r="C291" s="7" t="str">
        <f t="shared" si="56"/>
        <v>2025-06</v>
      </c>
      <c r="D291" s="7" cm="1">
        <f t="array" ref="D291">_xlfn.LET(_xlpm.x,B291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45827</v>
      </c>
      <c r="E291" s="7" t="s">
        <v>728</v>
      </c>
      <c r="F291" s="7" cm="1">
        <f t="array" ref="F291">_xlfn.LET(_xlpm.x,E291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45835</v>
      </c>
      <c r="G291" s="8" t="str">
        <f t="shared" si="32"/>
        <v>OK</v>
      </c>
      <c r="H291" s="6">
        <f t="shared" si="33"/>
        <v>8</v>
      </c>
      <c r="I291" s="6" t="s">
        <v>1575</v>
      </c>
      <c r="J291" s="6" t="s">
        <v>129</v>
      </c>
      <c r="K291" s="6" t="str">
        <f t="shared" si="34"/>
        <v>Karan Malhotra</v>
      </c>
      <c r="L291" s="6" t="s">
        <v>44</v>
      </c>
      <c r="M291" s="8" t="str">
        <f t="shared" si="35"/>
        <v>Home Office</v>
      </c>
      <c r="N291" s="6" t="s">
        <v>10</v>
      </c>
      <c r="O291" s="6" t="str">
        <f t="shared" si="36"/>
        <v>South</v>
      </c>
      <c r="P291" s="6" t="s">
        <v>413</v>
      </c>
      <c r="Q291" s="6" t="str">
        <f t="shared" si="37"/>
        <v>Tamil Nadu</v>
      </c>
      <c r="R291" s="6" t="s">
        <v>414</v>
      </c>
      <c r="S291" s="6" t="str">
        <f t="shared" si="38"/>
        <v>Chennai</v>
      </c>
      <c r="T291" s="6" t="s">
        <v>14</v>
      </c>
      <c r="U291" s="8" t="str">
        <f t="shared" si="39"/>
        <v>Furniture</v>
      </c>
      <c r="V291" s="6" t="s">
        <v>15</v>
      </c>
      <c r="W291" s="6" t="str">
        <f t="shared" si="40"/>
        <v>Bookcases</v>
      </c>
      <c r="X291" s="6" t="s">
        <v>1576</v>
      </c>
      <c r="Y291" s="6" t="s">
        <v>35</v>
      </c>
      <c r="Z291" s="6" t="str">
        <f t="shared" si="41"/>
        <v>First Class</v>
      </c>
      <c r="AA291" s="6">
        <v>2</v>
      </c>
      <c r="AB291" s="6">
        <v>4346.6899999999996</v>
      </c>
      <c r="AC291" s="6">
        <v>0.05</v>
      </c>
      <c r="AD291" s="6">
        <v>8258.7099999999991</v>
      </c>
      <c r="AE291" s="6">
        <v>7018.97</v>
      </c>
      <c r="AF291" s="6">
        <v>1239.74</v>
      </c>
      <c r="AG291" s="6" t="s">
        <v>52</v>
      </c>
      <c r="AH291" s="6" t="str">
        <f t="shared" si="42"/>
        <v>Paid</v>
      </c>
      <c r="AI291" s="6" t="s">
        <v>134</v>
      </c>
      <c r="AJ291" s="6" t="str">
        <f t="shared" si="43"/>
        <v>Completed</v>
      </c>
      <c r="AK291" s="9" t="str">
        <f>_xlfn.TEXTJOIN("|",FALSE,A291,TEXT(B291,"mm-dd-yyyy"),TEXT(E291,"mm-dd-yyyy"),I291,J291,L291,N291,P291,R291,T291,V291,X291,Y291,AA291,AB291,AC291,AD291,AE291,AF291,AG291,AI291)</f>
        <v>ORD-2025-10290|19-06-2025|06-27-2025|CUST-9114|Karan Malhotra|Home Office|South|Tamil Nadu|Chennai|Furniture|Bookcases|Basic Bookcases 823|First Class|2|4346.69|0.05|8258.71|7018.97|1239.74|Paid|Completed</v>
      </c>
      <c r="AL291" s="27" t="str">
        <f>IF(COUNTIF($AK$2:AK291,AK291)&gt;1,"Remove exact duplicate copy","Keep")</f>
        <v>Keep</v>
      </c>
      <c r="AM291" s="9">
        <f t="shared" si="44"/>
        <v>1</v>
      </c>
      <c r="AN291" s="9" t="str">
        <f t="shared" si="45"/>
        <v>Unique</v>
      </c>
      <c r="AO291" s="9" t="str">
        <f t="shared" si="46"/>
        <v/>
      </c>
      <c r="AP291" s="9">
        <f t="shared" si="47"/>
        <v>0.05</v>
      </c>
      <c r="AQ291" s="10">
        <f t="shared" si="48"/>
        <v>8258.7109999999993</v>
      </c>
      <c r="AR291" s="10">
        <f t="shared" si="49"/>
        <v>1239.7409999999991</v>
      </c>
      <c r="AS291" s="11">
        <f t="shared" si="50"/>
        <v>0.15011313508851432</v>
      </c>
      <c r="AT291" s="9">
        <f t="shared" si="51"/>
        <v>6</v>
      </c>
      <c r="AU291" s="9">
        <f t="shared" si="52"/>
        <v>2025</v>
      </c>
      <c r="AV291" s="9" t="b">
        <f t="shared" si="53"/>
        <v>0</v>
      </c>
      <c r="AW291" s="9" t="b">
        <f t="shared" si="54"/>
        <v>0</v>
      </c>
      <c r="AX291" s="9" t="str">
        <f t="shared" si="55"/>
        <v>Yes</v>
      </c>
      <c r="AY291" s="9" t="str">
        <f t="shared" si="57"/>
        <v/>
      </c>
      <c r="AZ291" s="9" t="str">
        <f>IF(OR(G291="Missing date",G291="Invalid date",G291="Ship date before order date",NOT(ISNUMBER(AP291)),AP291&lt;0,AP291&gt;0.5,AV291=TRUE,AW291=TRUE),"Invalid",IF(OR(O291="Unknown",Z291="Unknown",AC291="",AH291&lt;&gt;"Paid",AJ291&lt;&gt;"Completed",AO291&lt;&gt;""),"Warning","Clean"))</f>
        <v>Clean</v>
      </c>
    </row>
    <row r="292" spans="1:52" ht="15.75" customHeight="1">
      <c r="A292" s="6" t="s">
        <v>1577</v>
      </c>
      <c r="B292" s="7" t="s">
        <v>1578</v>
      </c>
      <c r="C292" s="7" t="str">
        <f t="shared" si="56"/>
        <v>2025-08</v>
      </c>
      <c r="D292" s="7" cm="1">
        <f t="array" ref="D292">_xlfn.LET(_xlpm.x,B292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45891</v>
      </c>
      <c r="E292" s="7" t="s">
        <v>1579</v>
      </c>
      <c r="F292" s="7" cm="1">
        <f t="array" ref="F292">_xlfn.LET(_xlpm.x,E292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45895</v>
      </c>
      <c r="G292" s="8" t="str">
        <f t="shared" si="32"/>
        <v>OK</v>
      </c>
      <c r="H292" s="6">
        <f t="shared" si="33"/>
        <v>4</v>
      </c>
      <c r="I292" s="6" t="s">
        <v>1580</v>
      </c>
      <c r="J292" s="6" t="s">
        <v>284</v>
      </c>
      <c r="K292" s="6" t="str">
        <f t="shared" si="34"/>
        <v>Diya Patel</v>
      </c>
      <c r="L292" s="6" t="s">
        <v>44</v>
      </c>
      <c r="M292" s="8" t="str">
        <f t="shared" si="35"/>
        <v>Home Office</v>
      </c>
      <c r="N292" s="6" t="s">
        <v>8</v>
      </c>
      <c r="O292" s="6" t="str">
        <f t="shared" si="36"/>
        <v>East</v>
      </c>
      <c r="P292" s="6" t="s">
        <v>385</v>
      </c>
      <c r="Q292" s="6" t="str">
        <f t="shared" si="37"/>
        <v>Jharkhand</v>
      </c>
      <c r="R292" s="6" t="s">
        <v>386</v>
      </c>
      <c r="S292" s="6" t="str">
        <f t="shared" si="38"/>
        <v>Ranchi</v>
      </c>
      <c r="T292" s="6" t="s">
        <v>14</v>
      </c>
      <c r="U292" s="8" t="str">
        <f t="shared" si="39"/>
        <v>Furniture</v>
      </c>
      <c r="V292" s="6" t="s">
        <v>18</v>
      </c>
      <c r="W292" s="6" t="str">
        <f t="shared" si="40"/>
        <v>Tables</v>
      </c>
      <c r="X292" s="6" t="s">
        <v>1581</v>
      </c>
      <c r="Y292" s="6" t="s">
        <v>34</v>
      </c>
      <c r="Z292" s="6" t="str">
        <f t="shared" si="41"/>
        <v>Standard Class</v>
      </c>
      <c r="AA292" s="6">
        <v>1</v>
      </c>
      <c r="AB292" s="6">
        <v>1842.63</v>
      </c>
      <c r="AC292" s="6">
        <v>0.1</v>
      </c>
      <c r="AD292" s="6">
        <v>1658.37</v>
      </c>
      <c r="AE292" s="6">
        <v>971.12</v>
      </c>
      <c r="AF292" s="6">
        <v>687.25</v>
      </c>
      <c r="AG292" s="6" t="s">
        <v>52</v>
      </c>
      <c r="AH292" s="6" t="str">
        <f t="shared" si="42"/>
        <v>Paid</v>
      </c>
      <c r="AI292" s="6" t="s">
        <v>134</v>
      </c>
      <c r="AJ292" s="6" t="str">
        <f t="shared" si="43"/>
        <v>Completed</v>
      </c>
      <c r="AK292" s="9" t="str">
        <f>_xlfn.TEXTJOIN("|",FALSE,A292,TEXT(B292,"mm-dd-yyyy"),TEXT(E292,"mm-dd-yyyy"),I292,J292,L292,N292,P292,R292,T292,V292,X292,Y292,AA292,AB292,AC292,AD292,AE292,AF292,AG292,AI292)</f>
        <v>ORD-2025-10291|08-22-2025|08-26-2025|CUST-8557|Diya Patel|Home Office|East|Jharkhand|Ranchi|Furniture|Tables|Classic Tables 178|Standard Class|1|1842.63|0.1|1658.37|971.12|687.25|Paid|Completed</v>
      </c>
      <c r="AL292" s="27" t="str">
        <f>IF(COUNTIF($AK$2:AK292,AK292)&gt;1,"Remove exact duplicate copy","Keep")</f>
        <v>Keep</v>
      </c>
      <c r="AM292" s="9">
        <f t="shared" si="44"/>
        <v>1</v>
      </c>
      <c r="AN292" s="9" t="str">
        <f t="shared" si="45"/>
        <v>Unique</v>
      </c>
      <c r="AO292" s="9" t="str">
        <f t="shared" si="46"/>
        <v/>
      </c>
      <c r="AP292" s="9">
        <f t="shared" si="47"/>
        <v>0.1</v>
      </c>
      <c r="AQ292" s="10">
        <f t="shared" si="48"/>
        <v>1658.3670000000002</v>
      </c>
      <c r="AR292" s="10">
        <f t="shared" si="49"/>
        <v>687.24700000000018</v>
      </c>
      <c r="AS292" s="11">
        <f t="shared" si="50"/>
        <v>0.41441188832146331</v>
      </c>
      <c r="AT292" s="9">
        <f t="shared" si="51"/>
        <v>8</v>
      </c>
      <c r="AU292" s="9">
        <f t="shared" si="52"/>
        <v>2025</v>
      </c>
      <c r="AV292" s="9" t="b">
        <f t="shared" si="53"/>
        <v>0</v>
      </c>
      <c r="AW292" s="9" t="b">
        <f t="shared" si="54"/>
        <v>0</v>
      </c>
      <c r="AX292" s="9" t="str">
        <f t="shared" si="55"/>
        <v>Yes</v>
      </c>
      <c r="AY292" s="9" t="str">
        <f t="shared" si="57"/>
        <v/>
      </c>
      <c r="AZ292" s="9" t="str">
        <f>IF(OR(G292="Missing date",G292="Invalid date",G292="Ship date before order date",NOT(ISNUMBER(AP292)),AP292&lt;0,AP292&gt;0.5,AV292=TRUE,AW292=TRUE),"Invalid",IF(OR(O292="Unknown",Z292="Unknown",AC292="",AH292&lt;&gt;"Paid",AJ292&lt;&gt;"Completed",AO292&lt;&gt;""),"Warning","Clean"))</f>
        <v>Clean</v>
      </c>
    </row>
    <row r="293" spans="1:52" ht="15.75" customHeight="1">
      <c r="A293" s="6" t="s">
        <v>1582</v>
      </c>
      <c r="B293" s="7" t="s">
        <v>1583</v>
      </c>
      <c r="C293" s="7" t="str">
        <f t="shared" si="56"/>
        <v>2024-04</v>
      </c>
      <c r="D293" s="7" cm="1">
        <f t="array" ref="D293">_xlfn.LET(_xlpm.x,B293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45387</v>
      </c>
      <c r="E293" s="7" t="s">
        <v>1584</v>
      </c>
      <c r="F293" s="7" cm="1">
        <f t="array" ref="F293">_xlfn.LET(_xlpm.x,E293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45392</v>
      </c>
      <c r="G293" s="8" t="str">
        <f t="shared" si="32"/>
        <v>OK</v>
      </c>
      <c r="H293" s="6">
        <f t="shared" si="33"/>
        <v>5</v>
      </c>
      <c r="I293" s="6" t="s">
        <v>1585</v>
      </c>
      <c r="J293" s="6" t="s">
        <v>220</v>
      </c>
      <c r="K293" s="6" t="str">
        <f t="shared" si="34"/>
        <v>Priya Menon</v>
      </c>
      <c r="L293" s="6" t="s">
        <v>44</v>
      </c>
      <c r="M293" s="8" t="str">
        <f t="shared" si="35"/>
        <v>Home Office</v>
      </c>
      <c r="N293" s="6" t="s">
        <v>7</v>
      </c>
      <c r="O293" s="6" t="str">
        <f t="shared" si="36"/>
        <v>North</v>
      </c>
      <c r="P293" s="6" t="s">
        <v>131</v>
      </c>
      <c r="Q293" s="6" t="str">
        <f t="shared" si="37"/>
        <v>Rajasthan</v>
      </c>
      <c r="R293" s="6" t="s">
        <v>132</v>
      </c>
      <c r="S293" s="6" t="str">
        <f t="shared" si="38"/>
        <v>Jaipur</v>
      </c>
      <c r="T293" s="6" t="s">
        <v>20</v>
      </c>
      <c r="U293" s="8" t="str">
        <f t="shared" si="39"/>
        <v>Office Supplies</v>
      </c>
      <c r="V293" s="6" t="s">
        <v>22</v>
      </c>
      <c r="W293" s="6" t="str">
        <f t="shared" si="40"/>
        <v>Binders</v>
      </c>
      <c r="X293" s="6" t="s">
        <v>1586</v>
      </c>
      <c r="Y293" s="6" t="s">
        <v>34</v>
      </c>
      <c r="Z293" s="6" t="str">
        <f t="shared" si="41"/>
        <v>Standard Class</v>
      </c>
      <c r="AA293" s="6">
        <v>4</v>
      </c>
      <c r="AB293" s="6">
        <v>3228.66</v>
      </c>
      <c r="AC293" s="6">
        <v>0.25</v>
      </c>
      <c r="AD293" s="6">
        <v>9685.98</v>
      </c>
      <c r="AE293" s="6">
        <v>7730.04</v>
      </c>
      <c r="AF293" s="6">
        <v>1955.94</v>
      </c>
      <c r="AG293" s="6" t="s">
        <v>52</v>
      </c>
      <c r="AH293" s="6" t="str">
        <f t="shared" si="42"/>
        <v>Paid</v>
      </c>
      <c r="AI293" s="6" t="s">
        <v>134</v>
      </c>
      <c r="AJ293" s="6" t="str">
        <f t="shared" si="43"/>
        <v>Completed</v>
      </c>
      <c r="AK293" s="9" t="str">
        <f>_xlfn.TEXTJOIN("|",FALSE,A293,TEXT(B293,"mm-dd-yyyy"),TEXT(E293,"mm-dd-yyyy"),I293,J293,L293,N293,P293,R293,T293,V293,X293,Y293,AA293,AB293,AC293,AD293,AE293,AF293,AG293,AI293)</f>
        <v>ORD-2024-10292|04-05-2024|04-10-2024|CUST-2860|Priya Menon|Home Office|North|Rajasthan|Jaipur|Office Supplies|Binders|Eco Binders 153|Standard Class|4|3228.66|0.25|9685.98|7730.04|1955.94|Paid|Completed</v>
      </c>
      <c r="AL293" s="27" t="str">
        <f>IF(COUNTIF($AK$2:AK293,AK293)&gt;1,"Remove exact duplicate copy","Keep")</f>
        <v>Keep</v>
      </c>
      <c r="AM293" s="9">
        <f t="shared" si="44"/>
        <v>1</v>
      </c>
      <c r="AN293" s="9" t="str">
        <f t="shared" si="45"/>
        <v>Unique</v>
      </c>
      <c r="AO293" s="9" t="str">
        <f t="shared" si="46"/>
        <v/>
      </c>
      <c r="AP293" s="9">
        <f t="shared" si="47"/>
        <v>0.25</v>
      </c>
      <c r="AQ293" s="10">
        <f t="shared" si="48"/>
        <v>9685.98</v>
      </c>
      <c r="AR293" s="10">
        <f t="shared" si="49"/>
        <v>1955.9399999999996</v>
      </c>
      <c r="AS293" s="11">
        <f t="shared" si="50"/>
        <v>0.20193516815025425</v>
      </c>
      <c r="AT293" s="9">
        <f t="shared" si="51"/>
        <v>4</v>
      </c>
      <c r="AU293" s="9">
        <f t="shared" si="52"/>
        <v>2024</v>
      </c>
      <c r="AV293" s="9" t="b">
        <f t="shared" si="53"/>
        <v>0</v>
      </c>
      <c r="AW293" s="9" t="b">
        <f t="shared" si="54"/>
        <v>0</v>
      </c>
      <c r="AX293" s="9" t="str">
        <f t="shared" si="55"/>
        <v>Yes</v>
      </c>
      <c r="AY293" s="9" t="str">
        <f t="shared" si="57"/>
        <v/>
      </c>
      <c r="AZ293" s="9" t="str">
        <f>IF(OR(G293="Missing date",G293="Invalid date",G293="Ship date before order date",NOT(ISNUMBER(AP293)),AP293&lt;0,AP293&gt;0.5,AV293=TRUE,AW293=TRUE),"Invalid",IF(OR(O293="Unknown",Z293="Unknown",AC293="",AH293&lt;&gt;"Paid",AJ293&lt;&gt;"Completed",AO293&lt;&gt;""),"Warning","Clean"))</f>
        <v>Clean</v>
      </c>
    </row>
    <row r="294" spans="1:52" ht="15.75" customHeight="1">
      <c r="A294" s="6" t="s">
        <v>1587</v>
      </c>
      <c r="B294" s="7" t="s">
        <v>1588</v>
      </c>
      <c r="C294" s="7" t="str">
        <f t="shared" si="56"/>
        <v>2025-02</v>
      </c>
      <c r="D294" s="7" cm="1">
        <f t="array" ref="D294">_xlfn.LET(_xlpm.x,B294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45716</v>
      </c>
      <c r="E294" s="7" t="s">
        <v>1589</v>
      </c>
      <c r="F294" s="7" cm="1">
        <f t="array" ref="F294">_xlfn.LET(_xlpm.x,E294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45719</v>
      </c>
      <c r="G294" s="8" t="str">
        <f t="shared" si="32"/>
        <v>OK</v>
      </c>
      <c r="H294" s="6">
        <f t="shared" si="33"/>
        <v>3</v>
      </c>
      <c r="I294" s="6" t="s">
        <v>1590</v>
      </c>
      <c r="J294" s="6" t="s">
        <v>442</v>
      </c>
      <c r="K294" s="6" t="str">
        <f t="shared" si="34"/>
        <v>Kabir Singh</v>
      </c>
      <c r="L294" s="6" t="s">
        <v>44</v>
      </c>
      <c r="M294" s="8" t="str">
        <f t="shared" si="35"/>
        <v>Home Office</v>
      </c>
      <c r="N294" s="6" t="s">
        <v>7</v>
      </c>
      <c r="O294" s="6" t="str">
        <f t="shared" si="36"/>
        <v>North</v>
      </c>
      <c r="P294" s="6" t="s">
        <v>397</v>
      </c>
      <c r="Q294" s="6" t="str">
        <f t="shared" si="37"/>
        <v>Haryana</v>
      </c>
      <c r="R294" s="6" t="s">
        <v>398</v>
      </c>
      <c r="S294" s="6" t="str">
        <f t="shared" si="38"/>
        <v>Gurugram</v>
      </c>
      <c r="T294" s="6" t="s">
        <v>20</v>
      </c>
      <c r="U294" s="8" t="str">
        <f t="shared" si="39"/>
        <v>Office Supplies</v>
      </c>
      <c r="V294" s="6" t="s">
        <v>21</v>
      </c>
      <c r="W294" s="6" t="str">
        <f t="shared" si="40"/>
        <v>Art</v>
      </c>
      <c r="X294" s="6" t="s">
        <v>1591</v>
      </c>
      <c r="Y294" s="6" t="s">
        <v>37</v>
      </c>
      <c r="Z294" s="6" t="str">
        <f t="shared" si="41"/>
        <v>Same Day</v>
      </c>
      <c r="AA294" s="6">
        <v>9</v>
      </c>
      <c r="AB294" s="6">
        <v>3748.95</v>
      </c>
      <c r="AC294" s="6">
        <v>0</v>
      </c>
      <c r="AD294" s="6">
        <v>33740.550000000003</v>
      </c>
      <c r="AE294" s="6">
        <v>24621.89</v>
      </c>
      <c r="AF294" s="6">
        <v>9118.66</v>
      </c>
      <c r="AG294" s="6" t="s">
        <v>54</v>
      </c>
      <c r="AH294" s="6" t="str">
        <f t="shared" si="42"/>
        <v>Pending</v>
      </c>
      <c r="AI294" s="6" t="s">
        <v>58</v>
      </c>
      <c r="AJ294" s="6" t="str">
        <f t="shared" si="43"/>
        <v>Cancelled</v>
      </c>
      <c r="AK294" s="9" t="str">
        <f>_xlfn.TEXTJOIN("|",FALSE,A294,TEXT(B294,"mm-dd-yyyy"),TEXT(E294,"mm-dd-yyyy"),I294,J294,L294,N294,P294,R294,T294,V294,X294,Y294,AA294,AB294,AC294,AD294,AE294,AF294,AG294,AI294)</f>
        <v>ORD-2025-10293|02-28-2025|03-03-2025|CUST-7837|Kabir Singh|Home Office|North|Haryana|Gurugram|Office Supplies|Art|Classic Art 183|Same Day|9|3748.95|0|33740.55|24621.89|9118.66|Pending|Cancelled</v>
      </c>
      <c r="AL294" s="27" t="str">
        <f>IF(COUNTIF($AK$2:AK294,AK294)&gt;1,"Remove exact duplicate copy","Keep")</f>
        <v>Keep</v>
      </c>
      <c r="AM294" s="9">
        <f t="shared" si="44"/>
        <v>1</v>
      </c>
      <c r="AN294" s="9" t="str">
        <f t="shared" si="45"/>
        <v>Unique</v>
      </c>
      <c r="AO294" s="9" t="str">
        <f t="shared" si="46"/>
        <v/>
      </c>
      <c r="AP294" s="9">
        <f t="shared" si="47"/>
        <v>0</v>
      </c>
      <c r="AQ294" s="10">
        <f t="shared" si="48"/>
        <v>33740.549999999996</v>
      </c>
      <c r="AR294" s="10">
        <f t="shared" si="49"/>
        <v>9118.6599999999962</v>
      </c>
      <c r="AS294" s="11">
        <f t="shared" si="50"/>
        <v>0.2702581908119458</v>
      </c>
      <c r="AT294" s="9">
        <f t="shared" si="51"/>
        <v>2</v>
      </c>
      <c r="AU294" s="9">
        <f t="shared" si="52"/>
        <v>2025</v>
      </c>
      <c r="AV294" s="9" t="b">
        <f t="shared" si="53"/>
        <v>0</v>
      </c>
      <c r="AW294" s="9" t="b">
        <f t="shared" si="54"/>
        <v>0</v>
      </c>
      <c r="AX294" s="9" t="str">
        <f t="shared" si="55"/>
        <v>No</v>
      </c>
      <c r="AY294" s="9" t="str">
        <f t="shared" si="57"/>
        <v>Cancelled order excluded</v>
      </c>
      <c r="AZ294" s="9" t="str">
        <f>IF(OR(G294="Missing date",G294="Invalid date",G294="Ship date before order date",NOT(ISNUMBER(AP294)),AP294&lt;0,AP294&gt;0.5,AV294=TRUE,AW294=TRUE),"Invalid",IF(OR(O294="Unknown",Z294="Unknown",AC294="",AH294&lt;&gt;"Paid",AJ294&lt;&gt;"Completed",AO294&lt;&gt;""),"Warning","Clean"))</f>
        <v>Warning</v>
      </c>
    </row>
    <row r="295" spans="1:52" ht="15.75" customHeight="1">
      <c r="A295" s="6" t="s">
        <v>1592</v>
      </c>
      <c r="B295" s="7" t="s">
        <v>1593</v>
      </c>
      <c r="C295" s="7" t="str">
        <f t="shared" si="56"/>
        <v>2024-03</v>
      </c>
      <c r="D295" s="7" cm="1">
        <f t="array" ref="D295">_xlfn.LET(_xlpm.x,B295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45358</v>
      </c>
      <c r="E295" s="7" t="s">
        <v>1594</v>
      </c>
      <c r="F295" s="7" cm="1">
        <f t="array" ref="F295">_xlfn.LET(_xlpm.x,E295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45362</v>
      </c>
      <c r="G295" s="8" t="str">
        <f t="shared" si="32"/>
        <v>OK</v>
      </c>
      <c r="H295" s="6">
        <f t="shared" si="33"/>
        <v>4</v>
      </c>
      <c r="I295" s="6" t="s">
        <v>1595</v>
      </c>
      <c r="J295" s="6" t="s">
        <v>153</v>
      </c>
      <c r="K295" s="6" t="str">
        <f t="shared" si="34"/>
        <v>Arjun Bose</v>
      </c>
      <c r="L295" s="6" t="s">
        <v>44</v>
      </c>
      <c r="M295" s="8" t="str">
        <f t="shared" si="35"/>
        <v>Home Office</v>
      </c>
      <c r="N295" s="6" t="s">
        <v>10</v>
      </c>
      <c r="O295" s="6" t="str">
        <f t="shared" si="36"/>
        <v>South</v>
      </c>
      <c r="P295" s="6" t="s">
        <v>154</v>
      </c>
      <c r="Q295" s="6" t="str">
        <f t="shared" si="37"/>
        <v>Telangana</v>
      </c>
      <c r="R295" s="6" t="s">
        <v>155</v>
      </c>
      <c r="S295" s="6" t="str">
        <f t="shared" si="38"/>
        <v>Hyderabad</v>
      </c>
      <c r="T295" s="6" t="s">
        <v>27</v>
      </c>
      <c r="U295" s="8" t="str">
        <f t="shared" si="39"/>
        <v>Technology</v>
      </c>
      <c r="V295" s="6" t="s">
        <v>31</v>
      </c>
      <c r="W295" s="6" t="str">
        <f t="shared" si="40"/>
        <v>Phones</v>
      </c>
      <c r="X295" s="6" t="s">
        <v>1596</v>
      </c>
      <c r="Y295" s="6" t="s">
        <v>35</v>
      </c>
      <c r="Z295" s="6" t="str">
        <f t="shared" si="41"/>
        <v>First Class</v>
      </c>
      <c r="AA295" s="6">
        <v>2</v>
      </c>
      <c r="AB295" s="6">
        <v>4401.51</v>
      </c>
      <c r="AC295" s="6">
        <v>0.65</v>
      </c>
      <c r="AD295" s="6">
        <v>8362.8700000000008</v>
      </c>
      <c r="AE295" s="6">
        <v>6541.04</v>
      </c>
      <c r="AF295" s="6">
        <v>1821.83</v>
      </c>
      <c r="AG295" s="6" t="s">
        <v>52</v>
      </c>
      <c r="AH295" s="6" t="str">
        <f t="shared" si="42"/>
        <v>Paid</v>
      </c>
      <c r="AI295" s="6" t="s">
        <v>134</v>
      </c>
      <c r="AJ295" s="6" t="str">
        <f t="shared" si="43"/>
        <v>Completed</v>
      </c>
      <c r="AK295" s="9" t="str">
        <f>_xlfn.TEXTJOIN("|",FALSE,A295,TEXT(B295,"mm-dd-yyyy"),TEXT(E295,"mm-dd-yyyy"),I295,J295,L295,N295,P295,R295,T295,V295,X295,Y295,AA295,AB295,AC295,AD295,AE295,AF295,AG295,AI295)</f>
        <v>ORD-2024-10294|03-07-2024|11-03-2024|CUST-7010|Arjun Bose|Home Office|South|Telangana|Hyderabad|Technology|Phones|Pro Phones 455|First Class|2|4401.51|0.65|8362.87|6541.04|1821.83|Paid|Completed</v>
      </c>
      <c r="AL295" s="27" t="str">
        <f>IF(COUNTIF($AK$2:AK295,AK295)&gt;1,"Remove exact duplicate copy","Keep")</f>
        <v>Keep</v>
      </c>
      <c r="AM295" s="9">
        <f t="shared" si="44"/>
        <v>1</v>
      </c>
      <c r="AN295" s="9" t="str">
        <f t="shared" si="45"/>
        <v>Unique</v>
      </c>
      <c r="AO295" s="9" t="str">
        <f t="shared" si="46"/>
        <v/>
      </c>
      <c r="AP295" s="9">
        <f t="shared" si="47"/>
        <v>0.65</v>
      </c>
      <c r="AQ295" s="10">
        <f t="shared" si="48"/>
        <v>3081.0569999999998</v>
      </c>
      <c r="AR295" s="10">
        <f t="shared" si="49"/>
        <v>-3459.9830000000002</v>
      </c>
      <c r="AS295" s="11">
        <f t="shared" si="50"/>
        <v>-1.1229857156164267</v>
      </c>
      <c r="AT295" s="9">
        <f t="shared" si="51"/>
        <v>3</v>
      </c>
      <c r="AU295" s="9">
        <f t="shared" si="52"/>
        <v>2024</v>
      </c>
      <c r="AV295" s="9" t="b">
        <f t="shared" si="53"/>
        <v>1</v>
      </c>
      <c r="AW295" s="9" t="b">
        <f t="shared" si="54"/>
        <v>1</v>
      </c>
      <c r="AX295" s="9" t="str">
        <f t="shared" si="55"/>
        <v>No</v>
      </c>
      <c r="AY295" s="9" t="str">
        <f t="shared" si="57"/>
        <v>Discount above 50%; Sales mismatch; Profit mismatch</v>
      </c>
      <c r="AZ295" s="9" t="str">
        <f>IF(OR(G295="Missing date",G295="Invalid date",G295="Ship date before order date",NOT(ISNUMBER(AP295)),AP295&lt;0,AP295&gt;0.5,AV295=TRUE,AW295=TRUE),"Invalid",IF(OR(O295="Unknown",Z295="Unknown",AC295="",AH295&lt;&gt;"Paid",AJ295&lt;&gt;"Completed",AO295&lt;&gt;""),"Warning","Clean"))</f>
        <v>Invalid</v>
      </c>
    </row>
    <row r="296" spans="1:52" ht="15.75" customHeight="1">
      <c r="A296" s="6" t="s">
        <v>1597</v>
      </c>
      <c r="B296" s="7" t="s">
        <v>1598</v>
      </c>
      <c r="C296" s="7" t="str">
        <f t="shared" si="56"/>
        <v>2025-07</v>
      </c>
      <c r="D296" s="7" cm="1">
        <f t="array" ref="D296">_xlfn.LET(_xlpm.x,B296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45854</v>
      </c>
      <c r="E296" s="7" t="s">
        <v>1599</v>
      </c>
      <c r="F296" s="7" cm="1">
        <f t="array" ref="F296">_xlfn.LET(_xlpm.x,E296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45860</v>
      </c>
      <c r="G296" s="8" t="str">
        <f t="shared" si="32"/>
        <v>OK</v>
      </c>
      <c r="H296" s="6">
        <f t="shared" si="33"/>
        <v>6</v>
      </c>
      <c r="I296" s="6" t="s">
        <v>1600</v>
      </c>
      <c r="J296" s="6" t="s">
        <v>220</v>
      </c>
      <c r="K296" s="6" t="str">
        <f t="shared" si="34"/>
        <v>Priya Menon</v>
      </c>
      <c r="L296" s="6" t="s">
        <v>43</v>
      </c>
      <c r="M296" s="8" t="str">
        <f t="shared" si="35"/>
        <v>Consumer</v>
      </c>
      <c r="N296" s="6" t="s">
        <v>8</v>
      </c>
      <c r="O296" s="6" t="str">
        <f t="shared" si="36"/>
        <v>East</v>
      </c>
      <c r="P296" s="6" t="s">
        <v>140</v>
      </c>
      <c r="Q296" s="6" t="str">
        <f t="shared" si="37"/>
        <v>Odisha</v>
      </c>
      <c r="R296" s="6" t="s">
        <v>141</v>
      </c>
      <c r="S296" s="6" t="str">
        <f t="shared" si="38"/>
        <v>Bhubaneswar</v>
      </c>
      <c r="T296" s="6" t="s">
        <v>27</v>
      </c>
      <c r="U296" s="8" t="str">
        <f t="shared" si="39"/>
        <v>Technology</v>
      </c>
      <c r="V296" s="6" t="s">
        <v>31</v>
      </c>
      <c r="W296" s="6" t="str">
        <f t="shared" si="40"/>
        <v>Phones</v>
      </c>
      <c r="X296" s="6" t="s">
        <v>1601</v>
      </c>
      <c r="Y296" s="6" t="s">
        <v>36</v>
      </c>
      <c r="Z296" s="6" t="str">
        <f t="shared" si="41"/>
        <v>Second Class</v>
      </c>
      <c r="AA296" s="6">
        <v>6</v>
      </c>
      <c r="AB296" s="6">
        <v>4159.33</v>
      </c>
      <c r="AC296" s="6">
        <v>0.25</v>
      </c>
      <c r="AD296" s="6">
        <v>18716.990000000002</v>
      </c>
      <c r="AE296" s="6">
        <v>12282.43</v>
      </c>
      <c r="AF296" s="6">
        <v>6434.56</v>
      </c>
      <c r="AG296" s="6" t="s">
        <v>52</v>
      </c>
      <c r="AH296" s="6" t="str">
        <f t="shared" si="42"/>
        <v>Paid</v>
      </c>
      <c r="AI296" s="6" t="s">
        <v>59</v>
      </c>
      <c r="AJ296" s="6" t="str">
        <f t="shared" si="43"/>
        <v>Returned</v>
      </c>
      <c r="AK296" s="9" t="str">
        <f>_xlfn.TEXTJOIN("|",FALSE,A296,TEXT(B296,"mm-dd-yyyy"),TEXT(E296,"mm-dd-yyyy"),I296,J296,L296,N296,P296,R296,T296,V296,X296,Y296,AA296,AB296,AC296,AD296,AE296,AF296,AG296,AI296)</f>
        <v>ORD-2025-10295|07-16-2025|07-22-2025|CUST-4755|Priya Menon|Consumer|East|Odisha|Bhubaneswar|Technology|Phones|Basic Phones 326|Second Class|6|4159.33|0.25|18716.99|12282.43|6434.56|Paid|Returned</v>
      </c>
      <c r="AL296" s="27" t="str">
        <f>IF(COUNTIF($AK$2:AK296,AK296)&gt;1,"Remove exact duplicate copy","Keep")</f>
        <v>Keep</v>
      </c>
      <c r="AM296" s="9">
        <f t="shared" si="44"/>
        <v>1</v>
      </c>
      <c r="AN296" s="9" t="str">
        <f t="shared" si="45"/>
        <v>Unique</v>
      </c>
      <c r="AO296" s="9" t="str">
        <f t="shared" si="46"/>
        <v/>
      </c>
      <c r="AP296" s="9">
        <f t="shared" si="47"/>
        <v>0.25</v>
      </c>
      <c r="AQ296" s="10">
        <f t="shared" si="48"/>
        <v>18716.985000000001</v>
      </c>
      <c r="AR296" s="10">
        <f t="shared" si="49"/>
        <v>6434.5550000000003</v>
      </c>
      <c r="AS296" s="11">
        <f t="shared" si="50"/>
        <v>0.34378159730319813</v>
      </c>
      <c r="AT296" s="9">
        <f t="shared" si="51"/>
        <v>7</v>
      </c>
      <c r="AU296" s="9">
        <f t="shared" si="52"/>
        <v>2025</v>
      </c>
      <c r="AV296" s="9" t="b">
        <f t="shared" si="53"/>
        <v>0</v>
      </c>
      <c r="AW296" s="9" t="b">
        <f t="shared" si="54"/>
        <v>0</v>
      </c>
      <c r="AX296" s="9" t="str">
        <f t="shared" si="55"/>
        <v>No</v>
      </c>
      <c r="AY296" s="9" t="str">
        <f t="shared" si="57"/>
        <v>Returned order excluded</v>
      </c>
      <c r="AZ296" s="9" t="str">
        <f>IF(OR(G296="Missing date",G296="Invalid date",G296="Ship date before order date",NOT(ISNUMBER(AP296)),AP296&lt;0,AP296&gt;0.5,AV296=TRUE,AW296=TRUE),"Invalid",IF(OR(O296="Unknown",Z296="Unknown",AC296="",AH296&lt;&gt;"Paid",AJ296&lt;&gt;"Completed",AO296&lt;&gt;""),"Warning","Clean"))</f>
        <v>Warning</v>
      </c>
    </row>
    <row r="297" spans="1:52" ht="15.75" customHeight="1">
      <c r="A297" s="6" t="s">
        <v>1602</v>
      </c>
      <c r="B297" s="7" t="s">
        <v>1603</v>
      </c>
      <c r="C297" s="7" t="str">
        <f t="shared" si="56"/>
        <v>2025-06</v>
      </c>
      <c r="D297" s="7" cm="1">
        <f t="array" ref="D297">_xlfn.LET(_xlpm.x,B297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45833</v>
      </c>
      <c r="E297" s="7" t="s">
        <v>1604</v>
      </c>
      <c r="F297" s="7" cm="1">
        <f t="array" ref="F297">_xlfn.LET(_xlpm.x,E297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45836</v>
      </c>
      <c r="G297" s="8" t="str">
        <f t="shared" si="32"/>
        <v>OK</v>
      </c>
      <c r="H297" s="6">
        <f t="shared" si="33"/>
        <v>3</v>
      </c>
      <c r="I297" s="6" t="s">
        <v>1605</v>
      </c>
      <c r="J297" s="6" t="s">
        <v>190</v>
      </c>
      <c r="K297" s="6" t="str">
        <f t="shared" si="34"/>
        <v>Aditi Sen</v>
      </c>
      <c r="L297" s="6" t="s">
        <v>46</v>
      </c>
      <c r="M297" s="8" t="str">
        <f t="shared" si="35"/>
        <v>Small Business</v>
      </c>
      <c r="N297" s="6" t="s">
        <v>8</v>
      </c>
      <c r="O297" s="6" t="str">
        <f t="shared" si="36"/>
        <v>East</v>
      </c>
      <c r="P297" s="6" t="s">
        <v>290</v>
      </c>
      <c r="Q297" s="6" t="str">
        <f t="shared" si="37"/>
        <v>Assam</v>
      </c>
      <c r="R297" s="6" t="s">
        <v>291</v>
      </c>
      <c r="S297" s="6" t="str">
        <f t="shared" si="38"/>
        <v>Guwahati</v>
      </c>
      <c r="T297" s="6" t="s">
        <v>20</v>
      </c>
      <c r="U297" s="8" t="str">
        <f t="shared" si="39"/>
        <v>Office Supplies</v>
      </c>
      <c r="V297" s="6" t="s">
        <v>22</v>
      </c>
      <c r="W297" s="6" t="str">
        <f t="shared" si="40"/>
        <v>Binders</v>
      </c>
      <c r="X297" s="6" t="s">
        <v>1606</v>
      </c>
      <c r="Y297" s="6" t="s">
        <v>34</v>
      </c>
      <c r="Z297" s="6" t="str">
        <f t="shared" si="41"/>
        <v>Standard Class</v>
      </c>
      <c r="AA297" s="6">
        <v>3</v>
      </c>
      <c r="AB297" s="6">
        <v>3476.05</v>
      </c>
      <c r="AC297" s="6">
        <v>0.1</v>
      </c>
      <c r="AD297" s="6">
        <v>9385.34</v>
      </c>
      <c r="AE297" s="6">
        <v>5828.54</v>
      </c>
      <c r="AF297" s="6">
        <v>3556.8</v>
      </c>
      <c r="AG297" s="6" t="s">
        <v>52</v>
      </c>
      <c r="AH297" s="6" t="str">
        <f t="shared" si="42"/>
        <v>Paid</v>
      </c>
      <c r="AI297" s="6" t="s">
        <v>134</v>
      </c>
      <c r="AJ297" s="6" t="str">
        <f t="shared" si="43"/>
        <v>Completed</v>
      </c>
      <c r="AK297" s="9" t="str">
        <f>_xlfn.TEXTJOIN("|",FALSE,A297,TEXT(B297,"mm-dd-yyyy"),TEXT(E297,"mm-dd-yyyy"),I297,J297,L297,N297,P297,R297,T297,V297,X297,Y297,AA297,AB297,AC297,AD297,AE297,AF297,AG297,AI297)</f>
        <v>ORD-2025-10296|06-25-2025|06-28-2025|CUST-6778|Aditi Sen|Small Business|East|Assam|Guwahati|Office Supplies|Binders|Max Binders 587|Standard Class|3|3476.05|0.1|9385.34|5828.54|3556.8|Paid|Completed</v>
      </c>
      <c r="AL297" s="27" t="str">
        <f>IF(COUNTIF($AK$2:AK297,AK297)&gt;1,"Remove exact duplicate copy","Keep")</f>
        <v>Keep</v>
      </c>
      <c r="AM297" s="9">
        <f t="shared" si="44"/>
        <v>1</v>
      </c>
      <c r="AN297" s="9" t="str">
        <f t="shared" si="45"/>
        <v>Unique</v>
      </c>
      <c r="AO297" s="9" t="str">
        <f t="shared" si="46"/>
        <v/>
      </c>
      <c r="AP297" s="9">
        <f t="shared" si="47"/>
        <v>0.1</v>
      </c>
      <c r="AQ297" s="10">
        <f t="shared" si="48"/>
        <v>9385.3350000000009</v>
      </c>
      <c r="AR297" s="10">
        <f t="shared" si="49"/>
        <v>3556.795000000001</v>
      </c>
      <c r="AS297" s="11">
        <f t="shared" si="50"/>
        <v>0.37897368607513748</v>
      </c>
      <c r="AT297" s="9">
        <f t="shared" si="51"/>
        <v>6</v>
      </c>
      <c r="AU297" s="9">
        <f t="shared" si="52"/>
        <v>2025</v>
      </c>
      <c r="AV297" s="9" t="b">
        <f t="shared" si="53"/>
        <v>0</v>
      </c>
      <c r="AW297" s="9" t="b">
        <f t="shared" si="54"/>
        <v>0</v>
      </c>
      <c r="AX297" s="9" t="str">
        <f t="shared" si="55"/>
        <v>Yes</v>
      </c>
      <c r="AY297" s="9" t="str">
        <f t="shared" si="57"/>
        <v/>
      </c>
      <c r="AZ297" s="9" t="str">
        <f>IF(OR(G297="Missing date",G297="Invalid date",G297="Ship date before order date",NOT(ISNUMBER(AP297)),AP297&lt;0,AP297&gt;0.5,AV297=TRUE,AW297=TRUE),"Invalid",IF(OR(O297="Unknown",Z297="Unknown",AC297="",AH297&lt;&gt;"Paid",AJ297&lt;&gt;"Completed",AO297&lt;&gt;""),"Warning","Clean"))</f>
        <v>Clean</v>
      </c>
    </row>
    <row r="298" spans="1:52" ht="15.75" customHeight="1">
      <c r="A298" s="6" t="s">
        <v>1607</v>
      </c>
      <c r="B298" s="7" t="s">
        <v>1608</v>
      </c>
      <c r="C298" s="7" t="str">
        <f t="shared" si="56"/>
        <v>2025-05</v>
      </c>
      <c r="D298" s="7" cm="1">
        <f t="array" ref="D298">_xlfn.LET(_xlpm.x,B298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45801</v>
      </c>
      <c r="E298" s="7" t="s">
        <v>1609</v>
      </c>
      <c r="F298" s="7" cm="1">
        <f t="array" ref="F298">_xlfn.LET(_xlpm.x,E298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45803</v>
      </c>
      <c r="G298" s="8" t="str">
        <f t="shared" si="32"/>
        <v>OK</v>
      </c>
      <c r="H298" s="6">
        <f t="shared" si="33"/>
        <v>2</v>
      </c>
      <c r="I298" s="6" t="s">
        <v>1610</v>
      </c>
      <c r="J298" s="6" t="s">
        <v>190</v>
      </c>
      <c r="K298" s="6" t="str">
        <f t="shared" si="34"/>
        <v>Aditi Sen</v>
      </c>
      <c r="L298" s="6" t="s">
        <v>44</v>
      </c>
      <c r="M298" s="8" t="str">
        <f t="shared" si="35"/>
        <v>Home Office</v>
      </c>
      <c r="N298" s="6" t="s">
        <v>7</v>
      </c>
      <c r="O298" s="6" t="str">
        <f t="shared" si="36"/>
        <v>North</v>
      </c>
      <c r="P298" s="6" t="s">
        <v>397</v>
      </c>
      <c r="Q298" s="6" t="str">
        <f t="shared" si="37"/>
        <v>Haryana</v>
      </c>
      <c r="R298" s="6" t="s">
        <v>398</v>
      </c>
      <c r="S298" s="6" t="str">
        <f t="shared" si="38"/>
        <v>Gurugram</v>
      </c>
      <c r="T298" s="6" t="s">
        <v>14</v>
      </c>
      <c r="U298" s="8" t="str">
        <f t="shared" si="39"/>
        <v>Furniture</v>
      </c>
      <c r="V298" s="6" t="s">
        <v>17</v>
      </c>
      <c r="W298" s="6" t="str">
        <f t="shared" si="40"/>
        <v>Furnishings</v>
      </c>
      <c r="X298" s="6" t="s">
        <v>1611</v>
      </c>
      <c r="Y298" s="6" t="s">
        <v>37</v>
      </c>
      <c r="Z298" s="6" t="str">
        <f t="shared" si="41"/>
        <v>Same Day</v>
      </c>
      <c r="AA298" s="6">
        <v>6</v>
      </c>
      <c r="AB298" s="6">
        <v>3495.41</v>
      </c>
      <c r="AC298" s="6">
        <v>0.15</v>
      </c>
      <c r="AD298" s="6">
        <v>17826.59</v>
      </c>
      <c r="AE298" s="6">
        <v>10855.35</v>
      </c>
      <c r="AF298" s="6">
        <v>6971.24</v>
      </c>
      <c r="AG298" s="6" t="s">
        <v>52</v>
      </c>
      <c r="AH298" s="6" t="str">
        <f t="shared" si="42"/>
        <v>Paid</v>
      </c>
      <c r="AI298" s="6" t="s">
        <v>134</v>
      </c>
      <c r="AJ298" s="6" t="str">
        <f t="shared" si="43"/>
        <v>Completed</v>
      </c>
      <c r="AK298" s="9" t="str">
        <f>_xlfn.TEXTJOIN("|",FALSE,A298,TEXT(B298,"mm-dd-yyyy"),TEXT(E298,"mm-dd-yyyy"),I298,J298,L298,N298,P298,R298,T298,V298,X298,Y298,AA298,AB298,AC298,AD298,AE298,AF298,AG298,AI298)</f>
        <v>ORD-2025-10297|05-24-2025|05-26-2025|CUST-7629|Aditi Sen|Home Office|North|Haryana|Gurugram|Furniture|Furnishings|Basic Furnishings 617|Same Day|6|3495.41|0.15|17826.59|10855.35|6971.24|Paid|Completed</v>
      </c>
      <c r="AL298" s="27" t="str">
        <f>IF(COUNTIF($AK$2:AK298,AK298)&gt;1,"Remove exact duplicate copy","Keep")</f>
        <v>Keep</v>
      </c>
      <c r="AM298" s="9">
        <f t="shared" si="44"/>
        <v>1</v>
      </c>
      <c r="AN298" s="9" t="str">
        <f t="shared" si="45"/>
        <v>Unique</v>
      </c>
      <c r="AO298" s="9" t="str">
        <f t="shared" si="46"/>
        <v/>
      </c>
      <c r="AP298" s="9">
        <f t="shared" si="47"/>
        <v>0.15</v>
      </c>
      <c r="AQ298" s="10">
        <f t="shared" si="48"/>
        <v>17826.591</v>
      </c>
      <c r="AR298" s="10">
        <f t="shared" si="49"/>
        <v>6971.241</v>
      </c>
      <c r="AS298" s="11">
        <f t="shared" si="50"/>
        <v>0.39105855965394615</v>
      </c>
      <c r="AT298" s="9">
        <f t="shared" si="51"/>
        <v>5</v>
      </c>
      <c r="AU298" s="9">
        <f t="shared" si="52"/>
        <v>2025</v>
      </c>
      <c r="AV298" s="9" t="b">
        <f t="shared" si="53"/>
        <v>0</v>
      </c>
      <c r="AW298" s="9" t="b">
        <f t="shared" si="54"/>
        <v>0</v>
      </c>
      <c r="AX298" s="9" t="str">
        <f t="shared" si="55"/>
        <v>Yes</v>
      </c>
      <c r="AY298" s="9" t="str">
        <f t="shared" si="57"/>
        <v/>
      </c>
      <c r="AZ298" s="9" t="str">
        <f>IF(OR(G298="Missing date",G298="Invalid date",G298="Ship date before order date",NOT(ISNUMBER(AP298)),AP298&lt;0,AP298&gt;0.5,AV298=TRUE,AW298=TRUE),"Invalid",IF(OR(O298="Unknown",Z298="Unknown",AC298="",AH298&lt;&gt;"Paid",AJ298&lt;&gt;"Completed",AO298&lt;&gt;""),"Warning","Clean"))</f>
        <v>Clean</v>
      </c>
    </row>
    <row r="299" spans="1:52" ht="15.75" customHeight="1">
      <c r="A299" s="6" t="s">
        <v>1612</v>
      </c>
      <c r="B299" s="7" t="s">
        <v>1613</v>
      </c>
      <c r="C299" s="7" t="str">
        <f t="shared" si="56"/>
        <v>2024-10</v>
      </c>
      <c r="D299" s="7" cm="1">
        <f t="array" ref="D299">_xlfn.LET(_xlpm.x,B299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45594</v>
      </c>
      <c r="E299" s="7" t="s">
        <v>1614</v>
      </c>
      <c r="F299" s="7" cm="1">
        <f t="array" ref="F299">_xlfn.LET(_xlpm.x,E299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45602</v>
      </c>
      <c r="G299" s="8" t="str">
        <f t="shared" si="32"/>
        <v>OK</v>
      </c>
      <c r="H299" s="6">
        <f t="shared" si="33"/>
        <v>8</v>
      </c>
      <c r="I299" s="6" t="s">
        <v>1615</v>
      </c>
      <c r="J299" s="6" t="s">
        <v>245</v>
      </c>
      <c r="K299" s="6" t="str">
        <f t="shared" si="34"/>
        <v>Sneha Kapoor</v>
      </c>
      <c r="L299" s="6" t="s">
        <v>45</v>
      </c>
      <c r="M299" s="8" t="str">
        <f t="shared" si="35"/>
        <v>Corporate</v>
      </c>
      <c r="N299" s="6" t="s">
        <v>10</v>
      </c>
      <c r="O299" s="6" t="str">
        <f t="shared" si="36"/>
        <v>South</v>
      </c>
      <c r="P299" s="6" t="s">
        <v>413</v>
      </c>
      <c r="Q299" s="6" t="str">
        <f t="shared" si="37"/>
        <v>Tamil Nadu</v>
      </c>
      <c r="R299" s="6" t="s">
        <v>414</v>
      </c>
      <c r="S299" s="6" t="str">
        <f t="shared" si="38"/>
        <v>Chennai</v>
      </c>
      <c r="T299" s="6" t="s">
        <v>27</v>
      </c>
      <c r="U299" s="8" t="str">
        <f t="shared" si="39"/>
        <v>Technology</v>
      </c>
      <c r="V299" s="6" t="s">
        <v>29</v>
      </c>
      <c r="W299" s="6" t="str">
        <f t="shared" si="40"/>
        <v>Copiers</v>
      </c>
      <c r="X299" s="6" t="s">
        <v>1616</v>
      </c>
      <c r="Y299" s="6" t="s">
        <v>37</v>
      </c>
      <c r="Z299" s="6" t="str">
        <f t="shared" si="41"/>
        <v>Same Day</v>
      </c>
      <c r="AA299" s="6">
        <v>6</v>
      </c>
      <c r="AB299" s="6">
        <v>1169.92</v>
      </c>
      <c r="AC299" s="6">
        <v>0.15</v>
      </c>
      <c r="AD299" s="6">
        <v>5966.59</v>
      </c>
      <c r="AE299" s="6">
        <v>3994.72</v>
      </c>
      <c r="AF299" s="6">
        <v>1971.87</v>
      </c>
      <c r="AG299" s="6" t="s">
        <v>52</v>
      </c>
      <c r="AH299" s="6" t="str">
        <f t="shared" si="42"/>
        <v>Paid</v>
      </c>
      <c r="AI299" s="6" t="s">
        <v>134</v>
      </c>
      <c r="AJ299" s="6" t="str">
        <f t="shared" si="43"/>
        <v>Completed</v>
      </c>
      <c r="AK299" s="9" t="str">
        <f>_xlfn.TEXTJOIN("|",FALSE,A299,TEXT(B299,"mm-dd-yyyy"),TEXT(E299,"mm-dd-yyyy"),I299,J299,L299,N299,P299,R299,T299,V299,X299,Y299,AA299,AB299,AC299,AD299,AE299,AF299,AG299,AI299)</f>
        <v>ORD-2024-10298|10-29-2024|06-11-2024|CUST-6724|Sneha Kapoor|Corporate|South|Tamil Nadu|Chennai|Technology|Copiers|Prime Copiers 669|Same Day|6|1169.92|0.15|5966.59|3994.72|1971.87|Paid|Completed</v>
      </c>
      <c r="AL299" s="27" t="str">
        <f>IF(COUNTIF($AK$2:AK299,AK299)&gt;1,"Remove exact duplicate copy","Keep")</f>
        <v>Keep</v>
      </c>
      <c r="AM299" s="9">
        <f t="shared" si="44"/>
        <v>1</v>
      </c>
      <c r="AN299" s="9" t="str">
        <f t="shared" si="45"/>
        <v>Unique</v>
      </c>
      <c r="AO299" s="9" t="str">
        <f t="shared" si="46"/>
        <v/>
      </c>
      <c r="AP299" s="9">
        <f t="shared" si="47"/>
        <v>0.15</v>
      </c>
      <c r="AQ299" s="10">
        <f t="shared" si="48"/>
        <v>5966.5920000000006</v>
      </c>
      <c r="AR299" s="10">
        <f t="shared" si="49"/>
        <v>1971.8720000000008</v>
      </c>
      <c r="AS299" s="11">
        <f t="shared" si="50"/>
        <v>0.33048547646629778</v>
      </c>
      <c r="AT299" s="9">
        <f t="shared" si="51"/>
        <v>10</v>
      </c>
      <c r="AU299" s="9">
        <f t="shared" si="52"/>
        <v>2024</v>
      </c>
      <c r="AV299" s="9" t="b">
        <f t="shared" si="53"/>
        <v>0</v>
      </c>
      <c r="AW299" s="9" t="b">
        <f t="shared" si="54"/>
        <v>0</v>
      </c>
      <c r="AX299" s="9" t="str">
        <f t="shared" si="55"/>
        <v>Yes</v>
      </c>
      <c r="AY299" s="9" t="str">
        <f t="shared" si="57"/>
        <v/>
      </c>
      <c r="AZ299" s="9" t="str">
        <f>IF(OR(G299="Missing date",G299="Invalid date",G299="Ship date before order date",NOT(ISNUMBER(AP299)),AP299&lt;0,AP299&gt;0.5,AV299=TRUE,AW299=TRUE),"Invalid",IF(OR(O299="Unknown",Z299="Unknown",AC299="",AH299&lt;&gt;"Paid",AJ299&lt;&gt;"Completed",AO299&lt;&gt;""),"Warning","Clean"))</f>
        <v>Clean</v>
      </c>
    </row>
    <row r="300" spans="1:52" ht="15.75" customHeight="1">
      <c r="A300" s="6" t="s">
        <v>1617</v>
      </c>
      <c r="B300" s="7" t="s">
        <v>1618</v>
      </c>
      <c r="C300" s="7" t="str">
        <f t="shared" si="56"/>
        <v>2025-01</v>
      </c>
      <c r="D300" s="7" cm="1">
        <f t="array" ref="D300">_xlfn.LET(_xlpm.x,B300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45680</v>
      </c>
      <c r="E300" s="7" t="s">
        <v>1619</v>
      </c>
      <c r="F300" s="7" cm="1">
        <f t="array" ref="F300">_xlfn.LET(_xlpm.x,E300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45683</v>
      </c>
      <c r="G300" s="8" t="str">
        <f t="shared" si="32"/>
        <v>OK</v>
      </c>
      <c r="H300" s="6">
        <f t="shared" si="33"/>
        <v>3</v>
      </c>
      <c r="I300" s="6" t="s">
        <v>1620</v>
      </c>
      <c r="J300" s="6" t="s">
        <v>147</v>
      </c>
      <c r="K300" s="6" t="str">
        <f t="shared" si="34"/>
        <v>Isha Nair</v>
      </c>
      <c r="L300" s="6" t="s">
        <v>43</v>
      </c>
      <c r="M300" s="8" t="str">
        <f t="shared" si="35"/>
        <v>Consumer</v>
      </c>
      <c r="N300" s="6" t="s">
        <v>10</v>
      </c>
      <c r="O300" s="6" t="str">
        <f t="shared" si="36"/>
        <v>South</v>
      </c>
      <c r="P300" s="6" t="s">
        <v>316</v>
      </c>
      <c r="Q300" s="6" t="str">
        <f t="shared" si="37"/>
        <v>Kerala</v>
      </c>
      <c r="R300" s="6" t="s">
        <v>317</v>
      </c>
      <c r="S300" s="6" t="str">
        <f t="shared" si="38"/>
        <v>Kochi</v>
      </c>
      <c r="T300" s="6" t="s">
        <v>27</v>
      </c>
      <c r="U300" s="8" t="str">
        <f t="shared" si="39"/>
        <v>Technology</v>
      </c>
      <c r="V300" s="6" t="s">
        <v>29</v>
      </c>
      <c r="W300" s="6" t="str">
        <f t="shared" si="40"/>
        <v>Copiers</v>
      </c>
      <c r="X300" s="6" t="s">
        <v>1621</v>
      </c>
      <c r="Y300" s="6" t="s">
        <v>35</v>
      </c>
      <c r="Z300" s="6" t="str">
        <f t="shared" si="41"/>
        <v>First Class</v>
      </c>
      <c r="AA300" s="6">
        <v>7</v>
      </c>
      <c r="AB300" s="6">
        <v>348.49</v>
      </c>
      <c r="AC300" s="6">
        <v>0.2</v>
      </c>
      <c r="AD300" s="6">
        <v>1951.54</v>
      </c>
      <c r="AE300" s="6">
        <v>1609.95</v>
      </c>
      <c r="AF300" s="6">
        <v>341.59</v>
      </c>
      <c r="AG300" s="6" t="s">
        <v>50</v>
      </c>
      <c r="AH300" s="6" t="str">
        <f t="shared" si="42"/>
        <v>Failed</v>
      </c>
      <c r="AI300" s="6" t="s">
        <v>59</v>
      </c>
      <c r="AJ300" s="6" t="str">
        <f t="shared" si="43"/>
        <v>Returned</v>
      </c>
      <c r="AK300" s="9" t="str">
        <f>_xlfn.TEXTJOIN("|",FALSE,A300,TEXT(B300,"mm-dd-yyyy"),TEXT(E300,"mm-dd-yyyy"),I300,J300,L300,N300,P300,R300,T300,V300,X300,Y300,AA300,AB300,AC300,AD300,AE300,AF300,AG300,AI300)</f>
        <v>ORD-2025-10299|23-01-2025|01-26-2025|CUST-2141|Isha Nair|Consumer|South|Kerala|Kochi|Technology|Copiers|Eco Copiers 894|First Class|7|348.49|0.2|1951.54|1609.95|341.59|Failed|Returned</v>
      </c>
      <c r="AL300" s="27" t="str">
        <f>IF(COUNTIF($AK$2:AK300,AK300)&gt;1,"Remove exact duplicate copy","Keep")</f>
        <v>Keep</v>
      </c>
      <c r="AM300" s="9">
        <f t="shared" si="44"/>
        <v>1</v>
      </c>
      <c r="AN300" s="9" t="str">
        <f t="shared" si="45"/>
        <v>Unique</v>
      </c>
      <c r="AO300" s="9" t="str">
        <f t="shared" si="46"/>
        <v/>
      </c>
      <c r="AP300" s="9">
        <f t="shared" si="47"/>
        <v>0.2</v>
      </c>
      <c r="AQ300" s="10">
        <f t="shared" si="48"/>
        <v>1951.5440000000003</v>
      </c>
      <c r="AR300" s="10">
        <f t="shared" si="49"/>
        <v>341.59400000000028</v>
      </c>
      <c r="AS300" s="11">
        <f t="shared" si="50"/>
        <v>0.17503781621116421</v>
      </c>
      <c r="AT300" s="9">
        <f t="shared" si="51"/>
        <v>1</v>
      </c>
      <c r="AU300" s="9">
        <f t="shared" si="52"/>
        <v>2025</v>
      </c>
      <c r="AV300" s="9" t="b">
        <f t="shared" si="53"/>
        <v>0</v>
      </c>
      <c r="AW300" s="9" t="b">
        <f t="shared" si="54"/>
        <v>0</v>
      </c>
      <c r="AX300" s="9" t="str">
        <f t="shared" si="55"/>
        <v>No</v>
      </c>
      <c r="AY300" s="9" t="str">
        <f t="shared" si="57"/>
        <v>Failed payment excluded; Returned order excluded</v>
      </c>
      <c r="AZ300" s="9" t="str">
        <f>IF(OR(G300="Missing date",G300="Invalid date",G300="Ship date before order date",NOT(ISNUMBER(AP300)),AP300&lt;0,AP300&gt;0.5,AV300=TRUE,AW300=TRUE),"Invalid",IF(OR(O300="Unknown",Z300="Unknown",AC300="",AH300&lt;&gt;"Paid",AJ300&lt;&gt;"Completed",AO300&lt;&gt;""),"Warning","Clean"))</f>
        <v>Warning</v>
      </c>
    </row>
    <row r="301" spans="1:52" ht="15.75" customHeight="1">
      <c r="A301" s="6" t="s">
        <v>1622</v>
      </c>
      <c r="B301" s="7" t="s">
        <v>1614</v>
      </c>
      <c r="C301" s="7" t="str">
        <f t="shared" si="56"/>
        <v>2024-11</v>
      </c>
      <c r="D301" s="7" cm="1">
        <f t="array" ref="D301">_xlfn.LET(_xlpm.x,B301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45602</v>
      </c>
      <c r="E301" s="7" t="s">
        <v>1623</v>
      </c>
      <c r="F301" s="7" cm="1">
        <f t="array" ref="F301">_xlfn.LET(_xlpm.x,E301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45608</v>
      </c>
      <c r="G301" s="8" t="str">
        <f t="shared" si="32"/>
        <v>OK</v>
      </c>
      <c r="H301" s="6">
        <f t="shared" si="33"/>
        <v>6</v>
      </c>
      <c r="I301" s="6" t="s">
        <v>1624</v>
      </c>
      <c r="J301" s="6" t="s">
        <v>226</v>
      </c>
      <c r="K301" s="6" t="str">
        <f t="shared" si="34"/>
        <v>Rahul Verma</v>
      </c>
      <c r="L301" s="6" t="s">
        <v>46</v>
      </c>
      <c r="M301" s="8" t="str">
        <f t="shared" si="35"/>
        <v>Small Business</v>
      </c>
      <c r="N301" s="6" t="s">
        <v>9</v>
      </c>
      <c r="O301" s="6" t="str">
        <f t="shared" si="36"/>
        <v>West</v>
      </c>
      <c r="P301" s="6" t="s">
        <v>309</v>
      </c>
      <c r="Q301" s="6" t="str">
        <f t="shared" si="37"/>
        <v>Gujarat</v>
      </c>
      <c r="R301" s="6" t="s">
        <v>310</v>
      </c>
      <c r="S301" s="6" t="str">
        <f t="shared" si="38"/>
        <v>Ahmedabad</v>
      </c>
      <c r="T301" s="6" t="s">
        <v>27</v>
      </c>
      <c r="U301" s="8" t="str">
        <f t="shared" si="39"/>
        <v>Technology</v>
      </c>
      <c r="V301" s="6" t="s">
        <v>28</v>
      </c>
      <c r="W301" s="6" t="str">
        <f t="shared" si="40"/>
        <v>Accessories</v>
      </c>
      <c r="X301" s="6" t="s">
        <v>1625</v>
      </c>
      <c r="Y301" s="6" t="s">
        <v>34</v>
      </c>
      <c r="Z301" s="6" t="str">
        <f t="shared" si="41"/>
        <v>Standard Class</v>
      </c>
      <c r="AA301" s="6">
        <v>7</v>
      </c>
      <c r="AB301" s="6">
        <v>1719.05</v>
      </c>
      <c r="AC301" s="6">
        <v>0.1</v>
      </c>
      <c r="AD301" s="6">
        <v>10830.02</v>
      </c>
      <c r="AE301" s="6">
        <v>7055.31</v>
      </c>
      <c r="AF301" s="6">
        <v>3774.71</v>
      </c>
      <c r="AG301" s="6" t="s">
        <v>52</v>
      </c>
      <c r="AH301" s="6" t="str">
        <f t="shared" si="42"/>
        <v>Paid</v>
      </c>
      <c r="AI301" s="6" t="s">
        <v>134</v>
      </c>
      <c r="AJ301" s="6" t="str">
        <f t="shared" si="43"/>
        <v>Completed</v>
      </c>
      <c r="AK301" s="9" t="str">
        <f>_xlfn.TEXTJOIN("|",FALSE,A301,TEXT(B301,"mm-dd-yyyy"),TEXT(E301,"mm-dd-yyyy"),I301,J301,L301,N301,P301,R301,T301,V301,X301,Y301,AA301,AB301,AC301,AD301,AE301,AF301,AG301,AI301)</f>
        <v>ORD-2024-10300|06-11-2024|11-12-2024|CUST-7264|Rahul Verma|Small Business|West|Gujarat|Ahmedabad|Technology|Accessories|Max Accessories 145|Standard Class|7|1719.05|0.1|10830.02|7055.31|3774.71|Paid|Completed</v>
      </c>
      <c r="AL301" s="27" t="str">
        <f>IF(COUNTIF($AK$2:AK301,AK301)&gt;1,"Remove exact duplicate copy","Keep")</f>
        <v>Keep</v>
      </c>
      <c r="AM301" s="9">
        <f t="shared" si="44"/>
        <v>1</v>
      </c>
      <c r="AN301" s="9" t="str">
        <f t="shared" si="45"/>
        <v>Unique</v>
      </c>
      <c r="AO301" s="9" t="str">
        <f t="shared" si="46"/>
        <v/>
      </c>
      <c r="AP301" s="9">
        <f t="shared" si="47"/>
        <v>0.1</v>
      </c>
      <c r="AQ301" s="10">
        <f t="shared" si="48"/>
        <v>10830.015000000001</v>
      </c>
      <c r="AR301" s="10">
        <f t="shared" si="49"/>
        <v>3774.7050000000008</v>
      </c>
      <c r="AS301" s="11">
        <f t="shared" si="50"/>
        <v>0.34854106850267524</v>
      </c>
      <c r="AT301" s="9">
        <f t="shared" si="51"/>
        <v>11</v>
      </c>
      <c r="AU301" s="9">
        <f t="shared" si="52"/>
        <v>2024</v>
      </c>
      <c r="AV301" s="9" t="b">
        <f t="shared" si="53"/>
        <v>0</v>
      </c>
      <c r="AW301" s="9" t="b">
        <f t="shared" si="54"/>
        <v>0</v>
      </c>
      <c r="AX301" s="9" t="str">
        <f t="shared" si="55"/>
        <v>Yes</v>
      </c>
      <c r="AY301" s="9" t="str">
        <f t="shared" si="57"/>
        <v/>
      </c>
      <c r="AZ301" s="9" t="str">
        <f>IF(OR(G301="Missing date",G301="Invalid date",G301="Ship date before order date",NOT(ISNUMBER(AP301)),AP301&lt;0,AP301&gt;0.5,AV301=TRUE,AW301=TRUE),"Invalid",IF(OR(O301="Unknown",Z301="Unknown",AC301="",AH301&lt;&gt;"Paid",AJ301&lt;&gt;"Completed",AO301&lt;&gt;""),"Warning","Clean"))</f>
        <v>Clean</v>
      </c>
    </row>
    <row r="302" spans="1:52" ht="15.75" customHeight="1">
      <c r="A302" s="6" t="s">
        <v>1626</v>
      </c>
      <c r="B302" s="7" t="s">
        <v>1627</v>
      </c>
      <c r="C302" s="7" t="str">
        <f t="shared" si="56"/>
        <v>2024-04</v>
      </c>
      <c r="D302" s="7" cm="1">
        <f t="array" ref="D302">_xlfn.LET(_xlpm.x,B302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45397</v>
      </c>
      <c r="E302" s="7" t="s">
        <v>1628</v>
      </c>
      <c r="F302" s="7" cm="1">
        <f t="array" ref="F302">_xlfn.LET(_xlpm.x,E302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45405</v>
      </c>
      <c r="G302" s="8" t="str">
        <f t="shared" si="32"/>
        <v>OK</v>
      </c>
      <c r="H302" s="6">
        <f t="shared" si="33"/>
        <v>8</v>
      </c>
      <c r="I302" s="6" t="s">
        <v>1629</v>
      </c>
      <c r="J302" s="6" t="s">
        <v>284</v>
      </c>
      <c r="K302" s="6" t="str">
        <f t="shared" si="34"/>
        <v>Diya Patel</v>
      </c>
      <c r="L302" s="6" t="s">
        <v>46</v>
      </c>
      <c r="M302" s="8" t="str">
        <f t="shared" si="35"/>
        <v>Small Business</v>
      </c>
      <c r="N302" s="6" t="s">
        <v>7</v>
      </c>
      <c r="O302" s="6" t="str">
        <f t="shared" si="36"/>
        <v>North</v>
      </c>
      <c r="P302" s="6" t="s">
        <v>232</v>
      </c>
      <c r="Q302" s="6" t="str">
        <f t="shared" si="37"/>
        <v>Punjab</v>
      </c>
      <c r="R302" s="6" t="s">
        <v>233</v>
      </c>
      <c r="S302" s="6" t="str">
        <f t="shared" si="38"/>
        <v>Ludhiana</v>
      </c>
      <c r="T302" s="6" t="s">
        <v>27</v>
      </c>
      <c r="U302" s="8" t="str">
        <f t="shared" si="39"/>
        <v>Technology</v>
      </c>
      <c r="V302" s="6" t="s">
        <v>28</v>
      </c>
      <c r="W302" s="6" t="str">
        <f t="shared" si="40"/>
        <v>Accessories</v>
      </c>
      <c r="X302" s="6" t="s">
        <v>1630</v>
      </c>
      <c r="Y302" s="6" t="s">
        <v>421</v>
      </c>
      <c r="Z302" s="6" t="str">
        <f t="shared" si="41"/>
        <v>Second Class</v>
      </c>
      <c r="AA302" s="6">
        <v>9</v>
      </c>
      <c r="AB302" s="6">
        <v>3893.74</v>
      </c>
      <c r="AC302" s="6">
        <v>0.1</v>
      </c>
      <c r="AD302" s="6">
        <v>31539.29</v>
      </c>
      <c r="AE302" s="6">
        <v>22100.14</v>
      </c>
      <c r="AF302" s="6">
        <v>9439.15</v>
      </c>
      <c r="AG302" s="6" t="s">
        <v>52</v>
      </c>
      <c r="AH302" s="6" t="str">
        <f t="shared" si="42"/>
        <v>Paid</v>
      </c>
      <c r="AI302" s="6" t="s">
        <v>134</v>
      </c>
      <c r="AJ302" s="6" t="str">
        <f t="shared" si="43"/>
        <v>Completed</v>
      </c>
      <c r="AK302" s="9" t="str">
        <f>_xlfn.TEXTJOIN("|",FALSE,A302,TEXT(B302,"mm-dd-yyyy"),TEXT(E302,"mm-dd-yyyy"),I302,J302,L302,N302,P302,R302,T302,V302,X302,Y302,AA302,AB302,AC302,AD302,AE302,AF302,AG302,AI302)</f>
        <v>ORD-2024-10301|15-04-2024|04-23-2024|CUST-2668|Diya Patel|Small Business|North|Punjab|Ludhiana|Technology|Accessories|Classic Accessories 126|Second Class |9|3893.74|0.1|31539.29|22100.14|9439.15|Paid|Completed</v>
      </c>
      <c r="AL302" s="27" t="str">
        <f>IF(COUNTIF($AK$2:AK302,AK302)&gt;1,"Remove exact duplicate copy","Keep")</f>
        <v>Keep</v>
      </c>
      <c r="AM302" s="9">
        <f t="shared" si="44"/>
        <v>1</v>
      </c>
      <c r="AN302" s="9" t="str">
        <f t="shared" si="45"/>
        <v>Unique</v>
      </c>
      <c r="AO302" s="9" t="str">
        <f t="shared" si="46"/>
        <v/>
      </c>
      <c r="AP302" s="9">
        <f t="shared" si="47"/>
        <v>0.1</v>
      </c>
      <c r="AQ302" s="10">
        <f t="shared" si="48"/>
        <v>31539.293999999998</v>
      </c>
      <c r="AR302" s="10">
        <f t="shared" si="49"/>
        <v>9439.1539999999986</v>
      </c>
      <c r="AS302" s="11">
        <f t="shared" si="50"/>
        <v>0.29928234918638313</v>
      </c>
      <c r="AT302" s="9">
        <f t="shared" si="51"/>
        <v>4</v>
      </c>
      <c r="AU302" s="9">
        <f t="shared" si="52"/>
        <v>2024</v>
      </c>
      <c r="AV302" s="9" t="b">
        <f t="shared" si="53"/>
        <v>0</v>
      </c>
      <c r="AW302" s="9" t="b">
        <f t="shared" si="54"/>
        <v>0</v>
      </c>
      <c r="AX302" s="9" t="str">
        <f t="shared" si="55"/>
        <v>Yes</v>
      </c>
      <c r="AY302" s="9" t="str">
        <f t="shared" si="57"/>
        <v/>
      </c>
      <c r="AZ302" s="9" t="str">
        <f>IF(OR(G302="Missing date",G302="Invalid date",G302="Ship date before order date",NOT(ISNUMBER(AP302)),AP302&lt;0,AP302&gt;0.5,AV302=TRUE,AW302=TRUE),"Invalid",IF(OR(O302="Unknown",Z302="Unknown",AC302="",AH302&lt;&gt;"Paid",AJ302&lt;&gt;"Completed",AO302&lt;&gt;""),"Warning","Clean"))</f>
        <v>Clean</v>
      </c>
    </row>
    <row r="303" spans="1:52" ht="15.75" customHeight="1">
      <c r="A303" s="6" t="s">
        <v>1631</v>
      </c>
      <c r="B303" s="7" t="s">
        <v>1100</v>
      </c>
      <c r="C303" s="7" t="str">
        <f t="shared" si="56"/>
        <v>2025-05</v>
      </c>
      <c r="D303" s="7" cm="1">
        <f t="array" ref="D303">_xlfn.LET(_xlpm.x,B303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45805</v>
      </c>
      <c r="E303" s="7" t="s">
        <v>1632</v>
      </c>
      <c r="F303" s="7" cm="1">
        <f t="array" ref="F303">_xlfn.LET(_xlpm.x,E303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45809</v>
      </c>
      <c r="G303" s="8" t="str">
        <f t="shared" si="32"/>
        <v>OK</v>
      </c>
      <c r="H303" s="6">
        <f t="shared" si="33"/>
        <v>4</v>
      </c>
      <c r="I303" s="6" t="s">
        <v>1633</v>
      </c>
      <c r="J303" s="6" t="s">
        <v>147</v>
      </c>
      <c r="K303" s="6" t="str">
        <f t="shared" si="34"/>
        <v>Isha Nair</v>
      </c>
      <c r="L303" s="6" t="s">
        <v>44</v>
      </c>
      <c r="M303" s="8" t="str">
        <f t="shared" si="35"/>
        <v>Home Office</v>
      </c>
      <c r="N303" s="6" t="s">
        <v>8</v>
      </c>
      <c r="O303" s="6" t="str">
        <f t="shared" si="36"/>
        <v>East</v>
      </c>
      <c r="P303" s="6" t="s">
        <v>263</v>
      </c>
      <c r="Q303" s="6" t="str">
        <f t="shared" si="37"/>
        <v>Bihar</v>
      </c>
      <c r="R303" s="6" t="s">
        <v>264</v>
      </c>
      <c r="S303" s="6" t="str">
        <f t="shared" si="38"/>
        <v>Patna</v>
      </c>
      <c r="T303" s="6" t="s">
        <v>27</v>
      </c>
      <c r="U303" s="8" t="str">
        <f t="shared" si="39"/>
        <v>Technology</v>
      </c>
      <c r="V303" s="6" t="s">
        <v>31</v>
      </c>
      <c r="W303" s="6" t="str">
        <f t="shared" si="40"/>
        <v>Phones</v>
      </c>
      <c r="X303" s="6" t="s">
        <v>1634</v>
      </c>
      <c r="Y303" s="6" t="s">
        <v>37</v>
      </c>
      <c r="Z303" s="6" t="str">
        <f t="shared" si="41"/>
        <v>Same Day</v>
      </c>
      <c r="AA303" s="6">
        <v>4</v>
      </c>
      <c r="AB303" s="6">
        <v>1654.11</v>
      </c>
      <c r="AC303" s="6">
        <v>0.05</v>
      </c>
      <c r="AD303" s="6">
        <v>6285.62</v>
      </c>
      <c r="AE303" s="6">
        <v>3705.38</v>
      </c>
      <c r="AF303" s="6">
        <v>2580.2399999999998</v>
      </c>
      <c r="AG303" s="6" t="s">
        <v>52</v>
      </c>
      <c r="AH303" s="6" t="str">
        <f t="shared" si="42"/>
        <v>Paid</v>
      </c>
      <c r="AI303" s="6" t="s">
        <v>134</v>
      </c>
      <c r="AJ303" s="6" t="str">
        <f t="shared" si="43"/>
        <v>Completed</v>
      </c>
      <c r="AK303" s="9" t="str">
        <f>_xlfn.TEXTJOIN("|",FALSE,A303,TEXT(B303,"mm-dd-yyyy"),TEXT(E303,"mm-dd-yyyy"),I303,J303,L303,N303,P303,R303,T303,V303,X303,Y303,AA303,AB303,AC303,AD303,AE303,AF303,AG303,AI303)</f>
        <v>ORD-2025-10302|05-28-2025|01-06-2025|CUST-5599|Isha Nair|Home Office|East|Bihar|Patna|Technology|Phones|Elite Phones 202|Same Day|4|1654.11|0.05|6285.62|3705.38|2580.24|Paid|Completed</v>
      </c>
      <c r="AL303" s="27" t="str">
        <f>IF(COUNTIF($AK$2:AK303,AK303)&gt;1,"Remove exact duplicate copy","Keep")</f>
        <v>Keep</v>
      </c>
      <c r="AM303" s="9">
        <f t="shared" si="44"/>
        <v>1</v>
      </c>
      <c r="AN303" s="9" t="str">
        <f t="shared" si="45"/>
        <v>Unique</v>
      </c>
      <c r="AO303" s="9" t="str">
        <f t="shared" si="46"/>
        <v/>
      </c>
      <c r="AP303" s="9">
        <f t="shared" si="47"/>
        <v>0.05</v>
      </c>
      <c r="AQ303" s="10">
        <f t="shared" si="48"/>
        <v>6285.6179999999995</v>
      </c>
      <c r="AR303" s="10">
        <f t="shared" si="49"/>
        <v>2580.2379999999994</v>
      </c>
      <c r="AS303" s="11">
        <f t="shared" si="50"/>
        <v>0.41049869718458865</v>
      </c>
      <c r="AT303" s="9">
        <f t="shared" si="51"/>
        <v>5</v>
      </c>
      <c r="AU303" s="9">
        <f t="shared" si="52"/>
        <v>2025</v>
      </c>
      <c r="AV303" s="9" t="b">
        <f t="shared" si="53"/>
        <v>0</v>
      </c>
      <c r="AW303" s="9" t="b">
        <f t="shared" si="54"/>
        <v>0</v>
      </c>
      <c r="AX303" s="9" t="str">
        <f t="shared" si="55"/>
        <v>Yes</v>
      </c>
      <c r="AY303" s="9" t="str">
        <f t="shared" si="57"/>
        <v/>
      </c>
      <c r="AZ303" s="9" t="str">
        <f>IF(OR(G303="Missing date",G303="Invalid date",G303="Ship date before order date",NOT(ISNUMBER(AP303)),AP303&lt;0,AP303&gt;0.5,AV303=TRUE,AW303=TRUE),"Invalid",IF(OR(O303="Unknown",Z303="Unknown",AC303="",AH303&lt;&gt;"Paid",AJ303&lt;&gt;"Completed",AO303&lt;&gt;""),"Warning","Clean"))</f>
        <v>Clean</v>
      </c>
    </row>
    <row r="304" spans="1:52" ht="15.75" customHeight="1">
      <c r="A304" s="6" t="s">
        <v>1635</v>
      </c>
      <c r="B304" s="7" t="s">
        <v>1475</v>
      </c>
      <c r="C304" s="7" t="str">
        <f t="shared" si="56"/>
        <v>2025-06</v>
      </c>
      <c r="D304" s="7" cm="1">
        <f t="array" ref="D304">_xlfn.LET(_xlpm.x,B304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E304" s="7" t="s">
        <v>1636</v>
      </c>
      <c r="F304" s="7" cm="1">
        <f t="array" ref="F304">_xlfn.LET(_xlpm.x,E304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45820</v>
      </c>
      <c r="G304" s="8" t="str">
        <f t="shared" si="32"/>
        <v>OK</v>
      </c>
      <c r="H304" s="6">
        <f t="shared" si="33"/>
        <v>8</v>
      </c>
      <c r="I304" s="6" t="s">
        <v>1637</v>
      </c>
      <c r="J304" s="6" t="s">
        <v>177</v>
      </c>
      <c r="K304" s="6" t="str">
        <f t="shared" si="34"/>
        <v>Neha Gupta</v>
      </c>
      <c r="L304" s="6" t="s">
        <v>43</v>
      </c>
      <c r="M304" s="8" t="str">
        <f t="shared" si="35"/>
        <v>Consumer</v>
      </c>
      <c r="N304" s="6" t="s">
        <v>9</v>
      </c>
      <c r="O304" s="6" t="str">
        <f t="shared" si="36"/>
        <v>West</v>
      </c>
      <c r="P304" s="6" t="s">
        <v>323</v>
      </c>
      <c r="Q304" s="6" t="str">
        <f t="shared" si="37"/>
        <v>Goa</v>
      </c>
      <c r="R304" s="6" t="s">
        <v>324</v>
      </c>
      <c r="S304" s="6" t="str">
        <f t="shared" si="38"/>
        <v>Panaji</v>
      </c>
      <c r="T304" s="6" t="s">
        <v>1000</v>
      </c>
      <c r="U304" s="8" t="str">
        <f t="shared" si="39"/>
        <v>Office Supplies</v>
      </c>
      <c r="V304" s="6" t="s">
        <v>25</v>
      </c>
      <c r="W304" s="6" t="str">
        <f t="shared" si="40"/>
        <v>Storage</v>
      </c>
      <c r="X304" s="6" t="s">
        <v>1638</v>
      </c>
      <c r="Y304" s="6" t="s">
        <v>37</v>
      </c>
      <c r="Z304" s="6" t="str">
        <f t="shared" si="41"/>
        <v>Same Day</v>
      </c>
      <c r="AA304" s="6">
        <v>2</v>
      </c>
      <c r="AB304" s="6">
        <v>2703.28</v>
      </c>
      <c r="AC304" s="6">
        <v>0.25</v>
      </c>
      <c r="AD304" s="6">
        <v>4054.92</v>
      </c>
      <c r="AE304" s="6">
        <v>2424.83</v>
      </c>
      <c r="AF304" s="6">
        <v>1630.09</v>
      </c>
      <c r="AG304" s="6" t="s">
        <v>52</v>
      </c>
      <c r="AH304" s="6" t="str">
        <f t="shared" si="42"/>
        <v>Paid</v>
      </c>
      <c r="AI304" s="6" t="s">
        <v>134</v>
      </c>
      <c r="AJ304" s="6" t="str">
        <f t="shared" si="43"/>
        <v>Completed</v>
      </c>
      <c r="AK304" s="9" t="str">
        <f>_xlfn.TEXTJOIN("|",FALSE,A304,TEXT(B304,"mm-dd-yyyy"),TEXT(E304,"mm-dd-yyyy"),I304,J304,L304,N304,P304,R304,T304,V304,X304,Y304,AA304,AB304,AC304,AD304,AE304,AF304,AG304,AI304)</f>
        <v>ORD-2025-10303|04-06-2025|06-12-2025|CUST-1623|Neha Gupta|Consumer|West|Goa|Panaji|OFFICE SUPPLIES|Storage|Elite Storage 535|Same Day|2|2703.28|0.25|4054.92|2424.83|1630.09|Paid|Completed</v>
      </c>
      <c r="AL304" s="27" t="str">
        <f>IF(COUNTIF($AK$2:AK304,AK304)&gt;1,"Remove exact duplicate copy","Keep")</f>
        <v>Keep</v>
      </c>
      <c r="AM304" s="9">
        <f t="shared" si="44"/>
        <v>1</v>
      </c>
      <c r="AN304" s="9" t="str">
        <f t="shared" si="45"/>
        <v>Unique</v>
      </c>
      <c r="AO304" s="9" t="str">
        <f t="shared" si="46"/>
        <v/>
      </c>
      <c r="AP304" s="9">
        <f t="shared" si="47"/>
        <v>0.25</v>
      </c>
      <c r="AQ304" s="10">
        <f t="shared" si="48"/>
        <v>4054.92</v>
      </c>
      <c r="AR304" s="10">
        <f t="shared" si="49"/>
        <v>1630.0900000000001</v>
      </c>
      <c r="AS304" s="11">
        <f t="shared" si="50"/>
        <v>0.40200299882611745</v>
      </c>
      <c r="AT304" s="9">
        <f t="shared" si="51"/>
        <v>6</v>
      </c>
      <c r="AU304" s="9">
        <f t="shared" si="52"/>
        <v>2025</v>
      </c>
      <c r="AV304" s="9" t="b">
        <f t="shared" si="53"/>
        <v>0</v>
      </c>
      <c r="AW304" s="9" t="b">
        <f t="shared" si="54"/>
        <v>0</v>
      </c>
      <c r="AX304" s="9" t="str">
        <f t="shared" si="55"/>
        <v>Yes</v>
      </c>
      <c r="AY304" s="9" t="str">
        <f t="shared" si="57"/>
        <v/>
      </c>
      <c r="AZ304" s="9" t="str">
        <f>IF(OR(G304="Missing date",G304="Invalid date",G304="Ship date before order date",NOT(ISNUMBER(AP304)),AP304&lt;0,AP304&gt;0.5,AV304=TRUE,AW304=TRUE),"Invalid",IF(OR(O304="Unknown",Z304="Unknown",AC304="",AH304&lt;&gt;"Paid",AJ304&lt;&gt;"Completed",AO304&lt;&gt;""),"Warning","Clean"))</f>
        <v>Clean</v>
      </c>
    </row>
    <row r="305" spans="1:52" ht="15.75" customHeight="1">
      <c r="A305" s="6" t="s">
        <v>1639</v>
      </c>
      <c r="B305" s="7" t="s">
        <v>1640</v>
      </c>
      <c r="C305" s="7" t="str">
        <f t="shared" si="56"/>
        <v>2024-06</v>
      </c>
      <c r="D305" s="7" cm="1">
        <f t="array" ref="D305">_xlfn.LET(_xlpm.x,B305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45466</v>
      </c>
      <c r="E305" s="7" t="s">
        <v>1126</v>
      </c>
      <c r="F305" s="7" cm="1">
        <f t="array" ref="F305">_xlfn.LET(_xlpm.x,E305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45471</v>
      </c>
      <c r="G305" s="8" t="str">
        <f t="shared" si="32"/>
        <v>OK</v>
      </c>
      <c r="H305" s="6">
        <f t="shared" si="33"/>
        <v>5</v>
      </c>
      <c r="I305" s="6" t="s">
        <v>1641</v>
      </c>
      <c r="J305" s="6" t="s">
        <v>284</v>
      </c>
      <c r="K305" s="6" t="str">
        <f t="shared" si="34"/>
        <v>Diya Patel</v>
      </c>
      <c r="L305" s="6" t="s">
        <v>44</v>
      </c>
      <c r="M305" s="8" t="str">
        <f t="shared" si="35"/>
        <v>Home Office</v>
      </c>
      <c r="N305" s="6" t="s">
        <v>9</v>
      </c>
      <c r="O305" s="6" t="str">
        <f t="shared" si="36"/>
        <v>West</v>
      </c>
      <c r="P305" s="6" t="s">
        <v>309</v>
      </c>
      <c r="Q305" s="6" t="str">
        <f t="shared" si="37"/>
        <v>Gujarat</v>
      </c>
      <c r="R305" s="6" t="s">
        <v>310</v>
      </c>
      <c r="S305" s="6" t="str">
        <f t="shared" si="38"/>
        <v>Ahmedabad</v>
      </c>
      <c r="T305" s="6" t="s">
        <v>14</v>
      </c>
      <c r="U305" s="8" t="str">
        <f t="shared" si="39"/>
        <v>Furniture</v>
      </c>
      <c r="V305" s="6" t="s">
        <v>16</v>
      </c>
      <c r="W305" s="6" t="str">
        <f t="shared" si="40"/>
        <v>Chairs</v>
      </c>
      <c r="X305" s="6" t="s">
        <v>1642</v>
      </c>
      <c r="Y305" s="6" t="s">
        <v>34</v>
      </c>
      <c r="Z305" s="6" t="str">
        <f t="shared" si="41"/>
        <v>Standard Class</v>
      </c>
      <c r="AA305" s="6">
        <v>2</v>
      </c>
      <c r="AB305" s="6">
        <v>1313.14</v>
      </c>
      <c r="AC305" s="6">
        <v>0.1</v>
      </c>
      <c r="AD305" s="6">
        <v>2363.65</v>
      </c>
      <c r="AE305" s="6">
        <v>1876.1</v>
      </c>
      <c r="AF305" s="6">
        <v>487.55</v>
      </c>
      <c r="AG305" s="6" t="s">
        <v>54</v>
      </c>
      <c r="AH305" s="6" t="str">
        <f t="shared" si="42"/>
        <v>Pending</v>
      </c>
      <c r="AI305" s="6" t="s">
        <v>59</v>
      </c>
      <c r="AJ305" s="6" t="str">
        <f t="shared" si="43"/>
        <v>Returned</v>
      </c>
      <c r="AK305" s="9" t="str">
        <f>_xlfn.TEXTJOIN("|",FALSE,A305,TEXT(B305,"mm-dd-yyyy"),TEXT(E305,"mm-dd-yyyy"),I305,J305,L305,N305,P305,R305,T305,V305,X305,Y305,AA305,AB305,AC305,AD305,AE305,AF305,AG305,AI305)</f>
        <v>ORD-2024-10304|06-23-2024|28-06-2024|CUST-9035|Diya Patel|Home Office|West|Gujarat|Ahmedabad|Furniture|Chairs|Elite Chairs 107|Standard Class|2|1313.14|0.1|2363.65|1876.1|487.55|Pending|Returned</v>
      </c>
      <c r="AL305" s="27" t="str">
        <f>IF(COUNTIF($AK$2:AK305,AK305)&gt;1,"Remove exact duplicate copy","Keep")</f>
        <v>Keep</v>
      </c>
      <c r="AM305" s="9">
        <f t="shared" si="44"/>
        <v>1</v>
      </c>
      <c r="AN305" s="9" t="str">
        <f t="shared" si="45"/>
        <v>Unique</v>
      </c>
      <c r="AO305" s="9" t="str">
        <f t="shared" si="46"/>
        <v/>
      </c>
      <c r="AP305" s="9">
        <f t="shared" si="47"/>
        <v>0.1</v>
      </c>
      <c r="AQ305" s="10">
        <f t="shared" si="48"/>
        <v>2363.652</v>
      </c>
      <c r="AR305" s="10">
        <f t="shared" si="49"/>
        <v>487.55200000000013</v>
      </c>
      <c r="AS305" s="11">
        <f t="shared" si="50"/>
        <v>0.20627063544041174</v>
      </c>
      <c r="AT305" s="9">
        <f t="shared" si="51"/>
        <v>6</v>
      </c>
      <c r="AU305" s="9">
        <f t="shared" si="52"/>
        <v>2024</v>
      </c>
      <c r="AV305" s="9" t="b">
        <f t="shared" si="53"/>
        <v>0</v>
      </c>
      <c r="AW305" s="9" t="b">
        <f t="shared" si="54"/>
        <v>0</v>
      </c>
      <c r="AX305" s="9" t="str">
        <f t="shared" si="55"/>
        <v>No</v>
      </c>
      <c r="AY305" s="9" t="str">
        <f t="shared" si="57"/>
        <v>Returned order excluded</v>
      </c>
      <c r="AZ305" s="9" t="str">
        <f>IF(OR(G305="Missing date",G305="Invalid date",G305="Ship date before order date",NOT(ISNUMBER(AP305)),AP305&lt;0,AP305&gt;0.5,AV305=TRUE,AW305=TRUE),"Invalid",IF(OR(O305="Unknown",Z305="Unknown",AC305="",AH305&lt;&gt;"Paid",AJ305&lt;&gt;"Completed",AO305&lt;&gt;""),"Warning","Clean"))</f>
        <v>Warning</v>
      </c>
    </row>
    <row r="306" spans="1:52" ht="15.75" customHeight="1">
      <c r="A306" s="6" t="s">
        <v>1643</v>
      </c>
      <c r="B306" s="7" t="s">
        <v>1644</v>
      </c>
      <c r="C306" s="7" t="str">
        <f t="shared" si="56"/>
        <v>2024-03</v>
      </c>
      <c r="D306" s="7" cm="1">
        <f t="array" ref="D306">_xlfn.LET(_xlpm.x,B306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45357</v>
      </c>
      <c r="E306" s="7" t="s">
        <v>1645</v>
      </c>
      <c r="F306" s="7" cm="1">
        <f t="array" ref="F306">_xlfn.LET(_xlpm.x,E306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45364</v>
      </c>
      <c r="G306" s="8" t="str">
        <f t="shared" si="32"/>
        <v>OK</v>
      </c>
      <c r="H306" s="6">
        <f t="shared" si="33"/>
        <v>7</v>
      </c>
      <c r="I306" s="6" t="s">
        <v>1646</v>
      </c>
      <c r="J306" s="6" t="s">
        <v>129</v>
      </c>
      <c r="K306" s="6" t="str">
        <f t="shared" si="34"/>
        <v>Karan Malhotra</v>
      </c>
      <c r="L306" s="6" t="s">
        <v>43</v>
      </c>
      <c r="M306" s="8" t="str">
        <f t="shared" si="35"/>
        <v>Consumer</v>
      </c>
      <c r="N306" s="6" t="s">
        <v>7</v>
      </c>
      <c r="O306" s="6" t="str">
        <f t="shared" si="36"/>
        <v>North</v>
      </c>
      <c r="P306" s="6" t="s">
        <v>232</v>
      </c>
      <c r="Q306" s="6" t="str">
        <f t="shared" si="37"/>
        <v>Punjab</v>
      </c>
      <c r="R306" s="6" t="s">
        <v>233</v>
      </c>
      <c r="S306" s="6" t="str">
        <f t="shared" si="38"/>
        <v>Ludhiana</v>
      </c>
      <c r="T306" s="6" t="s">
        <v>14</v>
      </c>
      <c r="U306" s="8" t="str">
        <f t="shared" si="39"/>
        <v>Furniture</v>
      </c>
      <c r="V306" s="6" t="s">
        <v>17</v>
      </c>
      <c r="W306" s="6" t="str">
        <f t="shared" si="40"/>
        <v>Furnishings</v>
      </c>
      <c r="X306" s="6" t="s">
        <v>1647</v>
      </c>
      <c r="Y306" s="6" t="s">
        <v>34</v>
      </c>
      <c r="Z306" s="6" t="str">
        <f t="shared" si="41"/>
        <v>Standard Class</v>
      </c>
      <c r="AA306" s="6">
        <v>6</v>
      </c>
      <c r="AB306" s="6">
        <v>2403.0500000000002</v>
      </c>
      <c r="AC306" s="6">
        <v>0.1</v>
      </c>
      <c r="AD306" s="6">
        <v>12976.47</v>
      </c>
      <c r="AE306" s="6">
        <v>10019.98</v>
      </c>
      <c r="AF306" s="6">
        <v>2956.49</v>
      </c>
      <c r="AG306" s="6" t="s">
        <v>52</v>
      </c>
      <c r="AH306" s="6" t="str">
        <f t="shared" si="42"/>
        <v>Paid</v>
      </c>
      <c r="AI306" s="6" t="s">
        <v>134</v>
      </c>
      <c r="AJ306" s="6" t="str">
        <f t="shared" si="43"/>
        <v>Completed</v>
      </c>
      <c r="AK306" s="9" t="str">
        <f>_xlfn.TEXTJOIN("|",FALSE,A306,TEXT(B306,"mm-dd-yyyy"),TEXT(E306,"mm-dd-yyyy"),I306,J306,L306,N306,P306,R306,T306,V306,X306,Y306,AA306,AB306,AC306,AD306,AE306,AF306,AG306,AI306)</f>
        <v>ORD-2024-10305|03-06-2024|03-13-2024|CUST-6286|Karan Malhotra|Consumer|North|Punjab|Ludhiana|Furniture|Furnishings|Pro Furnishings 991|Standard Class|6|2403.05|0.1|12976.47|10019.98|2956.49|Paid|Completed</v>
      </c>
      <c r="AL306" s="27" t="str">
        <f>IF(COUNTIF($AK$2:AK306,AK306)&gt;1,"Remove exact duplicate copy","Keep")</f>
        <v>Keep</v>
      </c>
      <c r="AM306" s="9">
        <f t="shared" si="44"/>
        <v>1</v>
      </c>
      <c r="AN306" s="9" t="str">
        <f t="shared" si="45"/>
        <v>Unique</v>
      </c>
      <c r="AO306" s="9" t="str">
        <f t="shared" si="46"/>
        <v/>
      </c>
      <c r="AP306" s="9">
        <f t="shared" si="47"/>
        <v>0.1</v>
      </c>
      <c r="AQ306" s="10">
        <f t="shared" si="48"/>
        <v>12976.470000000001</v>
      </c>
      <c r="AR306" s="10">
        <f t="shared" si="49"/>
        <v>2956.4900000000016</v>
      </c>
      <c r="AS306" s="11">
        <f t="shared" si="50"/>
        <v>0.22783468847845378</v>
      </c>
      <c r="AT306" s="9">
        <f t="shared" si="51"/>
        <v>3</v>
      </c>
      <c r="AU306" s="9">
        <f t="shared" si="52"/>
        <v>2024</v>
      </c>
      <c r="AV306" s="9" t="b">
        <f t="shared" si="53"/>
        <v>0</v>
      </c>
      <c r="AW306" s="9" t="b">
        <f t="shared" si="54"/>
        <v>0</v>
      </c>
      <c r="AX306" s="9" t="str">
        <f t="shared" si="55"/>
        <v>Yes</v>
      </c>
      <c r="AY306" s="9" t="str">
        <f t="shared" si="57"/>
        <v/>
      </c>
      <c r="AZ306" s="9" t="str">
        <f>IF(OR(G306="Missing date",G306="Invalid date",G306="Ship date before order date",NOT(ISNUMBER(AP306)),AP306&lt;0,AP306&gt;0.5,AV306=TRUE,AW306=TRUE),"Invalid",IF(OR(O306="Unknown",Z306="Unknown",AC306="",AH306&lt;&gt;"Paid",AJ306&lt;&gt;"Completed",AO306&lt;&gt;""),"Warning","Clean"))</f>
        <v>Clean</v>
      </c>
    </row>
    <row r="307" spans="1:52" ht="15.75" customHeight="1">
      <c r="A307" s="6" t="s">
        <v>1648</v>
      </c>
      <c r="B307" s="7" t="s">
        <v>1649</v>
      </c>
      <c r="C307" s="7" t="str">
        <f t="shared" si="56"/>
        <v>2024-05</v>
      </c>
      <c r="D307" s="7" cm="1">
        <f t="array" ref="D307">_xlfn.LET(_xlpm.x,B307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45413</v>
      </c>
      <c r="E307" s="7" t="s">
        <v>1310</v>
      </c>
      <c r="F307" s="7" cm="1">
        <f t="array" ref="F307">_xlfn.LET(_xlpm.x,E307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45414</v>
      </c>
      <c r="G307" s="8" t="str">
        <f t="shared" si="32"/>
        <v>OK</v>
      </c>
      <c r="H307" s="6">
        <f t="shared" si="33"/>
        <v>1</v>
      </c>
      <c r="I307" s="6" t="s">
        <v>1650</v>
      </c>
      <c r="J307" s="6" t="s">
        <v>161</v>
      </c>
      <c r="K307" s="6" t="str">
        <f t="shared" si="34"/>
        <v>Ananya Rao</v>
      </c>
      <c r="L307" s="6" t="s">
        <v>43</v>
      </c>
      <c r="M307" s="8" t="str">
        <f t="shared" si="35"/>
        <v>Consumer</v>
      </c>
      <c r="N307" s="6" t="s">
        <v>8</v>
      </c>
      <c r="O307" s="6" t="str">
        <f t="shared" si="36"/>
        <v>East</v>
      </c>
      <c r="P307" s="6" t="s">
        <v>290</v>
      </c>
      <c r="Q307" s="6" t="str">
        <f t="shared" si="37"/>
        <v>Assam</v>
      </c>
      <c r="R307" s="6" t="s">
        <v>291</v>
      </c>
      <c r="S307" s="6" t="str">
        <f t="shared" si="38"/>
        <v>Guwahati</v>
      </c>
      <c r="T307" s="6" t="s">
        <v>14</v>
      </c>
      <c r="U307" s="8" t="str">
        <f t="shared" si="39"/>
        <v>Furniture</v>
      </c>
      <c r="V307" s="6" t="s">
        <v>16</v>
      </c>
      <c r="W307" s="6" t="str">
        <f t="shared" si="40"/>
        <v>Chairs</v>
      </c>
      <c r="X307" s="6" t="s">
        <v>1651</v>
      </c>
      <c r="Y307" s="6" t="s">
        <v>35</v>
      </c>
      <c r="Z307" s="6" t="str">
        <f t="shared" si="41"/>
        <v>First Class</v>
      </c>
      <c r="AA307" s="6">
        <v>4</v>
      </c>
      <c r="AB307" s="6">
        <v>4156.0600000000004</v>
      </c>
      <c r="AC307" s="6">
        <v>0.55000000000000004</v>
      </c>
      <c r="AD307" s="6">
        <v>13299.39</v>
      </c>
      <c r="AE307" s="6">
        <v>9851.91</v>
      </c>
      <c r="AF307" s="6">
        <v>3447.48</v>
      </c>
      <c r="AG307" s="6" t="s">
        <v>52</v>
      </c>
      <c r="AH307" s="6" t="str">
        <f t="shared" si="42"/>
        <v>Paid</v>
      </c>
      <c r="AI307" s="6" t="s">
        <v>58</v>
      </c>
      <c r="AJ307" s="6" t="str">
        <f t="shared" si="43"/>
        <v>Cancelled</v>
      </c>
      <c r="AK307" s="9" t="str">
        <f>_xlfn.TEXTJOIN("|",FALSE,A307,TEXT(B307,"mm-dd-yyyy"),TEXT(E307,"mm-dd-yyyy"),I307,J307,L307,N307,P307,R307,T307,V307,X307,Y307,AA307,AB307,AC307,AD307,AE307,AF307,AG307,AI307)</f>
        <v>ORD-2024-10306|05-01-2024|05-02-2024|CUST-7246|Ananya Rao|Consumer|East|Assam|Guwahati|Furniture|Chairs|Eco Chairs 105|First Class|4|4156.06|0.55|13299.39|9851.91|3447.48|Paid|Cancelled</v>
      </c>
      <c r="AL307" s="27" t="str">
        <f>IF(COUNTIF($AK$2:AK307,AK307)&gt;1,"Remove exact duplicate copy","Keep")</f>
        <v>Keep</v>
      </c>
      <c r="AM307" s="9">
        <f t="shared" si="44"/>
        <v>1</v>
      </c>
      <c r="AN307" s="9" t="str">
        <f t="shared" si="45"/>
        <v>Unique</v>
      </c>
      <c r="AO307" s="9" t="str">
        <f t="shared" si="46"/>
        <v/>
      </c>
      <c r="AP307" s="9">
        <f t="shared" si="47"/>
        <v>0.55000000000000004</v>
      </c>
      <c r="AQ307" s="10">
        <f t="shared" si="48"/>
        <v>7480.9080000000004</v>
      </c>
      <c r="AR307" s="10">
        <f t="shared" si="49"/>
        <v>-2371.0019999999995</v>
      </c>
      <c r="AS307" s="11">
        <f t="shared" si="50"/>
        <v>-0.31694040349112695</v>
      </c>
      <c r="AT307" s="9">
        <f t="shared" si="51"/>
        <v>5</v>
      </c>
      <c r="AU307" s="9">
        <f t="shared" si="52"/>
        <v>2024</v>
      </c>
      <c r="AV307" s="9" t="b">
        <f t="shared" si="53"/>
        <v>1</v>
      </c>
      <c r="AW307" s="9" t="b">
        <f t="shared" si="54"/>
        <v>1</v>
      </c>
      <c r="AX307" s="9" t="str">
        <f t="shared" si="55"/>
        <v>No</v>
      </c>
      <c r="AY307" s="9" t="str">
        <f t="shared" si="57"/>
        <v>Discount above 50%; Cancelled order excluded; Sales mismatch; Profit mismatch</v>
      </c>
      <c r="AZ307" s="9" t="str">
        <f>IF(OR(G307="Missing date",G307="Invalid date",G307="Ship date before order date",NOT(ISNUMBER(AP307)),AP307&lt;0,AP307&gt;0.5,AV307=TRUE,AW307=TRUE),"Invalid",IF(OR(O307="Unknown",Z307="Unknown",AC307="",AH307&lt;&gt;"Paid",AJ307&lt;&gt;"Completed",AO307&lt;&gt;""),"Warning","Clean"))</f>
        <v>Invalid</v>
      </c>
    </row>
    <row r="308" spans="1:52" ht="15.75" customHeight="1">
      <c r="A308" s="6" t="s">
        <v>1652</v>
      </c>
      <c r="B308" s="7" t="s">
        <v>1653</v>
      </c>
      <c r="C308" s="7" t="str">
        <f t="shared" si="56"/>
        <v>2025-02</v>
      </c>
      <c r="D308" s="7" cm="1">
        <f t="array" ref="D308">_xlfn.LET(_xlpm.x,B308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45708</v>
      </c>
      <c r="E308" s="7" t="s">
        <v>180</v>
      </c>
      <c r="F308" s="7" cm="1">
        <f t="array" ref="F308">_xlfn.LET(_xlpm.x,E308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45711</v>
      </c>
      <c r="G308" s="8" t="str">
        <f t="shared" si="32"/>
        <v>OK</v>
      </c>
      <c r="H308" s="6">
        <f t="shared" si="33"/>
        <v>3</v>
      </c>
      <c r="I308" s="6" t="s">
        <v>1654</v>
      </c>
      <c r="J308" s="6" t="s">
        <v>239</v>
      </c>
      <c r="K308" s="6" t="str">
        <f t="shared" si="34"/>
        <v>Aarav Sharma</v>
      </c>
      <c r="L308" s="6" t="s">
        <v>43</v>
      </c>
      <c r="M308" s="8" t="str">
        <f t="shared" si="35"/>
        <v>Consumer</v>
      </c>
      <c r="N308" s="6" t="s">
        <v>7</v>
      </c>
      <c r="O308" s="6" t="str">
        <f t="shared" si="36"/>
        <v>North</v>
      </c>
      <c r="P308" s="6" t="s">
        <v>131</v>
      </c>
      <c r="Q308" s="6" t="str">
        <f t="shared" si="37"/>
        <v>Rajasthan</v>
      </c>
      <c r="R308" s="6" t="s">
        <v>132</v>
      </c>
      <c r="S308" s="6" t="str">
        <f t="shared" si="38"/>
        <v>Jaipur</v>
      </c>
      <c r="T308" s="6" t="s">
        <v>27</v>
      </c>
      <c r="U308" s="8" t="str">
        <f t="shared" si="39"/>
        <v>Technology</v>
      </c>
      <c r="V308" s="6" t="s">
        <v>31</v>
      </c>
      <c r="W308" s="6" t="str">
        <f t="shared" si="40"/>
        <v>Phones</v>
      </c>
      <c r="X308" s="6" t="s">
        <v>1655</v>
      </c>
      <c r="Y308" s="6" t="s">
        <v>36</v>
      </c>
      <c r="Z308" s="6" t="str">
        <f t="shared" si="41"/>
        <v>Second Class</v>
      </c>
      <c r="AA308" s="6">
        <v>4</v>
      </c>
      <c r="AB308" s="6">
        <v>3673.11</v>
      </c>
      <c r="AC308" s="6">
        <v>0</v>
      </c>
      <c r="AD308" s="6">
        <v>14692.44</v>
      </c>
      <c r="AE308" s="6">
        <v>10082.19</v>
      </c>
      <c r="AF308" s="6">
        <v>4610.25</v>
      </c>
      <c r="AG308" s="6" t="s">
        <v>52</v>
      </c>
      <c r="AH308" s="6" t="str">
        <f t="shared" si="42"/>
        <v>Paid</v>
      </c>
      <c r="AI308" s="6" t="s">
        <v>134</v>
      </c>
      <c r="AJ308" s="6" t="str">
        <f t="shared" si="43"/>
        <v>Completed</v>
      </c>
      <c r="AK308" s="9" t="str">
        <f>_xlfn.TEXTJOIN("|",FALSE,A308,TEXT(B308,"mm-dd-yyyy"),TEXT(E308,"mm-dd-yyyy"),I308,J308,L308,N308,P308,R308,T308,V308,X308,Y308,AA308,AB308,AC308,AD308,AE308,AF308,AG308,AI308)</f>
        <v>ORD-2025-10307|02-20-2025|02-23-2025|CUST-2589|Aarav Sharma|Consumer|North|Rajasthan|Jaipur|Technology|Phones|Pro Phones 530|Second Class|4|3673.11|0|14692.44|10082.19|4610.25|Paid|Completed</v>
      </c>
      <c r="AL308" s="27" t="str">
        <f>IF(COUNTIF($AK$2:AK308,AK308)&gt;1,"Remove exact duplicate copy","Keep")</f>
        <v>Keep</v>
      </c>
      <c r="AM308" s="9">
        <f t="shared" si="44"/>
        <v>1</v>
      </c>
      <c r="AN308" s="9" t="str">
        <f t="shared" si="45"/>
        <v>Unique</v>
      </c>
      <c r="AO308" s="9" t="str">
        <f t="shared" si="46"/>
        <v/>
      </c>
      <c r="AP308" s="9">
        <f t="shared" si="47"/>
        <v>0</v>
      </c>
      <c r="AQ308" s="10">
        <f t="shared" si="48"/>
        <v>14692.44</v>
      </c>
      <c r="AR308" s="10">
        <f t="shared" si="49"/>
        <v>4610.25</v>
      </c>
      <c r="AS308" s="11">
        <f t="shared" si="50"/>
        <v>0.31378382351740075</v>
      </c>
      <c r="AT308" s="9">
        <f t="shared" si="51"/>
        <v>2</v>
      </c>
      <c r="AU308" s="9">
        <f t="shared" si="52"/>
        <v>2025</v>
      </c>
      <c r="AV308" s="9" t="b">
        <f t="shared" si="53"/>
        <v>0</v>
      </c>
      <c r="AW308" s="9" t="b">
        <f t="shared" si="54"/>
        <v>0</v>
      </c>
      <c r="AX308" s="9" t="str">
        <f t="shared" si="55"/>
        <v>Yes</v>
      </c>
      <c r="AY308" s="9" t="str">
        <f t="shared" si="57"/>
        <v/>
      </c>
      <c r="AZ308" s="9" t="str">
        <f>IF(OR(G308="Missing date",G308="Invalid date",G308="Ship date before order date",NOT(ISNUMBER(AP308)),AP308&lt;0,AP308&gt;0.5,AV308=TRUE,AW308=TRUE),"Invalid",IF(OR(O308="Unknown",Z308="Unknown",AC308="",AH308&lt;&gt;"Paid",AJ308&lt;&gt;"Completed",AO308&lt;&gt;""),"Warning","Clean"))</f>
        <v>Clean</v>
      </c>
    </row>
    <row r="309" spans="1:52" ht="15.75" customHeight="1">
      <c r="A309" s="6" t="s">
        <v>1656</v>
      </c>
      <c r="B309" s="7" t="s">
        <v>1657</v>
      </c>
      <c r="C309" s="7" t="str">
        <f t="shared" si="56"/>
        <v>2025-07</v>
      </c>
      <c r="D309" s="7" cm="1">
        <f t="array" ref="D309">_xlfn.LET(_xlpm.x,B309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45850</v>
      </c>
      <c r="E309" s="7" t="s">
        <v>1658</v>
      </c>
      <c r="F309" s="7" cm="1">
        <f t="array" ref="F309">_xlfn.LET(_xlpm.x,E309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45857</v>
      </c>
      <c r="G309" s="8" t="str">
        <f t="shared" si="32"/>
        <v>OK</v>
      </c>
      <c r="H309" s="6">
        <f t="shared" si="33"/>
        <v>7</v>
      </c>
      <c r="I309" s="6" t="s">
        <v>1659</v>
      </c>
      <c r="J309" s="6" t="s">
        <v>161</v>
      </c>
      <c r="K309" s="6" t="str">
        <f t="shared" si="34"/>
        <v>Ananya Rao</v>
      </c>
      <c r="L309" s="6" t="s">
        <v>45</v>
      </c>
      <c r="M309" s="8" t="str">
        <f t="shared" si="35"/>
        <v>Corporate</v>
      </c>
      <c r="N309" s="6" t="s">
        <v>7</v>
      </c>
      <c r="O309" s="6" t="str">
        <f t="shared" si="36"/>
        <v>North</v>
      </c>
      <c r="P309" s="6" t="s">
        <v>251</v>
      </c>
      <c r="Q309" s="6" t="str">
        <f t="shared" si="37"/>
        <v>Uttar Pradesh</v>
      </c>
      <c r="R309" s="6" t="s">
        <v>252</v>
      </c>
      <c r="S309" s="6" t="str">
        <f t="shared" si="38"/>
        <v>Noida</v>
      </c>
      <c r="T309" s="6" t="s">
        <v>14</v>
      </c>
      <c r="U309" s="8" t="str">
        <f t="shared" si="39"/>
        <v>Furniture</v>
      </c>
      <c r="V309" s="6" t="s">
        <v>18</v>
      </c>
      <c r="W309" s="6" t="str">
        <f t="shared" si="40"/>
        <v>Tables</v>
      </c>
      <c r="X309" s="6" t="s">
        <v>1660</v>
      </c>
      <c r="Y309" s="6" t="s">
        <v>35</v>
      </c>
      <c r="Z309" s="6" t="str">
        <f t="shared" si="41"/>
        <v>First Class</v>
      </c>
      <c r="AA309" s="6">
        <v>9</v>
      </c>
      <c r="AB309" s="6">
        <v>4093.04</v>
      </c>
      <c r="AC309" s="6">
        <v>0.2</v>
      </c>
      <c r="AD309" s="6">
        <v>29469.89</v>
      </c>
      <c r="AE309" s="6">
        <v>18935.509999999998</v>
      </c>
      <c r="AF309" s="6">
        <v>10534.38</v>
      </c>
      <c r="AG309" s="6" t="s">
        <v>1661</v>
      </c>
      <c r="AH309" s="6" t="str">
        <f t="shared" si="42"/>
        <v>Pending</v>
      </c>
      <c r="AI309" s="6" t="s">
        <v>58</v>
      </c>
      <c r="AJ309" s="6" t="str">
        <f t="shared" si="43"/>
        <v>Cancelled</v>
      </c>
      <c r="AK309" s="9" t="str">
        <f>_xlfn.TEXTJOIN("|",FALSE,A309,TEXT(B309,"mm-dd-yyyy"),TEXT(E309,"mm-dd-yyyy"),I309,J309,L309,N309,P309,R309,T309,V309,X309,Y309,AA309,AB309,AC309,AD309,AE309,AF309,AG309,AI309)</f>
        <v>ORD-2025-10308|07-12-2025|07-19-2025|CUST-4153|Ananya Rao|Corporate|North|Uttar Pradesh|Noida|Furniture|Tables|Basic Tables 911|First Class|9|4093.04|0.2|29469.89|18935.51|10534.38|PENDING|Cancelled</v>
      </c>
      <c r="AL309" s="27" t="str">
        <f>IF(COUNTIF($AK$2:AK309,AK309)&gt;1,"Remove exact duplicate copy","Keep")</f>
        <v>Keep</v>
      </c>
      <c r="AM309" s="9">
        <f t="shared" si="44"/>
        <v>1</v>
      </c>
      <c r="AN309" s="9" t="str">
        <f t="shared" si="45"/>
        <v>Unique</v>
      </c>
      <c r="AO309" s="9" t="str">
        <f t="shared" si="46"/>
        <v/>
      </c>
      <c r="AP309" s="9">
        <f t="shared" si="47"/>
        <v>0.2</v>
      </c>
      <c r="AQ309" s="10">
        <f t="shared" si="48"/>
        <v>29469.888000000003</v>
      </c>
      <c r="AR309" s="10">
        <f t="shared" si="49"/>
        <v>10534.378000000004</v>
      </c>
      <c r="AS309" s="11">
        <f t="shared" si="50"/>
        <v>0.3574624375905332</v>
      </c>
      <c r="AT309" s="9">
        <f t="shared" si="51"/>
        <v>7</v>
      </c>
      <c r="AU309" s="9">
        <f t="shared" si="52"/>
        <v>2025</v>
      </c>
      <c r="AV309" s="9" t="b">
        <f t="shared" si="53"/>
        <v>0</v>
      </c>
      <c r="AW309" s="9" t="b">
        <f t="shared" si="54"/>
        <v>0</v>
      </c>
      <c r="AX309" s="9" t="str">
        <f t="shared" si="55"/>
        <v>No</v>
      </c>
      <c r="AY309" s="9" t="str">
        <f t="shared" si="57"/>
        <v>Cancelled order excluded</v>
      </c>
      <c r="AZ309" s="9" t="str">
        <f>IF(OR(G309="Missing date",G309="Invalid date",G309="Ship date before order date",NOT(ISNUMBER(AP309)),AP309&lt;0,AP309&gt;0.5,AV309=TRUE,AW309=TRUE),"Invalid",IF(OR(O309="Unknown",Z309="Unknown",AC309="",AH309&lt;&gt;"Paid",AJ309&lt;&gt;"Completed",AO309&lt;&gt;""),"Warning","Clean"))</f>
        <v>Warning</v>
      </c>
    </row>
    <row r="310" spans="1:52" ht="15.75" customHeight="1">
      <c r="A310" s="6" t="s">
        <v>1662</v>
      </c>
      <c r="B310" s="7" t="s">
        <v>1663</v>
      </c>
      <c r="C310" s="7" t="str">
        <f t="shared" si="56"/>
        <v>2025-06</v>
      </c>
      <c r="D310" s="7" cm="1">
        <f t="array" ref="D310">_xlfn.LET(_xlpm.x,B310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45821</v>
      </c>
      <c r="E310" s="7" t="s">
        <v>1664</v>
      </c>
      <c r="F310" s="7" cm="1">
        <f t="array" ref="F310">_xlfn.LET(_xlpm.x,E310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45827</v>
      </c>
      <c r="G310" s="8" t="str">
        <f t="shared" si="32"/>
        <v>OK</v>
      </c>
      <c r="H310" s="6">
        <f t="shared" si="33"/>
        <v>6</v>
      </c>
      <c r="I310" s="6" t="s">
        <v>1665</v>
      </c>
      <c r="J310" s="6" t="s">
        <v>257</v>
      </c>
      <c r="K310" s="6" t="str">
        <f t="shared" si="34"/>
        <v>Rohan Mehta</v>
      </c>
      <c r="L310" s="6" t="s">
        <v>43</v>
      </c>
      <c r="M310" s="8" t="str">
        <f t="shared" si="35"/>
        <v>Consumer</v>
      </c>
      <c r="N310" s="6" t="s">
        <v>7</v>
      </c>
      <c r="O310" s="6" t="str">
        <f t="shared" si="36"/>
        <v>North</v>
      </c>
      <c r="P310" s="6" t="s">
        <v>131</v>
      </c>
      <c r="Q310" s="6" t="str">
        <f t="shared" si="37"/>
        <v>Rajasthan</v>
      </c>
      <c r="R310" s="6" t="s">
        <v>132</v>
      </c>
      <c r="S310" s="6" t="str">
        <f t="shared" si="38"/>
        <v>Jaipur</v>
      </c>
      <c r="T310" s="6" t="s">
        <v>14</v>
      </c>
      <c r="U310" s="8" t="str">
        <f t="shared" si="39"/>
        <v>Furniture</v>
      </c>
      <c r="V310" s="6" t="s">
        <v>18</v>
      </c>
      <c r="W310" s="6" t="str">
        <f t="shared" si="40"/>
        <v>Tables</v>
      </c>
      <c r="X310" s="6" t="s">
        <v>1666</v>
      </c>
      <c r="Y310" s="6" t="s">
        <v>35</v>
      </c>
      <c r="Z310" s="6" t="str">
        <f t="shared" si="41"/>
        <v>First Class</v>
      </c>
      <c r="AA310" s="6">
        <v>4</v>
      </c>
      <c r="AB310" s="6">
        <v>731.57</v>
      </c>
      <c r="AC310" s="6">
        <v>0.2</v>
      </c>
      <c r="AD310" s="6">
        <v>2341.02</v>
      </c>
      <c r="AE310" s="6">
        <v>1565.49</v>
      </c>
      <c r="AF310" s="6">
        <v>775.53</v>
      </c>
      <c r="AG310" s="6" t="s">
        <v>52</v>
      </c>
      <c r="AH310" s="6" t="str">
        <f t="shared" si="42"/>
        <v>Paid</v>
      </c>
      <c r="AI310" s="6" t="s">
        <v>134</v>
      </c>
      <c r="AJ310" s="6" t="str">
        <f t="shared" si="43"/>
        <v>Completed</v>
      </c>
      <c r="AK310" s="9" t="str">
        <f>_xlfn.TEXTJOIN("|",FALSE,A310,TEXT(B310,"mm-dd-yyyy"),TEXT(E310,"mm-dd-yyyy"),I310,J310,L310,N310,P310,R310,T310,V310,X310,Y310,AA310,AB310,AC310,AD310,AE310,AF310,AG310,AI310)</f>
        <v>ORD-2025-10309|06-13-2025|06-19-2025|CUST-6727|Rohan Mehta|Consumer|North|Rajasthan|Jaipur|Furniture|Tables|Classic Tables 224|First Class|4|731.57|0.2|2341.02|1565.49|775.53|Paid|Completed</v>
      </c>
      <c r="AL310" s="27" t="str">
        <f>IF(COUNTIF($AK$2:AK310,AK310)&gt;1,"Remove exact duplicate copy","Keep")</f>
        <v>Keep</v>
      </c>
      <c r="AM310" s="9">
        <f t="shared" si="44"/>
        <v>1</v>
      </c>
      <c r="AN310" s="9" t="str">
        <f t="shared" si="45"/>
        <v>Unique</v>
      </c>
      <c r="AO310" s="9" t="str">
        <f t="shared" si="46"/>
        <v/>
      </c>
      <c r="AP310" s="9">
        <f t="shared" si="47"/>
        <v>0.2</v>
      </c>
      <c r="AQ310" s="10">
        <f t="shared" si="48"/>
        <v>2341.0240000000003</v>
      </c>
      <c r="AR310" s="10">
        <f t="shared" si="49"/>
        <v>775.53400000000033</v>
      </c>
      <c r="AS310" s="11">
        <f t="shared" si="50"/>
        <v>0.33127981601213835</v>
      </c>
      <c r="AT310" s="9">
        <f t="shared" si="51"/>
        <v>6</v>
      </c>
      <c r="AU310" s="9">
        <f t="shared" si="52"/>
        <v>2025</v>
      </c>
      <c r="AV310" s="9" t="b">
        <f t="shared" si="53"/>
        <v>0</v>
      </c>
      <c r="AW310" s="9" t="b">
        <f t="shared" si="54"/>
        <v>0</v>
      </c>
      <c r="AX310" s="9" t="str">
        <f t="shared" si="55"/>
        <v>Yes</v>
      </c>
      <c r="AY310" s="9" t="str">
        <f t="shared" si="57"/>
        <v/>
      </c>
      <c r="AZ310" s="9" t="str">
        <f>IF(OR(G310="Missing date",G310="Invalid date",G310="Ship date before order date",NOT(ISNUMBER(AP310)),AP310&lt;0,AP310&gt;0.5,AV310=TRUE,AW310=TRUE),"Invalid",IF(OR(O310="Unknown",Z310="Unknown",AC310="",AH310&lt;&gt;"Paid",AJ310&lt;&gt;"Completed",AO310&lt;&gt;""),"Warning","Clean"))</f>
        <v>Clean</v>
      </c>
    </row>
    <row r="311" spans="1:52" ht="15.75" customHeight="1">
      <c r="A311" s="6" t="s">
        <v>1667</v>
      </c>
      <c r="B311" s="7" t="s">
        <v>1668</v>
      </c>
      <c r="C311" s="7" t="str">
        <f t="shared" si="56"/>
        <v>2024-07</v>
      </c>
      <c r="D311" s="7" cm="1">
        <f t="array" ref="D311">_xlfn.LET(_xlpm.x,B311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45493</v>
      </c>
      <c r="E311" s="7" t="s">
        <v>205</v>
      </c>
      <c r="F311" s="7" cm="1">
        <f t="array" ref="F311">_xlfn.LET(_xlpm.x,E311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45495</v>
      </c>
      <c r="G311" s="8" t="str">
        <f t="shared" si="32"/>
        <v>OK</v>
      </c>
      <c r="H311" s="6">
        <f t="shared" si="33"/>
        <v>2</v>
      </c>
      <c r="I311" s="6" t="s">
        <v>1669</v>
      </c>
      <c r="J311" s="6" t="s">
        <v>161</v>
      </c>
      <c r="K311" s="6" t="str">
        <f t="shared" si="34"/>
        <v>Ananya Rao</v>
      </c>
      <c r="L311" s="6" t="s">
        <v>43</v>
      </c>
      <c r="M311" s="8" t="str">
        <f t="shared" si="35"/>
        <v>Consumer</v>
      </c>
      <c r="N311" s="6" t="s">
        <v>10</v>
      </c>
      <c r="O311" s="6" t="str">
        <f t="shared" si="36"/>
        <v>South</v>
      </c>
      <c r="P311" s="6" t="s">
        <v>413</v>
      </c>
      <c r="Q311" s="6" t="str">
        <f t="shared" si="37"/>
        <v>Tamil Nadu</v>
      </c>
      <c r="R311" s="6" t="s">
        <v>414</v>
      </c>
      <c r="S311" s="6" t="str">
        <f t="shared" si="38"/>
        <v>Chennai</v>
      </c>
      <c r="T311" s="6" t="s">
        <v>14</v>
      </c>
      <c r="U311" s="8" t="str">
        <f t="shared" si="39"/>
        <v>Furniture</v>
      </c>
      <c r="V311" s="6" t="s">
        <v>18</v>
      </c>
      <c r="W311" s="6" t="str">
        <f t="shared" si="40"/>
        <v>Tables</v>
      </c>
      <c r="X311" s="6" t="s">
        <v>1670</v>
      </c>
      <c r="Y311" s="6" t="s">
        <v>35</v>
      </c>
      <c r="Z311" s="6" t="str">
        <f t="shared" si="41"/>
        <v>First Class</v>
      </c>
      <c r="AA311" s="6">
        <v>7</v>
      </c>
      <c r="AB311" s="6">
        <v>2060.73</v>
      </c>
      <c r="AC311" s="6">
        <v>0.1</v>
      </c>
      <c r="AD311" s="6">
        <v>12982.6</v>
      </c>
      <c r="AE311" s="6">
        <v>7246.36</v>
      </c>
      <c r="AF311" s="6">
        <v>5736.24</v>
      </c>
      <c r="AG311" s="6" t="s">
        <v>52</v>
      </c>
      <c r="AH311" s="6" t="str">
        <f t="shared" si="42"/>
        <v>Paid</v>
      </c>
      <c r="AI311" s="6" t="s">
        <v>58</v>
      </c>
      <c r="AJ311" s="6" t="str">
        <f t="shared" si="43"/>
        <v>Cancelled</v>
      </c>
      <c r="AK311" s="9" t="str">
        <f>_xlfn.TEXTJOIN("|",FALSE,A311,TEXT(B311,"mm-dd-yyyy"),TEXT(E311,"mm-dd-yyyy"),I311,J311,L311,N311,P311,R311,T311,V311,X311,Y311,AA311,AB311,AC311,AD311,AE311,AF311,AG311,AI311)</f>
        <v>ORD-2024-10310|07-20-2024|07-22-2024|CUST-8860|Ananya Rao|Consumer|South|Tamil Nadu|Chennai|Furniture|Tables|Prime Tables 214|First Class|7|2060.73|0.1|12982.6|7246.36|5736.24|Paid|Cancelled</v>
      </c>
      <c r="AL311" s="27" t="str">
        <f>IF(COUNTIF($AK$2:AK311,AK311)&gt;1,"Remove exact duplicate copy","Keep")</f>
        <v>Keep</v>
      </c>
      <c r="AM311" s="9">
        <f t="shared" si="44"/>
        <v>1</v>
      </c>
      <c r="AN311" s="9" t="str">
        <f t="shared" si="45"/>
        <v>Unique</v>
      </c>
      <c r="AO311" s="9" t="str">
        <f t="shared" si="46"/>
        <v/>
      </c>
      <c r="AP311" s="9">
        <f t="shared" si="47"/>
        <v>0.1</v>
      </c>
      <c r="AQ311" s="10">
        <f t="shared" si="48"/>
        <v>12982.599</v>
      </c>
      <c r="AR311" s="10">
        <f t="shared" si="49"/>
        <v>5736.2390000000005</v>
      </c>
      <c r="AS311" s="11">
        <f t="shared" si="50"/>
        <v>0.441840574448922</v>
      </c>
      <c r="AT311" s="9">
        <f t="shared" si="51"/>
        <v>7</v>
      </c>
      <c r="AU311" s="9">
        <f t="shared" si="52"/>
        <v>2024</v>
      </c>
      <c r="AV311" s="9" t="b">
        <f t="shared" si="53"/>
        <v>0</v>
      </c>
      <c r="AW311" s="9" t="b">
        <f t="shared" si="54"/>
        <v>0</v>
      </c>
      <c r="AX311" s="9" t="str">
        <f t="shared" si="55"/>
        <v>No</v>
      </c>
      <c r="AY311" s="9" t="str">
        <f t="shared" si="57"/>
        <v>Cancelled order excluded</v>
      </c>
      <c r="AZ311" s="9" t="str">
        <f>IF(OR(G311="Missing date",G311="Invalid date",G311="Ship date before order date",NOT(ISNUMBER(AP311)),AP311&lt;0,AP311&gt;0.5,AV311=TRUE,AW311=TRUE),"Invalid",IF(OR(O311="Unknown",Z311="Unknown",AC311="",AH311&lt;&gt;"Paid",AJ311&lt;&gt;"Completed",AO311&lt;&gt;""),"Warning","Clean"))</f>
        <v>Warning</v>
      </c>
    </row>
    <row r="312" spans="1:52" ht="15.75" customHeight="1">
      <c r="A312" s="6" t="s">
        <v>1671</v>
      </c>
      <c r="B312" s="7" t="s">
        <v>1672</v>
      </c>
      <c r="C312" s="7" t="str">
        <f t="shared" si="56"/>
        <v>2024-07</v>
      </c>
      <c r="D312" s="7" cm="1">
        <f t="array" ref="D312">_xlfn.LET(_xlpm.x,B312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45477</v>
      </c>
      <c r="E312" s="7" t="s">
        <v>1673</v>
      </c>
      <c r="F312" s="7" cm="1">
        <f t="array" ref="F312">_xlfn.LET(_xlpm.x,E312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45481</v>
      </c>
      <c r="G312" s="8" t="str">
        <f t="shared" si="32"/>
        <v>OK</v>
      </c>
      <c r="H312" s="6">
        <f t="shared" si="33"/>
        <v>4</v>
      </c>
      <c r="I312" s="6" t="s">
        <v>1674</v>
      </c>
      <c r="J312" s="6" t="s">
        <v>257</v>
      </c>
      <c r="K312" s="6" t="str">
        <f t="shared" si="34"/>
        <v>Rohan Mehta</v>
      </c>
      <c r="L312" s="6" t="s">
        <v>46</v>
      </c>
      <c r="M312" s="8" t="str">
        <f t="shared" si="35"/>
        <v>Small Business</v>
      </c>
      <c r="N312" s="6" t="s">
        <v>10</v>
      </c>
      <c r="O312" s="6" t="str">
        <f t="shared" si="36"/>
        <v>South</v>
      </c>
      <c r="P312" s="6" t="s">
        <v>413</v>
      </c>
      <c r="Q312" s="6" t="str">
        <f t="shared" si="37"/>
        <v>Tamil Nadu</v>
      </c>
      <c r="R312" s="6" t="s">
        <v>414</v>
      </c>
      <c r="S312" s="6" t="str">
        <f t="shared" si="38"/>
        <v>Chennai</v>
      </c>
      <c r="T312" s="6" t="s">
        <v>27</v>
      </c>
      <c r="U312" s="8" t="str">
        <f t="shared" si="39"/>
        <v>Technology</v>
      </c>
      <c r="V312" s="6" t="s">
        <v>30</v>
      </c>
      <c r="W312" s="6" t="str">
        <f t="shared" si="40"/>
        <v>Machines</v>
      </c>
      <c r="X312" s="6" t="s">
        <v>1675</v>
      </c>
      <c r="Y312" s="6" t="s">
        <v>35</v>
      </c>
      <c r="Z312" s="6" t="str">
        <f t="shared" si="41"/>
        <v>First Class</v>
      </c>
      <c r="AA312" s="6">
        <v>8</v>
      </c>
      <c r="AB312" s="6">
        <v>2034.25</v>
      </c>
      <c r="AC312" s="6">
        <v>0</v>
      </c>
      <c r="AD312" s="6">
        <v>16274</v>
      </c>
      <c r="AE312" s="6">
        <v>9424.25</v>
      </c>
      <c r="AF312" s="6">
        <v>6849.75</v>
      </c>
      <c r="AG312" s="6" t="s">
        <v>52</v>
      </c>
      <c r="AH312" s="6" t="str">
        <f t="shared" si="42"/>
        <v>Paid</v>
      </c>
      <c r="AI312" s="6" t="s">
        <v>134</v>
      </c>
      <c r="AJ312" s="6" t="str">
        <f t="shared" si="43"/>
        <v>Completed</v>
      </c>
      <c r="AK312" s="9" t="str">
        <f>_xlfn.TEXTJOIN("|",FALSE,A312,TEXT(B312,"mm-dd-yyyy"),TEXT(E312,"mm-dd-yyyy"),I312,J312,L312,N312,P312,R312,T312,V312,X312,Y312,AA312,AB312,AC312,AD312,AE312,AF312,AG312,AI312)</f>
        <v>ORD-2024-10311|04-07-2024|08-07-2024|CUST-3784|Rohan Mehta|Small Business|South|Tamil Nadu|Chennai|Technology|Machines|Max Machines 988|First Class|8|2034.25|0|16274|9424.25|6849.75|Paid|Completed</v>
      </c>
      <c r="AL312" s="27" t="str">
        <f>IF(COUNTIF($AK$2:AK312,AK312)&gt;1,"Remove exact duplicate copy","Keep")</f>
        <v>Keep</v>
      </c>
      <c r="AM312" s="9">
        <f t="shared" si="44"/>
        <v>1</v>
      </c>
      <c r="AN312" s="9" t="str">
        <f t="shared" si="45"/>
        <v>Unique</v>
      </c>
      <c r="AO312" s="9" t="str">
        <f t="shared" si="46"/>
        <v/>
      </c>
      <c r="AP312" s="9">
        <f t="shared" si="47"/>
        <v>0</v>
      </c>
      <c r="AQ312" s="10">
        <f t="shared" si="48"/>
        <v>16274</v>
      </c>
      <c r="AR312" s="10">
        <f t="shared" si="49"/>
        <v>6849.75</v>
      </c>
      <c r="AS312" s="11">
        <f t="shared" si="50"/>
        <v>0.42090143787636719</v>
      </c>
      <c r="AT312" s="9">
        <f t="shared" si="51"/>
        <v>7</v>
      </c>
      <c r="AU312" s="9">
        <f t="shared" si="52"/>
        <v>2024</v>
      </c>
      <c r="AV312" s="9" t="b">
        <f t="shared" si="53"/>
        <v>0</v>
      </c>
      <c r="AW312" s="9" t="b">
        <f t="shared" si="54"/>
        <v>0</v>
      </c>
      <c r="AX312" s="9" t="str">
        <f t="shared" si="55"/>
        <v>Yes</v>
      </c>
      <c r="AY312" s="9" t="str">
        <f t="shared" si="57"/>
        <v/>
      </c>
      <c r="AZ312" s="9" t="str">
        <f>IF(OR(G312="Missing date",G312="Invalid date",G312="Ship date before order date",NOT(ISNUMBER(AP312)),AP312&lt;0,AP312&gt;0.5,AV312=TRUE,AW312=TRUE),"Invalid",IF(OR(O312="Unknown",Z312="Unknown",AC312="",AH312&lt;&gt;"Paid",AJ312&lt;&gt;"Completed",AO312&lt;&gt;""),"Warning","Clean"))</f>
        <v>Clean</v>
      </c>
    </row>
    <row r="313" spans="1:52" ht="15.75" customHeight="1">
      <c r="A313" s="6" t="s">
        <v>1676</v>
      </c>
      <c r="B313" s="7" t="s">
        <v>1677</v>
      </c>
      <c r="C313" s="7" t="str">
        <f t="shared" si="56"/>
        <v>2024-04</v>
      </c>
      <c r="D313" s="7" cm="1">
        <f t="array" ref="D313">_xlfn.LET(_xlpm.x,B313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45409</v>
      </c>
      <c r="E313" s="7" t="s">
        <v>1030</v>
      </c>
      <c r="F313" s="7" cm="1">
        <f t="array" ref="F313">_xlfn.LET(_xlpm.x,E313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45414</v>
      </c>
      <c r="G313" s="8" t="str">
        <f t="shared" si="32"/>
        <v>OK</v>
      </c>
      <c r="H313" s="6">
        <f t="shared" si="33"/>
        <v>5</v>
      </c>
      <c r="I313" s="6" t="s">
        <v>1678</v>
      </c>
      <c r="J313" s="6" t="s">
        <v>139</v>
      </c>
      <c r="K313" s="6" t="str">
        <f t="shared" si="34"/>
        <v>Mira Das</v>
      </c>
      <c r="L313" s="6" t="s">
        <v>45</v>
      </c>
      <c r="M313" s="8" t="str">
        <f t="shared" si="35"/>
        <v>Corporate</v>
      </c>
      <c r="N313" s="6" t="s">
        <v>10</v>
      </c>
      <c r="O313" s="6" t="str">
        <f t="shared" si="36"/>
        <v>South</v>
      </c>
      <c r="P313" s="6" t="s">
        <v>303</v>
      </c>
      <c r="Q313" s="6" t="str">
        <f t="shared" si="37"/>
        <v>Karnataka</v>
      </c>
      <c r="R313" s="6" t="s">
        <v>304</v>
      </c>
      <c r="S313" s="6" t="str">
        <f t="shared" si="38"/>
        <v>Bengaluru</v>
      </c>
      <c r="T313" s="6" t="s">
        <v>20</v>
      </c>
      <c r="U313" s="8" t="str">
        <f t="shared" si="39"/>
        <v>Office Supplies</v>
      </c>
      <c r="V313" s="6" t="s">
        <v>22</v>
      </c>
      <c r="W313" s="6" t="str">
        <f t="shared" si="40"/>
        <v>Binders</v>
      </c>
      <c r="X313" s="6" t="s">
        <v>1679</v>
      </c>
      <c r="Y313" s="6" t="s">
        <v>36</v>
      </c>
      <c r="Z313" s="6" t="str">
        <f t="shared" si="41"/>
        <v>Second Class</v>
      </c>
      <c r="AA313" s="6">
        <v>5</v>
      </c>
      <c r="AB313" s="6">
        <v>554.04</v>
      </c>
      <c r="AC313" s="6">
        <v>0.1</v>
      </c>
      <c r="AD313" s="6">
        <v>2493.1799999999998</v>
      </c>
      <c r="AE313" s="6">
        <v>1764</v>
      </c>
      <c r="AF313" s="6">
        <v>729.18</v>
      </c>
      <c r="AG313" s="6" t="s">
        <v>52</v>
      </c>
      <c r="AH313" s="6" t="str">
        <f t="shared" si="42"/>
        <v>Paid</v>
      </c>
      <c r="AI313" s="6" t="s">
        <v>134</v>
      </c>
      <c r="AJ313" s="6" t="str">
        <f t="shared" si="43"/>
        <v>Completed</v>
      </c>
      <c r="AK313" s="9" t="str">
        <f>_xlfn.TEXTJOIN("|",FALSE,A313,TEXT(B313,"mm-dd-yyyy"),TEXT(E313,"mm-dd-yyyy"),I313,J313,L313,N313,P313,R313,T313,V313,X313,Y313,AA313,AB313,AC313,AD313,AE313,AF313,AG313,AI313)</f>
        <v>ORD-2024-10312|27-04-2024|02-05-2024|CUST-3545|Mira Das|Corporate|South|Karnataka|Bengaluru|Office Supplies|Binders|Max Binders 425|Second Class|5|554.04|0.1|2493.18|1764|729.18|Paid|Completed</v>
      </c>
      <c r="AL313" s="27" t="str">
        <f>IF(COUNTIF($AK$2:AK313,AK313)&gt;1,"Remove exact duplicate copy","Keep")</f>
        <v>Keep</v>
      </c>
      <c r="AM313" s="9">
        <f t="shared" si="44"/>
        <v>1</v>
      </c>
      <c r="AN313" s="9" t="str">
        <f t="shared" si="45"/>
        <v>Unique</v>
      </c>
      <c r="AO313" s="9" t="str">
        <f t="shared" si="46"/>
        <v/>
      </c>
      <c r="AP313" s="9">
        <f t="shared" si="47"/>
        <v>0.1</v>
      </c>
      <c r="AQ313" s="10">
        <f t="shared" si="48"/>
        <v>2493.1799999999998</v>
      </c>
      <c r="AR313" s="10">
        <f t="shared" si="49"/>
        <v>729.17999999999984</v>
      </c>
      <c r="AS313" s="11">
        <f t="shared" si="50"/>
        <v>0.29246985777200196</v>
      </c>
      <c r="AT313" s="9">
        <f t="shared" si="51"/>
        <v>4</v>
      </c>
      <c r="AU313" s="9">
        <f t="shared" si="52"/>
        <v>2024</v>
      </c>
      <c r="AV313" s="9" t="b">
        <f t="shared" si="53"/>
        <v>0</v>
      </c>
      <c r="AW313" s="9" t="b">
        <f t="shared" si="54"/>
        <v>0</v>
      </c>
      <c r="AX313" s="9" t="str">
        <f t="shared" si="55"/>
        <v>Yes</v>
      </c>
      <c r="AY313" s="9" t="str">
        <f t="shared" si="57"/>
        <v/>
      </c>
      <c r="AZ313" s="9" t="str">
        <f>IF(OR(G313="Missing date",G313="Invalid date",G313="Ship date before order date",NOT(ISNUMBER(AP313)),AP313&lt;0,AP313&gt;0.5,AV313=TRUE,AW313=TRUE),"Invalid",IF(OR(O313="Unknown",Z313="Unknown",AC313="",AH313&lt;&gt;"Paid",AJ313&lt;&gt;"Completed",AO313&lt;&gt;""),"Warning","Clean"))</f>
        <v>Clean</v>
      </c>
    </row>
    <row r="314" spans="1:52" ht="15.75" customHeight="1">
      <c r="A314" s="6" t="s">
        <v>1680</v>
      </c>
      <c r="B314" s="7" t="s">
        <v>1681</v>
      </c>
      <c r="C314" s="7" t="str">
        <f t="shared" si="56"/>
        <v>2024-07</v>
      </c>
      <c r="D314" s="7" cm="1">
        <f t="array" ref="D314">_xlfn.LET(_xlpm.x,B314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45504</v>
      </c>
      <c r="E314" s="7" t="s">
        <v>593</v>
      </c>
      <c r="F314" s="7" cm="1">
        <f t="array" ref="F314">_xlfn.LET(_xlpm.x,E314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45508</v>
      </c>
      <c r="G314" s="8" t="str">
        <f t="shared" si="32"/>
        <v>OK</v>
      </c>
      <c r="H314" s="6">
        <f t="shared" si="33"/>
        <v>4</v>
      </c>
      <c r="I314" s="6" t="s">
        <v>1682</v>
      </c>
      <c r="J314" s="6" t="s">
        <v>129</v>
      </c>
      <c r="K314" s="6" t="str">
        <f t="shared" si="34"/>
        <v>Karan Malhotra</v>
      </c>
      <c r="L314" s="6" t="s">
        <v>46</v>
      </c>
      <c r="M314" s="8" t="str">
        <f t="shared" si="35"/>
        <v>Small Business</v>
      </c>
      <c r="N314" s="6" t="s">
        <v>8</v>
      </c>
      <c r="O314" s="6" t="str">
        <f t="shared" si="36"/>
        <v>East</v>
      </c>
      <c r="P314" s="6" t="s">
        <v>290</v>
      </c>
      <c r="Q314" s="6" t="str">
        <f t="shared" si="37"/>
        <v>Assam</v>
      </c>
      <c r="R314" s="6" t="s">
        <v>291</v>
      </c>
      <c r="S314" s="6" t="str">
        <f t="shared" si="38"/>
        <v>Guwahati</v>
      </c>
      <c r="T314" s="6" t="s">
        <v>27</v>
      </c>
      <c r="U314" s="8" t="str">
        <f t="shared" si="39"/>
        <v>Technology</v>
      </c>
      <c r="V314" s="6" t="s">
        <v>31</v>
      </c>
      <c r="W314" s="6" t="str">
        <f t="shared" si="40"/>
        <v>Phones</v>
      </c>
      <c r="X314" s="6" t="s">
        <v>1683</v>
      </c>
      <c r="Y314" s="6" t="s">
        <v>34</v>
      </c>
      <c r="Z314" s="6" t="str">
        <f t="shared" si="41"/>
        <v>Standard Class</v>
      </c>
      <c r="AA314" s="6">
        <v>8</v>
      </c>
      <c r="AB314" s="6">
        <v>2614.7399999999998</v>
      </c>
      <c r="AC314" s="6"/>
      <c r="AD314" s="6">
        <v>15688.44</v>
      </c>
      <c r="AE314" s="6">
        <v>10047.33</v>
      </c>
      <c r="AF314" s="6">
        <v>5641.11</v>
      </c>
      <c r="AG314" s="6" t="s">
        <v>52</v>
      </c>
      <c r="AH314" s="6" t="str">
        <f t="shared" si="42"/>
        <v>Paid</v>
      </c>
      <c r="AI314" s="6" t="s">
        <v>58</v>
      </c>
      <c r="AJ314" s="6" t="str">
        <f t="shared" si="43"/>
        <v>Cancelled</v>
      </c>
      <c r="AK314" s="9" t="str">
        <f>_xlfn.TEXTJOIN("|",FALSE,A314,TEXT(B314,"mm-dd-yyyy"),TEXT(E314,"mm-dd-yyyy"),I314,J314,L314,N314,P314,R314,T314,V314,X314,Y314,AA314,AB314,AC314,AD314,AE314,AF314,AG314,AI314)</f>
        <v>ORD-2024-10313|07-31-2024|04-08-2024|CUST-4851|Karan Malhotra|Small Business|East|Assam|Guwahati|Technology|Phones|Elite Phones 679|Standard Class|8|2614.74||15688.44|10047.33|5641.11|Paid|Cancelled</v>
      </c>
      <c r="AL314" s="27" t="str">
        <f>IF(COUNTIF($AK$2:AK314,AK314)&gt;1,"Remove exact duplicate copy","Keep")</f>
        <v>Keep</v>
      </c>
      <c r="AM314" s="9">
        <f t="shared" si="44"/>
        <v>1</v>
      </c>
      <c r="AN314" s="9" t="str">
        <f t="shared" si="45"/>
        <v>Unique</v>
      </c>
      <c r="AO314" s="9" t="str">
        <f t="shared" si="46"/>
        <v/>
      </c>
      <c r="AP314" s="9">
        <f t="shared" si="47"/>
        <v>0</v>
      </c>
      <c r="AQ314" s="10">
        <f t="shared" si="48"/>
        <v>20917.919999999998</v>
      </c>
      <c r="AR314" s="10">
        <f t="shared" si="49"/>
        <v>10870.589999999998</v>
      </c>
      <c r="AS314" s="11">
        <f t="shared" si="50"/>
        <v>0.5196783427797792</v>
      </c>
      <c r="AT314" s="9">
        <f t="shared" si="51"/>
        <v>7</v>
      </c>
      <c r="AU314" s="9">
        <f t="shared" si="52"/>
        <v>2024</v>
      </c>
      <c r="AV314" s="9" t="b">
        <f t="shared" si="53"/>
        <v>1</v>
      </c>
      <c r="AW314" s="9" t="b">
        <f t="shared" si="54"/>
        <v>1</v>
      </c>
      <c r="AX314" s="9" t="str">
        <f t="shared" si="55"/>
        <v>No</v>
      </c>
      <c r="AY314" s="9" t="str">
        <f t="shared" si="57"/>
        <v>Missing discount treated as 0; Cancelled order excluded; Sales mismatch; Profit mismatch</v>
      </c>
      <c r="AZ314" s="9" t="str">
        <f>IF(OR(G314="Missing date",G314="Invalid date",G314="Ship date before order date",NOT(ISNUMBER(AP314)),AP314&lt;0,AP314&gt;0.5,AV314=TRUE,AW314=TRUE),"Invalid",IF(OR(O314="Unknown",Z314="Unknown",AC314="",AH314&lt;&gt;"Paid",AJ314&lt;&gt;"Completed",AO314&lt;&gt;""),"Warning","Clean"))</f>
        <v>Invalid</v>
      </c>
    </row>
    <row r="315" spans="1:52" ht="15.75" customHeight="1">
      <c r="A315" s="6" t="s">
        <v>1684</v>
      </c>
      <c r="B315" s="7" t="s">
        <v>1685</v>
      </c>
      <c r="C315" s="7" t="str">
        <f t="shared" si="56"/>
        <v>2025-05</v>
      </c>
      <c r="D315" s="7" cm="1">
        <f t="array" ref="D315">_xlfn.LET(_xlpm.x,B315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45807</v>
      </c>
      <c r="E315" s="7" t="s">
        <v>1686</v>
      </c>
      <c r="F315" s="7" cm="1">
        <f t="array" ref="F315">_xlfn.LET(_xlpm.x,E315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45808</v>
      </c>
      <c r="G315" s="8" t="str">
        <f t="shared" si="32"/>
        <v>OK</v>
      </c>
      <c r="H315" s="6">
        <f t="shared" si="33"/>
        <v>1</v>
      </c>
      <c r="I315" s="6" t="s">
        <v>1687</v>
      </c>
      <c r="J315" s="6" t="s">
        <v>226</v>
      </c>
      <c r="K315" s="6" t="str">
        <f t="shared" si="34"/>
        <v>Rahul Verma</v>
      </c>
      <c r="L315" s="6" t="s">
        <v>45</v>
      </c>
      <c r="M315" s="8" t="str">
        <f t="shared" si="35"/>
        <v>Corporate</v>
      </c>
      <c r="N315" s="6" t="s">
        <v>7</v>
      </c>
      <c r="O315" s="6" t="str">
        <f t="shared" si="36"/>
        <v>North</v>
      </c>
      <c r="P315" s="6" t="s">
        <v>251</v>
      </c>
      <c r="Q315" s="6" t="str">
        <f t="shared" si="37"/>
        <v>Uttar Pradesh</v>
      </c>
      <c r="R315" s="6" t="s">
        <v>252</v>
      </c>
      <c r="S315" s="6" t="str">
        <f t="shared" si="38"/>
        <v>Noida</v>
      </c>
      <c r="T315" s="6" t="s">
        <v>27</v>
      </c>
      <c r="U315" s="8" t="str">
        <f t="shared" si="39"/>
        <v>Technology</v>
      </c>
      <c r="V315" s="6" t="s">
        <v>31</v>
      </c>
      <c r="W315" s="6" t="str">
        <f t="shared" si="40"/>
        <v>Phones</v>
      </c>
      <c r="X315" s="6" t="s">
        <v>1688</v>
      </c>
      <c r="Y315" s="6" t="s">
        <v>35</v>
      </c>
      <c r="Z315" s="6" t="str">
        <f t="shared" si="41"/>
        <v>First Class</v>
      </c>
      <c r="AA315" s="6">
        <v>8</v>
      </c>
      <c r="AB315" s="6">
        <v>2081.4299999999998</v>
      </c>
      <c r="AC315" s="6">
        <v>0.25</v>
      </c>
      <c r="AD315" s="6">
        <v>12488.58</v>
      </c>
      <c r="AE315" s="6">
        <v>10717.4</v>
      </c>
      <c r="AF315" s="6">
        <v>1771.18</v>
      </c>
      <c r="AG315" s="6" t="s">
        <v>56</v>
      </c>
      <c r="AH315" s="6" t="str">
        <f t="shared" si="42"/>
        <v>Refunded</v>
      </c>
      <c r="AI315" s="6" t="s">
        <v>58</v>
      </c>
      <c r="AJ315" s="6" t="str">
        <f t="shared" si="43"/>
        <v>Cancelled</v>
      </c>
      <c r="AK315" s="9" t="str">
        <f>_xlfn.TEXTJOIN("|",FALSE,A315,TEXT(B315,"mm-dd-yyyy"),TEXT(E315,"mm-dd-yyyy"),I315,J315,L315,N315,P315,R315,T315,V315,X315,Y315,AA315,AB315,AC315,AD315,AE315,AF315,AG315,AI315)</f>
        <v>ORD-2025-10314|05-30-2025|31-05-2025|CUST-4770|Rahul Verma|Corporate|North|Uttar Pradesh|Noida|Technology|Phones|Pro Phones 764|First Class|8|2081.43|0.25|12488.58|10717.4|1771.18|Refunded|Cancelled</v>
      </c>
      <c r="AL315" s="27" t="str">
        <f>IF(COUNTIF($AK$2:AK315,AK315)&gt;1,"Remove exact duplicate copy","Keep")</f>
        <v>Keep</v>
      </c>
      <c r="AM315" s="9">
        <f t="shared" si="44"/>
        <v>1</v>
      </c>
      <c r="AN315" s="9" t="str">
        <f t="shared" si="45"/>
        <v>Unique</v>
      </c>
      <c r="AO315" s="9" t="str">
        <f t="shared" si="46"/>
        <v/>
      </c>
      <c r="AP315" s="9">
        <f t="shared" si="47"/>
        <v>0.25</v>
      </c>
      <c r="AQ315" s="10">
        <f t="shared" si="48"/>
        <v>12488.579999999998</v>
      </c>
      <c r="AR315" s="10">
        <f t="shared" si="49"/>
        <v>1771.1799999999985</v>
      </c>
      <c r="AS315" s="11">
        <f t="shared" si="50"/>
        <v>0.14182397037933847</v>
      </c>
      <c r="AT315" s="9">
        <f t="shared" si="51"/>
        <v>5</v>
      </c>
      <c r="AU315" s="9">
        <f t="shared" si="52"/>
        <v>2025</v>
      </c>
      <c r="AV315" s="9" t="b">
        <f t="shared" si="53"/>
        <v>0</v>
      </c>
      <c r="AW315" s="9" t="b">
        <f t="shared" si="54"/>
        <v>0</v>
      </c>
      <c r="AX315" s="9" t="str">
        <f t="shared" si="55"/>
        <v>No</v>
      </c>
      <c r="AY315" s="9" t="str">
        <f t="shared" si="57"/>
        <v>Refunded order summarized separately; Cancelled order excluded</v>
      </c>
      <c r="AZ315" s="9" t="str">
        <f>IF(OR(G315="Missing date",G315="Invalid date",G315="Ship date before order date",NOT(ISNUMBER(AP315)),AP315&lt;0,AP315&gt;0.5,AV315=TRUE,AW315=TRUE),"Invalid",IF(OR(O315="Unknown",Z315="Unknown",AC315="",AH315&lt;&gt;"Paid",AJ315&lt;&gt;"Completed",AO315&lt;&gt;""),"Warning","Clean"))</f>
        <v>Warning</v>
      </c>
    </row>
    <row r="316" spans="1:52" ht="15.75" customHeight="1">
      <c r="A316" s="6" t="s">
        <v>1689</v>
      </c>
      <c r="B316" s="7" t="s">
        <v>1187</v>
      </c>
      <c r="C316" s="7" t="str">
        <f t="shared" si="56"/>
        <v>2025-05</v>
      </c>
      <c r="D316" s="7" cm="1">
        <f t="array" ref="D316">_xlfn.LET(_xlpm.x,B316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45795</v>
      </c>
      <c r="E316" s="7" t="s">
        <v>198</v>
      </c>
      <c r="F316" s="7" cm="1">
        <f t="array" ref="F316">_xlfn.LET(_xlpm.x,E316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45797</v>
      </c>
      <c r="G316" s="8" t="str">
        <f t="shared" si="32"/>
        <v>OK</v>
      </c>
      <c r="H316" s="6">
        <f t="shared" si="33"/>
        <v>2</v>
      </c>
      <c r="I316" s="6" t="s">
        <v>1690</v>
      </c>
      <c r="J316" s="6" t="s">
        <v>147</v>
      </c>
      <c r="K316" s="6" t="str">
        <f t="shared" si="34"/>
        <v>Isha Nair</v>
      </c>
      <c r="L316" s="6" t="s">
        <v>45</v>
      </c>
      <c r="M316" s="8" t="str">
        <f t="shared" si="35"/>
        <v>Corporate</v>
      </c>
      <c r="N316" s="6" t="s">
        <v>9</v>
      </c>
      <c r="O316" s="6" t="str">
        <f t="shared" si="36"/>
        <v>West</v>
      </c>
      <c r="P316" s="6" t="s">
        <v>170</v>
      </c>
      <c r="Q316" s="6" t="str">
        <f t="shared" si="37"/>
        <v>Madhya Pradesh</v>
      </c>
      <c r="R316" s="6" t="s">
        <v>171</v>
      </c>
      <c r="S316" s="6" t="str">
        <f t="shared" si="38"/>
        <v>Indore</v>
      </c>
      <c r="T316" s="6" t="s">
        <v>20</v>
      </c>
      <c r="U316" s="8" t="str">
        <f t="shared" si="39"/>
        <v>Office Supplies</v>
      </c>
      <c r="V316" s="6" t="s">
        <v>23</v>
      </c>
      <c r="W316" s="6" t="str">
        <f t="shared" si="40"/>
        <v>Labels</v>
      </c>
      <c r="X316" s="6" t="s">
        <v>1691</v>
      </c>
      <c r="Y316" s="6" t="s">
        <v>34</v>
      </c>
      <c r="Z316" s="6" t="str">
        <f t="shared" si="41"/>
        <v>Standard Class</v>
      </c>
      <c r="AA316" s="6">
        <v>9</v>
      </c>
      <c r="AB316" s="6">
        <v>847.76</v>
      </c>
      <c r="AC316" s="6">
        <v>0.15</v>
      </c>
      <c r="AD316" s="6">
        <v>6485.36</v>
      </c>
      <c r="AE316" s="6">
        <v>5376.17</v>
      </c>
      <c r="AF316" s="6">
        <v>1109.19</v>
      </c>
      <c r="AG316" s="6" t="s">
        <v>50</v>
      </c>
      <c r="AH316" s="6" t="str">
        <f t="shared" si="42"/>
        <v>Failed</v>
      </c>
      <c r="AI316" s="6" t="s">
        <v>59</v>
      </c>
      <c r="AJ316" s="6" t="str">
        <f t="shared" si="43"/>
        <v>Returned</v>
      </c>
      <c r="AK316" s="9" t="str">
        <f>_xlfn.TEXTJOIN("|",FALSE,A316,TEXT(B316,"mm-dd-yyyy"),TEXT(E316,"mm-dd-yyyy"),I316,J316,L316,N316,P316,R316,T316,V316,X316,Y316,AA316,AB316,AC316,AD316,AE316,AF316,AG316,AI316)</f>
        <v>ORD-2025-10315|05-18-2025|05-20-2025|CUST-1945|Isha Nair|Corporate|West|Madhya Pradesh|Indore|Office Supplies|Labels|Elite Labels 544|Standard Class|9|847.76|0.15|6485.36|5376.17|1109.19|Failed|Returned</v>
      </c>
      <c r="AL316" s="27" t="str">
        <f>IF(COUNTIF($AK$2:AK316,AK316)&gt;1,"Remove exact duplicate copy","Keep")</f>
        <v>Keep</v>
      </c>
      <c r="AM316" s="9">
        <f t="shared" si="44"/>
        <v>2</v>
      </c>
      <c r="AN316" s="9" t="str">
        <f t="shared" si="45"/>
        <v>Duplicate order_id</v>
      </c>
      <c r="AO316" s="9" t="str">
        <f t="shared" si="46"/>
        <v>Review conflicting duplicate</v>
      </c>
      <c r="AP316" s="9">
        <f t="shared" si="47"/>
        <v>0.15</v>
      </c>
      <c r="AQ316" s="10">
        <f t="shared" si="48"/>
        <v>6485.3639999999996</v>
      </c>
      <c r="AR316" s="10">
        <f t="shared" si="49"/>
        <v>1109.1939999999995</v>
      </c>
      <c r="AS316" s="11">
        <f t="shared" si="50"/>
        <v>0.17103033846673826</v>
      </c>
      <c r="AT316" s="9">
        <f t="shared" si="51"/>
        <v>5</v>
      </c>
      <c r="AU316" s="9">
        <f t="shared" si="52"/>
        <v>2025</v>
      </c>
      <c r="AV316" s="9" t="b">
        <f t="shared" si="53"/>
        <v>0</v>
      </c>
      <c r="AW316" s="9" t="b">
        <f t="shared" si="54"/>
        <v>0</v>
      </c>
      <c r="AX316" s="9" t="str">
        <f t="shared" si="55"/>
        <v>No</v>
      </c>
      <c r="AY316" s="9" t="str">
        <f t="shared" si="57"/>
        <v>Failed payment excluded; Returned order excluded; Duplicate order ID conflict</v>
      </c>
      <c r="AZ316" s="9" t="str">
        <f>IF(OR(G316="Missing date",G316="Invalid date",G316="Ship date before order date",NOT(ISNUMBER(AP316)),AP316&lt;0,AP316&gt;0.5,AV316=TRUE,AW316=TRUE),"Invalid",IF(OR(O316="Unknown",Z316="Unknown",AC316="",AH316&lt;&gt;"Paid",AJ316&lt;&gt;"Completed",AO316&lt;&gt;""),"Warning","Clean"))</f>
        <v>Warning</v>
      </c>
    </row>
    <row r="317" spans="1:52" ht="15.75" customHeight="1">
      <c r="A317" s="6" t="s">
        <v>1692</v>
      </c>
      <c r="B317" s="7" t="s">
        <v>1693</v>
      </c>
      <c r="C317" s="7" t="str">
        <f t="shared" si="56"/>
        <v>2024-07</v>
      </c>
      <c r="D317" s="7" cm="1">
        <f t="array" ref="D317">_xlfn.LET(_xlpm.x,B317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45475</v>
      </c>
      <c r="E317" s="7" t="s">
        <v>1694</v>
      </c>
      <c r="F317" s="7" cm="1">
        <f t="array" ref="F317">_xlfn.LET(_xlpm.x,E317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45481</v>
      </c>
      <c r="G317" s="8" t="str">
        <f t="shared" si="32"/>
        <v>OK</v>
      </c>
      <c r="H317" s="6">
        <f t="shared" si="33"/>
        <v>6</v>
      </c>
      <c r="I317" s="6" t="s">
        <v>1695</v>
      </c>
      <c r="J317" s="6" t="s">
        <v>257</v>
      </c>
      <c r="K317" s="6" t="str">
        <f t="shared" si="34"/>
        <v>Rohan Mehta</v>
      </c>
      <c r="L317" s="6" t="s">
        <v>43</v>
      </c>
      <c r="M317" s="8" t="str">
        <f t="shared" si="35"/>
        <v>Consumer</v>
      </c>
      <c r="N317" s="6" t="s">
        <v>7</v>
      </c>
      <c r="O317" s="6" t="str">
        <f t="shared" si="36"/>
        <v>North</v>
      </c>
      <c r="P317" s="6" t="s">
        <v>583</v>
      </c>
      <c r="Q317" s="6" t="str">
        <f t="shared" si="37"/>
        <v>Delhi</v>
      </c>
      <c r="R317" s="6" t="s">
        <v>584</v>
      </c>
      <c r="S317" s="6" t="str">
        <f t="shared" si="38"/>
        <v>New Delhi</v>
      </c>
      <c r="T317" s="6" t="s">
        <v>20</v>
      </c>
      <c r="U317" s="8" t="str">
        <f t="shared" si="39"/>
        <v>Office Supplies</v>
      </c>
      <c r="V317" s="6" t="s">
        <v>24</v>
      </c>
      <c r="W317" s="6" t="str">
        <f t="shared" si="40"/>
        <v>Paper</v>
      </c>
      <c r="X317" s="6" t="s">
        <v>1696</v>
      </c>
      <c r="Y317" s="6" t="s">
        <v>34</v>
      </c>
      <c r="Z317" s="6" t="str">
        <f t="shared" si="41"/>
        <v>Standard Class</v>
      </c>
      <c r="AA317" s="6">
        <v>9</v>
      </c>
      <c r="AB317" s="6">
        <v>3450.4</v>
      </c>
      <c r="AC317" s="6">
        <v>0.05</v>
      </c>
      <c r="AD317" s="6">
        <v>29500.92</v>
      </c>
      <c r="AE317" s="6">
        <v>17989.68</v>
      </c>
      <c r="AF317" s="6">
        <v>11511.24</v>
      </c>
      <c r="AG317" s="6" t="s">
        <v>54</v>
      </c>
      <c r="AH317" s="6" t="str">
        <f t="shared" si="42"/>
        <v>Pending</v>
      </c>
      <c r="AI317" s="6" t="s">
        <v>59</v>
      </c>
      <c r="AJ317" s="6" t="str">
        <f t="shared" si="43"/>
        <v>Returned</v>
      </c>
      <c r="AK317" s="9" t="str">
        <f>_xlfn.TEXTJOIN("|",FALSE,A317,TEXT(B317,"mm-dd-yyyy"),TEXT(E317,"mm-dd-yyyy"),I317,J317,L317,N317,P317,R317,T317,V317,X317,Y317,AA317,AB317,AC317,AD317,AE317,AF317,AG317,AI317)</f>
        <v>ORD-2024-10316|07-02-2024|07-08-2024|CUST-7565|Rohan Mehta|Consumer|North|Delhi|New Delhi|Office Supplies|Paper|Smart Paper 817|Standard Class|9|3450.4|0.05|29500.92|17989.68|11511.24|Pending|Returned</v>
      </c>
      <c r="AL317" s="27" t="str">
        <f>IF(COUNTIF($AK$2:AK317,AK317)&gt;1,"Remove exact duplicate copy","Keep")</f>
        <v>Keep</v>
      </c>
      <c r="AM317" s="9">
        <f t="shared" si="44"/>
        <v>1</v>
      </c>
      <c r="AN317" s="9" t="str">
        <f t="shared" si="45"/>
        <v>Unique</v>
      </c>
      <c r="AO317" s="9" t="str">
        <f t="shared" si="46"/>
        <v/>
      </c>
      <c r="AP317" s="9">
        <f t="shared" si="47"/>
        <v>0.05</v>
      </c>
      <c r="AQ317" s="10">
        <f t="shared" si="48"/>
        <v>29500.920000000002</v>
      </c>
      <c r="AR317" s="10">
        <f t="shared" si="49"/>
        <v>11511.240000000002</v>
      </c>
      <c r="AS317" s="11">
        <f t="shared" si="50"/>
        <v>0.39019935649464493</v>
      </c>
      <c r="AT317" s="9">
        <f t="shared" si="51"/>
        <v>7</v>
      </c>
      <c r="AU317" s="9">
        <f t="shared" si="52"/>
        <v>2024</v>
      </c>
      <c r="AV317" s="9" t="b">
        <f t="shared" si="53"/>
        <v>0</v>
      </c>
      <c r="AW317" s="9" t="b">
        <f t="shared" si="54"/>
        <v>0</v>
      </c>
      <c r="AX317" s="9" t="str">
        <f t="shared" si="55"/>
        <v>No</v>
      </c>
      <c r="AY317" s="9" t="str">
        <f t="shared" si="57"/>
        <v>Returned order excluded</v>
      </c>
      <c r="AZ317" s="9" t="str">
        <f>IF(OR(G317="Missing date",G317="Invalid date",G317="Ship date before order date",NOT(ISNUMBER(AP317)),AP317&lt;0,AP317&gt;0.5,AV317=TRUE,AW317=TRUE),"Invalid",IF(OR(O317="Unknown",Z317="Unknown",AC317="",AH317&lt;&gt;"Paid",AJ317&lt;&gt;"Completed",AO317&lt;&gt;""),"Warning","Clean"))</f>
        <v>Warning</v>
      </c>
    </row>
    <row r="318" spans="1:52" ht="15.75" customHeight="1">
      <c r="A318" s="6" t="s">
        <v>1697</v>
      </c>
      <c r="B318" s="7" t="s">
        <v>1698</v>
      </c>
      <c r="C318" s="7" t="str">
        <f t="shared" si="56"/>
        <v>2024-02</v>
      </c>
      <c r="D318" s="7" cm="1">
        <f t="array" ref="D318">_xlfn.LET(_xlpm.x,B318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45338</v>
      </c>
      <c r="E318" s="7" t="s">
        <v>1699</v>
      </c>
      <c r="F318" s="7" cm="1">
        <f t="array" ref="F318">_xlfn.LET(_xlpm.x,E318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45340</v>
      </c>
      <c r="G318" s="8" t="str">
        <f t="shared" si="32"/>
        <v>OK</v>
      </c>
      <c r="H318" s="6">
        <f t="shared" si="33"/>
        <v>2</v>
      </c>
      <c r="I318" s="6" t="s">
        <v>1700</v>
      </c>
      <c r="J318" s="6" t="s">
        <v>129</v>
      </c>
      <c r="K318" s="6" t="str">
        <f t="shared" si="34"/>
        <v>Karan Malhotra</v>
      </c>
      <c r="L318" s="6" t="s">
        <v>45</v>
      </c>
      <c r="M318" s="8" t="str">
        <f t="shared" si="35"/>
        <v>Corporate</v>
      </c>
      <c r="N318" s="6" t="s">
        <v>7</v>
      </c>
      <c r="O318" s="6" t="str">
        <f t="shared" si="36"/>
        <v>North</v>
      </c>
      <c r="P318" s="6" t="s">
        <v>232</v>
      </c>
      <c r="Q318" s="6" t="str">
        <f t="shared" si="37"/>
        <v>Punjab</v>
      </c>
      <c r="R318" s="6" t="s">
        <v>233</v>
      </c>
      <c r="S318" s="6" t="str">
        <f t="shared" si="38"/>
        <v>Ludhiana</v>
      </c>
      <c r="T318" s="6" t="s">
        <v>20</v>
      </c>
      <c r="U318" s="8" t="str">
        <f t="shared" si="39"/>
        <v>Office Supplies</v>
      </c>
      <c r="V318" s="6" t="s">
        <v>23</v>
      </c>
      <c r="W318" s="6" t="str">
        <f t="shared" si="40"/>
        <v>Labels</v>
      </c>
      <c r="X318" s="6" t="s">
        <v>1701</v>
      </c>
      <c r="Y318" s="6" t="s">
        <v>34</v>
      </c>
      <c r="Z318" s="6" t="str">
        <f t="shared" si="41"/>
        <v>Standard Class</v>
      </c>
      <c r="AA318" s="6">
        <v>2</v>
      </c>
      <c r="AB318" s="6">
        <v>1947.53</v>
      </c>
      <c r="AC318" s="6">
        <v>0.2</v>
      </c>
      <c r="AD318" s="6">
        <v>3116.05</v>
      </c>
      <c r="AE318" s="6">
        <v>1956.63</v>
      </c>
      <c r="AF318" s="6">
        <v>1159.42</v>
      </c>
      <c r="AG318" s="6" t="s">
        <v>52</v>
      </c>
      <c r="AH318" s="6" t="str">
        <f t="shared" si="42"/>
        <v>Paid</v>
      </c>
      <c r="AI318" s="6" t="s">
        <v>58</v>
      </c>
      <c r="AJ318" s="6" t="str">
        <f t="shared" si="43"/>
        <v>Cancelled</v>
      </c>
      <c r="AK318" s="9" t="str">
        <f>_xlfn.TEXTJOIN("|",FALSE,A318,TEXT(B318,"mm-dd-yyyy"),TEXT(E318,"mm-dd-yyyy"),I318,J318,L318,N318,P318,R318,T318,V318,X318,Y318,AA318,AB318,AC318,AD318,AE318,AF318,AG318,AI318)</f>
        <v>ORD-2024-10317|16-02-2024|02-18-2024|CUST-9913|Karan Malhotra|Corporate|North|Punjab|Ludhiana|Office Supplies|Labels|Classic Labels 466|Standard Class|2|1947.53|0.2|3116.05|1956.63|1159.42|Paid|Cancelled</v>
      </c>
      <c r="AL318" s="27" t="str">
        <f>IF(COUNTIF($AK$2:AK318,AK318)&gt;1,"Remove exact duplicate copy","Keep")</f>
        <v>Keep</v>
      </c>
      <c r="AM318" s="9">
        <f t="shared" si="44"/>
        <v>1</v>
      </c>
      <c r="AN318" s="9" t="str">
        <f t="shared" si="45"/>
        <v>Unique</v>
      </c>
      <c r="AO318" s="9" t="str">
        <f t="shared" si="46"/>
        <v/>
      </c>
      <c r="AP318" s="9">
        <f t="shared" si="47"/>
        <v>0.2</v>
      </c>
      <c r="AQ318" s="10">
        <f t="shared" si="48"/>
        <v>3116.0480000000002</v>
      </c>
      <c r="AR318" s="10">
        <f t="shared" si="49"/>
        <v>1159.4180000000001</v>
      </c>
      <c r="AS318" s="11">
        <f t="shared" si="50"/>
        <v>0.37207963420332424</v>
      </c>
      <c r="AT318" s="9">
        <f t="shared" si="51"/>
        <v>2</v>
      </c>
      <c r="AU318" s="9">
        <f t="shared" si="52"/>
        <v>2024</v>
      </c>
      <c r="AV318" s="9" t="b">
        <f t="shared" si="53"/>
        <v>0</v>
      </c>
      <c r="AW318" s="9" t="b">
        <f t="shared" si="54"/>
        <v>0</v>
      </c>
      <c r="AX318" s="9" t="str">
        <f t="shared" si="55"/>
        <v>No</v>
      </c>
      <c r="AY318" s="9" t="str">
        <f t="shared" si="57"/>
        <v>Cancelled order excluded</v>
      </c>
      <c r="AZ318" s="9" t="str">
        <f>IF(OR(G318="Missing date",G318="Invalid date",G318="Ship date before order date",NOT(ISNUMBER(AP318)),AP318&lt;0,AP318&gt;0.5,AV318=TRUE,AW318=TRUE),"Invalid",IF(OR(O318="Unknown",Z318="Unknown",AC318="",AH318&lt;&gt;"Paid",AJ318&lt;&gt;"Completed",AO318&lt;&gt;""),"Warning","Clean"))</f>
        <v>Warning</v>
      </c>
    </row>
    <row r="319" spans="1:52" ht="15.75" customHeight="1">
      <c r="A319" s="6" t="s">
        <v>1702</v>
      </c>
      <c r="B319" s="7" t="s">
        <v>1703</v>
      </c>
      <c r="C319" s="7" t="str">
        <f t="shared" si="56"/>
        <v>2025-08</v>
      </c>
      <c r="D319" s="7" cm="1">
        <f t="array" ref="D319">_xlfn.LET(_xlpm.x,B319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45898</v>
      </c>
      <c r="E319" s="7" t="s">
        <v>1704</v>
      </c>
      <c r="F319" s="7" cm="1">
        <f t="array" ref="F319">_xlfn.LET(_xlpm.x,E319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45904</v>
      </c>
      <c r="G319" s="8" t="str">
        <f t="shared" si="32"/>
        <v>OK</v>
      </c>
      <c r="H319" s="6">
        <f t="shared" si="33"/>
        <v>6</v>
      </c>
      <c r="I319" s="6" t="s">
        <v>1705</v>
      </c>
      <c r="J319" s="6" t="s">
        <v>177</v>
      </c>
      <c r="K319" s="6" t="str">
        <f t="shared" si="34"/>
        <v>Neha Gupta</v>
      </c>
      <c r="L319" s="6" t="s">
        <v>45</v>
      </c>
      <c r="M319" s="8" t="str">
        <f t="shared" si="35"/>
        <v>Corporate</v>
      </c>
      <c r="N319" s="6" t="s">
        <v>10</v>
      </c>
      <c r="O319" s="6" t="str">
        <f t="shared" si="36"/>
        <v>South</v>
      </c>
      <c r="P319" s="6" t="s">
        <v>316</v>
      </c>
      <c r="Q319" s="6" t="str">
        <f t="shared" si="37"/>
        <v>Kerala</v>
      </c>
      <c r="R319" s="6" t="s">
        <v>317</v>
      </c>
      <c r="S319" s="6" t="str">
        <f t="shared" si="38"/>
        <v>Kochi</v>
      </c>
      <c r="T319" s="6" t="s">
        <v>14</v>
      </c>
      <c r="U319" s="8" t="str">
        <f t="shared" si="39"/>
        <v>Furniture</v>
      </c>
      <c r="V319" s="6" t="s">
        <v>18</v>
      </c>
      <c r="W319" s="6" t="str">
        <f t="shared" si="40"/>
        <v>Tables</v>
      </c>
      <c r="X319" s="6" t="s">
        <v>1706</v>
      </c>
      <c r="Y319" s="6" t="s">
        <v>35</v>
      </c>
      <c r="Z319" s="6" t="str">
        <f t="shared" si="41"/>
        <v>First Class</v>
      </c>
      <c r="AA319" s="6">
        <v>9</v>
      </c>
      <c r="AB319" s="6">
        <v>2996.97</v>
      </c>
      <c r="AC319" s="6">
        <v>0.15</v>
      </c>
      <c r="AD319" s="6">
        <v>22926.82</v>
      </c>
      <c r="AE319" s="6">
        <v>14621.59</v>
      </c>
      <c r="AF319" s="6">
        <v>8305.23</v>
      </c>
      <c r="AG319" s="6" t="s">
        <v>52</v>
      </c>
      <c r="AH319" s="6" t="str">
        <f t="shared" si="42"/>
        <v>Paid</v>
      </c>
      <c r="AI319" s="6" t="s">
        <v>134</v>
      </c>
      <c r="AJ319" s="6" t="str">
        <f t="shared" si="43"/>
        <v>Completed</v>
      </c>
      <c r="AK319" s="9" t="str">
        <f>_xlfn.TEXTJOIN("|",FALSE,A319,TEXT(B319,"mm-dd-yyyy"),TEXT(E319,"mm-dd-yyyy"),I319,J319,L319,N319,P319,R319,T319,V319,X319,Y319,AA319,AB319,AC319,AD319,AE319,AF319,AG319,AI319)</f>
        <v>ORD-2025-10318|29-08-2025|09-04-2025|CUST-7992|Neha Gupta|Corporate|South|Kerala|Kochi|Furniture|Tables|Pro Tables 778|First Class|9|2996.97|0.15|22926.82|14621.59|8305.23|Paid|Completed</v>
      </c>
      <c r="AL319" s="27" t="str">
        <f>IF(COUNTIF($AK$2:AK319,AK319)&gt;1,"Remove exact duplicate copy","Keep")</f>
        <v>Keep</v>
      </c>
      <c r="AM319" s="9">
        <f t="shared" si="44"/>
        <v>1</v>
      </c>
      <c r="AN319" s="9" t="str">
        <f t="shared" si="45"/>
        <v>Unique</v>
      </c>
      <c r="AO319" s="9" t="str">
        <f t="shared" si="46"/>
        <v/>
      </c>
      <c r="AP319" s="9">
        <f t="shared" si="47"/>
        <v>0.15</v>
      </c>
      <c r="AQ319" s="10">
        <f t="shared" si="48"/>
        <v>22926.820499999998</v>
      </c>
      <c r="AR319" s="10">
        <f t="shared" si="49"/>
        <v>8305.2304999999978</v>
      </c>
      <c r="AS319" s="11">
        <f t="shared" si="50"/>
        <v>0.36224955396671765</v>
      </c>
      <c r="AT319" s="9">
        <f t="shared" si="51"/>
        <v>8</v>
      </c>
      <c r="AU319" s="9">
        <f t="shared" si="52"/>
        <v>2025</v>
      </c>
      <c r="AV319" s="9" t="b">
        <f t="shared" si="53"/>
        <v>0</v>
      </c>
      <c r="AW319" s="9" t="b">
        <f t="shared" si="54"/>
        <v>0</v>
      </c>
      <c r="AX319" s="9" t="str">
        <f t="shared" si="55"/>
        <v>Yes</v>
      </c>
      <c r="AY319" s="9" t="str">
        <f t="shared" si="57"/>
        <v/>
      </c>
      <c r="AZ319" s="9" t="str">
        <f>IF(OR(G319="Missing date",G319="Invalid date",G319="Ship date before order date",NOT(ISNUMBER(AP319)),AP319&lt;0,AP319&gt;0.5,AV319=TRUE,AW319=TRUE),"Invalid",IF(OR(O319="Unknown",Z319="Unknown",AC319="",AH319&lt;&gt;"Paid",AJ319&lt;&gt;"Completed",AO319&lt;&gt;""),"Warning","Clean"))</f>
        <v>Clean</v>
      </c>
    </row>
    <row r="320" spans="1:52" ht="15.75" customHeight="1">
      <c r="A320" s="6" t="s">
        <v>1707</v>
      </c>
      <c r="B320" s="7" t="s">
        <v>1708</v>
      </c>
      <c r="C320" s="7" t="str">
        <f t="shared" si="56"/>
        <v>2024-04</v>
      </c>
      <c r="D320" s="7" cm="1">
        <f t="array" ref="D320">_xlfn.LET(_xlpm.x,B320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45407</v>
      </c>
      <c r="E320" s="7" t="s">
        <v>1709</v>
      </c>
      <c r="F320" s="7" cm="1">
        <f t="array" ref="F320">_xlfn.LET(_xlpm.x,E320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45412</v>
      </c>
      <c r="G320" s="8" t="str">
        <f t="shared" si="32"/>
        <v>OK</v>
      </c>
      <c r="H320" s="6">
        <f t="shared" si="33"/>
        <v>5</v>
      </c>
      <c r="I320" s="6" t="s">
        <v>1710</v>
      </c>
      <c r="J320" s="6" t="s">
        <v>139</v>
      </c>
      <c r="K320" s="6" t="str">
        <f t="shared" si="34"/>
        <v>Mira Das</v>
      </c>
      <c r="L320" s="6" t="s">
        <v>46</v>
      </c>
      <c r="M320" s="8" t="str">
        <f t="shared" si="35"/>
        <v>Small Business</v>
      </c>
      <c r="N320" s="6" t="s">
        <v>10</v>
      </c>
      <c r="O320" s="6" t="str">
        <f t="shared" si="36"/>
        <v>South</v>
      </c>
      <c r="P320" s="6" t="s">
        <v>303</v>
      </c>
      <c r="Q320" s="6" t="str">
        <f t="shared" si="37"/>
        <v>Karnataka</v>
      </c>
      <c r="R320" s="6" t="s">
        <v>304</v>
      </c>
      <c r="S320" s="6" t="str">
        <f t="shared" si="38"/>
        <v>Bengaluru</v>
      </c>
      <c r="T320" s="6" t="s">
        <v>27</v>
      </c>
      <c r="U320" s="8" t="str">
        <f t="shared" si="39"/>
        <v>Technology</v>
      </c>
      <c r="V320" s="6" t="s">
        <v>31</v>
      </c>
      <c r="W320" s="6" t="str">
        <f t="shared" si="40"/>
        <v>Phones</v>
      </c>
      <c r="X320" s="6" t="s">
        <v>1711</v>
      </c>
      <c r="Y320" s="6" t="s">
        <v>34</v>
      </c>
      <c r="Z320" s="6" t="str">
        <f t="shared" si="41"/>
        <v>Standard Class</v>
      </c>
      <c r="AA320" s="6">
        <v>3</v>
      </c>
      <c r="AB320" s="6">
        <v>4149.46</v>
      </c>
      <c r="AC320" s="6">
        <v>0.1</v>
      </c>
      <c r="AD320" s="6">
        <v>11203.54</v>
      </c>
      <c r="AE320" s="6">
        <v>8452.93</v>
      </c>
      <c r="AF320" s="6">
        <v>2750.61</v>
      </c>
      <c r="AG320" s="6" t="s">
        <v>52</v>
      </c>
      <c r="AH320" s="6" t="str">
        <f t="shared" si="42"/>
        <v>Paid</v>
      </c>
      <c r="AI320" s="6" t="s">
        <v>134</v>
      </c>
      <c r="AJ320" s="6" t="str">
        <f t="shared" si="43"/>
        <v>Completed</v>
      </c>
      <c r="AK320" s="9" t="str">
        <f>_xlfn.TEXTJOIN("|",FALSE,A320,TEXT(B320,"mm-dd-yyyy"),TEXT(E320,"mm-dd-yyyy"),I320,J320,L320,N320,P320,R320,T320,V320,X320,Y320,AA320,AB320,AC320,AD320,AE320,AF320,AG320,AI320)</f>
        <v>ORD-2024-10319|04-25-2024|30-04-2024|CUST-8877|Mira Das|Small Business|South|Karnataka|Bengaluru|Technology|Phones|Basic Phones 789|Standard Class|3|4149.46|0.1|11203.54|8452.93|2750.61|Paid|Completed</v>
      </c>
      <c r="AL320" s="27" t="str">
        <f>IF(COUNTIF($AK$2:AK320,AK320)&gt;1,"Remove exact duplicate copy","Keep")</f>
        <v>Keep</v>
      </c>
      <c r="AM320" s="9">
        <f t="shared" si="44"/>
        <v>1</v>
      </c>
      <c r="AN320" s="9" t="str">
        <f t="shared" si="45"/>
        <v>Unique</v>
      </c>
      <c r="AO320" s="9" t="str">
        <f t="shared" si="46"/>
        <v/>
      </c>
      <c r="AP320" s="9">
        <f t="shared" si="47"/>
        <v>0.1</v>
      </c>
      <c r="AQ320" s="10">
        <f t="shared" si="48"/>
        <v>11203.542000000001</v>
      </c>
      <c r="AR320" s="10">
        <f t="shared" si="49"/>
        <v>2750.612000000001</v>
      </c>
      <c r="AS320" s="11">
        <f t="shared" si="50"/>
        <v>0.24551271374713468</v>
      </c>
      <c r="AT320" s="9">
        <f t="shared" si="51"/>
        <v>4</v>
      </c>
      <c r="AU320" s="9">
        <f t="shared" si="52"/>
        <v>2024</v>
      </c>
      <c r="AV320" s="9" t="b">
        <f t="shared" si="53"/>
        <v>0</v>
      </c>
      <c r="AW320" s="9" t="b">
        <f t="shared" si="54"/>
        <v>0</v>
      </c>
      <c r="AX320" s="9" t="str">
        <f t="shared" si="55"/>
        <v>Yes</v>
      </c>
      <c r="AY320" s="9" t="str">
        <f t="shared" si="57"/>
        <v/>
      </c>
      <c r="AZ320" s="9" t="str">
        <f>IF(OR(G320="Missing date",G320="Invalid date",G320="Ship date before order date",NOT(ISNUMBER(AP320)),AP320&lt;0,AP320&gt;0.5,AV320=TRUE,AW320=TRUE),"Invalid",IF(OR(O320="Unknown",Z320="Unknown",AC320="",AH320&lt;&gt;"Paid",AJ320&lt;&gt;"Completed",AO320&lt;&gt;""),"Warning","Clean"))</f>
        <v>Clean</v>
      </c>
    </row>
    <row r="321" spans="1:52" ht="15.75" customHeight="1">
      <c r="A321" s="6" t="s">
        <v>1712</v>
      </c>
      <c r="B321" s="7" t="s">
        <v>1713</v>
      </c>
      <c r="C321" s="7" t="str">
        <f t="shared" si="56"/>
        <v>2024-08</v>
      </c>
      <c r="D321" s="7" cm="1">
        <f t="array" ref="D321">_xlfn.LET(_xlpm.x,B321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45525</v>
      </c>
      <c r="E321" s="7" t="s">
        <v>1714</v>
      </c>
      <c r="F321" s="7" cm="1">
        <f t="array" ref="F321">_xlfn.LET(_xlpm.x,E321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45529</v>
      </c>
      <c r="G321" s="8" t="str">
        <f t="shared" si="32"/>
        <v>OK</v>
      </c>
      <c r="H321" s="6">
        <f t="shared" si="33"/>
        <v>4</v>
      </c>
      <c r="I321" s="6" t="s">
        <v>1715</v>
      </c>
      <c r="J321" s="6" t="s">
        <v>284</v>
      </c>
      <c r="K321" s="6" t="str">
        <f t="shared" si="34"/>
        <v>Diya Patel</v>
      </c>
      <c r="L321" s="6" t="s">
        <v>43</v>
      </c>
      <c r="M321" s="8" t="str">
        <f t="shared" si="35"/>
        <v>Consumer</v>
      </c>
      <c r="N321" s="6" t="s">
        <v>9</v>
      </c>
      <c r="O321" s="6" t="str">
        <f t="shared" si="36"/>
        <v>West</v>
      </c>
      <c r="P321" s="6" t="s">
        <v>309</v>
      </c>
      <c r="Q321" s="6" t="str">
        <f t="shared" si="37"/>
        <v>Gujarat</v>
      </c>
      <c r="R321" s="6" t="s">
        <v>310</v>
      </c>
      <c r="S321" s="6" t="str">
        <f t="shared" si="38"/>
        <v>Ahmedabad</v>
      </c>
      <c r="T321" s="6" t="s">
        <v>20</v>
      </c>
      <c r="U321" s="8" t="str">
        <f t="shared" si="39"/>
        <v>Office Supplies</v>
      </c>
      <c r="V321" s="6" t="s">
        <v>22</v>
      </c>
      <c r="W321" s="6" t="str">
        <f t="shared" si="40"/>
        <v>Binders</v>
      </c>
      <c r="X321" s="6" t="s">
        <v>1716</v>
      </c>
      <c r="Y321" s="6" t="s">
        <v>35</v>
      </c>
      <c r="Z321" s="6" t="str">
        <f t="shared" si="41"/>
        <v>First Class</v>
      </c>
      <c r="AA321" s="6">
        <v>1</v>
      </c>
      <c r="AB321" s="6">
        <v>270.27999999999997</v>
      </c>
      <c r="AC321" s="6">
        <v>0</v>
      </c>
      <c r="AD321" s="6">
        <v>270.27999999999997</v>
      </c>
      <c r="AE321" s="6">
        <v>156.34</v>
      </c>
      <c r="AF321" s="6">
        <v>113.94</v>
      </c>
      <c r="AG321" s="6" t="s">
        <v>52</v>
      </c>
      <c r="AH321" s="6" t="str">
        <f t="shared" si="42"/>
        <v>Paid</v>
      </c>
      <c r="AI321" s="6" t="s">
        <v>134</v>
      </c>
      <c r="AJ321" s="6" t="str">
        <f t="shared" si="43"/>
        <v>Completed</v>
      </c>
      <c r="AK321" s="9" t="str">
        <f>_xlfn.TEXTJOIN("|",FALSE,A321,TEXT(B321,"mm-dd-yyyy"),TEXT(E321,"mm-dd-yyyy"),I321,J321,L321,N321,P321,R321,T321,V321,X321,Y321,AA321,AB321,AC321,AD321,AE321,AF321,AG321,AI321)</f>
        <v>ORD-2024-10320|08-21-2024|08-25-2024|CUST-4589|Diya Patel|Consumer|West|Gujarat|Ahmedabad|Office Supplies|Binders|Prime Binders 554|First Class|1|270.28|0|270.28|156.34|113.94|Paid|Completed</v>
      </c>
      <c r="AL321" s="27" t="str">
        <f>IF(COUNTIF($AK$2:AK321,AK321)&gt;1,"Remove exact duplicate copy","Keep")</f>
        <v>Keep</v>
      </c>
      <c r="AM321" s="9">
        <f t="shared" si="44"/>
        <v>1</v>
      </c>
      <c r="AN321" s="9" t="str">
        <f t="shared" si="45"/>
        <v>Unique</v>
      </c>
      <c r="AO321" s="9" t="str">
        <f t="shared" si="46"/>
        <v/>
      </c>
      <c r="AP321" s="9">
        <f t="shared" si="47"/>
        <v>0</v>
      </c>
      <c r="AQ321" s="10">
        <f t="shared" si="48"/>
        <v>270.27999999999997</v>
      </c>
      <c r="AR321" s="10">
        <f t="shared" si="49"/>
        <v>113.93999999999997</v>
      </c>
      <c r="AS321" s="11">
        <f t="shared" si="50"/>
        <v>0.42156282373834536</v>
      </c>
      <c r="AT321" s="9">
        <f t="shared" si="51"/>
        <v>8</v>
      </c>
      <c r="AU321" s="9">
        <f t="shared" si="52"/>
        <v>2024</v>
      </c>
      <c r="AV321" s="9" t="b">
        <f t="shared" si="53"/>
        <v>0</v>
      </c>
      <c r="AW321" s="9" t="b">
        <f t="shared" si="54"/>
        <v>0</v>
      </c>
      <c r="AX321" s="9" t="str">
        <f t="shared" si="55"/>
        <v>Yes</v>
      </c>
      <c r="AY321" s="9" t="str">
        <f t="shared" si="57"/>
        <v/>
      </c>
      <c r="AZ321" s="9" t="str">
        <f>IF(OR(G321="Missing date",G321="Invalid date",G321="Ship date before order date",NOT(ISNUMBER(AP321)),AP321&lt;0,AP321&gt;0.5,AV321=TRUE,AW321=TRUE),"Invalid",IF(OR(O321="Unknown",Z321="Unknown",AC321="",AH321&lt;&gt;"Paid",AJ321&lt;&gt;"Completed",AO321&lt;&gt;""),"Warning","Clean"))</f>
        <v>Clean</v>
      </c>
    </row>
    <row r="322" spans="1:52" ht="15.75" customHeight="1">
      <c r="A322" s="6" t="s">
        <v>1717</v>
      </c>
      <c r="B322" s="7" t="s">
        <v>1718</v>
      </c>
      <c r="C322" s="7" t="str">
        <f t="shared" ref="C322:C385" si="58">TEXT(D322, "yyyy-mm")</f>
        <v>2024-12</v>
      </c>
      <c r="D322" s="7" cm="1">
        <f t="array" ref="D322">_xlfn.LET(_xlpm.x,B322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45630</v>
      </c>
      <c r="E322" s="7" t="s">
        <v>1719</v>
      </c>
      <c r="F322" s="7" cm="1">
        <f t="array" ref="F322">_xlfn.LET(_xlpm.x,E322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45632</v>
      </c>
      <c r="G322" s="8" t="str">
        <f t="shared" si="32"/>
        <v>OK</v>
      </c>
      <c r="H322" s="6">
        <f t="shared" si="33"/>
        <v>2</v>
      </c>
      <c r="I322" s="6" t="s">
        <v>1720</v>
      </c>
      <c r="J322" s="6" t="s">
        <v>239</v>
      </c>
      <c r="K322" s="6" t="str">
        <f t="shared" si="34"/>
        <v>Aarav Sharma</v>
      </c>
      <c r="L322" s="6" t="s">
        <v>44</v>
      </c>
      <c r="M322" s="8" t="str">
        <f t="shared" si="35"/>
        <v>Home Office</v>
      </c>
      <c r="N322" s="6" t="s">
        <v>8</v>
      </c>
      <c r="O322" s="6" t="str">
        <f t="shared" si="36"/>
        <v>East</v>
      </c>
      <c r="P322" s="6" t="s">
        <v>201</v>
      </c>
      <c r="Q322" s="6" t="str">
        <f t="shared" si="37"/>
        <v>West Bengal</v>
      </c>
      <c r="R322" s="6" t="s">
        <v>202</v>
      </c>
      <c r="S322" s="6" t="str">
        <f t="shared" si="38"/>
        <v>Kolkata</v>
      </c>
      <c r="T322" s="6" t="s">
        <v>20</v>
      </c>
      <c r="U322" s="8" t="str">
        <f t="shared" si="39"/>
        <v>Office Supplies</v>
      </c>
      <c r="V322" s="6" t="s">
        <v>21</v>
      </c>
      <c r="W322" s="6" t="str">
        <f t="shared" si="40"/>
        <v>Art</v>
      </c>
      <c r="X322" s="6" t="s">
        <v>1721</v>
      </c>
      <c r="Y322" s="6" t="s">
        <v>36</v>
      </c>
      <c r="Z322" s="6" t="str">
        <f t="shared" si="41"/>
        <v>Second Class</v>
      </c>
      <c r="AA322" s="6">
        <v>3</v>
      </c>
      <c r="AB322" s="6">
        <v>876.14</v>
      </c>
      <c r="AC322" s="6" t="s">
        <v>761</v>
      </c>
      <c r="AD322" s="6">
        <v>2628.42</v>
      </c>
      <c r="AE322" s="6">
        <v>1541.54</v>
      </c>
      <c r="AF322" s="6">
        <v>1086.8800000000001</v>
      </c>
      <c r="AG322" s="6" t="s">
        <v>54</v>
      </c>
      <c r="AH322" s="6" t="str">
        <f t="shared" si="42"/>
        <v>Pending</v>
      </c>
      <c r="AI322" s="6" t="s">
        <v>59</v>
      </c>
      <c r="AJ322" s="6" t="str">
        <f t="shared" si="43"/>
        <v>Returned</v>
      </c>
      <c r="AK322" s="9" t="str">
        <f>_xlfn.TEXTJOIN("|",FALSE,A322,TEXT(B322,"mm-dd-yyyy"),TEXT(E322,"mm-dd-yyyy"),I322,J322,L322,N322,P322,R322,T322,V322,X322,Y322,AA322,AB322,AC322,AD322,AE322,AF322,AG322,AI322)</f>
        <v>ORD-2024-10321|12-04-2024|12-06-2024|CUST-4667|Aarav Sharma|Home Office|East|West Bengal|Kolkata|Office Supplies|Art|Classic Art 299|Second Class|3|876.14|70%|2628.42|1541.54|1086.88|Pending|Returned</v>
      </c>
      <c r="AL322" s="27" t="str">
        <f>IF(COUNTIF($AK$2:AK322,AK322)&gt;1,"Remove exact duplicate copy","Keep")</f>
        <v>Keep</v>
      </c>
      <c r="AM322" s="9">
        <f t="shared" si="44"/>
        <v>1</v>
      </c>
      <c r="AN322" s="9" t="str">
        <f t="shared" si="45"/>
        <v>Unique</v>
      </c>
      <c r="AO322" s="9" t="str">
        <f t="shared" si="46"/>
        <v/>
      </c>
      <c r="AP322" s="9">
        <f t="shared" si="47"/>
        <v>0.7</v>
      </c>
      <c r="AQ322" s="10">
        <f t="shared" si="48"/>
        <v>788.52600000000018</v>
      </c>
      <c r="AR322" s="10">
        <f t="shared" si="49"/>
        <v>-753.01399999999978</v>
      </c>
      <c r="AS322" s="11">
        <f t="shared" si="50"/>
        <v>-0.95496407220560842</v>
      </c>
      <c r="AT322" s="9">
        <f t="shared" si="51"/>
        <v>12</v>
      </c>
      <c r="AU322" s="9">
        <f t="shared" si="52"/>
        <v>2024</v>
      </c>
      <c r="AV322" s="9" t="b">
        <f t="shared" si="53"/>
        <v>1</v>
      </c>
      <c r="AW322" s="9" t="b">
        <f t="shared" si="54"/>
        <v>1</v>
      </c>
      <c r="AX322" s="9" t="str">
        <f t="shared" si="55"/>
        <v>No</v>
      </c>
      <c r="AY322" s="9" t="str">
        <f t="shared" si="57"/>
        <v>Discount above 50%; Returned order excluded; Sales mismatch; Profit mismatch</v>
      </c>
      <c r="AZ322" s="9" t="str">
        <f>IF(OR(G322="Missing date",G322="Invalid date",G322="Ship date before order date",NOT(ISNUMBER(AP322)),AP322&lt;0,AP322&gt;0.5,AV322=TRUE,AW322=TRUE),"Invalid",IF(OR(O322="Unknown",Z322="Unknown",AC322="",AH322&lt;&gt;"Paid",AJ322&lt;&gt;"Completed",AO322&lt;&gt;""),"Warning","Clean"))</f>
        <v>Invalid</v>
      </c>
    </row>
    <row r="323" spans="1:52" ht="15.75" customHeight="1">
      <c r="A323" s="6" t="s">
        <v>1722</v>
      </c>
      <c r="B323" s="7" t="s">
        <v>1723</v>
      </c>
      <c r="C323" s="7" t="str">
        <f t="shared" si="58"/>
        <v>2024-06</v>
      </c>
      <c r="D323" s="7" cm="1">
        <f t="array" ref="D323">_xlfn.LET(_xlpm.x,B323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45466</v>
      </c>
      <c r="E323" s="7" t="s">
        <v>1724</v>
      </c>
      <c r="F323" s="7" cm="1">
        <f t="array" ref="F323">_xlfn.LET(_xlpm.x,E323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45473</v>
      </c>
      <c r="G323" s="8" t="str">
        <f t="shared" si="32"/>
        <v>OK</v>
      </c>
      <c r="H323" s="6">
        <f t="shared" si="33"/>
        <v>7</v>
      </c>
      <c r="I323" s="6" t="s">
        <v>1725</v>
      </c>
      <c r="J323" s="6" t="s">
        <v>177</v>
      </c>
      <c r="K323" s="6" t="str">
        <f t="shared" si="34"/>
        <v>Neha Gupta</v>
      </c>
      <c r="L323" s="6" t="s">
        <v>46</v>
      </c>
      <c r="M323" s="8" t="str">
        <f t="shared" si="35"/>
        <v>Small Business</v>
      </c>
      <c r="N323" s="6" t="s">
        <v>9</v>
      </c>
      <c r="O323" s="6" t="str">
        <f t="shared" si="36"/>
        <v>West</v>
      </c>
      <c r="P323" s="6" t="s">
        <v>323</v>
      </c>
      <c r="Q323" s="6" t="str">
        <f t="shared" si="37"/>
        <v>Goa</v>
      </c>
      <c r="R323" s="6" t="s">
        <v>324</v>
      </c>
      <c r="S323" s="6" t="str">
        <f t="shared" si="38"/>
        <v>Panaji</v>
      </c>
      <c r="T323" s="6" t="s">
        <v>27</v>
      </c>
      <c r="U323" s="8" t="str">
        <f t="shared" si="39"/>
        <v>Technology</v>
      </c>
      <c r="V323" s="6" t="s">
        <v>28</v>
      </c>
      <c r="W323" s="6" t="str">
        <f t="shared" si="40"/>
        <v>Accessories</v>
      </c>
      <c r="X323" s="6" t="s">
        <v>1726</v>
      </c>
      <c r="Y323" s="6" t="s">
        <v>37</v>
      </c>
      <c r="Z323" s="6" t="str">
        <f t="shared" si="41"/>
        <v>Same Day</v>
      </c>
      <c r="AA323" s="6">
        <v>4</v>
      </c>
      <c r="AB323" s="6">
        <v>674.82</v>
      </c>
      <c r="AC323" s="6">
        <v>0</v>
      </c>
      <c r="AD323" s="6">
        <v>2699.28</v>
      </c>
      <c r="AE323" s="6">
        <v>1759.76</v>
      </c>
      <c r="AF323" s="6">
        <v>939.52</v>
      </c>
      <c r="AG323" s="6" t="s">
        <v>50</v>
      </c>
      <c r="AH323" s="6" t="str">
        <f t="shared" si="42"/>
        <v>Failed</v>
      </c>
      <c r="AI323" s="6" t="s">
        <v>58</v>
      </c>
      <c r="AJ323" s="6" t="str">
        <f t="shared" si="43"/>
        <v>Cancelled</v>
      </c>
      <c r="AK323" s="9" t="str">
        <f>_xlfn.TEXTJOIN("|",FALSE,A323,TEXT(B323,"mm-dd-yyyy"),TEXT(E323,"mm-dd-yyyy"),I323,J323,L323,N323,P323,R323,T323,V323,X323,Y323,AA323,AB323,AC323,AD323,AE323,AF323,AG323,AI323)</f>
        <v>ORD-2024-10322|06-23-2024|06-30-2024|CUST-7821|Neha Gupta|Small Business|West|Goa|Panaji|Technology|Accessories|Eco Accessories 220|Same Day|4|674.82|0|2699.28|1759.76|939.52|Failed|Cancelled</v>
      </c>
      <c r="AL323" s="27" t="str">
        <f>IF(COUNTIF($AK$2:AK323,AK323)&gt;1,"Remove exact duplicate copy","Keep")</f>
        <v>Keep</v>
      </c>
      <c r="AM323" s="9">
        <f t="shared" si="44"/>
        <v>1</v>
      </c>
      <c r="AN323" s="9" t="str">
        <f t="shared" si="45"/>
        <v>Unique</v>
      </c>
      <c r="AO323" s="9" t="str">
        <f t="shared" si="46"/>
        <v/>
      </c>
      <c r="AP323" s="9">
        <f t="shared" si="47"/>
        <v>0</v>
      </c>
      <c r="AQ323" s="10">
        <f t="shared" si="48"/>
        <v>2699.28</v>
      </c>
      <c r="AR323" s="10">
        <f t="shared" si="49"/>
        <v>939.52000000000021</v>
      </c>
      <c r="AS323" s="11">
        <f t="shared" si="50"/>
        <v>0.34806318722029583</v>
      </c>
      <c r="AT323" s="9">
        <f t="shared" si="51"/>
        <v>6</v>
      </c>
      <c r="AU323" s="9">
        <f t="shared" si="52"/>
        <v>2024</v>
      </c>
      <c r="AV323" s="9" t="b">
        <f t="shared" si="53"/>
        <v>0</v>
      </c>
      <c r="AW323" s="9" t="b">
        <f t="shared" si="54"/>
        <v>0</v>
      </c>
      <c r="AX323" s="9" t="str">
        <f t="shared" si="55"/>
        <v>No</v>
      </c>
      <c r="AY323" s="9" t="str">
        <f t="shared" ref="AY323:AY386" si="59">_xlfn.TEXTJOIN("; ",TRUE,IF(O323="Unknown","Missing region filled as Unknown",""),IF(Z323="Unknown","Missing ship mode filled as Unknown",""),IF(AND(AC323="",AP323=0),"Missing discount treated as 0",""),IF(AP323&lt;0,"Negative discount",""),IF(AP323&gt;0.5,"Discount above 50%",""),IF(G323="Ship date before order date","Ship date before order date",""),IF(AH323="Failed","Failed payment excluded",""),IF(AH323="Refunded","Refunded order summarized separately",""),IF(AJ323="Cancelled","Cancelled order excluded",""),IF(AJ323="Returned","Returned order excluded",""),IF(AO323&lt;&gt;"","Duplicate order ID conflict",""),IF(AV323=TRUE,"Sales mismatch",""),IF(AW323=TRUE,"Profit mismatch",""))</f>
        <v>Failed payment excluded; Cancelled order excluded</v>
      </c>
      <c r="AZ323" s="9" t="str">
        <f>IF(OR(G323="Missing date",G323="Invalid date",G323="Ship date before order date",NOT(ISNUMBER(AP323)),AP323&lt;0,AP323&gt;0.5,AV323=TRUE,AW323=TRUE),"Invalid",IF(OR(O323="Unknown",Z323="Unknown",AC323="",AH323&lt;&gt;"Paid",AJ323&lt;&gt;"Completed",AO323&lt;&gt;""),"Warning","Clean"))</f>
        <v>Warning</v>
      </c>
    </row>
    <row r="324" spans="1:52" ht="15.75" customHeight="1">
      <c r="A324" s="6" t="s">
        <v>1727</v>
      </c>
      <c r="B324" s="7" t="s">
        <v>1623</v>
      </c>
      <c r="C324" s="7" t="str">
        <f t="shared" si="58"/>
        <v>2024-11</v>
      </c>
      <c r="D324" s="7" cm="1">
        <f t="array" ref="D324">_xlfn.LET(_xlpm.x,B324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45608</v>
      </c>
      <c r="E324" s="7" t="s">
        <v>1728</v>
      </c>
      <c r="F324" s="7" cm="1">
        <f t="array" ref="F324">_xlfn.LET(_xlpm.x,E324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45608</v>
      </c>
      <c r="G324" s="8" t="str">
        <f t="shared" si="32"/>
        <v>OK</v>
      </c>
      <c r="H324" s="6">
        <f t="shared" si="33"/>
        <v>0</v>
      </c>
      <c r="I324" s="6" t="s">
        <v>1729</v>
      </c>
      <c r="J324" s="6" t="s">
        <v>147</v>
      </c>
      <c r="K324" s="6" t="str">
        <f t="shared" si="34"/>
        <v>Isha Nair</v>
      </c>
      <c r="L324" s="6" t="s">
        <v>43</v>
      </c>
      <c r="M324" s="8" t="str">
        <f t="shared" si="35"/>
        <v>Consumer</v>
      </c>
      <c r="N324" s="6" t="s">
        <v>7</v>
      </c>
      <c r="O324" s="6" t="str">
        <f t="shared" si="36"/>
        <v>North</v>
      </c>
      <c r="P324" s="6" t="s">
        <v>251</v>
      </c>
      <c r="Q324" s="6" t="str">
        <f t="shared" si="37"/>
        <v>Uttar Pradesh</v>
      </c>
      <c r="R324" s="6" t="s">
        <v>252</v>
      </c>
      <c r="S324" s="6" t="str">
        <f t="shared" si="38"/>
        <v>Noida</v>
      </c>
      <c r="T324" s="6" t="s">
        <v>27</v>
      </c>
      <c r="U324" s="8" t="str">
        <f t="shared" si="39"/>
        <v>Technology</v>
      </c>
      <c r="V324" s="6" t="s">
        <v>31</v>
      </c>
      <c r="W324" s="6" t="str">
        <f t="shared" si="40"/>
        <v>Phones</v>
      </c>
      <c r="X324" s="6" t="s">
        <v>1730</v>
      </c>
      <c r="Y324" s="6" t="s">
        <v>36</v>
      </c>
      <c r="Z324" s="6" t="str">
        <f t="shared" si="41"/>
        <v>Second Class</v>
      </c>
      <c r="AA324" s="6">
        <v>6</v>
      </c>
      <c r="AB324" s="6">
        <v>1369.48</v>
      </c>
      <c r="AC324" s="6">
        <v>0.15</v>
      </c>
      <c r="AD324" s="6">
        <v>6984.35</v>
      </c>
      <c r="AE324" s="6">
        <v>4023.63</v>
      </c>
      <c r="AF324" s="6">
        <v>2960.72</v>
      </c>
      <c r="AG324" s="6" t="s">
        <v>52</v>
      </c>
      <c r="AH324" s="6" t="str">
        <f t="shared" si="42"/>
        <v>Paid</v>
      </c>
      <c r="AI324" s="6" t="s">
        <v>134</v>
      </c>
      <c r="AJ324" s="6" t="str">
        <f t="shared" si="43"/>
        <v>Completed</v>
      </c>
      <c r="AK324" s="9" t="str">
        <f>_xlfn.TEXTJOIN("|",FALSE,A324,TEXT(B324,"mm-dd-yyyy"),TEXT(E324,"mm-dd-yyyy"),I324,J324,L324,N324,P324,R324,T324,V324,X324,Y324,AA324,AB324,AC324,AD324,AE324,AF324,AG324,AI324)</f>
        <v>ORD-2024-10323|11-12-2024|12-11-2024|CUST-8579|Isha Nair|Consumer|North|Uttar Pradesh|Noida|Technology|Phones|Max Phones 422|Second Class|6|1369.48|0.15|6984.35|4023.63|2960.72|Paid|Completed</v>
      </c>
      <c r="AL324" s="27" t="str">
        <f>IF(COUNTIF($AK$2:AK324,AK324)&gt;1,"Remove exact duplicate copy","Keep")</f>
        <v>Keep</v>
      </c>
      <c r="AM324" s="9">
        <f t="shared" si="44"/>
        <v>1</v>
      </c>
      <c r="AN324" s="9" t="str">
        <f t="shared" si="45"/>
        <v>Unique</v>
      </c>
      <c r="AO324" s="9" t="str">
        <f t="shared" si="46"/>
        <v/>
      </c>
      <c r="AP324" s="9">
        <f t="shared" si="47"/>
        <v>0.15</v>
      </c>
      <c r="AQ324" s="10">
        <f t="shared" si="48"/>
        <v>6984.3480000000009</v>
      </c>
      <c r="AR324" s="10">
        <f t="shared" si="49"/>
        <v>2960.7180000000008</v>
      </c>
      <c r="AS324" s="11">
        <f t="shared" si="50"/>
        <v>0.42390757161584736</v>
      </c>
      <c r="AT324" s="9">
        <f t="shared" si="51"/>
        <v>11</v>
      </c>
      <c r="AU324" s="9">
        <f t="shared" si="52"/>
        <v>2024</v>
      </c>
      <c r="AV324" s="9" t="b">
        <f t="shared" si="53"/>
        <v>0</v>
      </c>
      <c r="AW324" s="9" t="b">
        <f t="shared" si="54"/>
        <v>0</v>
      </c>
      <c r="AX324" s="9" t="str">
        <f t="shared" si="55"/>
        <v>Yes</v>
      </c>
      <c r="AY324" s="9" t="str">
        <f t="shared" si="59"/>
        <v/>
      </c>
      <c r="AZ324" s="9" t="str">
        <f>IF(OR(G324="Missing date",G324="Invalid date",G324="Ship date before order date",NOT(ISNUMBER(AP324)),AP324&lt;0,AP324&gt;0.5,AV324=TRUE,AW324=TRUE),"Invalid",IF(OR(O324="Unknown",Z324="Unknown",AC324="",AH324&lt;&gt;"Paid",AJ324&lt;&gt;"Completed",AO324&lt;&gt;""),"Warning","Clean"))</f>
        <v>Clean</v>
      </c>
    </row>
    <row r="325" spans="1:52" ht="15.75" customHeight="1">
      <c r="A325" s="6" t="s">
        <v>1731</v>
      </c>
      <c r="B325" s="7" t="s">
        <v>1732</v>
      </c>
      <c r="C325" s="7" t="str">
        <f t="shared" si="58"/>
        <v>2024-02</v>
      </c>
      <c r="D325" s="7" cm="1">
        <f t="array" ref="D325">_xlfn.LET(_xlpm.x,B325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45347</v>
      </c>
      <c r="E325" s="7" t="s">
        <v>1733</v>
      </c>
      <c r="F325" s="7" cm="1">
        <f t="array" ref="F325">_xlfn.LET(_xlpm.x,E325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45351</v>
      </c>
      <c r="G325" s="8" t="str">
        <f t="shared" si="32"/>
        <v>OK</v>
      </c>
      <c r="H325" s="6">
        <f t="shared" si="33"/>
        <v>4</v>
      </c>
      <c r="I325" s="6" t="s">
        <v>1734</v>
      </c>
      <c r="J325" s="6" t="s">
        <v>147</v>
      </c>
      <c r="K325" s="6" t="str">
        <f t="shared" si="34"/>
        <v>Isha Nair</v>
      </c>
      <c r="L325" s="6" t="s">
        <v>46</v>
      </c>
      <c r="M325" s="8" t="str">
        <f t="shared" si="35"/>
        <v>Small Business</v>
      </c>
      <c r="N325" s="6" t="s">
        <v>9</v>
      </c>
      <c r="O325" s="6" t="str">
        <f t="shared" si="36"/>
        <v>West</v>
      </c>
      <c r="P325" s="6" t="s">
        <v>323</v>
      </c>
      <c r="Q325" s="6" t="str">
        <f t="shared" si="37"/>
        <v>Goa</v>
      </c>
      <c r="R325" s="6" t="s">
        <v>324</v>
      </c>
      <c r="S325" s="6" t="str">
        <f t="shared" si="38"/>
        <v>Panaji</v>
      </c>
      <c r="T325" s="6" t="s">
        <v>14</v>
      </c>
      <c r="U325" s="8" t="str">
        <f t="shared" si="39"/>
        <v>Furniture</v>
      </c>
      <c r="V325" s="6" t="s">
        <v>17</v>
      </c>
      <c r="W325" s="6" t="str">
        <f t="shared" si="40"/>
        <v>Furnishings</v>
      </c>
      <c r="X325" s="6" t="s">
        <v>270</v>
      </c>
      <c r="Y325" s="6" t="s">
        <v>34</v>
      </c>
      <c r="Z325" s="6" t="str">
        <f t="shared" si="41"/>
        <v>Standard Class</v>
      </c>
      <c r="AA325" s="6">
        <v>9</v>
      </c>
      <c r="AB325" s="6">
        <v>1331.46</v>
      </c>
      <c r="AC325" s="6">
        <v>0.15</v>
      </c>
      <c r="AD325" s="6">
        <v>10185.67</v>
      </c>
      <c r="AE325" s="6">
        <v>6479.31</v>
      </c>
      <c r="AF325" s="6">
        <v>3706.36</v>
      </c>
      <c r="AG325" s="6" t="s">
        <v>52</v>
      </c>
      <c r="AH325" s="6" t="str">
        <f t="shared" si="42"/>
        <v>Paid</v>
      </c>
      <c r="AI325" s="6" t="s">
        <v>134</v>
      </c>
      <c r="AJ325" s="6" t="str">
        <f t="shared" si="43"/>
        <v>Completed</v>
      </c>
      <c r="AK325" s="9" t="str">
        <f>_xlfn.TEXTJOIN("|",FALSE,A325,TEXT(B325,"mm-dd-yyyy"),TEXT(E325,"mm-dd-yyyy"),I325,J325,L325,N325,P325,R325,T325,V325,X325,Y325,AA325,AB325,AC325,AD325,AE325,AF325,AG325,AI325)</f>
        <v>ORD-2024-10324|25-02-2024|02-29-2024|CUST-6909|Isha Nair|Small Business|West|Goa|Panaji|Furniture|Furnishings|Eco Furnishings 897|Standard Class|9|1331.46|0.15|10185.67|6479.31|3706.36|Paid|Completed</v>
      </c>
      <c r="AL325" s="27" t="str">
        <f>IF(COUNTIF($AK$2:AK325,AK325)&gt;1,"Remove exact duplicate copy","Keep")</f>
        <v>Keep</v>
      </c>
      <c r="AM325" s="9">
        <f t="shared" si="44"/>
        <v>1</v>
      </c>
      <c r="AN325" s="9" t="str">
        <f t="shared" si="45"/>
        <v>Unique</v>
      </c>
      <c r="AO325" s="9" t="str">
        <f t="shared" si="46"/>
        <v/>
      </c>
      <c r="AP325" s="9">
        <f t="shared" si="47"/>
        <v>0.15</v>
      </c>
      <c r="AQ325" s="10">
        <f t="shared" si="48"/>
        <v>10185.669</v>
      </c>
      <c r="AR325" s="10">
        <f t="shared" si="49"/>
        <v>3706.3589999999995</v>
      </c>
      <c r="AS325" s="11">
        <f t="shared" si="50"/>
        <v>0.36387978050337189</v>
      </c>
      <c r="AT325" s="9">
        <f t="shared" si="51"/>
        <v>2</v>
      </c>
      <c r="AU325" s="9">
        <f t="shared" si="52"/>
        <v>2024</v>
      </c>
      <c r="AV325" s="9" t="b">
        <f t="shared" si="53"/>
        <v>0</v>
      </c>
      <c r="AW325" s="9" t="b">
        <f t="shared" si="54"/>
        <v>0</v>
      </c>
      <c r="AX325" s="9" t="str">
        <f t="shared" si="55"/>
        <v>Yes</v>
      </c>
      <c r="AY325" s="9" t="str">
        <f t="shared" si="59"/>
        <v/>
      </c>
      <c r="AZ325" s="9" t="str">
        <f>IF(OR(G325="Missing date",G325="Invalid date",G325="Ship date before order date",NOT(ISNUMBER(AP325)),AP325&lt;0,AP325&gt;0.5,AV325=TRUE,AW325=TRUE),"Invalid",IF(OR(O325="Unknown",Z325="Unknown",AC325="",AH325&lt;&gt;"Paid",AJ325&lt;&gt;"Completed",AO325&lt;&gt;""),"Warning","Clean"))</f>
        <v>Clean</v>
      </c>
    </row>
    <row r="326" spans="1:52" ht="15.75" customHeight="1">
      <c r="A326" s="6" t="s">
        <v>1735</v>
      </c>
      <c r="B326" s="7" t="s">
        <v>1736</v>
      </c>
      <c r="C326" s="7" t="str">
        <f t="shared" si="58"/>
        <v>2025-07</v>
      </c>
      <c r="D326" s="7" cm="1">
        <f t="array" ref="D326">_xlfn.LET(_xlpm.x,B326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45869</v>
      </c>
      <c r="E326" s="7" t="s">
        <v>1025</v>
      </c>
      <c r="F326" s="7" cm="1">
        <f t="array" ref="F326">_xlfn.LET(_xlpm.x,E326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45871</v>
      </c>
      <c r="G326" s="8" t="str">
        <f t="shared" si="32"/>
        <v>OK</v>
      </c>
      <c r="H326" s="6">
        <f t="shared" si="33"/>
        <v>2</v>
      </c>
      <c r="I326" s="6" t="s">
        <v>1737</v>
      </c>
      <c r="J326" s="6" t="s">
        <v>257</v>
      </c>
      <c r="K326" s="6" t="str">
        <f t="shared" si="34"/>
        <v>Rohan Mehta</v>
      </c>
      <c r="L326" s="6" t="s">
        <v>44</v>
      </c>
      <c r="M326" s="8" t="str">
        <f t="shared" si="35"/>
        <v>Home Office</v>
      </c>
      <c r="N326" s="6" t="s">
        <v>10</v>
      </c>
      <c r="O326" s="6" t="str">
        <f t="shared" si="36"/>
        <v>South</v>
      </c>
      <c r="P326" s="6" t="s">
        <v>183</v>
      </c>
      <c r="Q326" s="6" t="str">
        <f t="shared" si="37"/>
        <v>Andhra Pradesh</v>
      </c>
      <c r="R326" s="6" t="s">
        <v>184</v>
      </c>
      <c r="S326" s="6" t="str">
        <f t="shared" si="38"/>
        <v>Vijayawada</v>
      </c>
      <c r="T326" s="6" t="s">
        <v>20</v>
      </c>
      <c r="U326" s="8" t="str">
        <f t="shared" si="39"/>
        <v>Office Supplies</v>
      </c>
      <c r="V326" s="6" t="s">
        <v>23</v>
      </c>
      <c r="W326" s="6" t="str">
        <f t="shared" si="40"/>
        <v>Labels</v>
      </c>
      <c r="X326" s="6" t="s">
        <v>1738</v>
      </c>
      <c r="Y326" s="6" t="s">
        <v>37</v>
      </c>
      <c r="Z326" s="6" t="str">
        <f t="shared" si="41"/>
        <v>Same Day</v>
      </c>
      <c r="AA326" s="6">
        <v>1</v>
      </c>
      <c r="AB326" s="6">
        <v>1947.88</v>
      </c>
      <c r="AC326" s="6">
        <v>0.15</v>
      </c>
      <c r="AD326" s="6">
        <v>1655.7</v>
      </c>
      <c r="AE326" s="6">
        <v>1354.8</v>
      </c>
      <c r="AF326" s="6">
        <v>300.89999999999998</v>
      </c>
      <c r="AG326" s="6" t="s">
        <v>52</v>
      </c>
      <c r="AH326" s="6" t="str">
        <f t="shared" si="42"/>
        <v>Paid</v>
      </c>
      <c r="AI326" s="6" t="s">
        <v>59</v>
      </c>
      <c r="AJ326" s="6" t="str">
        <f t="shared" si="43"/>
        <v>Returned</v>
      </c>
      <c r="AK326" s="9" t="str">
        <f>_xlfn.TEXTJOIN("|",FALSE,A326,TEXT(B326,"mm-dd-yyyy"),TEXT(E326,"mm-dd-yyyy"),I326,J326,L326,N326,P326,R326,T326,V326,X326,Y326,AA326,AB326,AC326,AD326,AE326,AF326,AG326,AI326)</f>
        <v>ORD-2025-10325|07-31-2025|02-08-2025|CUST-7212|Rohan Mehta|Home Office|South|Andhra Pradesh|Vijayawada|Office Supplies|Labels|Basic Labels 102|Same Day|1|1947.88|0.15|1655.7|1354.8|300.9|Paid|Returned</v>
      </c>
      <c r="AL326" s="27" t="str">
        <f>IF(COUNTIF($AK$2:AK326,AK326)&gt;1,"Remove exact duplicate copy","Keep")</f>
        <v>Keep</v>
      </c>
      <c r="AM326" s="9">
        <f t="shared" si="44"/>
        <v>1</v>
      </c>
      <c r="AN326" s="9" t="str">
        <f t="shared" si="45"/>
        <v>Unique</v>
      </c>
      <c r="AO326" s="9" t="str">
        <f t="shared" si="46"/>
        <v/>
      </c>
      <c r="AP326" s="9">
        <f t="shared" si="47"/>
        <v>0.15</v>
      </c>
      <c r="AQ326" s="10">
        <f t="shared" si="48"/>
        <v>1655.6980000000001</v>
      </c>
      <c r="AR326" s="10">
        <f t="shared" si="49"/>
        <v>300.89800000000014</v>
      </c>
      <c r="AS326" s="11">
        <f t="shared" si="50"/>
        <v>0.1817348332848141</v>
      </c>
      <c r="AT326" s="9">
        <f t="shared" si="51"/>
        <v>7</v>
      </c>
      <c r="AU326" s="9">
        <f t="shared" si="52"/>
        <v>2025</v>
      </c>
      <c r="AV326" s="9" t="b">
        <f t="shared" si="53"/>
        <v>0</v>
      </c>
      <c r="AW326" s="9" t="b">
        <f t="shared" si="54"/>
        <v>0</v>
      </c>
      <c r="AX326" s="9" t="str">
        <f t="shared" si="55"/>
        <v>No</v>
      </c>
      <c r="AY326" s="9" t="str">
        <f t="shared" si="59"/>
        <v>Returned order excluded</v>
      </c>
      <c r="AZ326" s="9" t="str">
        <f>IF(OR(G326="Missing date",G326="Invalid date",G326="Ship date before order date",NOT(ISNUMBER(AP326)),AP326&lt;0,AP326&gt;0.5,AV326=TRUE,AW326=TRUE),"Invalid",IF(OR(O326="Unknown",Z326="Unknown",AC326="",AH326&lt;&gt;"Paid",AJ326&lt;&gt;"Completed",AO326&lt;&gt;""),"Warning","Clean"))</f>
        <v>Warning</v>
      </c>
    </row>
    <row r="327" spans="1:52" ht="15.75" customHeight="1">
      <c r="A327" s="6" t="s">
        <v>1739</v>
      </c>
      <c r="B327" s="7" t="s">
        <v>1740</v>
      </c>
      <c r="C327" s="7" t="str">
        <f t="shared" si="58"/>
        <v>2025-09</v>
      </c>
      <c r="D327" s="7" cm="1">
        <f t="array" ref="D327">_xlfn.LET(_xlpm.x,B327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45916</v>
      </c>
      <c r="E327" s="7" t="s">
        <v>1741</v>
      </c>
      <c r="F327" s="7" cm="1">
        <f t="array" ref="F327">_xlfn.LET(_xlpm.x,E327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45922</v>
      </c>
      <c r="G327" s="8" t="str">
        <f t="shared" si="32"/>
        <v>OK</v>
      </c>
      <c r="H327" s="6">
        <f t="shared" si="33"/>
        <v>6</v>
      </c>
      <c r="I327" s="6" t="s">
        <v>1742</v>
      </c>
      <c r="J327" s="6" t="s">
        <v>245</v>
      </c>
      <c r="K327" s="6" t="str">
        <f t="shared" si="34"/>
        <v>Sneha Kapoor</v>
      </c>
      <c r="L327" s="6" t="s">
        <v>44</v>
      </c>
      <c r="M327" s="8" t="str">
        <f t="shared" si="35"/>
        <v>Home Office</v>
      </c>
      <c r="N327" s="6" t="s">
        <v>8</v>
      </c>
      <c r="O327" s="6" t="str">
        <f t="shared" si="36"/>
        <v>East</v>
      </c>
      <c r="P327" s="6" t="s">
        <v>201</v>
      </c>
      <c r="Q327" s="6" t="str">
        <f t="shared" si="37"/>
        <v>West Bengal</v>
      </c>
      <c r="R327" s="6" t="s">
        <v>202</v>
      </c>
      <c r="S327" s="6" t="str">
        <f t="shared" si="38"/>
        <v>Kolkata</v>
      </c>
      <c r="T327" s="6" t="s">
        <v>27</v>
      </c>
      <c r="U327" s="8" t="str">
        <f t="shared" si="39"/>
        <v>Technology</v>
      </c>
      <c r="V327" s="6" t="s">
        <v>29</v>
      </c>
      <c r="W327" s="6" t="str">
        <f t="shared" si="40"/>
        <v>Copiers</v>
      </c>
      <c r="X327" s="6" t="s">
        <v>1743</v>
      </c>
      <c r="Y327" s="6" t="s">
        <v>36</v>
      </c>
      <c r="Z327" s="6" t="str">
        <f t="shared" si="41"/>
        <v>Second Class</v>
      </c>
      <c r="AA327" s="6">
        <v>5</v>
      </c>
      <c r="AB327" s="6">
        <v>3671.2</v>
      </c>
      <c r="AC327" s="6">
        <v>0.15</v>
      </c>
      <c r="AD327" s="6">
        <v>15602.6</v>
      </c>
      <c r="AE327" s="6">
        <v>11908.52</v>
      </c>
      <c r="AF327" s="6">
        <v>3694.08</v>
      </c>
      <c r="AG327" s="6" t="s">
        <v>52</v>
      </c>
      <c r="AH327" s="6" t="str">
        <f t="shared" si="42"/>
        <v>Paid</v>
      </c>
      <c r="AI327" s="6" t="s">
        <v>134</v>
      </c>
      <c r="AJ327" s="6" t="str">
        <f t="shared" si="43"/>
        <v>Completed</v>
      </c>
      <c r="AK327" s="9" t="str">
        <f>_xlfn.TEXTJOIN("|",FALSE,A327,TEXT(B327,"mm-dd-yyyy"),TEXT(E327,"mm-dd-yyyy"),I327,J327,L327,N327,P327,R327,T327,V327,X327,Y327,AA327,AB327,AC327,AD327,AE327,AF327,AG327,AI327)</f>
        <v>ORD-2025-10326|09-16-2025|09-22-2025|CUST-7980|Sneha Kapoor|Home Office|East|West Bengal|Kolkata|Technology|Copiers|Prime Copiers 170|Second Class|5|3671.2|0.15|15602.6|11908.52|3694.08|Paid|Completed</v>
      </c>
      <c r="AL327" s="27" t="str">
        <f>IF(COUNTIF($AK$2:AK327,AK327)&gt;1,"Remove exact duplicate copy","Keep")</f>
        <v>Keep</v>
      </c>
      <c r="AM327" s="9">
        <f t="shared" si="44"/>
        <v>1</v>
      </c>
      <c r="AN327" s="9" t="str">
        <f t="shared" si="45"/>
        <v>Unique</v>
      </c>
      <c r="AO327" s="9" t="str">
        <f t="shared" si="46"/>
        <v/>
      </c>
      <c r="AP327" s="9">
        <f t="shared" si="47"/>
        <v>0.15</v>
      </c>
      <c r="AQ327" s="10">
        <f t="shared" si="48"/>
        <v>15602.6</v>
      </c>
      <c r="AR327" s="10">
        <f t="shared" si="49"/>
        <v>3694.08</v>
      </c>
      <c r="AS327" s="11">
        <f t="shared" si="50"/>
        <v>0.236760539910015</v>
      </c>
      <c r="AT327" s="9">
        <f t="shared" si="51"/>
        <v>9</v>
      </c>
      <c r="AU327" s="9">
        <f t="shared" si="52"/>
        <v>2025</v>
      </c>
      <c r="AV327" s="9" t="b">
        <f t="shared" si="53"/>
        <v>0</v>
      </c>
      <c r="AW327" s="9" t="b">
        <f t="shared" si="54"/>
        <v>0</v>
      </c>
      <c r="AX327" s="9" t="str">
        <f t="shared" si="55"/>
        <v>Yes</v>
      </c>
      <c r="AY327" s="9" t="str">
        <f t="shared" si="59"/>
        <v/>
      </c>
      <c r="AZ327" s="9" t="str">
        <f>IF(OR(G327="Missing date",G327="Invalid date",G327="Ship date before order date",NOT(ISNUMBER(AP327)),AP327&lt;0,AP327&gt;0.5,AV327=TRUE,AW327=TRUE),"Invalid",IF(OR(O327="Unknown",Z327="Unknown",AC327="",AH327&lt;&gt;"Paid",AJ327&lt;&gt;"Completed",AO327&lt;&gt;""),"Warning","Clean"))</f>
        <v>Clean</v>
      </c>
    </row>
    <row r="328" spans="1:52" ht="15.75" customHeight="1">
      <c r="A328" s="6" t="s">
        <v>1744</v>
      </c>
      <c r="B328" s="7" t="s">
        <v>1745</v>
      </c>
      <c r="C328" s="7" t="str">
        <f t="shared" si="58"/>
        <v>2025-07</v>
      </c>
      <c r="D328" s="7" cm="1">
        <f t="array" ref="D328">_xlfn.LET(_xlpm.x,B328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45860</v>
      </c>
      <c r="E328" s="7" t="s">
        <v>1599</v>
      </c>
      <c r="F328" s="7" cm="1">
        <f t="array" ref="F328">_xlfn.LET(_xlpm.x,E328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45860</v>
      </c>
      <c r="G328" s="8" t="str">
        <f t="shared" si="32"/>
        <v>OK</v>
      </c>
      <c r="H328" s="6">
        <f t="shared" si="33"/>
        <v>0</v>
      </c>
      <c r="I328" s="6" t="s">
        <v>1746</v>
      </c>
      <c r="J328" s="6" t="s">
        <v>245</v>
      </c>
      <c r="K328" s="6" t="str">
        <f t="shared" si="34"/>
        <v>Sneha Kapoor</v>
      </c>
      <c r="L328" s="6" t="s">
        <v>45</v>
      </c>
      <c r="M328" s="8" t="str">
        <f t="shared" si="35"/>
        <v>Corporate</v>
      </c>
      <c r="N328" s="6" t="s">
        <v>8</v>
      </c>
      <c r="O328" s="6" t="str">
        <f t="shared" si="36"/>
        <v>East</v>
      </c>
      <c r="P328" s="6" t="s">
        <v>385</v>
      </c>
      <c r="Q328" s="6" t="str">
        <f t="shared" si="37"/>
        <v>Jharkhand</v>
      </c>
      <c r="R328" s="6" t="s">
        <v>386</v>
      </c>
      <c r="S328" s="6" t="str">
        <f t="shared" si="38"/>
        <v>Ranchi</v>
      </c>
      <c r="T328" s="6" t="s">
        <v>14</v>
      </c>
      <c r="U328" s="8" t="str">
        <f t="shared" si="39"/>
        <v>Furniture</v>
      </c>
      <c r="V328" s="6" t="s">
        <v>17</v>
      </c>
      <c r="W328" s="6" t="str">
        <f t="shared" si="40"/>
        <v>Furnishings</v>
      </c>
      <c r="X328" s="6" t="s">
        <v>1747</v>
      </c>
      <c r="Y328" s="6" t="s">
        <v>37</v>
      </c>
      <c r="Z328" s="6" t="str">
        <f t="shared" si="41"/>
        <v>Same Day</v>
      </c>
      <c r="AA328" s="6">
        <v>5</v>
      </c>
      <c r="AB328" s="6">
        <v>3187.05</v>
      </c>
      <c r="AC328" s="6">
        <v>0.05</v>
      </c>
      <c r="AD328" s="6">
        <v>15138.49</v>
      </c>
      <c r="AE328" s="6">
        <v>11235.72</v>
      </c>
      <c r="AF328" s="6">
        <v>3902.77</v>
      </c>
      <c r="AG328" s="6" t="s">
        <v>52</v>
      </c>
      <c r="AH328" s="6" t="str">
        <f t="shared" si="42"/>
        <v>Paid</v>
      </c>
      <c r="AI328" s="6" t="s">
        <v>134</v>
      </c>
      <c r="AJ328" s="6" t="str">
        <f t="shared" si="43"/>
        <v>Completed</v>
      </c>
      <c r="AK328" s="9" t="str">
        <f>_xlfn.TEXTJOIN("|",FALSE,A328,TEXT(B328,"mm-dd-yyyy"),TEXT(E328,"mm-dd-yyyy"),I328,J328,L328,N328,P328,R328,T328,V328,X328,Y328,AA328,AB328,AC328,AD328,AE328,AF328,AG328,AI328)</f>
        <v>ORD-2025-10327|07-22-2025|07-22-2025|CUST-1966|Sneha Kapoor|Corporate|East|Jharkhand|Ranchi|Furniture|Furnishings|Smart Furnishings 533|Same Day|5|3187.05|0.05|15138.49|11235.72|3902.77|Paid|Completed</v>
      </c>
      <c r="AL328" s="27" t="str">
        <f>IF(COUNTIF($AK$2:AK328,AK328)&gt;1,"Remove exact duplicate copy","Keep")</f>
        <v>Keep</v>
      </c>
      <c r="AM328" s="9">
        <f t="shared" si="44"/>
        <v>1</v>
      </c>
      <c r="AN328" s="9" t="str">
        <f t="shared" si="45"/>
        <v>Unique</v>
      </c>
      <c r="AO328" s="9" t="str">
        <f t="shared" si="46"/>
        <v/>
      </c>
      <c r="AP328" s="9">
        <f t="shared" si="47"/>
        <v>0.05</v>
      </c>
      <c r="AQ328" s="10">
        <f t="shared" si="48"/>
        <v>15138.487499999999</v>
      </c>
      <c r="AR328" s="10">
        <f t="shared" si="49"/>
        <v>3902.7674999999999</v>
      </c>
      <c r="AS328" s="11">
        <f t="shared" si="50"/>
        <v>0.25780432160082045</v>
      </c>
      <c r="AT328" s="9">
        <f t="shared" si="51"/>
        <v>7</v>
      </c>
      <c r="AU328" s="9">
        <f t="shared" si="52"/>
        <v>2025</v>
      </c>
      <c r="AV328" s="9" t="b">
        <f t="shared" si="53"/>
        <v>0</v>
      </c>
      <c r="AW328" s="9" t="b">
        <f t="shared" si="54"/>
        <v>0</v>
      </c>
      <c r="AX328" s="9" t="str">
        <f t="shared" si="55"/>
        <v>Yes</v>
      </c>
      <c r="AY328" s="9" t="str">
        <f t="shared" si="59"/>
        <v/>
      </c>
      <c r="AZ328" s="9" t="str">
        <f>IF(OR(G328="Missing date",G328="Invalid date",G328="Ship date before order date",NOT(ISNUMBER(AP328)),AP328&lt;0,AP328&gt;0.5,AV328=TRUE,AW328=TRUE),"Invalid",IF(OR(O328="Unknown",Z328="Unknown",AC328="",AH328&lt;&gt;"Paid",AJ328&lt;&gt;"Completed",AO328&lt;&gt;""),"Warning","Clean"))</f>
        <v>Clean</v>
      </c>
    </row>
    <row r="329" spans="1:52" ht="15.75" customHeight="1">
      <c r="A329" s="6" t="s">
        <v>1748</v>
      </c>
      <c r="B329" s="7" t="s">
        <v>1749</v>
      </c>
      <c r="C329" s="7" t="str">
        <f t="shared" si="58"/>
        <v>2024-07</v>
      </c>
      <c r="D329" s="7" cm="1">
        <f t="array" ref="D329">_xlfn.LET(_xlpm.x,B329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45497</v>
      </c>
      <c r="E329" s="7" t="s">
        <v>338</v>
      </c>
      <c r="F329" s="7" cm="1">
        <f t="array" ref="F329">_xlfn.LET(_xlpm.x,E329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45500</v>
      </c>
      <c r="G329" s="8" t="str">
        <f t="shared" si="32"/>
        <v>OK</v>
      </c>
      <c r="H329" s="6">
        <f t="shared" si="33"/>
        <v>3</v>
      </c>
      <c r="I329" s="6" t="s">
        <v>1750</v>
      </c>
      <c r="J329" s="6" t="s">
        <v>147</v>
      </c>
      <c r="K329" s="6" t="str">
        <f t="shared" si="34"/>
        <v>Isha Nair</v>
      </c>
      <c r="L329" s="6" t="s">
        <v>43</v>
      </c>
      <c r="M329" s="8" t="str">
        <f t="shared" si="35"/>
        <v>Consumer</v>
      </c>
      <c r="N329" s="6" t="s">
        <v>9</v>
      </c>
      <c r="O329" s="6" t="str">
        <f t="shared" si="36"/>
        <v>West</v>
      </c>
      <c r="P329" s="6" t="s">
        <v>131</v>
      </c>
      <c r="Q329" s="6" t="str">
        <f t="shared" si="37"/>
        <v>Rajasthan</v>
      </c>
      <c r="R329" s="6" t="s">
        <v>214</v>
      </c>
      <c r="S329" s="6" t="str">
        <f t="shared" si="38"/>
        <v>Udaipur</v>
      </c>
      <c r="T329" s="6" t="s">
        <v>27</v>
      </c>
      <c r="U329" s="8" t="str">
        <f t="shared" si="39"/>
        <v>Technology</v>
      </c>
      <c r="V329" s="6" t="s">
        <v>28</v>
      </c>
      <c r="W329" s="6" t="str">
        <f t="shared" si="40"/>
        <v>Accessories</v>
      </c>
      <c r="X329" s="6" t="s">
        <v>1751</v>
      </c>
      <c r="Y329" s="6" t="s">
        <v>36</v>
      </c>
      <c r="Z329" s="6" t="str">
        <f t="shared" si="41"/>
        <v>Second Class</v>
      </c>
      <c r="AA329" s="6">
        <v>3</v>
      </c>
      <c r="AB329" s="6">
        <v>1834.55</v>
      </c>
      <c r="AC329" s="6">
        <v>0.2</v>
      </c>
      <c r="AD329" s="6">
        <v>4402.92</v>
      </c>
      <c r="AE329" s="6">
        <v>2993.94</v>
      </c>
      <c r="AF329" s="6">
        <v>1408.98</v>
      </c>
      <c r="AG329" s="6" t="s">
        <v>54</v>
      </c>
      <c r="AH329" s="6" t="str">
        <f t="shared" si="42"/>
        <v>Pending</v>
      </c>
      <c r="AI329" s="6" t="s">
        <v>58</v>
      </c>
      <c r="AJ329" s="6" t="str">
        <f t="shared" si="43"/>
        <v>Cancelled</v>
      </c>
      <c r="AK329" s="9" t="str">
        <f>_xlfn.TEXTJOIN("|",FALSE,A329,TEXT(B329,"mm-dd-yyyy"),TEXT(E329,"mm-dd-yyyy"),I329,J329,L329,N329,P329,R329,T329,V329,X329,Y329,AA329,AB329,AC329,AD329,AE329,AF329,AG329,AI329)</f>
        <v>ORD-2024-10328|07-24-2024|27-07-2024|CUST-6163|Isha Nair|Consumer|West|Rajasthan|Udaipur|Technology|Accessories|Classic Accessories 489|Second Class|3|1834.55|0.2|4402.92|2993.94|1408.98|Pending|Cancelled</v>
      </c>
      <c r="AL329" s="27" t="str">
        <f>IF(COUNTIF($AK$2:AK329,AK329)&gt;1,"Remove exact duplicate copy","Keep")</f>
        <v>Keep</v>
      </c>
      <c r="AM329" s="9">
        <f t="shared" si="44"/>
        <v>1</v>
      </c>
      <c r="AN329" s="9" t="str">
        <f t="shared" si="45"/>
        <v>Unique</v>
      </c>
      <c r="AO329" s="9" t="str">
        <f t="shared" si="46"/>
        <v/>
      </c>
      <c r="AP329" s="9">
        <f t="shared" si="47"/>
        <v>0.2</v>
      </c>
      <c r="AQ329" s="10">
        <f t="shared" si="48"/>
        <v>4402.92</v>
      </c>
      <c r="AR329" s="10">
        <f t="shared" si="49"/>
        <v>1408.98</v>
      </c>
      <c r="AS329" s="11">
        <f t="shared" si="50"/>
        <v>0.32001035676323897</v>
      </c>
      <c r="AT329" s="9">
        <f t="shared" si="51"/>
        <v>7</v>
      </c>
      <c r="AU329" s="9">
        <f t="shared" si="52"/>
        <v>2024</v>
      </c>
      <c r="AV329" s="9" t="b">
        <f t="shared" si="53"/>
        <v>0</v>
      </c>
      <c r="AW329" s="9" t="b">
        <f t="shared" si="54"/>
        <v>0</v>
      </c>
      <c r="AX329" s="9" t="str">
        <f t="shared" si="55"/>
        <v>No</v>
      </c>
      <c r="AY329" s="9" t="str">
        <f t="shared" si="59"/>
        <v>Cancelled order excluded</v>
      </c>
      <c r="AZ329" s="9" t="str">
        <f>IF(OR(G329="Missing date",G329="Invalid date",G329="Ship date before order date",NOT(ISNUMBER(AP329)),AP329&lt;0,AP329&gt;0.5,AV329=TRUE,AW329=TRUE),"Invalid",IF(OR(O329="Unknown",Z329="Unknown",AC329="",AH329&lt;&gt;"Paid",AJ329&lt;&gt;"Completed",AO329&lt;&gt;""),"Warning","Clean"))</f>
        <v>Warning</v>
      </c>
    </row>
    <row r="330" spans="1:52" ht="15.75" customHeight="1">
      <c r="A330" s="6" t="s">
        <v>1752</v>
      </c>
      <c r="B330" s="7" t="s">
        <v>1753</v>
      </c>
      <c r="C330" s="7" t="str">
        <f t="shared" si="58"/>
        <v>2025-05</v>
      </c>
      <c r="D330" s="7" cm="1">
        <f t="array" ref="D330">_xlfn.LET(_xlpm.x,B330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45806</v>
      </c>
      <c r="E330" s="7" t="s">
        <v>1518</v>
      </c>
      <c r="F330" s="7" cm="1">
        <f t="array" ref="F330">_xlfn.LET(_xlpm.x,E330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G330" s="8" t="str">
        <f t="shared" si="32"/>
        <v>OK</v>
      </c>
      <c r="H330" s="6">
        <f t="shared" si="33"/>
        <v>6</v>
      </c>
      <c r="I330" s="6" t="s">
        <v>1754</v>
      </c>
      <c r="J330" s="6" t="s">
        <v>284</v>
      </c>
      <c r="K330" s="6" t="str">
        <f t="shared" si="34"/>
        <v>Diya Patel</v>
      </c>
      <c r="L330" s="6" t="s">
        <v>43</v>
      </c>
      <c r="M330" s="8" t="str">
        <f t="shared" si="35"/>
        <v>Consumer</v>
      </c>
      <c r="N330" s="6" t="s">
        <v>9</v>
      </c>
      <c r="O330" s="6" t="str">
        <f t="shared" si="36"/>
        <v>West</v>
      </c>
      <c r="P330" s="6" t="s">
        <v>162</v>
      </c>
      <c r="Q330" s="6" t="str">
        <f t="shared" si="37"/>
        <v>Maharashtra</v>
      </c>
      <c r="R330" s="6" t="s">
        <v>163</v>
      </c>
      <c r="S330" s="6" t="str">
        <f t="shared" si="38"/>
        <v>Mumbai</v>
      </c>
      <c r="T330" s="6" t="s">
        <v>20</v>
      </c>
      <c r="U330" s="8" t="str">
        <f t="shared" si="39"/>
        <v>Office Supplies</v>
      </c>
      <c r="V330" s="6" t="s">
        <v>25</v>
      </c>
      <c r="W330" s="6" t="str">
        <f t="shared" si="40"/>
        <v>Storage</v>
      </c>
      <c r="X330" s="6" t="s">
        <v>1755</v>
      </c>
      <c r="Y330" s="6" t="s">
        <v>35</v>
      </c>
      <c r="Z330" s="6" t="str">
        <f t="shared" si="41"/>
        <v>First Class</v>
      </c>
      <c r="AA330" s="6">
        <v>6</v>
      </c>
      <c r="AB330" s="6">
        <v>3100.68</v>
      </c>
      <c r="AC330" s="6">
        <v>0</v>
      </c>
      <c r="AD330" s="6">
        <v>18604.080000000002</v>
      </c>
      <c r="AE330" s="6">
        <v>15834.3</v>
      </c>
      <c r="AF330" s="6">
        <v>2769.78</v>
      </c>
      <c r="AG330" s="6" t="s">
        <v>52</v>
      </c>
      <c r="AH330" s="6" t="str">
        <f t="shared" si="42"/>
        <v>Paid</v>
      </c>
      <c r="AI330" s="6" t="s">
        <v>134</v>
      </c>
      <c r="AJ330" s="6" t="str">
        <f t="shared" si="43"/>
        <v>Completed</v>
      </c>
      <c r="AK330" s="9" t="str">
        <f>_xlfn.TEXTJOIN("|",FALSE,A330,TEXT(B330,"mm-dd-yyyy"),TEXT(E330,"mm-dd-yyyy"),I330,J330,L330,N330,P330,R330,T330,V330,X330,Y330,AA330,AB330,AC330,AD330,AE330,AF330,AG330,AI330)</f>
        <v>ORD-2025-10329|05-29-2025|06-04-2025|CUST-7239|Diya Patel|Consumer|West|Maharashtra|Mumbai|Office Supplies|Storage|Smart Storage 439|First Class|6|3100.68|0|18604.08|15834.3|2769.78|Paid|Completed</v>
      </c>
      <c r="AL330" s="27" t="str">
        <f>IF(COUNTIF($AK$2:AK330,AK330)&gt;1,"Remove exact duplicate copy","Keep")</f>
        <v>Keep</v>
      </c>
      <c r="AM330" s="9">
        <f t="shared" si="44"/>
        <v>1</v>
      </c>
      <c r="AN330" s="9" t="str">
        <f t="shared" si="45"/>
        <v>Unique</v>
      </c>
      <c r="AO330" s="9" t="str">
        <f t="shared" si="46"/>
        <v/>
      </c>
      <c r="AP330" s="9">
        <f t="shared" si="47"/>
        <v>0</v>
      </c>
      <c r="AQ330" s="10">
        <f t="shared" si="48"/>
        <v>18604.079999999998</v>
      </c>
      <c r="AR330" s="10">
        <f t="shared" si="49"/>
        <v>2769.7799999999988</v>
      </c>
      <c r="AS330" s="11">
        <f t="shared" si="50"/>
        <v>0.1488802456235406</v>
      </c>
      <c r="AT330" s="9">
        <f t="shared" si="51"/>
        <v>5</v>
      </c>
      <c r="AU330" s="9">
        <f t="shared" si="52"/>
        <v>2025</v>
      </c>
      <c r="AV330" s="9" t="b">
        <f t="shared" si="53"/>
        <v>0</v>
      </c>
      <c r="AW330" s="9" t="b">
        <f t="shared" si="54"/>
        <v>0</v>
      </c>
      <c r="AX330" s="9" t="str">
        <f t="shared" si="55"/>
        <v>Yes</v>
      </c>
      <c r="AY330" s="9" t="str">
        <f t="shared" si="59"/>
        <v/>
      </c>
      <c r="AZ330" s="9" t="str">
        <f>IF(OR(G330="Missing date",G330="Invalid date",G330="Ship date before order date",NOT(ISNUMBER(AP330)),AP330&lt;0,AP330&gt;0.5,AV330=TRUE,AW330=TRUE),"Invalid",IF(OR(O330="Unknown",Z330="Unknown",AC330="",AH330&lt;&gt;"Paid",AJ330&lt;&gt;"Completed",AO330&lt;&gt;""),"Warning","Clean"))</f>
        <v>Clean</v>
      </c>
    </row>
    <row r="331" spans="1:52" ht="15.75" customHeight="1">
      <c r="A331" s="6" t="s">
        <v>1756</v>
      </c>
      <c r="B331" s="7" t="s">
        <v>1757</v>
      </c>
      <c r="C331" s="7" t="str">
        <f t="shared" si="58"/>
        <v>2025-05</v>
      </c>
      <c r="D331" s="7" cm="1">
        <f t="array" ref="D331">_xlfn.LET(_xlpm.x,B331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45789</v>
      </c>
      <c r="E331" s="7" t="s">
        <v>1758</v>
      </c>
      <c r="F331" s="7" cm="1">
        <f t="array" ref="F331">_xlfn.LET(_xlpm.x,E331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45795</v>
      </c>
      <c r="G331" s="8" t="str">
        <f t="shared" si="32"/>
        <v>OK</v>
      </c>
      <c r="H331" s="6">
        <f t="shared" si="33"/>
        <v>6</v>
      </c>
      <c r="I331" s="6" t="s">
        <v>1759</v>
      </c>
      <c r="J331" s="6" t="s">
        <v>177</v>
      </c>
      <c r="K331" s="6" t="str">
        <f t="shared" si="34"/>
        <v>Neha Gupta</v>
      </c>
      <c r="L331" s="6" t="s">
        <v>46</v>
      </c>
      <c r="M331" s="8" t="str">
        <f t="shared" si="35"/>
        <v>Small Business</v>
      </c>
      <c r="N331" s="6" t="s">
        <v>9</v>
      </c>
      <c r="O331" s="6" t="str">
        <f t="shared" si="36"/>
        <v>West</v>
      </c>
      <c r="P331" s="6" t="s">
        <v>162</v>
      </c>
      <c r="Q331" s="6" t="str">
        <f t="shared" si="37"/>
        <v>Maharashtra</v>
      </c>
      <c r="R331" s="6" t="s">
        <v>163</v>
      </c>
      <c r="S331" s="6" t="str">
        <f t="shared" si="38"/>
        <v>Mumbai</v>
      </c>
      <c r="T331" s="6" t="s">
        <v>20</v>
      </c>
      <c r="U331" s="8" t="str">
        <f t="shared" si="39"/>
        <v>Office Supplies</v>
      </c>
      <c r="V331" s="6" t="s">
        <v>25</v>
      </c>
      <c r="W331" s="6" t="str">
        <f t="shared" si="40"/>
        <v>Storage</v>
      </c>
      <c r="X331" s="6" t="s">
        <v>1760</v>
      </c>
      <c r="Y331" s="6" t="s">
        <v>34</v>
      </c>
      <c r="Z331" s="6" t="str">
        <f t="shared" si="41"/>
        <v>Standard Class</v>
      </c>
      <c r="AA331" s="6">
        <v>4</v>
      </c>
      <c r="AB331" s="6">
        <v>4053.03</v>
      </c>
      <c r="AC331" s="6">
        <v>0.05</v>
      </c>
      <c r="AD331" s="6">
        <v>15401.51</v>
      </c>
      <c r="AE331" s="6">
        <v>8650.42</v>
      </c>
      <c r="AF331" s="6">
        <v>6751.09</v>
      </c>
      <c r="AG331" s="6" t="s">
        <v>52</v>
      </c>
      <c r="AH331" s="6" t="str">
        <f t="shared" si="42"/>
        <v>Paid</v>
      </c>
      <c r="AI331" s="6" t="s">
        <v>134</v>
      </c>
      <c r="AJ331" s="6" t="str">
        <f t="shared" si="43"/>
        <v>Completed</v>
      </c>
      <c r="AK331" s="9" t="str">
        <f>_xlfn.TEXTJOIN("|",FALSE,A331,TEXT(B331,"mm-dd-yyyy"),TEXT(E331,"mm-dd-yyyy"),I331,J331,L331,N331,P331,R331,T331,V331,X331,Y331,AA331,AB331,AC331,AD331,AE331,AF331,AG331,AI331)</f>
        <v>ORD-2025-10330|05-12-2025|05-18-2025|CUST-9718|Neha Gupta|Small Business|West|Maharashtra|Mumbai|Office Supplies|Storage|Prime Storage 232|Standard Class|4|4053.03|0.05|15401.51|8650.42|6751.09|Paid|Completed</v>
      </c>
      <c r="AL331" s="27" t="str">
        <f>IF(COUNTIF($AK$2:AK331,AK331)&gt;1,"Remove exact duplicate copy","Keep")</f>
        <v>Keep</v>
      </c>
      <c r="AM331" s="9">
        <f t="shared" si="44"/>
        <v>1</v>
      </c>
      <c r="AN331" s="9" t="str">
        <f t="shared" si="45"/>
        <v>Unique</v>
      </c>
      <c r="AO331" s="9" t="str">
        <f t="shared" si="46"/>
        <v/>
      </c>
      <c r="AP331" s="9">
        <f t="shared" si="47"/>
        <v>0.05</v>
      </c>
      <c r="AQ331" s="10">
        <f t="shared" si="48"/>
        <v>15401.513999999999</v>
      </c>
      <c r="AR331" s="10">
        <f t="shared" si="49"/>
        <v>6751.0939999999991</v>
      </c>
      <c r="AS331" s="11">
        <f t="shared" si="50"/>
        <v>0.43833963336331738</v>
      </c>
      <c r="AT331" s="9">
        <f t="shared" si="51"/>
        <v>5</v>
      </c>
      <c r="AU331" s="9">
        <f t="shared" si="52"/>
        <v>2025</v>
      </c>
      <c r="AV331" s="9" t="b">
        <f t="shared" si="53"/>
        <v>0</v>
      </c>
      <c r="AW331" s="9" t="b">
        <f t="shared" si="54"/>
        <v>0</v>
      </c>
      <c r="AX331" s="9" t="str">
        <f t="shared" si="55"/>
        <v>Yes</v>
      </c>
      <c r="AY331" s="9" t="str">
        <f t="shared" si="59"/>
        <v/>
      </c>
      <c r="AZ331" s="9" t="str">
        <f>IF(OR(G331="Missing date",G331="Invalid date",G331="Ship date before order date",NOT(ISNUMBER(AP331)),AP331&lt;0,AP331&gt;0.5,AV331=TRUE,AW331=TRUE),"Invalid",IF(OR(O331="Unknown",Z331="Unknown",AC331="",AH331&lt;&gt;"Paid",AJ331&lt;&gt;"Completed",AO331&lt;&gt;""),"Warning","Clean"))</f>
        <v>Clean</v>
      </c>
    </row>
    <row r="332" spans="1:52" ht="15.75" customHeight="1">
      <c r="A332" s="6" t="s">
        <v>1761</v>
      </c>
      <c r="B332" s="7" t="s">
        <v>1211</v>
      </c>
      <c r="C332" s="7" t="str">
        <f t="shared" si="58"/>
        <v>2024-05</v>
      </c>
      <c r="D332" s="7" cm="1">
        <f t="array" ref="D332">_xlfn.LET(_xlpm.x,B332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45428</v>
      </c>
      <c r="E332" s="7" t="s">
        <v>790</v>
      </c>
      <c r="F332" s="7" cm="1">
        <f t="array" ref="F332">_xlfn.LET(_xlpm.x,E332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45436</v>
      </c>
      <c r="G332" s="8" t="str">
        <f t="shared" si="32"/>
        <v>OK</v>
      </c>
      <c r="H332" s="6">
        <f t="shared" si="33"/>
        <v>8</v>
      </c>
      <c r="I332" s="6" t="s">
        <v>1762</v>
      </c>
      <c r="J332" s="6" t="s">
        <v>153</v>
      </c>
      <c r="K332" s="6" t="str">
        <f t="shared" si="34"/>
        <v>Arjun Bose</v>
      </c>
      <c r="L332" s="6" t="s">
        <v>44</v>
      </c>
      <c r="M332" s="8" t="str">
        <f t="shared" si="35"/>
        <v>Home Office</v>
      </c>
      <c r="N332" s="6" t="s">
        <v>7</v>
      </c>
      <c r="O332" s="6" t="str">
        <f t="shared" si="36"/>
        <v>North</v>
      </c>
      <c r="P332" s="6" t="s">
        <v>232</v>
      </c>
      <c r="Q332" s="6" t="str">
        <f t="shared" si="37"/>
        <v>Punjab</v>
      </c>
      <c r="R332" s="6" t="s">
        <v>233</v>
      </c>
      <c r="S332" s="6" t="str">
        <f t="shared" si="38"/>
        <v>Ludhiana</v>
      </c>
      <c r="T332" s="6" t="s">
        <v>27</v>
      </c>
      <c r="U332" s="8" t="str">
        <f t="shared" si="39"/>
        <v>Technology</v>
      </c>
      <c r="V332" s="6" t="s">
        <v>28</v>
      </c>
      <c r="W332" s="6" t="str">
        <f t="shared" si="40"/>
        <v>Accessories</v>
      </c>
      <c r="X332" s="6" t="s">
        <v>1763</v>
      </c>
      <c r="Y332" s="6" t="s">
        <v>37</v>
      </c>
      <c r="Z332" s="6" t="str">
        <f t="shared" si="41"/>
        <v>Same Day</v>
      </c>
      <c r="AA332" s="6">
        <v>1</v>
      </c>
      <c r="AB332" s="6">
        <v>783.09</v>
      </c>
      <c r="AC332" s="6">
        <v>0</v>
      </c>
      <c r="AD332" s="6">
        <v>783.09</v>
      </c>
      <c r="AE332" s="6">
        <v>503.89</v>
      </c>
      <c r="AF332" s="6">
        <v>279.2</v>
      </c>
      <c r="AG332" s="6" t="s">
        <v>50</v>
      </c>
      <c r="AH332" s="6" t="str">
        <f t="shared" si="42"/>
        <v>Failed</v>
      </c>
      <c r="AI332" s="6" t="s">
        <v>58</v>
      </c>
      <c r="AJ332" s="6" t="str">
        <f t="shared" si="43"/>
        <v>Cancelled</v>
      </c>
      <c r="AK332" s="9" t="str">
        <f>_xlfn.TEXTJOIN("|",FALSE,A332,TEXT(B332,"mm-dd-yyyy"),TEXT(E332,"mm-dd-yyyy"),I332,J332,L332,N332,P332,R332,T332,V332,X332,Y332,AA332,AB332,AC332,AD332,AE332,AF332,AG332,AI332)</f>
        <v>ORD-2024-10331|05-16-2024|05-24-2024|CUST-1116|Arjun Bose|Home Office|North|Punjab|Ludhiana|Technology|Accessories|Prime Accessories 335|Same Day|1|783.09|0|783.09|503.89|279.2|Failed|Cancelled</v>
      </c>
      <c r="AL332" s="27" t="str">
        <f>IF(COUNTIF($AK$2:AK332,AK332)&gt;1,"Remove exact duplicate copy","Keep")</f>
        <v>Keep</v>
      </c>
      <c r="AM332" s="9">
        <f t="shared" si="44"/>
        <v>1</v>
      </c>
      <c r="AN332" s="9" t="str">
        <f t="shared" si="45"/>
        <v>Unique</v>
      </c>
      <c r="AO332" s="9" t="str">
        <f t="shared" si="46"/>
        <v/>
      </c>
      <c r="AP332" s="9">
        <f t="shared" si="47"/>
        <v>0</v>
      </c>
      <c r="AQ332" s="10">
        <f t="shared" si="48"/>
        <v>783.09</v>
      </c>
      <c r="AR332" s="10">
        <f t="shared" si="49"/>
        <v>279.20000000000005</v>
      </c>
      <c r="AS332" s="11">
        <f t="shared" si="50"/>
        <v>0.3565362857398256</v>
      </c>
      <c r="AT332" s="9">
        <f t="shared" si="51"/>
        <v>5</v>
      </c>
      <c r="AU332" s="9">
        <f t="shared" si="52"/>
        <v>2024</v>
      </c>
      <c r="AV332" s="9" t="b">
        <f t="shared" si="53"/>
        <v>0</v>
      </c>
      <c r="AW332" s="9" t="b">
        <f t="shared" si="54"/>
        <v>0</v>
      </c>
      <c r="AX332" s="9" t="str">
        <f t="shared" si="55"/>
        <v>No</v>
      </c>
      <c r="AY332" s="9" t="str">
        <f t="shared" si="59"/>
        <v>Failed payment excluded; Cancelled order excluded</v>
      </c>
      <c r="AZ332" s="9" t="str">
        <f>IF(OR(G332="Missing date",G332="Invalid date",G332="Ship date before order date",NOT(ISNUMBER(AP332)),AP332&lt;0,AP332&gt;0.5,AV332=TRUE,AW332=TRUE),"Invalid",IF(OR(O332="Unknown",Z332="Unknown",AC332="",AH332&lt;&gt;"Paid",AJ332&lt;&gt;"Completed",AO332&lt;&gt;""),"Warning","Clean"))</f>
        <v>Warning</v>
      </c>
    </row>
    <row r="333" spans="1:52" ht="15.75" customHeight="1">
      <c r="A333" s="6" t="s">
        <v>1764</v>
      </c>
      <c r="B333" s="7" t="s">
        <v>786</v>
      </c>
      <c r="C333" s="7" t="str">
        <f t="shared" si="58"/>
        <v>2024-12</v>
      </c>
      <c r="D333" s="7" cm="1">
        <f t="array" ref="D333">_xlfn.LET(_xlpm.x,B333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45630</v>
      </c>
      <c r="E333" s="7" t="s">
        <v>1765</v>
      </c>
      <c r="F333" s="7" cm="1">
        <f t="array" ref="F333">_xlfn.LET(_xlpm.x,E333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45632</v>
      </c>
      <c r="G333" s="8" t="str">
        <f t="shared" si="32"/>
        <v>OK</v>
      </c>
      <c r="H333" s="6">
        <f t="shared" si="33"/>
        <v>2</v>
      </c>
      <c r="I333" s="6" t="s">
        <v>1766</v>
      </c>
      <c r="J333" s="6" t="s">
        <v>245</v>
      </c>
      <c r="K333" s="6" t="str">
        <f t="shared" si="34"/>
        <v>Sneha Kapoor</v>
      </c>
      <c r="L333" s="6" t="s">
        <v>44</v>
      </c>
      <c r="M333" s="8" t="str">
        <f t="shared" si="35"/>
        <v>Home Office</v>
      </c>
      <c r="N333" s="6" t="s">
        <v>8</v>
      </c>
      <c r="O333" s="6" t="str">
        <f t="shared" si="36"/>
        <v>East</v>
      </c>
      <c r="P333" s="6" t="s">
        <v>140</v>
      </c>
      <c r="Q333" s="6" t="str">
        <f t="shared" si="37"/>
        <v>Odisha</v>
      </c>
      <c r="R333" s="6" t="s">
        <v>141</v>
      </c>
      <c r="S333" s="6" t="str">
        <f t="shared" si="38"/>
        <v>Bhubaneswar</v>
      </c>
      <c r="T333" s="6" t="s">
        <v>20</v>
      </c>
      <c r="U333" s="8" t="str">
        <f t="shared" si="39"/>
        <v>Office Supplies</v>
      </c>
      <c r="V333" s="6" t="s">
        <v>22</v>
      </c>
      <c r="W333" s="6" t="str">
        <f t="shared" si="40"/>
        <v>Binders</v>
      </c>
      <c r="X333" s="6" t="s">
        <v>1767</v>
      </c>
      <c r="Y333" s="6" t="s">
        <v>36</v>
      </c>
      <c r="Z333" s="6" t="str">
        <f t="shared" si="41"/>
        <v>Second Class</v>
      </c>
      <c r="AA333" s="6">
        <v>4</v>
      </c>
      <c r="AB333" s="6">
        <v>2685.66</v>
      </c>
      <c r="AC333" s="6">
        <v>0</v>
      </c>
      <c r="AD333" s="6">
        <v>10742.64</v>
      </c>
      <c r="AE333" s="6">
        <v>6477.37</v>
      </c>
      <c r="AF333" s="6">
        <v>4265.2700000000004</v>
      </c>
      <c r="AG333" s="6" t="s">
        <v>52</v>
      </c>
      <c r="AH333" s="6" t="str">
        <f t="shared" si="42"/>
        <v>Paid</v>
      </c>
      <c r="AI333" s="6" t="s">
        <v>59</v>
      </c>
      <c r="AJ333" s="6" t="str">
        <f t="shared" si="43"/>
        <v>Returned</v>
      </c>
      <c r="AK333" s="9" t="str">
        <f>_xlfn.TEXTJOIN("|",FALSE,A333,TEXT(B333,"mm-dd-yyyy"),TEXT(E333,"mm-dd-yyyy"),I333,J333,L333,N333,P333,R333,T333,V333,X333,Y333,AA333,AB333,AC333,AD333,AE333,AF333,AG333,AI333)</f>
        <v>ORD-2024-10332|04-12-2024|12-06-2024|CUST-9346|Sneha Kapoor|Home Office|East|Odisha|Bhubaneswar|Office Supplies|Binders|Smart Binders 939|Second Class|4|2685.66|0|10742.64|6477.37|4265.27|Paid|Returned</v>
      </c>
      <c r="AL333" s="27" t="str">
        <f>IF(COUNTIF($AK$2:AK333,AK333)&gt;1,"Remove exact duplicate copy","Keep")</f>
        <v>Keep</v>
      </c>
      <c r="AM333" s="9">
        <f t="shared" si="44"/>
        <v>2</v>
      </c>
      <c r="AN333" s="9" t="str">
        <f t="shared" si="45"/>
        <v>Duplicate order_id</v>
      </c>
      <c r="AO333" s="9" t="str">
        <f t="shared" si="46"/>
        <v>Review conflicting duplicate</v>
      </c>
      <c r="AP333" s="9">
        <f t="shared" si="47"/>
        <v>0</v>
      </c>
      <c r="AQ333" s="10">
        <f t="shared" si="48"/>
        <v>10742.64</v>
      </c>
      <c r="AR333" s="10">
        <f t="shared" si="49"/>
        <v>4265.2699999999995</v>
      </c>
      <c r="AS333" s="11">
        <f t="shared" si="50"/>
        <v>0.39704113700170535</v>
      </c>
      <c r="AT333" s="9">
        <f t="shared" si="51"/>
        <v>12</v>
      </c>
      <c r="AU333" s="9">
        <f t="shared" si="52"/>
        <v>2024</v>
      </c>
      <c r="AV333" s="9" t="b">
        <f t="shared" si="53"/>
        <v>0</v>
      </c>
      <c r="AW333" s="9" t="b">
        <f t="shared" si="54"/>
        <v>0</v>
      </c>
      <c r="AX333" s="9" t="str">
        <f t="shared" si="55"/>
        <v>No</v>
      </c>
      <c r="AY333" s="9" t="str">
        <f t="shared" si="59"/>
        <v>Returned order excluded; Duplicate order ID conflict</v>
      </c>
      <c r="AZ333" s="9" t="str">
        <f>IF(OR(G333="Missing date",G333="Invalid date",G333="Ship date before order date",NOT(ISNUMBER(AP333)),AP333&lt;0,AP333&gt;0.5,AV333=TRUE,AW333=TRUE),"Invalid",IF(OR(O333="Unknown",Z333="Unknown",AC333="",AH333&lt;&gt;"Paid",AJ333&lt;&gt;"Completed",AO333&lt;&gt;""),"Warning","Clean"))</f>
        <v>Warning</v>
      </c>
    </row>
    <row r="334" spans="1:52" ht="15.75" customHeight="1">
      <c r="A334" s="6" t="s">
        <v>1768</v>
      </c>
      <c r="B334" s="7" t="s">
        <v>1769</v>
      </c>
      <c r="C334" s="7" t="str">
        <f t="shared" si="58"/>
        <v>2025-05</v>
      </c>
      <c r="D334" s="7" cm="1">
        <f t="array" ref="D334">_xlfn.LET(_xlpm.x,B334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45804</v>
      </c>
      <c r="E334" s="7" t="s">
        <v>1770</v>
      </c>
      <c r="F334" s="7" cm="1">
        <f t="array" ref="F334">_xlfn.LET(_xlpm.x,E334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45805</v>
      </c>
      <c r="G334" s="8" t="str">
        <f t="shared" si="32"/>
        <v>OK</v>
      </c>
      <c r="H334" s="6">
        <f t="shared" si="33"/>
        <v>1</v>
      </c>
      <c r="I334" s="6" t="s">
        <v>1771</v>
      </c>
      <c r="J334" s="6" t="s">
        <v>239</v>
      </c>
      <c r="K334" s="6" t="str">
        <f t="shared" si="34"/>
        <v>Aarav Sharma</v>
      </c>
      <c r="L334" s="6" t="s">
        <v>43</v>
      </c>
      <c r="M334" s="8" t="str">
        <f t="shared" si="35"/>
        <v>Consumer</v>
      </c>
      <c r="N334" s="6" t="s">
        <v>10</v>
      </c>
      <c r="O334" s="6" t="str">
        <f t="shared" si="36"/>
        <v>South</v>
      </c>
      <c r="P334" s="6" t="s">
        <v>183</v>
      </c>
      <c r="Q334" s="6" t="str">
        <f t="shared" si="37"/>
        <v>Andhra Pradesh</v>
      </c>
      <c r="R334" s="6" t="s">
        <v>184</v>
      </c>
      <c r="S334" s="6" t="str">
        <f t="shared" si="38"/>
        <v>Vijayawada</v>
      </c>
      <c r="T334" s="6" t="s">
        <v>27</v>
      </c>
      <c r="U334" s="8" t="str">
        <f t="shared" si="39"/>
        <v>Technology</v>
      </c>
      <c r="V334" s="6" t="s">
        <v>1772</v>
      </c>
      <c r="W334" s="6" t="str">
        <f t="shared" si="40"/>
        <v>Machines</v>
      </c>
      <c r="X334" s="6" t="s">
        <v>1773</v>
      </c>
      <c r="Y334" s="6" t="s">
        <v>36</v>
      </c>
      <c r="Z334" s="6" t="str">
        <f t="shared" si="41"/>
        <v>Second Class</v>
      </c>
      <c r="AA334" s="6">
        <v>2</v>
      </c>
      <c r="AB334" s="6">
        <v>3911.96</v>
      </c>
      <c r="AC334" s="6">
        <v>0</v>
      </c>
      <c r="AD334" s="6">
        <v>7823.92</v>
      </c>
      <c r="AE334" s="6">
        <v>6034.63</v>
      </c>
      <c r="AF334" s="6">
        <v>1789.29</v>
      </c>
      <c r="AG334" s="6" t="s">
        <v>52</v>
      </c>
      <c r="AH334" s="6" t="str">
        <f t="shared" si="42"/>
        <v>Paid</v>
      </c>
      <c r="AI334" s="6" t="s">
        <v>134</v>
      </c>
      <c r="AJ334" s="6" t="str">
        <f t="shared" si="43"/>
        <v>Completed</v>
      </c>
      <c r="AK334" s="9" t="str">
        <f>_xlfn.TEXTJOIN("|",FALSE,A334,TEXT(B334,"mm-dd-yyyy"),TEXT(E334,"mm-dd-yyyy"),I334,J334,L334,N334,P334,R334,T334,V334,X334,Y334,AA334,AB334,AC334,AD334,AE334,AF334,AG334,AI334)</f>
        <v>ORD-2025-10333|05-27-2025|05-28-2025|CUST-5332|Aarav Sharma|Consumer|South|Andhra Pradesh|Vijayawada|Technology|machines|Basic Machines 601|Second Class|2|3911.96|0|7823.92|6034.63|1789.29|Paid|Completed</v>
      </c>
      <c r="AL334" s="27" t="str">
        <f>IF(COUNTIF($AK$2:AK334,AK334)&gt;1,"Remove exact duplicate copy","Keep")</f>
        <v>Keep</v>
      </c>
      <c r="AM334" s="9">
        <f t="shared" si="44"/>
        <v>1</v>
      </c>
      <c r="AN334" s="9" t="str">
        <f t="shared" si="45"/>
        <v>Unique</v>
      </c>
      <c r="AO334" s="9" t="str">
        <f t="shared" si="46"/>
        <v/>
      </c>
      <c r="AP334" s="9">
        <f t="shared" si="47"/>
        <v>0</v>
      </c>
      <c r="AQ334" s="10">
        <f t="shared" si="48"/>
        <v>7823.92</v>
      </c>
      <c r="AR334" s="10">
        <f t="shared" si="49"/>
        <v>1789.29</v>
      </c>
      <c r="AS334" s="11">
        <f t="shared" si="50"/>
        <v>0.22869482305545047</v>
      </c>
      <c r="AT334" s="9">
        <f t="shared" si="51"/>
        <v>5</v>
      </c>
      <c r="AU334" s="9">
        <f t="shared" si="52"/>
        <v>2025</v>
      </c>
      <c r="AV334" s="9" t="b">
        <f t="shared" si="53"/>
        <v>0</v>
      </c>
      <c r="AW334" s="9" t="b">
        <f t="shared" si="54"/>
        <v>0</v>
      </c>
      <c r="AX334" s="9" t="str">
        <f t="shared" si="55"/>
        <v>Yes</v>
      </c>
      <c r="AY334" s="9" t="str">
        <f t="shared" si="59"/>
        <v/>
      </c>
      <c r="AZ334" s="9" t="str">
        <f>IF(OR(G334="Missing date",G334="Invalid date",G334="Ship date before order date",NOT(ISNUMBER(AP334)),AP334&lt;0,AP334&gt;0.5,AV334=TRUE,AW334=TRUE),"Invalid",IF(OR(O334="Unknown",Z334="Unknown",AC334="",AH334&lt;&gt;"Paid",AJ334&lt;&gt;"Completed",AO334&lt;&gt;""),"Warning","Clean"))</f>
        <v>Clean</v>
      </c>
    </row>
    <row r="335" spans="1:52" ht="15.75" customHeight="1">
      <c r="A335" s="6" t="s">
        <v>1774</v>
      </c>
      <c r="B335" s="7" t="s">
        <v>1775</v>
      </c>
      <c r="C335" s="7" t="str">
        <f t="shared" si="58"/>
        <v>2025-06</v>
      </c>
      <c r="D335" s="7" cm="1">
        <f t="array" ref="D335">_xlfn.LET(_xlpm.x,B335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45830</v>
      </c>
      <c r="E335" s="7" t="s">
        <v>1776</v>
      </c>
      <c r="F335" s="7" cm="1">
        <f t="array" ref="F335">_xlfn.LET(_xlpm.x,E335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45835</v>
      </c>
      <c r="G335" s="8" t="str">
        <f t="shared" si="32"/>
        <v>OK</v>
      </c>
      <c r="H335" s="6">
        <f t="shared" si="33"/>
        <v>5</v>
      </c>
      <c r="I335" s="6" t="s">
        <v>1777</v>
      </c>
      <c r="J335" s="6" t="s">
        <v>257</v>
      </c>
      <c r="K335" s="6" t="str">
        <f t="shared" si="34"/>
        <v>Rohan Mehta</v>
      </c>
      <c r="L335" s="6" t="s">
        <v>44</v>
      </c>
      <c r="M335" s="8" t="str">
        <f t="shared" si="35"/>
        <v>Home Office</v>
      </c>
      <c r="N335" s="6"/>
      <c r="O335" s="6" t="str">
        <f t="shared" si="36"/>
        <v>Unknown</v>
      </c>
      <c r="P335" s="6" t="s">
        <v>583</v>
      </c>
      <c r="Q335" s="6" t="str">
        <f t="shared" si="37"/>
        <v>Delhi</v>
      </c>
      <c r="R335" s="6" t="s">
        <v>584</v>
      </c>
      <c r="S335" s="6" t="str">
        <f t="shared" si="38"/>
        <v>New Delhi</v>
      </c>
      <c r="T335" s="6" t="s">
        <v>27</v>
      </c>
      <c r="U335" s="8" t="str">
        <f t="shared" si="39"/>
        <v>Technology</v>
      </c>
      <c r="V335" s="6" t="s">
        <v>31</v>
      </c>
      <c r="W335" s="6" t="str">
        <f t="shared" si="40"/>
        <v>Phones</v>
      </c>
      <c r="X335" s="6" t="s">
        <v>1778</v>
      </c>
      <c r="Y335" s="6" t="s">
        <v>35</v>
      </c>
      <c r="Z335" s="6" t="str">
        <f t="shared" si="41"/>
        <v>First Class</v>
      </c>
      <c r="AA335" s="6">
        <v>2</v>
      </c>
      <c r="AB335" s="6">
        <v>1468.05</v>
      </c>
      <c r="AC335" s="6">
        <v>0</v>
      </c>
      <c r="AD335" s="6">
        <v>2936.1</v>
      </c>
      <c r="AE335" s="6">
        <v>1923.1</v>
      </c>
      <c r="AF335" s="6">
        <v>1013</v>
      </c>
      <c r="AG335" s="6" t="s">
        <v>52</v>
      </c>
      <c r="AH335" s="6" t="str">
        <f t="shared" si="42"/>
        <v>Paid</v>
      </c>
      <c r="AI335" s="6" t="s">
        <v>134</v>
      </c>
      <c r="AJ335" s="6" t="str">
        <f t="shared" si="43"/>
        <v>Completed</v>
      </c>
      <c r="AK335" s="9" t="str">
        <f>_xlfn.TEXTJOIN("|",FALSE,A335,TEXT(B335,"mm-dd-yyyy"),TEXT(E335,"mm-dd-yyyy"),I335,J335,L335,N335,P335,R335,T335,V335,X335,Y335,AA335,AB335,AC335,AD335,AE335,AF335,AG335,AI335)</f>
        <v>ORD-2025-10334|06-22-2025|06-27-2025|CUST-8081|Rohan Mehta|Home Office||Delhi|New Delhi|Technology|Phones|Pro Phones 968|First Class|2|1468.05|0|2936.1|1923.1|1013|Paid|Completed</v>
      </c>
      <c r="AL335" s="27" t="str">
        <f>IF(COUNTIF($AK$2:AK335,AK335)&gt;1,"Remove exact duplicate copy","Keep")</f>
        <v>Keep</v>
      </c>
      <c r="AM335" s="9">
        <f t="shared" si="44"/>
        <v>1</v>
      </c>
      <c r="AN335" s="9" t="str">
        <f t="shared" si="45"/>
        <v>Unique</v>
      </c>
      <c r="AO335" s="9" t="str">
        <f t="shared" si="46"/>
        <v/>
      </c>
      <c r="AP335" s="9">
        <f t="shared" si="47"/>
        <v>0</v>
      </c>
      <c r="AQ335" s="10">
        <f t="shared" si="48"/>
        <v>2936.1</v>
      </c>
      <c r="AR335" s="10">
        <f t="shared" si="49"/>
        <v>1013</v>
      </c>
      <c r="AS335" s="11">
        <f t="shared" si="50"/>
        <v>0.34501549674738602</v>
      </c>
      <c r="AT335" s="9">
        <f t="shared" si="51"/>
        <v>6</v>
      </c>
      <c r="AU335" s="9">
        <f t="shared" si="52"/>
        <v>2025</v>
      </c>
      <c r="AV335" s="9" t="b">
        <f t="shared" si="53"/>
        <v>0</v>
      </c>
      <c r="AW335" s="9" t="b">
        <f t="shared" si="54"/>
        <v>0</v>
      </c>
      <c r="AX335" s="9" t="str">
        <f t="shared" si="55"/>
        <v>Yes</v>
      </c>
      <c r="AY335" s="9" t="str">
        <f t="shared" si="59"/>
        <v>Missing region filled as Unknown</v>
      </c>
      <c r="AZ335" s="9" t="str">
        <f>IF(OR(G335="Missing date",G335="Invalid date",G335="Ship date before order date",NOT(ISNUMBER(AP335)),AP335&lt;0,AP335&gt;0.5,AV335=TRUE,AW335=TRUE),"Invalid",IF(OR(O335="Unknown",Z335="Unknown",AC335="",AH335&lt;&gt;"Paid",AJ335&lt;&gt;"Completed",AO335&lt;&gt;""),"Warning","Clean"))</f>
        <v>Warning</v>
      </c>
    </row>
    <row r="336" spans="1:52" ht="15.75" customHeight="1">
      <c r="A336" s="6" t="s">
        <v>1779</v>
      </c>
      <c r="B336" s="7" t="s">
        <v>1780</v>
      </c>
      <c r="C336" s="7" t="str">
        <f t="shared" si="58"/>
        <v>2024-09</v>
      </c>
      <c r="D336" s="7" cm="1">
        <f t="array" ref="D336">_xlfn.LET(_xlpm.x,B336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45547</v>
      </c>
      <c r="E336" s="7" t="s">
        <v>1781</v>
      </c>
      <c r="F336" s="7" cm="1">
        <f t="array" ref="F336">_xlfn.LET(_xlpm.x,E336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45552</v>
      </c>
      <c r="G336" s="8" t="str">
        <f t="shared" si="32"/>
        <v>OK</v>
      </c>
      <c r="H336" s="6">
        <f t="shared" si="33"/>
        <v>5</v>
      </c>
      <c r="I336" s="6" t="s">
        <v>1782</v>
      </c>
      <c r="J336" s="6" t="s">
        <v>161</v>
      </c>
      <c r="K336" s="6" t="str">
        <f t="shared" si="34"/>
        <v>Ananya Rao</v>
      </c>
      <c r="L336" s="6" t="s">
        <v>43</v>
      </c>
      <c r="M336" s="8" t="str">
        <f t="shared" si="35"/>
        <v>Consumer</v>
      </c>
      <c r="N336" s="6" t="s">
        <v>8</v>
      </c>
      <c r="O336" s="6" t="str">
        <f t="shared" si="36"/>
        <v>East</v>
      </c>
      <c r="P336" s="6" t="s">
        <v>385</v>
      </c>
      <c r="Q336" s="6" t="str">
        <f t="shared" si="37"/>
        <v>Jharkhand</v>
      </c>
      <c r="R336" s="6" t="s">
        <v>386</v>
      </c>
      <c r="S336" s="6" t="str">
        <f t="shared" si="38"/>
        <v>Ranchi</v>
      </c>
      <c r="T336" s="6" t="s">
        <v>20</v>
      </c>
      <c r="U336" s="8" t="str">
        <f t="shared" si="39"/>
        <v>Office Supplies</v>
      </c>
      <c r="V336" s="6" t="s">
        <v>25</v>
      </c>
      <c r="W336" s="6" t="str">
        <f t="shared" si="40"/>
        <v>Storage</v>
      </c>
      <c r="X336" s="6" t="s">
        <v>1783</v>
      </c>
      <c r="Y336" s="6" t="s">
        <v>35</v>
      </c>
      <c r="Z336" s="6" t="str">
        <f t="shared" si="41"/>
        <v>First Class</v>
      </c>
      <c r="AA336" s="6">
        <v>9</v>
      </c>
      <c r="AB336" s="6">
        <v>1921.47</v>
      </c>
      <c r="AC336" s="6">
        <v>0.25</v>
      </c>
      <c r="AD336" s="6">
        <v>12969.92</v>
      </c>
      <c r="AE336" s="6">
        <v>9398.4599999999991</v>
      </c>
      <c r="AF336" s="6">
        <v>3571.46</v>
      </c>
      <c r="AG336" s="6" t="s">
        <v>52</v>
      </c>
      <c r="AH336" s="6" t="str">
        <f t="shared" si="42"/>
        <v>Paid</v>
      </c>
      <c r="AI336" s="6" t="s">
        <v>134</v>
      </c>
      <c r="AJ336" s="6" t="str">
        <f t="shared" si="43"/>
        <v>Completed</v>
      </c>
      <c r="AK336" s="9" t="str">
        <f>_xlfn.TEXTJOIN("|",FALSE,A336,TEXT(B336,"mm-dd-yyyy"),TEXT(E336,"mm-dd-yyyy"),I336,J336,L336,N336,P336,R336,T336,V336,X336,Y336,AA336,AB336,AC336,AD336,AE336,AF336,AG336,AI336)</f>
        <v>ORD-2024-10335|09-12-2024|17-09-2024|CUST-3062|Ananya Rao|Consumer|East|Jharkhand|Ranchi|Office Supplies|Storage|Pro Storage 563|First Class|9|1921.47|0.25|12969.92|9398.46|3571.46|Paid|Completed</v>
      </c>
      <c r="AL336" s="27" t="str">
        <f>IF(COUNTIF($AK$2:AK336,AK336)&gt;1,"Remove exact duplicate copy","Keep")</f>
        <v>Keep</v>
      </c>
      <c r="AM336" s="9">
        <f t="shared" si="44"/>
        <v>1</v>
      </c>
      <c r="AN336" s="9" t="str">
        <f t="shared" si="45"/>
        <v>Unique</v>
      </c>
      <c r="AO336" s="9" t="str">
        <f t="shared" si="46"/>
        <v/>
      </c>
      <c r="AP336" s="9">
        <f t="shared" si="47"/>
        <v>0.25</v>
      </c>
      <c r="AQ336" s="10">
        <f t="shared" si="48"/>
        <v>12969.922500000001</v>
      </c>
      <c r="AR336" s="10">
        <f t="shared" si="49"/>
        <v>3571.4625000000015</v>
      </c>
      <c r="AS336" s="11">
        <f t="shared" si="50"/>
        <v>0.27536498386941027</v>
      </c>
      <c r="AT336" s="9">
        <f t="shared" si="51"/>
        <v>9</v>
      </c>
      <c r="AU336" s="9">
        <f t="shared" si="52"/>
        <v>2024</v>
      </c>
      <c r="AV336" s="9" t="b">
        <f t="shared" si="53"/>
        <v>0</v>
      </c>
      <c r="AW336" s="9" t="b">
        <f t="shared" si="54"/>
        <v>0</v>
      </c>
      <c r="AX336" s="9" t="str">
        <f t="shared" si="55"/>
        <v>Yes</v>
      </c>
      <c r="AY336" s="9" t="str">
        <f t="shared" si="59"/>
        <v/>
      </c>
      <c r="AZ336" s="9" t="str">
        <f>IF(OR(G336="Missing date",G336="Invalid date",G336="Ship date before order date",NOT(ISNUMBER(AP336)),AP336&lt;0,AP336&gt;0.5,AV336=TRUE,AW336=TRUE),"Invalid",IF(OR(O336="Unknown",Z336="Unknown",AC336="",AH336&lt;&gt;"Paid",AJ336&lt;&gt;"Completed",AO336&lt;&gt;""),"Warning","Clean"))</f>
        <v>Clean</v>
      </c>
    </row>
    <row r="337" spans="1:52" ht="15.75" customHeight="1">
      <c r="A337" s="6" t="s">
        <v>1784</v>
      </c>
      <c r="B337" s="7" t="s">
        <v>1785</v>
      </c>
      <c r="C337" s="7" t="str">
        <f t="shared" si="58"/>
        <v>2025-06</v>
      </c>
      <c r="D337" s="7" cm="1">
        <f t="array" ref="D337">_xlfn.LET(_xlpm.x,B337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45824</v>
      </c>
      <c r="E337" s="7" t="s">
        <v>1786</v>
      </c>
      <c r="F337" s="7" cm="1">
        <f t="array" ref="F337">_xlfn.LET(_xlpm.x,E337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45826</v>
      </c>
      <c r="G337" s="8" t="str">
        <f t="shared" si="32"/>
        <v>OK</v>
      </c>
      <c r="H337" s="6">
        <f t="shared" si="33"/>
        <v>2</v>
      </c>
      <c r="I337" s="6" t="s">
        <v>1787</v>
      </c>
      <c r="J337" s="6" t="s">
        <v>226</v>
      </c>
      <c r="K337" s="6" t="str">
        <f t="shared" si="34"/>
        <v>Rahul Verma</v>
      </c>
      <c r="L337" s="6" t="s">
        <v>44</v>
      </c>
      <c r="M337" s="8" t="str">
        <f t="shared" si="35"/>
        <v>Home Office</v>
      </c>
      <c r="N337" s="6" t="s">
        <v>9</v>
      </c>
      <c r="O337" s="6" t="str">
        <f t="shared" si="36"/>
        <v>West</v>
      </c>
      <c r="P337" s="6" t="s">
        <v>170</v>
      </c>
      <c r="Q337" s="6" t="str">
        <f t="shared" si="37"/>
        <v>Madhya Pradesh</v>
      </c>
      <c r="R337" s="6" t="s">
        <v>171</v>
      </c>
      <c r="S337" s="6" t="str">
        <f t="shared" si="38"/>
        <v>Indore</v>
      </c>
      <c r="T337" s="6" t="s">
        <v>20</v>
      </c>
      <c r="U337" s="8" t="str">
        <f t="shared" si="39"/>
        <v>Office Supplies</v>
      </c>
      <c r="V337" s="6" t="s">
        <v>24</v>
      </c>
      <c r="W337" s="6" t="str">
        <f t="shared" si="40"/>
        <v>Paper</v>
      </c>
      <c r="X337" s="6" t="s">
        <v>1788</v>
      </c>
      <c r="Y337" s="6" t="s">
        <v>35</v>
      </c>
      <c r="Z337" s="6" t="str">
        <f t="shared" si="41"/>
        <v>First Class</v>
      </c>
      <c r="AA337" s="6">
        <v>3</v>
      </c>
      <c r="AB337" s="6">
        <v>4289.37</v>
      </c>
      <c r="AC337" s="6">
        <v>0.1</v>
      </c>
      <c r="AD337" s="6">
        <v>11581.3</v>
      </c>
      <c r="AE337" s="6">
        <v>6829.43</v>
      </c>
      <c r="AF337" s="6">
        <v>4751.87</v>
      </c>
      <c r="AG337" s="6" t="s">
        <v>52</v>
      </c>
      <c r="AH337" s="6" t="str">
        <f t="shared" si="42"/>
        <v>Paid</v>
      </c>
      <c r="AI337" s="6" t="s">
        <v>134</v>
      </c>
      <c r="AJ337" s="6" t="str">
        <f t="shared" si="43"/>
        <v>Completed</v>
      </c>
      <c r="AK337" s="9" t="str">
        <f>_xlfn.TEXTJOIN("|",FALSE,A337,TEXT(B337,"mm-dd-yyyy"),TEXT(E337,"mm-dd-yyyy"),I337,J337,L337,N337,P337,R337,T337,V337,X337,Y337,AA337,AB337,AC337,AD337,AE337,AF337,AG337,AI337)</f>
        <v>ORD-2025-10336|06-16-2025|06-18-2025|CUST-3621|Rahul Verma|Home Office|West|Madhya Pradesh|Indore|Office Supplies|Paper|Prime Paper 559|First Class|3|4289.37|0.1|11581.3|6829.43|4751.87|Paid|Completed</v>
      </c>
      <c r="AL337" s="27" t="str">
        <f>IF(COUNTIF($AK$2:AK337,AK337)&gt;1,"Remove exact duplicate copy","Keep")</f>
        <v>Keep</v>
      </c>
      <c r="AM337" s="9">
        <f t="shared" si="44"/>
        <v>2</v>
      </c>
      <c r="AN337" s="9" t="str">
        <f t="shared" si="45"/>
        <v>Duplicate order_id</v>
      </c>
      <c r="AO337" s="9" t="str">
        <f t="shared" si="46"/>
        <v>Review conflicting duplicate</v>
      </c>
      <c r="AP337" s="9">
        <f t="shared" si="47"/>
        <v>0.1</v>
      </c>
      <c r="AQ337" s="10">
        <f t="shared" si="48"/>
        <v>11581.299000000001</v>
      </c>
      <c r="AR337" s="10">
        <f t="shared" si="49"/>
        <v>4751.8690000000006</v>
      </c>
      <c r="AS337" s="11">
        <f t="shared" si="50"/>
        <v>0.41030535521101735</v>
      </c>
      <c r="AT337" s="9">
        <f t="shared" si="51"/>
        <v>6</v>
      </c>
      <c r="AU337" s="9">
        <f t="shared" si="52"/>
        <v>2025</v>
      </c>
      <c r="AV337" s="9" t="b">
        <f t="shared" si="53"/>
        <v>0</v>
      </c>
      <c r="AW337" s="9" t="b">
        <f t="shared" si="54"/>
        <v>0</v>
      </c>
      <c r="AX337" s="9" t="str">
        <f t="shared" si="55"/>
        <v>No</v>
      </c>
      <c r="AY337" s="9" t="str">
        <f t="shared" si="59"/>
        <v>Duplicate order ID conflict</v>
      </c>
      <c r="AZ337" s="9" t="str">
        <f>IF(OR(G337="Missing date",G337="Invalid date",G337="Ship date before order date",NOT(ISNUMBER(AP337)),AP337&lt;0,AP337&gt;0.5,AV337=TRUE,AW337=TRUE),"Invalid",IF(OR(O337="Unknown",Z337="Unknown",AC337="",AH337&lt;&gt;"Paid",AJ337&lt;&gt;"Completed",AO337&lt;&gt;""),"Warning","Clean"))</f>
        <v>Warning</v>
      </c>
    </row>
    <row r="338" spans="1:52" ht="15.75" customHeight="1">
      <c r="A338" s="6" t="s">
        <v>1789</v>
      </c>
      <c r="B338" s="7" t="s">
        <v>378</v>
      </c>
      <c r="C338" s="7" t="str">
        <f t="shared" si="58"/>
        <v>2024-03</v>
      </c>
      <c r="D338" s="7" cm="1">
        <f t="array" ref="D338">_xlfn.LET(_xlpm.x,B338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45368</v>
      </c>
      <c r="E338" s="7" t="s">
        <v>1790</v>
      </c>
      <c r="F338" s="7" cm="1">
        <f t="array" ref="F338">_xlfn.LET(_xlpm.x,E338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45372</v>
      </c>
      <c r="G338" s="8" t="str">
        <f t="shared" si="32"/>
        <v>OK</v>
      </c>
      <c r="H338" s="6">
        <f t="shared" si="33"/>
        <v>4</v>
      </c>
      <c r="I338" s="6" t="s">
        <v>1406</v>
      </c>
      <c r="J338" s="6" t="s">
        <v>239</v>
      </c>
      <c r="K338" s="6" t="str">
        <f t="shared" si="34"/>
        <v>Aarav Sharma</v>
      </c>
      <c r="L338" s="6" t="s">
        <v>43</v>
      </c>
      <c r="M338" s="8" t="str">
        <f t="shared" si="35"/>
        <v>Consumer</v>
      </c>
      <c r="N338" s="6" t="s">
        <v>7</v>
      </c>
      <c r="O338" s="6" t="str">
        <f t="shared" si="36"/>
        <v>North</v>
      </c>
      <c r="P338" s="6" t="s">
        <v>131</v>
      </c>
      <c r="Q338" s="6" t="str">
        <f t="shared" si="37"/>
        <v>Rajasthan</v>
      </c>
      <c r="R338" s="6" t="s">
        <v>132</v>
      </c>
      <c r="S338" s="6" t="str">
        <f t="shared" si="38"/>
        <v>Jaipur</v>
      </c>
      <c r="T338" s="6" t="s">
        <v>27</v>
      </c>
      <c r="U338" s="8" t="str">
        <f t="shared" si="39"/>
        <v>Technology</v>
      </c>
      <c r="V338" s="6" t="s">
        <v>29</v>
      </c>
      <c r="W338" s="6" t="str">
        <f t="shared" si="40"/>
        <v>Copiers</v>
      </c>
      <c r="X338" s="6" t="s">
        <v>1791</v>
      </c>
      <c r="Y338" s="6" t="s">
        <v>35</v>
      </c>
      <c r="Z338" s="6" t="str">
        <f t="shared" si="41"/>
        <v>First Class</v>
      </c>
      <c r="AA338" s="6">
        <v>8</v>
      </c>
      <c r="AB338" s="6">
        <v>1992.57</v>
      </c>
      <c r="AC338" s="6">
        <v>0</v>
      </c>
      <c r="AD338" s="6">
        <v>15940.56</v>
      </c>
      <c r="AE338" s="6">
        <v>12347.15</v>
      </c>
      <c r="AF338" s="6">
        <v>3593.41</v>
      </c>
      <c r="AG338" s="6" t="s">
        <v>52</v>
      </c>
      <c r="AH338" s="6" t="str">
        <f t="shared" si="42"/>
        <v>Paid</v>
      </c>
      <c r="AI338" s="6" t="s">
        <v>134</v>
      </c>
      <c r="AJ338" s="6" t="str">
        <f t="shared" si="43"/>
        <v>Completed</v>
      </c>
      <c r="AK338" s="9" t="str">
        <f>_xlfn.TEXTJOIN("|",FALSE,A338,TEXT(B338,"mm-dd-yyyy"),TEXT(E338,"mm-dd-yyyy"),I338,J338,L338,N338,P338,R338,T338,V338,X338,Y338,AA338,AB338,AC338,AD338,AE338,AF338,AG338,AI338)</f>
        <v>ORD-2024-10337|17-03-2024|03-21-2024|CUST-2103|Aarav Sharma|Consumer|North|Rajasthan|Jaipur|Technology|Copiers|Pro Copiers 999|First Class|8|1992.57|0|15940.56|12347.15|3593.41|Paid|Completed</v>
      </c>
      <c r="AL338" s="27" t="str">
        <f>IF(COUNTIF($AK$2:AK338,AK338)&gt;1,"Remove exact duplicate copy","Keep")</f>
        <v>Keep</v>
      </c>
      <c r="AM338" s="9">
        <f t="shared" si="44"/>
        <v>1</v>
      </c>
      <c r="AN338" s="9" t="str">
        <f t="shared" si="45"/>
        <v>Unique</v>
      </c>
      <c r="AO338" s="9" t="str">
        <f t="shared" si="46"/>
        <v/>
      </c>
      <c r="AP338" s="9">
        <f t="shared" si="47"/>
        <v>0</v>
      </c>
      <c r="AQ338" s="10">
        <f t="shared" si="48"/>
        <v>15940.56</v>
      </c>
      <c r="AR338" s="10">
        <f t="shared" si="49"/>
        <v>3593.41</v>
      </c>
      <c r="AS338" s="11">
        <f t="shared" si="50"/>
        <v>0.2254255810335396</v>
      </c>
      <c r="AT338" s="9">
        <f t="shared" si="51"/>
        <v>3</v>
      </c>
      <c r="AU338" s="9">
        <f t="shared" si="52"/>
        <v>2024</v>
      </c>
      <c r="AV338" s="9" t="b">
        <f t="shared" si="53"/>
        <v>0</v>
      </c>
      <c r="AW338" s="9" t="b">
        <f t="shared" si="54"/>
        <v>0</v>
      </c>
      <c r="AX338" s="9" t="str">
        <f t="shared" si="55"/>
        <v>Yes</v>
      </c>
      <c r="AY338" s="9" t="str">
        <f t="shared" si="59"/>
        <v/>
      </c>
      <c r="AZ338" s="9" t="str">
        <f>IF(OR(G338="Missing date",G338="Invalid date",G338="Ship date before order date",NOT(ISNUMBER(AP338)),AP338&lt;0,AP338&gt;0.5,AV338=TRUE,AW338=TRUE),"Invalid",IF(OR(O338="Unknown",Z338="Unknown",AC338="",AH338&lt;&gt;"Paid",AJ338&lt;&gt;"Completed",AO338&lt;&gt;""),"Warning","Clean"))</f>
        <v>Clean</v>
      </c>
    </row>
    <row r="339" spans="1:52" ht="15.75" customHeight="1">
      <c r="A339" s="6" t="s">
        <v>1792</v>
      </c>
      <c r="B339" s="7" t="s">
        <v>1793</v>
      </c>
      <c r="C339" s="7" t="str">
        <f t="shared" si="58"/>
        <v>2024-08</v>
      </c>
      <c r="D339" s="7" cm="1">
        <f t="array" ref="D339">_xlfn.LET(_xlpm.x,B339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45516</v>
      </c>
      <c r="E339" s="7" t="s">
        <v>1794</v>
      </c>
      <c r="F339" s="7" cm="1">
        <f t="array" ref="F339">_xlfn.LET(_xlpm.x,E339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45522</v>
      </c>
      <c r="G339" s="8" t="str">
        <f t="shared" si="32"/>
        <v>OK</v>
      </c>
      <c r="H339" s="6">
        <f t="shared" si="33"/>
        <v>6</v>
      </c>
      <c r="I339" s="6" t="s">
        <v>1795</v>
      </c>
      <c r="J339" s="6" t="s">
        <v>161</v>
      </c>
      <c r="K339" s="6" t="str">
        <f t="shared" si="34"/>
        <v>Ananya Rao</v>
      </c>
      <c r="L339" s="6" t="s">
        <v>43</v>
      </c>
      <c r="M339" s="8" t="str">
        <f t="shared" si="35"/>
        <v>Consumer</v>
      </c>
      <c r="N339" s="6" t="s">
        <v>8</v>
      </c>
      <c r="O339" s="6" t="str">
        <f t="shared" si="36"/>
        <v>East</v>
      </c>
      <c r="P339" s="6" t="s">
        <v>290</v>
      </c>
      <c r="Q339" s="6" t="str">
        <f t="shared" si="37"/>
        <v>Assam</v>
      </c>
      <c r="R339" s="6" t="s">
        <v>291</v>
      </c>
      <c r="S339" s="6" t="str">
        <f t="shared" si="38"/>
        <v>Guwahati</v>
      </c>
      <c r="T339" s="6" t="s">
        <v>20</v>
      </c>
      <c r="U339" s="8" t="str">
        <f t="shared" si="39"/>
        <v>Office Supplies</v>
      </c>
      <c r="V339" s="6" t="s">
        <v>23</v>
      </c>
      <c r="W339" s="6" t="str">
        <f t="shared" si="40"/>
        <v>Labels</v>
      </c>
      <c r="X339" s="6" t="s">
        <v>1796</v>
      </c>
      <c r="Y339" s="6" t="s">
        <v>37</v>
      </c>
      <c r="Z339" s="6" t="str">
        <f t="shared" si="41"/>
        <v>Same Day</v>
      </c>
      <c r="AA339" s="6">
        <v>6</v>
      </c>
      <c r="AB339" s="6">
        <v>1181.74</v>
      </c>
      <c r="AC339" s="6">
        <v>0</v>
      </c>
      <c r="AD339" s="6">
        <v>7090.44</v>
      </c>
      <c r="AE339" s="6">
        <v>5672.27</v>
      </c>
      <c r="AF339" s="6">
        <v>1262.8699999999999</v>
      </c>
      <c r="AG339" s="6" t="s">
        <v>52</v>
      </c>
      <c r="AH339" s="6" t="str">
        <f t="shared" si="42"/>
        <v>Paid</v>
      </c>
      <c r="AI339" s="6" t="s">
        <v>134</v>
      </c>
      <c r="AJ339" s="6" t="str">
        <f t="shared" si="43"/>
        <v>Completed</v>
      </c>
      <c r="AK339" s="9" t="str">
        <f>_xlfn.TEXTJOIN("|",FALSE,A339,TEXT(B339,"mm-dd-yyyy"),TEXT(E339,"mm-dd-yyyy"),I339,J339,L339,N339,P339,R339,T339,V339,X339,Y339,AA339,AB339,AC339,AD339,AE339,AF339,AG339,AI339)</f>
        <v>ORD-2024-10338|08-12-2024|08-18-2024|CUST-4599|Ananya Rao|Consumer|East|Assam|Guwahati|Office Supplies|Labels|Classic Labels 206|Same Day|6|1181.74|0|7090.44|5672.27|1262.87|Paid|Completed</v>
      </c>
      <c r="AL339" s="27" t="str">
        <f>IF(COUNTIF($AK$2:AK339,AK339)&gt;1,"Remove exact duplicate copy","Keep")</f>
        <v>Keep</v>
      </c>
      <c r="AM339" s="9">
        <f t="shared" si="44"/>
        <v>1</v>
      </c>
      <c r="AN339" s="9" t="str">
        <f t="shared" si="45"/>
        <v>Unique</v>
      </c>
      <c r="AO339" s="9" t="str">
        <f t="shared" si="46"/>
        <v/>
      </c>
      <c r="AP339" s="9">
        <f t="shared" si="47"/>
        <v>0</v>
      </c>
      <c r="AQ339" s="10">
        <f t="shared" si="48"/>
        <v>7090.4400000000005</v>
      </c>
      <c r="AR339" s="10">
        <f t="shared" si="49"/>
        <v>1418.17</v>
      </c>
      <c r="AS339" s="11">
        <f t="shared" si="50"/>
        <v>0.20001156486762456</v>
      </c>
      <c r="AT339" s="9">
        <f t="shared" si="51"/>
        <v>8</v>
      </c>
      <c r="AU339" s="9">
        <f t="shared" si="52"/>
        <v>2024</v>
      </c>
      <c r="AV339" s="9" t="b">
        <f t="shared" si="53"/>
        <v>0</v>
      </c>
      <c r="AW339" s="9" t="b">
        <f t="shared" si="54"/>
        <v>1</v>
      </c>
      <c r="AX339" s="9" t="str">
        <f t="shared" si="55"/>
        <v>No</v>
      </c>
      <c r="AY339" s="9" t="str">
        <f t="shared" si="59"/>
        <v>Profit mismatch</v>
      </c>
      <c r="AZ339" s="9" t="str">
        <f>IF(OR(G339="Missing date",G339="Invalid date",G339="Ship date before order date",NOT(ISNUMBER(AP339)),AP339&lt;0,AP339&gt;0.5,AV339=TRUE,AW339=TRUE),"Invalid",IF(OR(O339="Unknown",Z339="Unknown",AC339="",AH339&lt;&gt;"Paid",AJ339&lt;&gt;"Completed",AO339&lt;&gt;""),"Warning","Clean"))</f>
        <v>Invalid</v>
      </c>
    </row>
    <row r="340" spans="1:52" ht="15.75" customHeight="1">
      <c r="A340" s="6" t="s">
        <v>1797</v>
      </c>
      <c r="B340" s="7" t="s">
        <v>1798</v>
      </c>
      <c r="C340" s="7" t="str">
        <f t="shared" si="58"/>
        <v>2024-12</v>
      </c>
      <c r="D340" s="7" cm="1">
        <f t="array" ref="D340">_xlfn.LET(_xlpm.x,B340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45634</v>
      </c>
      <c r="E340" s="7" t="s">
        <v>1551</v>
      </c>
      <c r="F340" s="7" cm="1">
        <f t="array" ref="F340">_xlfn.LET(_xlpm.x,E340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45634</v>
      </c>
      <c r="G340" s="8" t="str">
        <f t="shared" si="32"/>
        <v>OK</v>
      </c>
      <c r="H340" s="6">
        <f t="shared" si="33"/>
        <v>0</v>
      </c>
      <c r="I340" s="6" t="s">
        <v>1799</v>
      </c>
      <c r="J340" s="6" t="s">
        <v>153</v>
      </c>
      <c r="K340" s="6" t="str">
        <f t="shared" si="34"/>
        <v>Arjun Bose</v>
      </c>
      <c r="L340" s="6" t="s">
        <v>46</v>
      </c>
      <c r="M340" s="8" t="str">
        <f t="shared" si="35"/>
        <v>Small Business</v>
      </c>
      <c r="N340" s="6" t="s">
        <v>10</v>
      </c>
      <c r="O340" s="6" t="str">
        <f t="shared" si="36"/>
        <v>South</v>
      </c>
      <c r="P340" s="6" t="s">
        <v>183</v>
      </c>
      <c r="Q340" s="6" t="str">
        <f t="shared" si="37"/>
        <v>Andhra Pradesh</v>
      </c>
      <c r="R340" s="6" t="s">
        <v>184</v>
      </c>
      <c r="S340" s="6" t="str">
        <f t="shared" si="38"/>
        <v>Vijayawada</v>
      </c>
      <c r="T340" s="6" t="s">
        <v>27</v>
      </c>
      <c r="U340" s="8" t="str">
        <f t="shared" si="39"/>
        <v>Technology</v>
      </c>
      <c r="V340" s="6" t="s">
        <v>28</v>
      </c>
      <c r="W340" s="6" t="str">
        <f t="shared" si="40"/>
        <v>Accessories</v>
      </c>
      <c r="X340" s="6" t="s">
        <v>1800</v>
      </c>
      <c r="Y340" s="6" t="s">
        <v>35</v>
      </c>
      <c r="Z340" s="6" t="str">
        <f t="shared" si="41"/>
        <v>First Class</v>
      </c>
      <c r="AA340" s="6">
        <v>8</v>
      </c>
      <c r="AB340" s="6">
        <v>4402.3599999999997</v>
      </c>
      <c r="AC340" s="6">
        <v>0.25</v>
      </c>
      <c r="AD340" s="6">
        <v>26414.16</v>
      </c>
      <c r="AE340" s="6">
        <v>21822.53</v>
      </c>
      <c r="AF340" s="6">
        <v>4591.63</v>
      </c>
      <c r="AG340" s="6" t="s">
        <v>52</v>
      </c>
      <c r="AH340" s="6" t="str">
        <f t="shared" si="42"/>
        <v>Paid</v>
      </c>
      <c r="AI340" s="6" t="s">
        <v>134</v>
      </c>
      <c r="AJ340" s="6" t="str">
        <f t="shared" si="43"/>
        <v>Completed</v>
      </c>
      <c r="AK340" s="9" t="str">
        <f>_xlfn.TEXTJOIN("|",FALSE,A340,TEXT(B340,"mm-dd-yyyy"),TEXT(E340,"mm-dd-yyyy"),I340,J340,L340,N340,P340,R340,T340,V340,X340,Y340,AA340,AB340,AC340,AD340,AE340,AF340,AG340,AI340)</f>
        <v>ORD-2024-10339|08-12-2024|12-08-2024|CUST-3066|Arjun Bose|Small Business|South|Andhra Pradesh|Vijayawada|Technology|Accessories|Eco Accessories 315|First Class|8|4402.36|0.25|26414.16|21822.53|4591.63|Paid|Completed</v>
      </c>
      <c r="AL340" s="27" t="str">
        <f>IF(COUNTIF($AK$2:AK340,AK340)&gt;1,"Remove exact duplicate copy","Keep")</f>
        <v>Keep</v>
      </c>
      <c r="AM340" s="9">
        <f t="shared" si="44"/>
        <v>1</v>
      </c>
      <c r="AN340" s="9" t="str">
        <f t="shared" si="45"/>
        <v>Unique</v>
      </c>
      <c r="AO340" s="9" t="str">
        <f t="shared" si="46"/>
        <v/>
      </c>
      <c r="AP340" s="9">
        <f t="shared" si="47"/>
        <v>0.25</v>
      </c>
      <c r="AQ340" s="10">
        <f t="shared" si="48"/>
        <v>26414.159999999996</v>
      </c>
      <c r="AR340" s="10">
        <f t="shared" si="49"/>
        <v>4591.6299999999974</v>
      </c>
      <c r="AS340" s="11">
        <f t="shared" si="50"/>
        <v>0.17383214154832097</v>
      </c>
      <c r="AT340" s="9">
        <f t="shared" si="51"/>
        <v>12</v>
      </c>
      <c r="AU340" s="9">
        <f t="shared" si="52"/>
        <v>2024</v>
      </c>
      <c r="AV340" s="9" t="b">
        <f t="shared" si="53"/>
        <v>0</v>
      </c>
      <c r="AW340" s="9" t="b">
        <f t="shared" si="54"/>
        <v>0</v>
      </c>
      <c r="AX340" s="9" t="str">
        <f t="shared" si="55"/>
        <v>Yes</v>
      </c>
      <c r="AY340" s="9" t="str">
        <f t="shared" si="59"/>
        <v/>
      </c>
      <c r="AZ340" s="9" t="str">
        <f>IF(OR(G340="Missing date",G340="Invalid date",G340="Ship date before order date",NOT(ISNUMBER(AP340)),AP340&lt;0,AP340&gt;0.5,AV340=TRUE,AW340=TRUE),"Invalid",IF(OR(O340="Unknown",Z340="Unknown",AC340="",AH340&lt;&gt;"Paid",AJ340&lt;&gt;"Completed",AO340&lt;&gt;""),"Warning","Clean"))</f>
        <v>Clean</v>
      </c>
    </row>
    <row r="341" spans="1:52" ht="15.75" customHeight="1">
      <c r="A341" s="6" t="s">
        <v>1801</v>
      </c>
      <c r="B341" s="7" t="s">
        <v>998</v>
      </c>
      <c r="C341" s="7" t="str">
        <f t="shared" si="58"/>
        <v>2025-02</v>
      </c>
      <c r="D341" s="7" cm="1">
        <f t="array" ref="D341">_xlfn.LET(_xlpm.x,B341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45708</v>
      </c>
      <c r="E341" s="7" t="s">
        <v>1802</v>
      </c>
      <c r="F341" s="7" cm="1">
        <f t="array" ref="F341">_xlfn.LET(_xlpm.x,E341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45710</v>
      </c>
      <c r="G341" s="8" t="str">
        <f t="shared" si="32"/>
        <v>OK</v>
      </c>
      <c r="H341" s="6">
        <f t="shared" si="33"/>
        <v>2</v>
      </c>
      <c r="I341" s="6" t="s">
        <v>1803</v>
      </c>
      <c r="J341" s="6" t="s">
        <v>177</v>
      </c>
      <c r="K341" s="6" t="str">
        <f t="shared" si="34"/>
        <v>Neha Gupta</v>
      </c>
      <c r="L341" s="6" t="s">
        <v>45</v>
      </c>
      <c r="M341" s="8" t="str">
        <f t="shared" si="35"/>
        <v>Corporate</v>
      </c>
      <c r="N341" s="6" t="s">
        <v>8</v>
      </c>
      <c r="O341" s="6" t="str">
        <f t="shared" si="36"/>
        <v>East</v>
      </c>
      <c r="P341" s="6" t="s">
        <v>385</v>
      </c>
      <c r="Q341" s="6" t="str">
        <f t="shared" si="37"/>
        <v>Jharkhand</v>
      </c>
      <c r="R341" s="6" t="s">
        <v>386</v>
      </c>
      <c r="S341" s="6" t="str">
        <f t="shared" si="38"/>
        <v>Ranchi</v>
      </c>
      <c r="T341" s="6" t="s">
        <v>14</v>
      </c>
      <c r="U341" s="8" t="str">
        <f t="shared" si="39"/>
        <v>Furniture</v>
      </c>
      <c r="V341" s="6" t="s">
        <v>15</v>
      </c>
      <c r="W341" s="6" t="str">
        <f t="shared" si="40"/>
        <v>Bookcases</v>
      </c>
      <c r="X341" s="6" t="s">
        <v>1804</v>
      </c>
      <c r="Y341" s="6" t="s">
        <v>34</v>
      </c>
      <c r="Z341" s="6" t="str">
        <f t="shared" si="41"/>
        <v>Standard Class</v>
      </c>
      <c r="AA341" s="6">
        <v>8</v>
      </c>
      <c r="AB341" s="6">
        <v>3265.76</v>
      </c>
      <c r="AC341" s="6">
        <v>0.2</v>
      </c>
      <c r="AD341" s="6">
        <v>20900.86</v>
      </c>
      <c r="AE341" s="6">
        <v>12513.14</v>
      </c>
      <c r="AF341" s="6">
        <v>8387.7199999999993</v>
      </c>
      <c r="AG341" s="6" t="s">
        <v>52</v>
      </c>
      <c r="AH341" s="6" t="str">
        <f t="shared" si="42"/>
        <v>Paid</v>
      </c>
      <c r="AI341" s="6" t="s">
        <v>134</v>
      </c>
      <c r="AJ341" s="6" t="str">
        <f t="shared" si="43"/>
        <v>Completed</v>
      </c>
      <c r="AK341" s="9" t="str">
        <f>_xlfn.TEXTJOIN("|",FALSE,A341,TEXT(B341,"mm-dd-yyyy"),TEXT(E341,"mm-dd-yyyy"),I341,J341,L341,N341,P341,R341,T341,V341,X341,Y341,AA341,AB341,AC341,AD341,AE341,AF341,AG341,AI341)</f>
        <v>ORD-2025-10340|20-02-2025|22-02-2025|CUST-2752|Neha Gupta|Corporate|East|Jharkhand|Ranchi|Furniture|Bookcases|Elite Bookcases 988|Standard Class|8|3265.76|0.2|20900.86|12513.14|8387.72|Paid|Completed</v>
      </c>
      <c r="AL341" s="27" t="str">
        <f>IF(COUNTIF($AK$2:AK341,AK341)&gt;1,"Remove exact duplicate copy","Keep")</f>
        <v>Keep</v>
      </c>
      <c r="AM341" s="9">
        <f t="shared" si="44"/>
        <v>1</v>
      </c>
      <c r="AN341" s="9" t="str">
        <f t="shared" si="45"/>
        <v>Unique</v>
      </c>
      <c r="AO341" s="9" t="str">
        <f t="shared" si="46"/>
        <v/>
      </c>
      <c r="AP341" s="9">
        <f t="shared" si="47"/>
        <v>0.2</v>
      </c>
      <c r="AQ341" s="10">
        <f t="shared" si="48"/>
        <v>20900.864000000001</v>
      </c>
      <c r="AR341" s="10">
        <f t="shared" si="49"/>
        <v>8387.724000000002</v>
      </c>
      <c r="AS341" s="11">
        <f t="shared" si="50"/>
        <v>0.40130991714026759</v>
      </c>
      <c r="AT341" s="9">
        <f t="shared" si="51"/>
        <v>2</v>
      </c>
      <c r="AU341" s="9">
        <f t="shared" si="52"/>
        <v>2025</v>
      </c>
      <c r="AV341" s="9" t="b">
        <f t="shared" si="53"/>
        <v>0</v>
      </c>
      <c r="AW341" s="9" t="b">
        <f t="shared" si="54"/>
        <v>0</v>
      </c>
      <c r="AX341" s="9" t="str">
        <f t="shared" si="55"/>
        <v>Yes</v>
      </c>
      <c r="AY341" s="9" t="str">
        <f t="shared" si="59"/>
        <v/>
      </c>
      <c r="AZ341" s="9" t="str">
        <f>IF(OR(G341="Missing date",G341="Invalid date",G341="Ship date before order date",NOT(ISNUMBER(AP341)),AP341&lt;0,AP341&gt;0.5,AV341=TRUE,AW341=TRUE),"Invalid",IF(OR(O341="Unknown",Z341="Unknown",AC341="",AH341&lt;&gt;"Paid",AJ341&lt;&gt;"Completed",AO341&lt;&gt;""),"Warning","Clean"))</f>
        <v>Clean</v>
      </c>
    </row>
    <row r="342" spans="1:52" ht="15.75" customHeight="1">
      <c r="A342" s="6" t="s">
        <v>1805</v>
      </c>
      <c r="B342" s="7" t="s">
        <v>1806</v>
      </c>
      <c r="C342" s="7" t="str">
        <f t="shared" si="58"/>
        <v>2024-01</v>
      </c>
      <c r="D342" s="7" cm="1">
        <f t="array" ref="D342">_xlfn.LET(_xlpm.x,B342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45312</v>
      </c>
      <c r="E342" s="7" t="s">
        <v>1807</v>
      </c>
      <c r="F342" s="7" cm="1">
        <f t="array" ref="F342">_xlfn.LET(_xlpm.x,E342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45320</v>
      </c>
      <c r="G342" s="8" t="str">
        <f t="shared" si="32"/>
        <v>OK</v>
      </c>
      <c r="H342" s="6">
        <f t="shared" si="33"/>
        <v>8</v>
      </c>
      <c r="I342" s="6" t="s">
        <v>1808</v>
      </c>
      <c r="J342" s="6" t="s">
        <v>177</v>
      </c>
      <c r="K342" s="6" t="str">
        <f t="shared" si="34"/>
        <v>Neha Gupta</v>
      </c>
      <c r="L342" s="6" t="s">
        <v>43</v>
      </c>
      <c r="M342" s="8" t="str">
        <f t="shared" si="35"/>
        <v>Consumer</v>
      </c>
      <c r="N342" s="6" t="s">
        <v>10</v>
      </c>
      <c r="O342" s="6" t="str">
        <f t="shared" si="36"/>
        <v>South</v>
      </c>
      <c r="P342" s="6" t="s">
        <v>303</v>
      </c>
      <c r="Q342" s="6" t="str">
        <f t="shared" si="37"/>
        <v>Karnataka</v>
      </c>
      <c r="R342" s="6" t="s">
        <v>304</v>
      </c>
      <c r="S342" s="6" t="str">
        <f t="shared" si="38"/>
        <v>Bengaluru</v>
      </c>
      <c r="T342" s="6" t="s">
        <v>20</v>
      </c>
      <c r="U342" s="8" t="str">
        <f t="shared" si="39"/>
        <v>Office Supplies</v>
      </c>
      <c r="V342" s="6" t="s">
        <v>22</v>
      </c>
      <c r="W342" s="6" t="str">
        <f t="shared" si="40"/>
        <v>Binders</v>
      </c>
      <c r="X342" s="6" t="s">
        <v>1809</v>
      </c>
      <c r="Y342" s="6" t="s">
        <v>34</v>
      </c>
      <c r="Z342" s="6" t="str">
        <f t="shared" si="41"/>
        <v>Standard Class</v>
      </c>
      <c r="AA342" s="6">
        <v>5</v>
      </c>
      <c r="AB342" s="6">
        <v>4058.08</v>
      </c>
      <c r="AC342" s="6">
        <v>0.1</v>
      </c>
      <c r="AD342" s="6">
        <v>18261.36</v>
      </c>
      <c r="AE342" s="6">
        <v>11399.94</v>
      </c>
      <c r="AF342" s="6">
        <v>6861.42</v>
      </c>
      <c r="AG342" s="6" t="s">
        <v>52</v>
      </c>
      <c r="AH342" s="6" t="str">
        <f t="shared" si="42"/>
        <v>Paid</v>
      </c>
      <c r="AI342" s="6" t="s">
        <v>134</v>
      </c>
      <c r="AJ342" s="6" t="str">
        <f t="shared" si="43"/>
        <v>Completed</v>
      </c>
      <c r="AK342" s="9" t="str">
        <f>_xlfn.TEXTJOIN("|",FALSE,A342,TEXT(B342,"mm-dd-yyyy"),TEXT(E342,"mm-dd-yyyy"),I342,J342,L342,N342,P342,R342,T342,V342,X342,Y342,AA342,AB342,AC342,AD342,AE342,AF342,AG342,AI342)</f>
        <v>ORD-2024-10341|01-21-2024|01-29-2024|CUST-6291|Neha Gupta|Consumer|South|Karnataka|Bengaluru|Office Supplies|Binders|Smart Binders 414|Standard Class|5|4058.08|0.1|18261.36|11399.94|6861.42|Paid|Completed</v>
      </c>
      <c r="AL342" s="27" t="str">
        <f>IF(COUNTIF($AK$2:AK342,AK342)&gt;1,"Remove exact duplicate copy","Keep")</f>
        <v>Keep</v>
      </c>
      <c r="AM342" s="9">
        <f t="shared" si="44"/>
        <v>1</v>
      </c>
      <c r="AN342" s="9" t="str">
        <f t="shared" si="45"/>
        <v>Unique</v>
      </c>
      <c r="AO342" s="9" t="str">
        <f t="shared" si="46"/>
        <v/>
      </c>
      <c r="AP342" s="9">
        <f t="shared" si="47"/>
        <v>0.1</v>
      </c>
      <c r="AQ342" s="10">
        <f t="shared" si="48"/>
        <v>18261.36</v>
      </c>
      <c r="AR342" s="10">
        <f t="shared" si="49"/>
        <v>6861.42</v>
      </c>
      <c r="AS342" s="11">
        <f t="shared" si="50"/>
        <v>0.3757343374206521</v>
      </c>
      <c r="AT342" s="9">
        <f t="shared" si="51"/>
        <v>1</v>
      </c>
      <c r="AU342" s="9">
        <f t="shared" si="52"/>
        <v>2024</v>
      </c>
      <c r="AV342" s="9" t="b">
        <f t="shared" si="53"/>
        <v>0</v>
      </c>
      <c r="AW342" s="9" t="b">
        <f t="shared" si="54"/>
        <v>0</v>
      </c>
      <c r="AX342" s="9" t="str">
        <f t="shared" si="55"/>
        <v>Yes</v>
      </c>
      <c r="AY342" s="9" t="str">
        <f t="shared" si="59"/>
        <v/>
      </c>
      <c r="AZ342" s="9" t="str">
        <f>IF(OR(G342="Missing date",G342="Invalid date",G342="Ship date before order date",NOT(ISNUMBER(AP342)),AP342&lt;0,AP342&gt;0.5,AV342=TRUE,AW342=TRUE),"Invalid",IF(OR(O342="Unknown",Z342="Unknown",AC342="",AH342&lt;&gt;"Paid",AJ342&lt;&gt;"Completed",AO342&lt;&gt;""),"Warning","Clean"))</f>
        <v>Clean</v>
      </c>
    </row>
    <row r="343" spans="1:52" ht="15.75" customHeight="1">
      <c r="A343" s="6" t="s">
        <v>1810</v>
      </c>
      <c r="B343" s="7" t="s">
        <v>1811</v>
      </c>
      <c r="C343" s="7" t="str">
        <f t="shared" si="58"/>
        <v>2025-09</v>
      </c>
      <c r="D343" s="7" cm="1">
        <f t="array" ref="D343">_xlfn.LET(_xlpm.x,B343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45908</v>
      </c>
      <c r="E343" s="7" t="s">
        <v>1812</v>
      </c>
      <c r="F343" s="7" cm="1">
        <f t="array" ref="F343">_xlfn.LET(_xlpm.x,E343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45909</v>
      </c>
      <c r="G343" s="8" t="str">
        <f t="shared" si="32"/>
        <v>OK</v>
      </c>
      <c r="H343" s="6">
        <f t="shared" si="33"/>
        <v>1</v>
      </c>
      <c r="I343" s="6" t="s">
        <v>1813</v>
      </c>
      <c r="J343" s="6" t="s">
        <v>257</v>
      </c>
      <c r="K343" s="6" t="str">
        <f t="shared" si="34"/>
        <v>Rohan Mehta</v>
      </c>
      <c r="L343" s="6" t="s">
        <v>44</v>
      </c>
      <c r="M343" s="8" t="str">
        <f t="shared" si="35"/>
        <v>Home Office</v>
      </c>
      <c r="N343" s="6" t="s">
        <v>9</v>
      </c>
      <c r="O343" s="6" t="str">
        <f t="shared" si="36"/>
        <v>West</v>
      </c>
      <c r="P343" s="6" t="s">
        <v>309</v>
      </c>
      <c r="Q343" s="6" t="str">
        <f t="shared" si="37"/>
        <v>Gujarat</v>
      </c>
      <c r="R343" s="6" t="s">
        <v>310</v>
      </c>
      <c r="S343" s="6" t="str">
        <f t="shared" si="38"/>
        <v>Ahmedabad</v>
      </c>
      <c r="T343" s="6" t="s">
        <v>14</v>
      </c>
      <c r="U343" s="8" t="str">
        <f t="shared" si="39"/>
        <v>Furniture</v>
      </c>
      <c r="V343" s="6" t="s">
        <v>16</v>
      </c>
      <c r="W343" s="6" t="str">
        <f t="shared" si="40"/>
        <v>Chairs</v>
      </c>
      <c r="X343" s="6" t="s">
        <v>1814</v>
      </c>
      <c r="Y343" s="6" t="s">
        <v>36</v>
      </c>
      <c r="Z343" s="6" t="str">
        <f t="shared" si="41"/>
        <v>Second Class</v>
      </c>
      <c r="AA343" s="6">
        <v>2</v>
      </c>
      <c r="AB343" s="6">
        <v>3960.33</v>
      </c>
      <c r="AC343" s="6">
        <v>0.05</v>
      </c>
      <c r="AD343" s="6">
        <v>7524.63</v>
      </c>
      <c r="AE343" s="6">
        <v>6229.6</v>
      </c>
      <c r="AF343" s="6">
        <v>1295.03</v>
      </c>
      <c r="AG343" s="6" t="s">
        <v>52</v>
      </c>
      <c r="AH343" s="6" t="str">
        <f t="shared" si="42"/>
        <v>Paid</v>
      </c>
      <c r="AI343" s="6" t="s">
        <v>134</v>
      </c>
      <c r="AJ343" s="6" t="str">
        <f t="shared" si="43"/>
        <v>Completed</v>
      </c>
      <c r="AK343" s="9" t="str">
        <f>_xlfn.TEXTJOIN("|",FALSE,A343,TEXT(B343,"mm-dd-yyyy"),TEXT(E343,"mm-dd-yyyy"),I343,J343,L343,N343,P343,R343,T343,V343,X343,Y343,AA343,AB343,AC343,AD343,AE343,AF343,AG343,AI343)</f>
        <v>ORD-2025-10342|09-08-2025|09-09-2025|CUST-9969|Rohan Mehta|Home Office|West|Gujarat|Ahmedabad|Furniture|Chairs|Eco Chairs 552|Second Class|2|3960.33|0.05|7524.63|6229.6|1295.03|Paid|Completed</v>
      </c>
      <c r="AL343" s="27" t="str">
        <f>IF(COUNTIF($AK$2:AK343,AK343)&gt;1,"Remove exact duplicate copy","Keep")</f>
        <v>Keep</v>
      </c>
      <c r="AM343" s="9">
        <f t="shared" si="44"/>
        <v>1</v>
      </c>
      <c r="AN343" s="9" t="str">
        <f t="shared" si="45"/>
        <v>Unique</v>
      </c>
      <c r="AO343" s="9" t="str">
        <f t="shared" si="46"/>
        <v/>
      </c>
      <c r="AP343" s="9">
        <f t="shared" si="47"/>
        <v>0.05</v>
      </c>
      <c r="AQ343" s="10">
        <f t="shared" si="48"/>
        <v>7524.6269999999995</v>
      </c>
      <c r="AR343" s="10">
        <f t="shared" si="49"/>
        <v>1295.0269999999991</v>
      </c>
      <c r="AS343" s="11">
        <f t="shared" si="50"/>
        <v>0.17210514222166751</v>
      </c>
      <c r="AT343" s="9">
        <f t="shared" si="51"/>
        <v>9</v>
      </c>
      <c r="AU343" s="9">
        <f t="shared" si="52"/>
        <v>2025</v>
      </c>
      <c r="AV343" s="9" t="b">
        <f t="shared" si="53"/>
        <v>0</v>
      </c>
      <c r="AW343" s="9" t="b">
        <f t="shared" si="54"/>
        <v>0</v>
      </c>
      <c r="AX343" s="9" t="str">
        <f t="shared" si="55"/>
        <v>Yes</v>
      </c>
      <c r="AY343" s="9" t="str">
        <f t="shared" si="59"/>
        <v/>
      </c>
      <c r="AZ343" s="9" t="str">
        <f>IF(OR(G343="Missing date",G343="Invalid date",G343="Ship date before order date",NOT(ISNUMBER(AP343)),AP343&lt;0,AP343&gt;0.5,AV343=TRUE,AW343=TRUE),"Invalid",IF(OR(O343="Unknown",Z343="Unknown",AC343="",AH343&lt;&gt;"Paid",AJ343&lt;&gt;"Completed",AO343&lt;&gt;""),"Warning","Clean"))</f>
        <v>Clean</v>
      </c>
    </row>
    <row r="344" spans="1:52" ht="15.75" customHeight="1">
      <c r="A344" s="6" t="s">
        <v>1815</v>
      </c>
      <c r="B344" s="7" t="s">
        <v>1816</v>
      </c>
      <c r="C344" s="7" t="str">
        <f t="shared" si="58"/>
        <v>2025-07</v>
      </c>
      <c r="D344" s="7" cm="1">
        <f t="array" ref="D344">_xlfn.LET(_xlpm.x,B344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45862</v>
      </c>
      <c r="E344" s="7" t="s">
        <v>1817</v>
      </c>
      <c r="F344" s="7" cm="1">
        <f t="array" ref="F344">_xlfn.LET(_xlpm.x,E344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45870</v>
      </c>
      <c r="G344" s="8" t="str">
        <f t="shared" si="32"/>
        <v>OK</v>
      </c>
      <c r="H344" s="6">
        <f t="shared" si="33"/>
        <v>8</v>
      </c>
      <c r="I344" s="6" t="s">
        <v>1818</v>
      </c>
      <c r="J344" s="6" t="s">
        <v>442</v>
      </c>
      <c r="K344" s="6" t="str">
        <f t="shared" si="34"/>
        <v>Kabir Singh</v>
      </c>
      <c r="L344" s="6" t="s">
        <v>46</v>
      </c>
      <c r="M344" s="8" t="str">
        <f t="shared" si="35"/>
        <v>Small Business</v>
      </c>
      <c r="N344" s="6" t="s">
        <v>8</v>
      </c>
      <c r="O344" s="6" t="str">
        <f t="shared" si="36"/>
        <v>East</v>
      </c>
      <c r="P344" s="6" t="s">
        <v>385</v>
      </c>
      <c r="Q344" s="6" t="str">
        <f t="shared" si="37"/>
        <v>Jharkhand</v>
      </c>
      <c r="R344" s="6" t="s">
        <v>386</v>
      </c>
      <c r="S344" s="6" t="str">
        <f t="shared" si="38"/>
        <v>Ranchi</v>
      </c>
      <c r="T344" s="6" t="s">
        <v>20</v>
      </c>
      <c r="U344" s="8" t="str">
        <f t="shared" si="39"/>
        <v>Office Supplies</v>
      </c>
      <c r="V344" s="6" t="s">
        <v>22</v>
      </c>
      <c r="W344" s="6" t="str">
        <f t="shared" si="40"/>
        <v>Binders</v>
      </c>
      <c r="X344" s="6" t="s">
        <v>1819</v>
      </c>
      <c r="Y344" s="6" t="s">
        <v>35</v>
      </c>
      <c r="Z344" s="6" t="str">
        <f t="shared" si="41"/>
        <v>First Class</v>
      </c>
      <c r="AA344" s="6">
        <v>8</v>
      </c>
      <c r="AB344" s="6">
        <v>1528.92</v>
      </c>
      <c r="AC344" s="6">
        <v>0</v>
      </c>
      <c r="AD344" s="6">
        <v>12231.36</v>
      </c>
      <c r="AE344" s="6">
        <v>8766.9</v>
      </c>
      <c r="AF344" s="6">
        <v>3464.46</v>
      </c>
      <c r="AG344" s="6" t="s">
        <v>52</v>
      </c>
      <c r="AH344" s="6" t="str">
        <f t="shared" si="42"/>
        <v>Paid</v>
      </c>
      <c r="AI344" s="6" t="s">
        <v>134</v>
      </c>
      <c r="AJ344" s="6" t="str">
        <f t="shared" si="43"/>
        <v>Completed</v>
      </c>
      <c r="AK344" s="9" t="str">
        <f>_xlfn.TEXTJOIN("|",FALSE,A344,TEXT(B344,"mm-dd-yyyy"),TEXT(E344,"mm-dd-yyyy"),I344,J344,L344,N344,P344,R344,T344,V344,X344,Y344,AA344,AB344,AC344,AD344,AE344,AF344,AG344,AI344)</f>
        <v>ORD-2025-10343|24-07-2025|01-08-2025|CUST-3335|Kabir Singh|Small Business|East|Jharkhand|Ranchi|Office Supplies|Binders|Smart Binders 574|First Class|8|1528.92|0|12231.36|8766.9|3464.46|Paid|Completed</v>
      </c>
      <c r="AL344" s="27" t="str">
        <f>IF(COUNTIF($AK$2:AK344,AK344)&gt;1,"Remove exact duplicate copy","Keep")</f>
        <v>Keep</v>
      </c>
      <c r="AM344" s="9">
        <f t="shared" si="44"/>
        <v>1</v>
      </c>
      <c r="AN344" s="9" t="str">
        <f t="shared" si="45"/>
        <v>Unique</v>
      </c>
      <c r="AO344" s="9" t="str">
        <f t="shared" si="46"/>
        <v/>
      </c>
      <c r="AP344" s="9">
        <f t="shared" si="47"/>
        <v>0</v>
      </c>
      <c r="AQ344" s="10">
        <f t="shared" si="48"/>
        <v>12231.36</v>
      </c>
      <c r="AR344" s="10">
        <f t="shared" si="49"/>
        <v>3464.4600000000009</v>
      </c>
      <c r="AS344" s="11">
        <f t="shared" si="50"/>
        <v>0.28324405462679547</v>
      </c>
      <c r="AT344" s="9">
        <f t="shared" si="51"/>
        <v>7</v>
      </c>
      <c r="AU344" s="9">
        <f t="shared" si="52"/>
        <v>2025</v>
      </c>
      <c r="AV344" s="9" t="b">
        <f t="shared" si="53"/>
        <v>0</v>
      </c>
      <c r="AW344" s="9" t="b">
        <f t="shared" si="54"/>
        <v>0</v>
      </c>
      <c r="AX344" s="9" t="str">
        <f t="shared" si="55"/>
        <v>Yes</v>
      </c>
      <c r="AY344" s="9" t="str">
        <f t="shared" si="59"/>
        <v/>
      </c>
      <c r="AZ344" s="9" t="str">
        <f>IF(OR(G344="Missing date",G344="Invalid date",G344="Ship date before order date",NOT(ISNUMBER(AP344)),AP344&lt;0,AP344&gt;0.5,AV344=TRUE,AW344=TRUE),"Invalid",IF(OR(O344="Unknown",Z344="Unknown",AC344="",AH344&lt;&gt;"Paid",AJ344&lt;&gt;"Completed",AO344&lt;&gt;""),"Warning","Clean"))</f>
        <v>Clean</v>
      </c>
    </row>
    <row r="345" spans="1:52" ht="15.75" customHeight="1">
      <c r="A345" s="6" t="s">
        <v>1820</v>
      </c>
      <c r="B345" s="7" t="s">
        <v>1821</v>
      </c>
      <c r="C345" s="7" t="str">
        <f t="shared" si="58"/>
        <v>2025-10</v>
      </c>
      <c r="D345" s="7" cm="1">
        <f t="array" ref="D345">_xlfn.LET(_xlpm.x,B345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45933</v>
      </c>
      <c r="E345" s="7" t="s">
        <v>1276</v>
      </c>
      <c r="F345" s="7" cm="1">
        <f t="array" ref="F345">_xlfn.LET(_xlpm.x,E345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45938</v>
      </c>
      <c r="G345" s="8" t="str">
        <f t="shared" si="32"/>
        <v>OK</v>
      </c>
      <c r="H345" s="6">
        <f t="shared" si="33"/>
        <v>5</v>
      </c>
      <c r="I345" s="6" t="s">
        <v>1822</v>
      </c>
      <c r="J345" s="6" t="s">
        <v>239</v>
      </c>
      <c r="K345" s="6" t="str">
        <f t="shared" si="34"/>
        <v>Aarav Sharma</v>
      </c>
      <c r="L345" s="6" t="s">
        <v>45</v>
      </c>
      <c r="M345" s="8" t="str">
        <f t="shared" si="35"/>
        <v>Corporate</v>
      </c>
      <c r="N345" s="6" t="s">
        <v>9</v>
      </c>
      <c r="O345" s="6" t="str">
        <f t="shared" si="36"/>
        <v>West</v>
      </c>
      <c r="P345" s="6" t="s">
        <v>170</v>
      </c>
      <c r="Q345" s="6" t="str">
        <f t="shared" si="37"/>
        <v>Madhya Pradesh</v>
      </c>
      <c r="R345" s="6" t="s">
        <v>171</v>
      </c>
      <c r="S345" s="6" t="str">
        <f t="shared" si="38"/>
        <v>Indore</v>
      </c>
      <c r="T345" s="6" t="s">
        <v>27</v>
      </c>
      <c r="U345" s="8" t="str">
        <f t="shared" si="39"/>
        <v>Technology</v>
      </c>
      <c r="V345" s="6" t="s">
        <v>30</v>
      </c>
      <c r="W345" s="6" t="str">
        <f t="shared" si="40"/>
        <v>Machines</v>
      </c>
      <c r="X345" s="6" t="s">
        <v>1823</v>
      </c>
      <c r="Y345" s="6" t="s">
        <v>37</v>
      </c>
      <c r="Z345" s="6" t="str">
        <f t="shared" si="41"/>
        <v>Same Day</v>
      </c>
      <c r="AA345" s="6">
        <v>9</v>
      </c>
      <c r="AB345" s="6">
        <v>3837</v>
      </c>
      <c r="AC345" s="6">
        <v>0.1</v>
      </c>
      <c r="AD345" s="6">
        <v>31079.7</v>
      </c>
      <c r="AE345" s="6">
        <v>17758.25</v>
      </c>
      <c r="AF345" s="6">
        <v>13321.45</v>
      </c>
      <c r="AG345" s="6" t="s">
        <v>52</v>
      </c>
      <c r="AH345" s="6" t="str">
        <f t="shared" si="42"/>
        <v>Paid</v>
      </c>
      <c r="AI345" s="6" t="s">
        <v>134</v>
      </c>
      <c r="AJ345" s="6" t="str">
        <f t="shared" si="43"/>
        <v>Completed</v>
      </c>
      <c r="AK345" s="9" t="str">
        <f>_xlfn.TEXTJOIN("|",FALSE,A345,TEXT(B345,"mm-dd-yyyy"),TEXT(E345,"mm-dd-yyyy"),I345,J345,L345,N345,P345,R345,T345,V345,X345,Y345,AA345,AB345,AC345,AD345,AE345,AF345,AG345,AI345)</f>
        <v>ORD-2025-10344|10-03-2025|10-08-2025|CUST-7358|Aarav Sharma|Corporate|West|Madhya Pradesh|Indore|Technology|Machines|Pro Machines 444|Same Day|9|3837|0.1|31079.7|17758.25|13321.45|Paid|Completed</v>
      </c>
      <c r="AL345" s="27" t="str">
        <f>IF(COUNTIF($AK$2:AK345,AK345)&gt;1,"Remove exact duplicate copy","Keep")</f>
        <v>Keep</v>
      </c>
      <c r="AM345" s="9">
        <f t="shared" si="44"/>
        <v>1</v>
      </c>
      <c r="AN345" s="9" t="str">
        <f t="shared" si="45"/>
        <v>Unique</v>
      </c>
      <c r="AO345" s="9" t="str">
        <f t="shared" si="46"/>
        <v/>
      </c>
      <c r="AP345" s="9">
        <f t="shared" si="47"/>
        <v>0.1</v>
      </c>
      <c r="AQ345" s="10">
        <f t="shared" si="48"/>
        <v>31079.7</v>
      </c>
      <c r="AR345" s="10">
        <f t="shared" si="49"/>
        <v>13321.45</v>
      </c>
      <c r="AS345" s="11">
        <f t="shared" si="50"/>
        <v>0.4286222196481948</v>
      </c>
      <c r="AT345" s="9">
        <f t="shared" si="51"/>
        <v>10</v>
      </c>
      <c r="AU345" s="9">
        <f t="shared" si="52"/>
        <v>2025</v>
      </c>
      <c r="AV345" s="9" t="b">
        <f t="shared" si="53"/>
        <v>0</v>
      </c>
      <c r="AW345" s="9" t="b">
        <f t="shared" si="54"/>
        <v>0</v>
      </c>
      <c r="AX345" s="9" t="str">
        <f t="shared" si="55"/>
        <v>Yes</v>
      </c>
      <c r="AY345" s="9" t="str">
        <f t="shared" si="59"/>
        <v/>
      </c>
      <c r="AZ345" s="9" t="str">
        <f>IF(OR(G345="Missing date",G345="Invalid date",G345="Ship date before order date",NOT(ISNUMBER(AP345)),AP345&lt;0,AP345&gt;0.5,AV345=TRUE,AW345=TRUE),"Invalid",IF(OR(O345="Unknown",Z345="Unknown",AC345="",AH345&lt;&gt;"Paid",AJ345&lt;&gt;"Completed",AO345&lt;&gt;""),"Warning","Clean"))</f>
        <v>Clean</v>
      </c>
    </row>
    <row r="346" spans="1:52" ht="15.75" customHeight="1">
      <c r="A346" s="6" t="s">
        <v>1824</v>
      </c>
      <c r="B346" s="7" t="s">
        <v>1594</v>
      </c>
      <c r="C346" s="7" t="str">
        <f t="shared" si="58"/>
        <v>2024-03</v>
      </c>
      <c r="D346" s="7" cm="1">
        <f t="array" ref="D346">_xlfn.LET(_xlpm.x,B346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45362</v>
      </c>
      <c r="E346" s="7" t="s">
        <v>1594</v>
      </c>
      <c r="F346" s="7" cm="1">
        <f t="array" ref="F346">_xlfn.LET(_xlpm.x,E346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45362</v>
      </c>
      <c r="G346" s="8" t="str">
        <f t="shared" si="32"/>
        <v>OK</v>
      </c>
      <c r="H346" s="6">
        <f t="shared" si="33"/>
        <v>0</v>
      </c>
      <c r="I346" s="6" t="s">
        <v>1825</v>
      </c>
      <c r="J346" s="6" t="s">
        <v>220</v>
      </c>
      <c r="K346" s="6" t="str">
        <f t="shared" si="34"/>
        <v>Priya Menon</v>
      </c>
      <c r="L346" s="6" t="s">
        <v>43</v>
      </c>
      <c r="M346" s="8" t="str">
        <f t="shared" si="35"/>
        <v>Consumer</v>
      </c>
      <c r="N346" s="6" t="s">
        <v>7</v>
      </c>
      <c r="O346" s="6" t="str">
        <f t="shared" si="36"/>
        <v>North</v>
      </c>
      <c r="P346" s="6" t="s">
        <v>232</v>
      </c>
      <c r="Q346" s="6" t="str">
        <f t="shared" si="37"/>
        <v>Punjab</v>
      </c>
      <c r="R346" s="6" t="s">
        <v>233</v>
      </c>
      <c r="S346" s="6" t="str">
        <f t="shared" si="38"/>
        <v>Ludhiana</v>
      </c>
      <c r="T346" s="6" t="s">
        <v>14</v>
      </c>
      <c r="U346" s="8" t="str">
        <f t="shared" si="39"/>
        <v>Furniture</v>
      </c>
      <c r="V346" s="6" t="s">
        <v>15</v>
      </c>
      <c r="W346" s="6" t="str">
        <f t="shared" si="40"/>
        <v>Bookcases</v>
      </c>
      <c r="X346" s="6" t="s">
        <v>1826</v>
      </c>
      <c r="Y346" s="6" t="s">
        <v>37</v>
      </c>
      <c r="Z346" s="6" t="str">
        <f t="shared" si="41"/>
        <v>Same Day</v>
      </c>
      <c r="AA346" s="6">
        <v>9</v>
      </c>
      <c r="AB346" s="6">
        <v>3456.38</v>
      </c>
      <c r="AC346" s="6">
        <v>0</v>
      </c>
      <c r="AD346" s="6">
        <v>31107.42</v>
      </c>
      <c r="AE346" s="6">
        <v>20146.66</v>
      </c>
      <c r="AF346" s="6">
        <v>10960.76</v>
      </c>
      <c r="AG346" s="6" t="s">
        <v>54</v>
      </c>
      <c r="AH346" s="6" t="str">
        <f t="shared" si="42"/>
        <v>Pending</v>
      </c>
      <c r="AI346" s="6" t="s">
        <v>59</v>
      </c>
      <c r="AJ346" s="6" t="str">
        <f t="shared" si="43"/>
        <v>Returned</v>
      </c>
      <c r="AK346" s="9" t="str">
        <f>_xlfn.TEXTJOIN("|",FALSE,A346,TEXT(B346,"mm-dd-yyyy"),TEXT(E346,"mm-dd-yyyy"),I346,J346,L346,N346,P346,R346,T346,V346,X346,Y346,AA346,AB346,AC346,AD346,AE346,AF346,AG346,AI346)</f>
        <v>ORD-2024-10345|11-03-2024|11-03-2024|CUST-8025|Priya Menon|Consumer|North|Punjab|Ludhiana|Furniture|Bookcases|Elite Bookcases 184|Same Day|9|3456.38|0|31107.42|20146.66|10960.76|Pending|Returned</v>
      </c>
      <c r="AL346" s="27" t="str">
        <f>IF(COUNTIF($AK$2:AK346,AK346)&gt;1,"Remove exact duplicate copy","Keep")</f>
        <v>Keep</v>
      </c>
      <c r="AM346" s="9">
        <f t="shared" si="44"/>
        <v>1</v>
      </c>
      <c r="AN346" s="9" t="str">
        <f t="shared" si="45"/>
        <v>Unique</v>
      </c>
      <c r="AO346" s="9" t="str">
        <f t="shared" si="46"/>
        <v/>
      </c>
      <c r="AP346" s="9">
        <f t="shared" si="47"/>
        <v>0</v>
      </c>
      <c r="AQ346" s="10">
        <f t="shared" si="48"/>
        <v>31107.420000000002</v>
      </c>
      <c r="AR346" s="10">
        <f t="shared" si="49"/>
        <v>10960.760000000002</v>
      </c>
      <c r="AS346" s="11">
        <f t="shared" si="50"/>
        <v>0.3523519468988428</v>
      </c>
      <c r="AT346" s="9">
        <f t="shared" si="51"/>
        <v>3</v>
      </c>
      <c r="AU346" s="9">
        <f t="shared" si="52"/>
        <v>2024</v>
      </c>
      <c r="AV346" s="9" t="b">
        <f t="shared" si="53"/>
        <v>0</v>
      </c>
      <c r="AW346" s="9" t="b">
        <f t="shared" si="54"/>
        <v>0</v>
      </c>
      <c r="AX346" s="9" t="str">
        <f t="shared" si="55"/>
        <v>No</v>
      </c>
      <c r="AY346" s="9" t="str">
        <f t="shared" si="59"/>
        <v>Returned order excluded</v>
      </c>
      <c r="AZ346" s="9" t="str">
        <f>IF(OR(G346="Missing date",G346="Invalid date",G346="Ship date before order date",NOT(ISNUMBER(AP346)),AP346&lt;0,AP346&gt;0.5,AV346=TRUE,AW346=TRUE),"Invalid",IF(OR(O346="Unknown",Z346="Unknown",AC346="",AH346&lt;&gt;"Paid",AJ346&lt;&gt;"Completed",AO346&lt;&gt;""),"Warning","Clean"))</f>
        <v>Warning</v>
      </c>
    </row>
    <row r="347" spans="1:52" ht="15.75" customHeight="1">
      <c r="A347" s="6" t="s">
        <v>1827</v>
      </c>
      <c r="B347" s="7" t="s">
        <v>1828</v>
      </c>
      <c r="C347" s="7" t="str">
        <f t="shared" si="58"/>
        <v>2024-09</v>
      </c>
      <c r="D347" s="7" cm="1">
        <f t="array" ref="D347">_xlfn.LET(_xlpm.x,B347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45549</v>
      </c>
      <c r="E347" s="7" t="s">
        <v>1829</v>
      </c>
      <c r="F347" s="7" cm="1">
        <f t="array" ref="F347">_xlfn.LET(_xlpm.x,E347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45557</v>
      </c>
      <c r="G347" s="8" t="str">
        <f t="shared" si="32"/>
        <v>OK</v>
      </c>
      <c r="H347" s="6">
        <f t="shared" si="33"/>
        <v>8</v>
      </c>
      <c r="I347" s="6" t="s">
        <v>1830</v>
      </c>
      <c r="J347" s="6" t="s">
        <v>129</v>
      </c>
      <c r="K347" s="6" t="str">
        <f t="shared" si="34"/>
        <v>Karan Malhotra</v>
      </c>
      <c r="L347" s="6" t="s">
        <v>43</v>
      </c>
      <c r="M347" s="8" t="str">
        <f t="shared" si="35"/>
        <v>Consumer</v>
      </c>
      <c r="N347" s="6" t="s">
        <v>9</v>
      </c>
      <c r="O347" s="6" t="str">
        <f t="shared" si="36"/>
        <v>West</v>
      </c>
      <c r="P347" s="6" t="s">
        <v>170</v>
      </c>
      <c r="Q347" s="6" t="str">
        <f t="shared" si="37"/>
        <v>Madhya Pradesh</v>
      </c>
      <c r="R347" s="6" t="s">
        <v>171</v>
      </c>
      <c r="S347" s="6" t="str">
        <f t="shared" si="38"/>
        <v>Indore</v>
      </c>
      <c r="T347" s="6" t="s">
        <v>14</v>
      </c>
      <c r="U347" s="8" t="str">
        <f t="shared" si="39"/>
        <v>Furniture</v>
      </c>
      <c r="V347" s="6" t="s">
        <v>17</v>
      </c>
      <c r="W347" s="6" t="str">
        <f t="shared" si="40"/>
        <v>Furnishings</v>
      </c>
      <c r="X347" s="6" t="s">
        <v>1831</v>
      </c>
      <c r="Y347" s="6" t="s">
        <v>36</v>
      </c>
      <c r="Z347" s="6" t="str">
        <f t="shared" si="41"/>
        <v>Second Class</v>
      </c>
      <c r="AA347" s="6">
        <v>2</v>
      </c>
      <c r="AB347" s="6">
        <v>2765.3</v>
      </c>
      <c r="AC347" s="6">
        <v>0</v>
      </c>
      <c r="AD347" s="6">
        <v>5530.6</v>
      </c>
      <c r="AE347" s="6">
        <v>4453.1099999999997</v>
      </c>
      <c r="AF347" s="6">
        <v>1077.49</v>
      </c>
      <c r="AG347" s="6" t="s">
        <v>52</v>
      </c>
      <c r="AH347" s="6" t="str">
        <f t="shared" si="42"/>
        <v>Paid</v>
      </c>
      <c r="AI347" s="6" t="s">
        <v>134</v>
      </c>
      <c r="AJ347" s="6" t="str">
        <f t="shared" si="43"/>
        <v>Completed</v>
      </c>
      <c r="AK347" s="9" t="str">
        <f>_xlfn.TEXTJOIN("|",FALSE,A347,TEXT(B347,"mm-dd-yyyy"),TEXT(E347,"mm-dd-yyyy"),I347,J347,L347,N347,P347,R347,T347,V347,X347,Y347,AA347,AB347,AC347,AD347,AE347,AF347,AG347,AI347)</f>
        <v>ORD-2024-10346|09-14-2024|09-22-2024|CUST-4634|Karan Malhotra|Consumer|West|Madhya Pradesh|Indore|Furniture|Furnishings|Elite Furnishings 138|Second Class|2|2765.3|0|5530.6|4453.11|1077.49|Paid|Completed</v>
      </c>
      <c r="AL347" s="27" t="str">
        <f>IF(COUNTIF($AK$2:AK347,AK347)&gt;1,"Remove exact duplicate copy","Keep")</f>
        <v>Keep</v>
      </c>
      <c r="AM347" s="9">
        <f t="shared" si="44"/>
        <v>1</v>
      </c>
      <c r="AN347" s="9" t="str">
        <f t="shared" si="45"/>
        <v>Unique</v>
      </c>
      <c r="AO347" s="9" t="str">
        <f t="shared" si="46"/>
        <v/>
      </c>
      <c r="AP347" s="9">
        <f t="shared" si="47"/>
        <v>0</v>
      </c>
      <c r="AQ347" s="10">
        <f t="shared" si="48"/>
        <v>5530.6</v>
      </c>
      <c r="AR347" s="10">
        <f t="shared" si="49"/>
        <v>1077.4900000000007</v>
      </c>
      <c r="AS347" s="11">
        <f t="shared" si="50"/>
        <v>0.19482334647235391</v>
      </c>
      <c r="AT347" s="9">
        <f t="shared" si="51"/>
        <v>9</v>
      </c>
      <c r="AU347" s="9">
        <f t="shared" si="52"/>
        <v>2024</v>
      </c>
      <c r="AV347" s="9" t="b">
        <f t="shared" si="53"/>
        <v>0</v>
      </c>
      <c r="AW347" s="9" t="b">
        <f t="shared" si="54"/>
        <v>0</v>
      </c>
      <c r="AX347" s="9" t="str">
        <f t="shared" si="55"/>
        <v>Yes</v>
      </c>
      <c r="AY347" s="9" t="str">
        <f t="shared" si="59"/>
        <v/>
      </c>
      <c r="AZ347" s="9" t="str">
        <f>IF(OR(G347="Missing date",G347="Invalid date",G347="Ship date before order date",NOT(ISNUMBER(AP347)),AP347&lt;0,AP347&gt;0.5,AV347=TRUE,AW347=TRUE),"Invalid",IF(OR(O347="Unknown",Z347="Unknown",AC347="",AH347&lt;&gt;"Paid",AJ347&lt;&gt;"Completed",AO347&lt;&gt;""),"Warning","Clean"))</f>
        <v>Clean</v>
      </c>
    </row>
    <row r="348" spans="1:52" ht="15.75" customHeight="1">
      <c r="A348" s="6" t="s">
        <v>1832</v>
      </c>
      <c r="B348" s="7" t="s">
        <v>1745</v>
      </c>
      <c r="C348" s="7" t="str">
        <f t="shared" si="58"/>
        <v>2025-07</v>
      </c>
      <c r="D348" s="7" cm="1">
        <f t="array" ref="D348">_xlfn.LET(_xlpm.x,B348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45860</v>
      </c>
      <c r="E348" s="7" t="s">
        <v>1833</v>
      </c>
      <c r="F348" s="7" cm="1">
        <f t="array" ref="F348">_xlfn.LET(_xlpm.x,E348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45866</v>
      </c>
      <c r="G348" s="8" t="str">
        <f t="shared" si="32"/>
        <v>OK</v>
      </c>
      <c r="H348" s="6">
        <f t="shared" si="33"/>
        <v>6</v>
      </c>
      <c r="I348" s="6" t="s">
        <v>1834</v>
      </c>
      <c r="J348" s="6" t="s">
        <v>226</v>
      </c>
      <c r="K348" s="6" t="str">
        <f t="shared" si="34"/>
        <v>Rahul Verma</v>
      </c>
      <c r="L348" s="6" t="s">
        <v>45</v>
      </c>
      <c r="M348" s="8" t="str">
        <f t="shared" si="35"/>
        <v>Corporate</v>
      </c>
      <c r="N348" s="6" t="s">
        <v>10</v>
      </c>
      <c r="O348" s="6" t="str">
        <f t="shared" si="36"/>
        <v>South</v>
      </c>
      <c r="P348" s="6" t="s">
        <v>316</v>
      </c>
      <c r="Q348" s="6" t="str">
        <f t="shared" si="37"/>
        <v>Kerala</v>
      </c>
      <c r="R348" s="6" t="s">
        <v>317</v>
      </c>
      <c r="S348" s="6" t="str">
        <f t="shared" si="38"/>
        <v>Kochi</v>
      </c>
      <c r="T348" s="6" t="s">
        <v>14</v>
      </c>
      <c r="U348" s="8" t="str">
        <f t="shared" si="39"/>
        <v>Furniture</v>
      </c>
      <c r="V348" s="6" t="s">
        <v>16</v>
      </c>
      <c r="W348" s="6" t="str">
        <f t="shared" si="40"/>
        <v>Chairs</v>
      </c>
      <c r="X348" s="6" t="s">
        <v>1835</v>
      </c>
      <c r="Y348" s="6" t="s">
        <v>36</v>
      </c>
      <c r="Z348" s="6" t="str">
        <f t="shared" si="41"/>
        <v>Second Class</v>
      </c>
      <c r="AA348" s="6">
        <v>6</v>
      </c>
      <c r="AB348" s="6">
        <v>1607.46</v>
      </c>
      <c r="AC348" s="6">
        <v>0.2</v>
      </c>
      <c r="AD348" s="6">
        <v>7715.81</v>
      </c>
      <c r="AE348" s="6">
        <v>4258.42</v>
      </c>
      <c r="AF348" s="6">
        <v>3457.39</v>
      </c>
      <c r="AG348" s="6" t="s">
        <v>52</v>
      </c>
      <c r="AH348" s="6" t="str">
        <f t="shared" si="42"/>
        <v>Paid</v>
      </c>
      <c r="AI348" s="6" t="s">
        <v>134</v>
      </c>
      <c r="AJ348" s="6" t="str">
        <f t="shared" si="43"/>
        <v>Completed</v>
      </c>
      <c r="AK348" s="9" t="str">
        <f>_xlfn.TEXTJOIN("|",FALSE,A348,TEXT(B348,"mm-dd-yyyy"),TEXT(E348,"mm-dd-yyyy"),I348,J348,L348,N348,P348,R348,T348,V348,X348,Y348,AA348,AB348,AC348,AD348,AE348,AF348,AG348,AI348)</f>
        <v>ORD-2025-10347|07-22-2025|28-07-2025|CUST-3400|Rahul Verma|Corporate|South|Kerala|Kochi|Furniture|Chairs|Eco Chairs 369|Second Class|6|1607.46|0.2|7715.81|4258.42|3457.39|Paid|Completed</v>
      </c>
      <c r="AL348" s="27" t="str">
        <f>IF(COUNTIF($AK$2:AK348,AK348)&gt;1,"Remove exact duplicate copy","Keep")</f>
        <v>Keep</v>
      </c>
      <c r="AM348" s="9">
        <f t="shared" si="44"/>
        <v>1</v>
      </c>
      <c r="AN348" s="9" t="str">
        <f t="shared" si="45"/>
        <v>Unique</v>
      </c>
      <c r="AO348" s="9" t="str">
        <f t="shared" si="46"/>
        <v/>
      </c>
      <c r="AP348" s="9">
        <f t="shared" si="47"/>
        <v>0.2</v>
      </c>
      <c r="AQ348" s="10">
        <f t="shared" si="48"/>
        <v>7715.8080000000009</v>
      </c>
      <c r="AR348" s="10">
        <f t="shared" si="49"/>
        <v>3457.3880000000008</v>
      </c>
      <c r="AS348" s="11">
        <f t="shared" si="50"/>
        <v>0.4480915025360922</v>
      </c>
      <c r="AT348" s="9">
        <f t="shared" si="51"/>
        <v>7</v>
      </c>
      <c r="AU348" s="9">
        <f t="shared" si="52"/>
        <v>2025</v>
      </c>
      <c r="AV348" s="9" t="b">
        <f t="shared" si="53"/>
        <v>0</v>
      </c>
      <c r="AW348" s="9" t="b">
        <f t="shared" si="54"/>
        <v>0</v>
      </c>
      <c r="AX348" s="9" t="str">
        <f t="shared" si="55"/>
        <v>Yes</v>
      </c>
      <c r="AY348" s="9" t="str">
        <f t="shared" si="59"/>
        <v/>
      </c>
      <c r="AZ348" s="9" t="str">
        <f>IF(OR(G348="Missing date",G348="Invalid date",G348="Ship date before order date",NOT(ISNUMBER(AP348)),AP348&lt;0,AP348&gt;0.5,AV348=TRUE,AW348=TRUE),"Invalid",IF(OR(O348="Unknown",Z348="Unknown",AC348="",AH348&lt;&gt;"Paid",AJ348&lt;&gt;"Completed",AO348&lt;&gt;""),"Warning","Clean"))</f>
        <v>Clean</v>
      </c>
    </row>
    <row r="349" spans="1:52" ht="15.75" customHeight="1">
      <c r="A349" s="6" t="s">
        <v>1836</v>
      </c>
      <c r="B349" s="7" t="s">
        <v>1837</v>
      </c>
      <c r="C349" s="7" t="str">
        <f t="shared" si="58"/>
        <v>2024-12</v>
      </c>
      <c r="D349" s="7" cm="1">
        <f t="array" ref="D349">_xlfn.LET(_xlpm.x,B349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45627</v>
      </c>
      <c r="E349" s="7" t="s">
        <v>1551</v>
      </c>
      <c r="F349" s="7" cm="1">
        <f t="array" ref="F349">_xlfn.LET(_xlpm.x,E349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45634</v>
      </c>
      <c r="G349" s="8" t="str">
        <f t="shared" si="32"/>
        <v>OK</v>
      </c>
      <c r="H349" s="6">
        <f t="shared" si="33"/>
        <v>7</v>
      </c>
      <c r="I349" s="6" t="s">
        <v>1838</v>
      </c>
      <c r="J349" s="6" t="s">
        <v>239</v>
      </c>
      <c r="K349" s="6" t="str">
        <f t="shared" si="34"/>
        <v>Aarav Sharma</v>
      </c>
      <c r="L349" s="6" t="s">
        <v>46</v>
      </c>
      <c r="M349" s="8" t="str">
        <f t="shared" si="35"/>
        <v>Small Business</v>
      </c>
      <c r="N349" s="6" t="s">
        <v>9</v>
      </c>
      <c r="O349" s="6" t="str">
        <f t="shared" si="36"/>
        <v>West</v>
      </c>
      <c r="P349" s="6" t="s">
        <v>323</v>
      </c>
      <c r="Q349" s="6" t="str">
        <f t="shared" si="37"/>
        <v>Goa</v>
      </c>
      <c r="R349" s="6" t="s">
        <v>324</v>
      </c>
      <c r="S349" s="6" t="str">
        <f t="shared" si="38"/>
        <v>Panaji</v>
      </c>
      <c r="T349" s="6" t="s">
        <v>14</v>
      </c>
      <c r="U349" s="8" t="str">
        <f t="shared" si="39"/>
        <v>Furniture</v>
      </c>
      <c r="V349" s="6" t="s">
        <v>16</v>
      </c>
      <c r="W349" s="6" t="str">
        <f t="shared" si="40"/>
        <v>Chairs</v>
      </c>
      <c r="X349" s="6" t="s">
        <v>1839</v>
      </c>
      <c r="Y349" s="6" t="s">
        <v>36</v>
      </c>
      <c r="Z349" s="6" t="str">
        <f t="shared" si="41"/>
        <v>Second Class</v>
      </c>
      <c r="AA349" s="6">
        <v>5</v>
      </c>
      <c r="AB349" s="6">
        <v>2981.49</v>
      </c>
      <c r="AC349" s="6">
        <v>0.2</v>
      </c>
      <c r="AD349" s="6">
        <v>11925.96</v>
      </c>
      <c r="AE349" s="6">
        <v>10103.51</v>
      </c>
      <c r="AF349" s="6">
        <v>1822.45</v>
      </c>
      <c r="AG349" s="6" t="s">
        <v>56</v>
      </c>
      <c r="AH349" s="6" t="str">
        <f t="shared" si="42"/>
        <v>Refunded</v>
      </c>
      <c r="AI349" s="6" t="s">
        <v>59</v>
      </c>
      <c r="AJ349" s="6" t="str">
        <f t="shared" si="43"/>
        <v>Returned</v>
      </c>
      <c r="AK349" s="9" t="str">
        <f>_xlfn.TEXTJOIN("|",FALSE,A349,TEXT(B349,"mm-dd-yyyy"),TEXT(E349,"mm-dd-yyyy"),I349,J349,L349,N349,P349,R349,T349,V349,X349,Y349,AA349,AB349,AC349,AD349,AE349,AF349,AG349,AI349)</f>
        <v>ORD-2024-10348|01-12-2024|12-08-2024|CUST-1172|Aarav Sharma|Small Business|West|Goa|Panaji|Furniture|Chairs|Max Chairs 487|Second Class|5|2981.49|0.2|11925.96|10103.51|1822.45|Refunded|Returned</v>
      </c>
      <c r="AL349" s="27" t="str">
        <f>IF(COUNTIF($AK$2:AK349,AK349)&gt;1,"Remove exact duplicate copy","Keep")</f>
        <v>Keep</v>
      </c>
      <c r="AM349" s="9">
        <f t="shared" si="44"/>
        <v>1</v>
      </c>
      <c r="AN349" s="9" t="str">
        <f t="shared" si="45"/>
        <v>Unique</v>
      </c>
      <c r="AO349" s="9" t="str">
        <f t="shared" si="46"/>
        <v/>
      </c>
      <c r="AP349" s="9">
        <f t="shared" si="47"/>
        <v>0.2</v>
      </c>
      <c r="AQ349" s="10">
        <f t="shared" si="48"/>
        <v>11925.96</v>
      </c>
      <c r="AR349" s="10">
        <f t="shared" si="49"/>
        <v>1822.4499999999989</v>
      </c>
      <c r="AS349" s="11">
        <f t="shared" si="50"/>
        <v>0.15281369382422874</v>
      </c>
      <c r="AT349" s="9">
        <f t="shared" si="51"/>
        <v>12</v>
      </c>
      <c r="AU349" s="9">
        <f t="shared" si="52"/>
        <v>2024</v>
      </c>
      <c r="AV349" s="9" t="b">
        <f t="shared" si="53"/>
        <v>0</v>
      </c>
      <c r="AW349" s="9" t="b">
        <f t="shared" si="54"/>
        <v>0</v>
      </c>
      <c r="AX349" s="9" t="str">
        <f t="shared" si="55"/>
        <v>No</v>
      </c>
      <c r="AY349" s="9" t="str">
        <f t="shared" si="59"/>
        <v>Refunded order summarized separately; Returned order excluded</v>
      </c>
      <c r="AZ349" s="9" t="str">
        <f>IF(OR(G349="Missing date",G349="Invalid date",G349="Ship date before order date",NOT(ISNUMBER(AP349)),AP349&lt;0,AP349&gt;0.5,AV349=TRUE,AW349=TRUE),"Invalid",IF(OR(O349="Unknown",Z349="Unknown",AC349="",AH349&lt;&gt;"Paid",AJ349&lt;&gt;"Completed",AO349&lt;&gt;""),"Warning","Clean"))</f>
        <v>Warning</v>
      </c>
    </row>
    <row r="350" spans="1:52" ht="15.75" customHeight="1">
      <c r="A350" s="6" t="s">
        <v>1840</v>
      </c>
      <c r="B350" s="7" t="s">
        <v>1388</v>
      </c>
      <c r="C350" s="7" t="str">
        <f t="shared" si="58"/>
        <v>2024-06</v>
      </c>
      <c r="D350" s="7" cm="1">
        <f t="array" ref="D350">_xlfn.LET(_xlpm.x,B350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45445</v>
      </c>
      <c r="E350" s="7" t="s">
        <v>1841</v>
      </c>
      <c r="F350" s="7" cm="1">
        <f t="array" ref="F350">_xlfn.LET(_xlpm.x,E350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45450</v>
      </c>
      <c r="G350" s="8" t="str">
        <f t="shared" si="32"/>
        <v>OK</v>
      </c>
      <c r="H350" s="6">
        <f t="shared" si="33"/>
        <v>5</v>
      </c>
      <c r="I350" s="6" t="s">
        <v>1842</v>
      </c>
      <c r="J350" s="6" t="s">
        <v>239</v>
      </c>
      <c r="K350" s="6" t="str">
        <f t="shared" si="34"/>
        <v>Aarav Sharma</v>
      </c>
      <c r="L350" s="6" t="s">
        <v>45</v>
      </c>
      <c r="M350" s="8" t="str">
        <f t="shared" si="35"/>
        <v>Corporate</v>
      </c>
      <c r="N350" s="6" t="s">
        <v>10</v>
      </c>
      <c r="O350" s="6" t="str">
        <f t="shared" si="36"/>
        <v>South</v>
      </c>
      <c r="P350" s="6" t="s">
        <v>303</v>
      </c>
      <c r="Q350" s="6" t="str">
        <f t="shared" si="37"/>
        <v>Karnataka</v>
      </c>
      <c r="R350" s="6" t="s">
        <v>304</v>
      </c>
      <c r="S350" s="6" t="str">
        <f t="shared" si="38"/>
        <v>Bengaluru</v>
      </c>
      <c r="T350" s="6" t="s">
        <v>27</v>
      </c>
      <c r="U350" s="8" t="str">
        <f t="shared" si="39"/>
        <v>Technology</v>
      </c>
      <c r="V350" s="6" t="s">
        <v>31</v>
      </c>
      <c r="W350" s="6" t="str">
        <f t="shared" si="40"/>
        <v>Phones</v>
      </c>
      <c r="X350" s="6" t="s">
        <v>1843</v>
      </c>
      <c r="Y350" s="6" t="s">
        <v>37</v>
      </c>
      <c r="Z350" s="6" t="str">
        <f t="shared" si="41"/>
        <v>Same Day</v>
      </c>
      <c r="AA350" s="6">
        <v>9</v>
      </c>
      <c r="AB350" s="6">
        <v>2860.26</v>
      </c>
      <c r="AC350" s="6">
        <v>0.25</v>
      </c>
      <c r="AD350" s="6">
        <v>19306.759999999998</v>
      </c>
      <c r="AE350" s="6">
        <v>14442.38</v>
      </c>
      <c r="AF350" s="6">
        <v>4864.38</v>
      </c>
      <c r="AG350" s="6" t="s">
        <v>52</v>
      </c>
      <c r="AH350" s="6" t="str">
        <f t="shared" si="42"/>
        <v>Paid</v>
      </c>
      <c r="AI350" s="6" t="s">
        <v>134</v>
      </c>
      <c r="AJ350" s="6" t="str">
        <f t="shared" si="43"/>
        <v>Completed</v>
      </c>
      <c r="AK350" s="9" t="str">
        <f>_xlfn.TEXTJOIN("|",FALSE,A350,TEXT(B350,"mm-dd-yyyy"),TEXT(E350,"mm-dd-yyyy"),I350,J350,L350,N350,P350,R350,T350,V350,X350,Y350,AA350,AB350,AC350,AD350,AE350,AF350,AG350,AI350)</f>
        <v>ORD-2024-10349|06-02-2024|06-07-2024|CUST-9517|Aarav Sharma|Corporate|South|Karnataka|Bengaluru|Technology|Phones|Classic Phones 989|Same Day|9|2860.26|0.25|19306.76|14442.38|4864.38|Paid|Completed</v>
      </c>
      <c r="AL350" s="27" t="str">
        <f>IF(COUNTIF($AK$2:AK350,AK350)&gt;1,"Remove exact duplicate copy","Keep")</f>
        <v>Keep</v>
      </c>
      <c r="AM350" s="9">
        <f t="shared" si="44"/>
        <v>1</v>
      </c>
      <c r="AN350" s="9" t="str">
        <f t="shared" si="45"/>
        <v>Unique</v>
      </c>
      <c r="AO350" s="9" t="str">
        <f t="shared" si="46"/>
        <v/>
      </c>
      <c r="AP350" s="9">
        <f t="shared" si="47"/>
        <v>0.25</v>
      </c>
      <c r="AQ350" s="10">
        <f t="shared" si="48"/>
        <v>19306.755000000005</v>
      </c>
      <c r="AR350" s="10">
        <f t="shared" si="49"/>
        <v>4864.3750000000055</v>
      </c>
      <c r="AS350" s="11">
        <f t="shared" si="50"/>
        <v>0.25195197225012717</v>
      </c>
      <c r="AT350" s="9">
        <f t="shared" si="51"/>
        <v>6</v>
      </c>
      <c r="AU350" s="9">
        <f t="shared" si="52"/>
        <v>2024</v>
      </c>
      <c r="AV350" s="9" t="b">
        <f t="shared" si="53"/>
        <v>0</v>
      </c>
      <c r="AW350" s="9" t="b">
        <f t="shared" si="54"/>
        <v>0</v>
      </c>
      <c r="AX350" s="9" t="str">
        <f t="shared" si="55"/>
        <v>Yes</v>
      </c>
      <c r="AY350" s="9" t="str">
        <f t="shared" si="59"/>
        <v/>
      </c>
      <c r="AZ350" s="9" t="str">
        <f>IF(OR(G350="Missing date",G350="Invalid date",G350="Ship date before order date",NOT(ISNUMBER(AP350)),AP350&lt;0,AP350&gt;0.5,AV350=TRUE,AW350=TRUE),"Invalid",IF(OR(O350="Unknown",Z350="Unknown",AC350="",AH350&lt;&gt;"Paid",AJ350&lt;&gt;"Completed",AO350&lt;&gt;""),"Warning","Clean"))</f>
        <v>Clean</v>
      </c>
    </row>
    <row r="351" spans="1:52" ht="15.75" customHeight="1">
      <c r="A351" s="6" t="s">
        <v>1844</v>
      </c>
      <c r="B351" s="7" t="s">
        <v>1845</v>
      </c>
      <c r="C351" s="7" t="str">
        <f t="shared" si="58"/>
        <v>2025-09</v>
      </c>
      <c r="D351" s="7" cm="1">
        <f t="array" ref="D351">_xlfn.LET(_xlpm.x,B351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45927</v>
      </c>
      <c r="E351" s="7" t="s">
        <v>829</v>
      </c>
      <c r="F351" s="7" cm="1">
        <f t="array" ref="F351">_xlfn.LET(_xlpm.x,E351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45929</v>
      </c>
      <c r="G351" s="8" t="str">
        <f t="shared" si="32"/>
        <v>OK</v>
      </c>
      <c r="H351" s="6">
        <f t="shared" si="33"/>
        <v>2</v>
      </c>
      <c r="I351" s="6" t="s">
        <v>1846</v>
      </c>
      <c r="J351" s="6" t="s">
        <v>442</v>
      </c>
      <c r="K351" s="6" t="str">
        <f t="shared" si="34"/>
        <v>Kabir Singh</v>
      </c>
      <c r="L351" s="6" t="s">
        <v>44</v>
      </c>
      <c r="M351" s="8" t="str">
        <f t="shared" si="35"/>
        <v>Home Office</v>
      </c>
      <c r="N351" s="6" t="s">
        <v>8</v>
      </c>
      <c r="O351" s="6" t="str">
        <f t="shared" si="36"/>
        <v>East</v>
      </c>
      <c r="P351" s="6" t="s">
        <v>385</v>
      </c>
      <c r="Q351" s="6" t="str">
        <f t="shared" si="37"/>
        <v>Jharkhand</v>
      </c>
      <c r="R351" s="6" t="s">
        <v>386</v>
      </c>
      <c r="S351" s="6" t="str">
        <f t="shared" si="38"/>
        <v>Ranchi</v>
      </c>
      <c r="T351" s="6" t="s">
        <v>14</v>
      </c>
      <c r="U351" s="8" t="str">
        <f t="shared" si="39"/>
        <v>Furniture</v>
      </c>
      <c r="V351" s="6" t="s">
        <v>17</v>
      </c>
      <c r="W351" s="6" t="str">
        <f t="shared" si="40"/>
        <v>Furnishings</v>
      </c>
      <c r="X351" s="6" t="s">
        <v>1847</v>
      </c>
      <c r="Y351" s="6" t="s">
        <v>36</v>
      </c>
      <c r="Z351" s="6" t="str">
        <f t="shared" si="41"/>
        <v>Second Class</v>
      </c>
      <c r="AA351" s="6">
        <v>9</v>
      </c>
      <c r="AB351" s="6">
        <v>2867.55</v>
      </c>
      <c r="AC351" s="6">
        <v>0.25</v>
      </c>
      <c r="AD351" s="6">
        <v>19355.96</v>
      </c>
      <c r="AE351" s="6">
        <v>15012.45</v>
      </c>
      <c r="AF351" s="6">
        <v>4017.4</v>
      </c>
      <c r="AG351" s="6" t="s">
        <v>52</v>
      </c>
      <c r="AH351" s="6" t="str">
        <f t="shared" si="42"/>
        <v>Paid</v>
      </c>
      <c r="AI351" s="6" t="s">
        <v>134</v>
      </c>
      <c r="AJ351" s="6" t="str">
        <f t="shared" si="43"/>
        <v>Completed</v>
      </c>
      <c r="AK351" s="9" t="str">
        <f>_xlfn.TEXTJOIN("|",FALSE,A351,TEXT(B351,"mm-dd-yyyy"),TEXT(E351,"mm-dd-yyyy"),I351,J351,L351,N351,P351,R351,T351,V351,X351,Y351,AA351,AB351,AC351,AD351,AE351,AF351,AG351,AI351)</f>
        <v>ORD-2025-10350|27-09-2025|09-29-2025|CUST-6697|Kabir Singh|Home Office|East|Jharkhand|Ranchi|Furniture|Furnishings|Max Furnishings 628|Second Class|9|2867.55|0.25|19355.96|15012.45|4017.4|Paid|Completed</v>
      </c>
      <c r="AL351" s="27" t="str">
        <f>IF(COUNTIF($AK$2:AK351,AK351)&gt;1,"Remove exact duplicate copy","Keep")</f>
        <v>Keep</v>
      </c>
      <c r="AM351" s="9">
        <f t="shared" si="44"/>
        <v>1</v>
      </c>
      <c r="AN351" s="9" t="str">
        <f t="shared" si="45"/>
        <v>Unique</v>
      </c>
      <c r="AO351" s="9" t="str">
        <f t="shared" si="46"/>
        <v/>
      </c>
      <c r="AP351" s="9">
        <f t="shared" si="47"/>
        <v>0.25</v>
      </c>
      <c r="AQ351" s="10">
        <f t="shared" si="48"/>
        <v>19355.962500000001</v>
      </c>
      <c r="AR351" s="10">
        <f t="shared" si="49"/>
        <v>4343.5125000000007</v>
      </c>
      <c r="AS351" s="11">
        <f t="shared" si="50"/>
        <v>0.22440178317146461</v>
      </c>
      <c r="AT351" s="9">
        <f t="shared" si="51"/>
        <v>9</v>
      </c>
      <c r="AU351" s="9">
        <f t="shared" si="52"/>
        <v>2025</v>
      </c>
      <c r="AV351" s="9" t="b">
        <f t="shared" si="53"/>
        <v>0</v>
      </c>
      <c r="AW351" s="9" t="b">
        <f t="shared" si="54"/>
        <v>1</v>
      </c>
      <c r="AX351" s="9" t="str">
        <f t="shared" si="55"/>
        <v>No</v>
      </c>
      <c r="AY351" s="9" t="str">
        <f t="shared" si="59"/>
        <v>Profit mismatch</v>
      </c>
      <c r="AZ351" s="9" t="str">
        <f>IF(OR(G351="Missing date",G351="Invalid date",G351="Ship date before order date",NOT(ISNUMBER(AP351)),AP351&lt;0,AP351&gt;0.5,AV351=TRUE,AW351=TRUE),"Invalid",IF(OR(O351="Unknown",Z351="Unknown",AC351="",AH351&lt;&gt;"Paid",AJ351&lt;&gt;"Completed",AO351&lt;&gt;""),"Warning","Clean"))</f>
        <v>Invalid</v>
      </c>
    </row>
    <row r="352" spans="1:52" ht="15.75" customHeight="1">
      <c r="A352" s="6" t="s">
        <v>1848</v>
      </c>
      <c r="B352" s="7" t="s">
        <v>1849</v>
      </c>
      <c r="C352" s="7" t="str">
        <f t="shared" si="58"/>
        <v>2024-01</v>
      </c>
      <c r="D352" s="7" cm="1">
        <f t="array" ref="D352">_xlfn.LET(_xlpm.x,B352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45298</v>
      </c>
      <c r="E352" s="7" t="s">
        <v>1850</v>
      </c>
      <c r="F352" s="7" cm="1">
        <f t="array" ref="F352">_xlfn.LET(_xlpm.x,E352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45305</v>
      </c>
      <c r="G352" s="8" t="str">
        <f t="shared" si="32"/>
        <v>OK</v>
      </c>
      <c r="H352" s="6">
        <f t="shared" si="33"/>
        <v>7</v>
      </c>
      <c r="I352" s="6" t="s">
        <v>1851</v>
      </c>
      <c r="J352" s="6" t="s">
        <v>245</v>
      </c>
      <c r="K352" s="6" t="str">
        <f t="shared" si="34"/>
        <v>Sneha Kapoor</v>
      </c>
      <c r="L352" s="6" t="s">
        <v>46</v>
      </c>
      <c r="M352" s="8" t="str">
        <f t="shared" si="35"/>
        <v>Small Business</v>
      </c>
      <c r="N352" s="6" t="s">
        <v>8</v>
      </c>
      <c r="O352" s="6" t="str">
        <f t="shared" si="36"/>
        <v>East</v>
      </c>
      <c r="P352" s="6" t="s">
        <v>385</v>
      </c>
      <c r="Q352" s="6" t="str">
        <f t="shared" si="37"/>
        <v>Jharkhand</v>
      </c>
      <c r="R352" s="6" t="s">
        <v>386</v>
      </c>
      <c r="S352" s="6" t="str">
        <f t="shared" si="38"/>
        <v>Ranchi</v>
      </c>
      <c r="T352" s="6" t="s">
        <v>14</v>
      </c>
      <c r="U352" s="8" t="str">
        <f t="shared" si="39"/>
        <v>Furniture</v>
      </c>
      <c r="V352" s="6" t="s">
        <v>17</v>
      </c>
      <c r="W352" s="6" t="str">
        <f t="shared" si="40"/>
        <v>Furnishings</v>
      </c>
      <c r="X352" s="6" t="s">
        <v>1852</v>
      </c>
      <c r="Y352" s="6" t="s">
        <v>36</v>
      </c>
      <c r="Z352" s="6" t="str">
        <f t="shared" si="41"/>
        <v>Second Class</v>
      </c>
      <c r="AA352" s="6">
        <v>4</v>
      </c>
      <c r="AB352" s="6">
        <v>3309.54</v>
      </c>
      <c r="AC352" s="6">
        <v>0.1</v>
      </c>
      <c r="AD352" s="6">
        <v>11914.34</v>
      </c>
      <c r="AE352" s="6">
        <v>9771.24</v>
      </c>
      <c r="AF352" s="6">
        <v>2143.1</v>
      </c>
      <c r="AG352" s="6" t="s">
        <v>56</v>
      </c>
      <c r="AH352" s="6" t="str">
        <f t="shared" si="42"/>
        <v>Refunded</v>
      </c>
      <c r="AI352" s="6" t="s">
        <v>59</v>
      </c>
      <c r="AJ352" s="6" t="str">
        <f t="shared" si="43"/>
        <v>Returned</v>
      </c>
      <c r="AK352" s="9" t="str">
        <f>_xlfn.TEXTJOIN("|",FALSE,A352,TEXT(B352,"mm-dd-yyyy"),TEXT(E352,"mm-dd-yyyy"),I352,J352,L352,N352,P352,R352,T352,V352,X352,Y352,AA352,AB352,AC352,AD352,AE352,AF352,AG352,AI352)</f>
        <v>ORD-2024-10351|07-01-2024|01-14-2024|CUST-7644|Sneha Kapoor|Small Business|East|Jharkhand|Ranchi|Furniture|Furnishings|Elite Furnishings 279|Second Class|4|3309.54|0.1|11914.34|9771.24|2143.1|Refunded|Returned</v>
      </c>
      <c r="AL352" s="27" t="str">
        <f>IF(COUNTIF($AK$2:AK352,AK352)&gt;1,"Remove exact duplicate copy","Keep")</f>
        <v>Keep</v>
      </c>
      <c r="AM352" s="9">
        <f t="shared" si="44"/>
        <v>1</v>
      </c>
      <c r="AN352" s="9" t="str">
        <f t="shared" si="45"/>
        <v>Unique</v>
      </c>
      <c r="AO352" s="9" t="str">
        <f t="shared" si="46"/>
        <v/>
      </c>
      <c r="AP352" s="9">
        <f t="shared" si="47"/>
        <v>0.1</v>
      </c>
      <c r="AQ352" s="10">
        <f t="shared" si="48"/>
        <v>11914.344000000001</v>
      </c>
      <c r="AR352" s="10">
        <f t="shared" si="49"/>
        <v>2143.1040000000012</v>
      </c>
      <c r="AS352" s="11">
        <f t="shared" si="50"/>
        <v>0.17987595456367561</v>
      </c>
      <c r="AT352" s="9">
        <f t="shared" si="51"/>
        <v>1</v>
      </c>
      <c r="AU352" s="9">
        <f t="shared" si="52"/>
        <v>2024</v>
      </c>
      <c r="AV352" s="9" t="b">
        <f t="shared" si="53"/>
        <v>0</v>
      </c>
      <c r="AW352" s="9" t="b">
        <f t="shared" si="54"/>
        <v>0</v>
      </c>
      <c r="AX352" s="9" t="str">
        <f t="shared" si="55"/>
        <v>No</v>
      </c>
      <c r="AY352" s="9" t="str">
        <f t="shared" si="59"/>
        <v>Refunded order summarized separately; Returned order excluded</v>
      </c>
      <c r="AZ352" s="9" t="str">
        <f>IF(OR(G352="Missing date",G352="Invalid date",G352="Ship date before order date",NOT(ISNUMBER(AP352)),AP352&lt;0,AP352&gt;0.5,AV352=TRUE,AW352=TRUE),"Invalid",IF(OR(O352="Unknown",Z352="Unknown",AC352="",AH352&lt;&gt;"Paid",AJ352&lt;&gt;"Completed",AO352&lt;&gt;""),"Warning","Clean"))</f>
        <v>Warning</v>
      </c>
    </row>
    <row r="353" spans="1:52" ht="15.75" customHeight="1">
      <c r="A353" s="6" t="s">
        <v>1853</v>
      </c>
      <c r="B353" s="7" t="s">
        <v>1854</v>
      </c>
      <c r="C353" s="7" t="str">
        <f t="shared" si="58"/>
        <v>2025-05</v>
      </c>
      <c r="D353" s="7" cm="1">
        <f t="array" ref="D353">_xlfn.LET(_xlpm.x,B353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45800</v>
      </c>
      <c r="E353" s="7" t="s">
        <v>1769</v>
      </c>
      <c r="F353" s="7" cm="1">
        <f t="array" ref="F353">_xlfn.LET(_xlpm.x,E353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45804</v>
      </c>
      <c r="G353" s="8" t="str">
        <f t="shared" si="32"/>
        <v>OK</v>
      </c>
      <c r="H353" s="6">
        <f t="shared" si="33"/>
        <v>4</v>
      </c>
      <c r="I353" s="6" t="s">
        <v>1855</v>
      </c>
      <c r="J353" s="6" t="s">
        <v>169</v>
      </c>
      <c r="K353" s="6" t="str">
        <f t="shared" si="34"/>
        <v>Vikram Iyer</v>
      </c>
      <c r="L353" s="6" t="s">
        <v>46</v>
      </c>
      <c r="M353" s="8" t="str">
        <f t="shared" si="35"/>
        <v>Small Business</v>
      </c>
      <c r="N353" s="6" t="s">
        <v>10</v>
      </c>
      <c r="O353" s="6" t="str">
        <f t="shared" si="36"/>
        <v>South</v>
      </c>
      <c r="P353" s="6" t="s">
        <v>154</v>
      </c>
      <c r="Q353" s="6" t="str">
        <f t="shared" si="37"/>
        <v>Telangana</v>
      </c>
      <c r="R353" s="6" t="s">
        <v>155</v>
      </c>
      <c r="S353" s="6" t="str">
        <f t="shared" si="38"/>
        <v>Hyderabad</v>
      </c>
      <c r="T353" s="6" t="s">
        <v>20</v>
      </c>
      <c r="U353" s="8" t="str">
        <f t="shared" si="39"/>
        <v>Office Supplies</v>
      </c>
      <c r="V353" s="6" t="s">
        <v>25</v>
      </c>
      <c r="W353" s="6" t="str">
        <f t="shared" si="40"/>
        <v>Storage</v>
      </c>
      <c r="X353" s="6" t="s">
        <v>1856</v>
      </c>
      <c r="Y353" s="6" t="s">
        <v>35</v>
      </c>
      <c r="Z353" s="6" t="str">
        <f t="shared" si="41"/>
        <v>First Class</v>
      </c>
      <c r="AA353" s="6">
        <v>6</v>
      </c>
      <c r="AB353" s="6">
        <v>719.44</v>
      </c>
      <c r="AC353" s="6">
        <v>0.25</v>
      </c>
      <c r="AD353" s="6">
        <v>3237.48</v>
      </c>
      <c r="AE353" s="6">
        <v>2118.34</v>
      </c>
      <c r="AF353" s="6">
        <v>1119.1400000000001</v>
      </c>
      <c r="AG353" s="6" t="s">
        <v>54</v>
      </c>
      <c r="AH353" s="6" t="str">
        <f t="shared" si="42"/>
        <v>Pending</v>
      </c>
      <c r="AI353" s="6" t="s">
        <v>58</v>
      </c>
      <c r="AJ353" s="6" t="str">
        <f t="shared" si="43"/>
        <v>Cancelled</v>
      </c>
      <c r="AK353" s="9" t="str">
        <f>_xlfn.TEXTJOIN("|",FALSE,A353,TEXT(B353,"mm-dd-yyyy"),TEXT(E353,"mm-dd-yyyy"),I353,J353,L353,N353,P353,R353,T353,V353,X353,Y353,AA353,AB353,AC353,AD353,AE353,AF353,AG353,AI353)</f>
        <v>ORD-2025-10352|23-05-2025|05-27-2025|CUST-9963|Vikram Iyer|Small Business|South|Telangana|Hyderabad|Office Supplies|Storage|Pro Storage 847|First Class|6|719.44|0.25|3237.48|2118.34|1119.14|Pending|Cancelled</v>
      </c>
      <c r="AL353" s="27" t="str">
        <f>IF(COUNTIF($AK$2:AK353,AK353)&gt;1,"Remove exact duplicate copy","Keep")</f>
        <v>Keep</v>
      </c>
      <c r="AM353" s="9">
        <f t="shared" si="44"/>
        <v>1</v>
      </c>
      <c r="AN353" s="9" t="str">
        <f t="shared" si="45"/>
        <v>Unique</v>
      </c>
      <c r="AO353" s="9" t="str">
        <f t="shared" si="46"/>
        <v/>
      </c>
      <c r="AP353" s="9">
        <f t="shared" si="47"/>
        <v>0.25</v>
      </c>
      <c r="AQ353" s="10">
        <f t="shared" si="48"/>
        <v>3237.4800000000005</v>
      </c>
      <c r="AR353" s="10">
        <f t="shared" si="49"/>
        <v>1119.1400000000003</v>
      </c>
      <c r="AS353" s="11">
        <f t="shared" si="50"/>
        <v>0.34568244437031276</v>
      </c>
      <c r="AT353" s="9">
        <f t="shared" si="51"/>
        <v>5</v>
      </c>
      <c r="AU353" s="9">
        <f t="shared" si="52"/>
        <v>2025</v>
      </c>
      <c r="AV353" s="9" t="b">
        <f t="shared" si="53"/>
        <v>0</v>
      </c>
      <c r="AW353" s="9" t="b">
        <f t="shared" si="54"/>
        <v>0</v>
      </c>
      <c r="AX353" s="9" t="str">
        <f t="shared" si="55"/>
        <v>No</v>
      </c>
      <c r="AY353" s="9" t="str">
        <f t="shared" si="59"/>
        <v>Cancelled order excluded</v>
      </c>
      <c r="AZ353" s="9" t="str">
        <f>IF(OR(G353="Missing date",G353="Invalid date",G353="Ship date before order date",NOT(ISNUMBER(AP353)),AP353&lt;0,AP353&gt;0.5,AV353=TRUE,AW353=TRUE),"Invalid",IF(OR(O353="Unknown",Z353="Unknown",AC353="",AH353&lt;&gt;"Paid",AJ353&lt;&gt;"Completed",AO353&lt;&gt;""),"Warning","Clean"))</f>
        <v>Warning</v>
      </c>
    </row>
    <row r="354" spans="1:52" ht="15.75" customHeight="1">
      <c r="A354" s="6" t="s">
        <v>1857</v>
      </c>
      <c r="B354" s="7" t="s">
        <v>1858</v>
      </c>
      <c r="C354" s="7" t="str">
        <f t="shared" si="58"/>
        <v>2025-08</v>
      </c>
      <c r="D354" s="7" cm="1">
        <f t="array" ref="D354">_xlfn.LET(_xlpm.x,B354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45884</v>
      </c>
      <c r="E354" s="7" t="s">
        <v>1479</v>
      </c>
      <c r="F354" s="7" cm="1">
        <f t="array" ref="F354">_xlfn.LET(_xlpm.x,E354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45886</v>
      </c>
      <c r="G354" s="8" t="str">
        <f t="shared" si="32"/>
        <v>OK</v>
      </c>
      <c r="H354" s="6">
        <f t="shared" si="33"/>
        <v>2</v>
      </c>
      <c r="I354" s="6" t="s">
        <v>1859</v>
      </c>
      <c r="J354" s="6" t="s">
        <v>284</v>
      </c>
      <c r="K354" s="6" t="str">
        <f t="shared" si="34"/>
        <v>Diya Patel</v>
      </c>
      <c r="L354" s="6" t="s">
        <v>46</v>
      </c>
      <c r="M354" s="8" t="str">
        <f t="shared" si="35"/>
        <v>Small Business</v>
      </c>
      <c r="N354" s="6" t="s">
        <v>8</v>
      </c>
      <c r="O354" s="6" t="str">
        <f t="shared" si="36"/>
        <v>East</v>
      </c>
      <c r="P354" s="6" t="s">
        <v>290</v>
      </c>
      <c r="Q354" s="6" t="str">
        <f t="shared" si="37"/>
        <v>Assam</v>
      </c>
      <c r="R354" s="6" t="s">
        <v>291</v>
      </c>
      <c r="S354" s="6" t="str">
        <f t="shared" si="38"/>
        <v>Guwahati</v>
      </c>
      <c r="T354" s="6" t="s">
        <v>27</v>
      </c>
      <c r="U354" s="8" t="str">
        <f t="shared" si="39"/>
        <v>Technology</v>
      </c>
      <c r="V354" s="6" t="s">
        <v>29</v>
      </c>
      <c r="W354" s="6" t="str">
        <f t="shared" si="40"/>
        <v>Copiers</v>
      </c>
      <c r="X354" s="6" t="s">
        <v>1860</v>
      </c>
      <c r="Y354" s="6" t="s">
        <v>35</v>
      </c>
      <c r="Z354" s="6" t="str">
        <f t="shared" si="41"/>
        <v>First Class</v>
      </c>
      <c r="AA354" s="6">
        <v>5</v>
      </c>
      <c r="AB354" s="6">
        <v>2862.6</v>
      </c>
      <c r="AC354" s="6">
        <v>0.25</v>
      </c>
      <c r="AD354" s="6">
        <v>10734.75</v>
      </c>
      <c r="AE354" s="6">
        <v>6475.73</v>
      </c>
      <c r="AF354" s="6">
        <v>4259.0200000000004</v>
      </c>
      <c r="AG354" s="6" t="s">
        <v>52</v>
      </c>
      <c r="AH354" s="6" t="str">
        <f t="shared" si="42"/>
        <v>Paid</v>
      </c>
      <c r="AI354" s="6" t="s">
        <v>134</v>
      </c>
      <c r="AJ354" s="6" t="str">
        <f t="shared" si="43"/>
        <v>Completed</v>
      </c>
      <c r="AK354" s="9" t="str">
        <f>_xlfn.TEXTJOIN("|",FALSE,A354,TEXT(B354,"mm-dd-yyyy"),TEXT(E354,"mm-dd-yyyy"),I354,J354,L354,N354,P354,R354,T354,V354,X354,Y354,AA354,AB354,AC354,AD354,AE354,AF354,AG354,AI354)</f>
        <v>ORD-2025-10353|08-15-2025|08-17-2025|CUST-6382|Diya Patel|Small Business|East|Assam|Guwahati|Technology|Copiers|Elite Copiers 706|First Class|5|2862.6|0.25|10734.75|6475.73|4259.02|Paid|Completed</v>
      </c>
      <c r="AL354" s="27" t="str">
        <f>IF(COUNTIF($AK$2:AK354,AK354)&gt;1,"Remove exact duplicate copy","Keep")</f>
        <v>Keep</v>
      </c>
      <c r="AM354" s="9">
        <f t="shared" si="44"/>
        <v>1</v>
      </c>
      <c r="AN354" s="9" t="str">
        <f t="shared" si="45"/>
        <v>Unique</v>
      </c>
      <c r="AO354" s="9" t="str">
        <f t="shared" si="46"/>
        <v/>
      </c>
      <c r="AP354" s="9">
        <f t="shared" si="47"/>
        <v>0.25</v>
      </c>
      <c r="AQ354" s="10">
        <f t="shared" si="48"/>
        <v>10734.75</v>
      </c>
      <c r="AR354" s="10">
        <f t="shared" si="49"/>
        <v>4259.0200000000004</v>
      </c>
      <c r="AS354" s="11">
        <f t="shared" si="50"/>
        <v>0.39675073942103917</v>
      </c>
      <c r="AT354" s="9">
        <f t="shared" si="51"/>
        <v>8</v>
      </c>
      <c r="AU354" s="9">
        <f t="shared" si="52"/>
        <v>2025</v>
      </c>
      <c r="AV354" s="9" t="b">
        <f t="shared" si="53"/>
        <v>0</v>
      </c>
      <c r="AW354" s="9" t="b">
        <f t="shared" si="54"/>
        <v>0</v>
      </c>
      <c r="AX354" s="9" t="str">
        <f t="shared" si="55"/>
        <v>Yes</v>
      </c>
      <c r="AY354" s="9" t="str">
        <f t="shared" si="59"/>
        <v/>
      </c>
      <c r="AZ354" s="9" t="str">
        <f>IF(OR(G354="Missing date",G354="Invalid date",G354="Ship date before order date",NOT(ISNUMBER(AP354)),AP354&lt;0,AP354&gt;0.5,AV354=TRUE,AW354=TRUE),"Invalid",IF(OR(O354="Unknown",Z354="Unknown",AC354="",AH354&lt;&gt;"Paid",AJ354&lt;&gt;"Completed",AO354&lt;&gt;""),"Warning","Clean"))</f>
        <v>Clean</v>
      </c>
    </row>
    <row r="355" spans="1:52" ht="15.75" customHeight="1">
      <c r="A355" s="6" t="s">
        <v>1861</v>
      </c>
      <c r="B355" s="7" t="s">
        <v>1862</v>
      </c>
      <c r="C355" s="7" t="str">
        <f t="shared" si="58"/>
        <v>2025-02</v>
      </c>
      <c r="D355" s="7" cm="1">
        <f t="array" ref="D355">_xlfn.LET(_xlpm.x,B355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45709</v>
      </c>
      <c r="E355" s="7" t="s">
        <v>1248</v>
      </c>
      <c r="F355" s="7" cm="1">
        <f t="array" ref="F355">_xlfn.LET(_xlpm.x,E355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45715</v>
      </c>
      <c r="G355" s="8" t="str">
        <f t="shared" si="32"/>
        <v>OK</v>
      </c>
      <c r="H355" s="6">
        <f t="shared" si="33"/>
        <v>6</v>
      </c>
      <c r="I355" s="6" t="s">
        <v>1863</v>
      </c>
      <c r="J355" s="6" t="s">
        <v>161</v>
      </c>
      <c r="K355" s="6" t="str">
        <f t="shared" si="34"/>
        <v>Ananya Rao</v>
      </c>
      <c r="L355" s="6" t="s">
        <v>43</v>
      </c>
      <c r="M355" s="8" t="str">
        <f t="shared" si="35"/>
        <v>Consumer</v>
      </c>
      <c r="N355" s="6" t="s">
        <v>7</v>
      </c>
      <c r="O355" s="6" t="str">
        <f t="shared" si="36"/>
        <v>North</v>
      </c>
      <c r="P355" s="6" t="s">
        <v>131</v>
      </c>
      <c r="Q355" s="6" t="str">
        <f t="shared" si="37"/>
        <v>Rajasthan</v>
      </c>
      <c r="R355" s="6" t="s">
        <v>132</v>
      </c>
      <c r="S355" s="6" t="str">
        <f t="shared" si="38"/>
        <v>Jaipur</v>
      </c>
      <c r="T355" s="6" t="s">
        <v>20</v>
      </c>
      <c r="U355" s="8" t="str">
        <f t="shared" si="39"/>
        <v>Office Supplies</v>
      </c>
      <c r="V355" s="6" t="s">
        <v>21</v>
      </c>
      <c r="W355" s="6" t="str">
        <f t="shared" si="40"/>
        <v>Art</v>
      </c>
      <c r="X355" s="6" t="s">
        <v>1864</v>
      </c>
      <c r="Y355" s="6" t="s">
        <v>37</v>
      </c>
      <c r="Z355" s="6" t="str">
        <f t="shared" si="41"/>
        <v>Same Day</v>
      </c>
      <c r="AA355" s="6">
        <v>9</v>
      </c>
      <c r="AB355" s="6">
        <v>1431.67</v>
      </c>
      <c r="AC355" s="6">
        <v>0.2</v>
      </c>
      <c r="AD355" s="6">
        <v>10308.02</v>
      </c>
      <c r="AE355" s="6">
        <v>5822.31</v>
      </c>
      <c r="AF355" s="6">
        <v>4485.71</v>
      </c>
      <c r="AG355" s="6" t="s">
        <v>52</v>
      </c>
      <c r="AH355" s="6" t="str">
        <f t="shared" si="42"/>
        <v>Paid</v>
      </c>
      <c r="AI355" s="6" t="s">
        <v>134</v>
      </c>
      <c r="AJ355" s="6" t="str">
        <f t="shared" si="43"/>
        <v>Completed</v>
      </c>
      <c r="AK355" s="9" t="str">
        <f>_xlfn.TEXTJOIN("|",FALSE,A355,TEXT(B355,"mm-dd-yyyy"),TEXT(E355,"mm-dd-yyyy"),I355,J355,L355,N355,P355,R355,T355,V355,X355,Y355,AA355,AB355,AC355,AD355,AE355,AF355,AG355,AI355)</f>
        <v>ORD-2025-10354|21-02-2025|27-02-2025|CUST-3253|Ananya Rao|Consumer|North|Rajasthan|Jaipur|Office Supplies|Art|Prime Art 978|Same Day|9|1431.67|0.2|10308.02|5822.31|4485.71|Paid|Completed</v>
      </c>
      <c r="AL355" s="27" t="str">
        <f>IF(COUNTIF($AK$2:AK355,AK355)&gt;1,"Remove exact duplicate copy","Keep")</f>
        <v>Keep</v>
      </c>
      <c r="AM355" s="9">
        <f t="shared" si="44"/>
        <v>1</v>
      </c>
      <c r="AN355" s="9" t="str">
        <f t="shared" si="45"/>
        <v>Unique</v>
      </c>
      <c r="AO355" s="9" t="str">
        <f t="shared" si="46"/>
        <v/>
      </c>
      <c r="AP355" s="9">
        <f t="shared" si="47"/>
        <v>0.2</v>
      </c>
      <c r="AQ355" s="10">
        <f t="shared" si="48"/>
        <v>10308.024000000001</v>
      </c>
      <c r="AR355" s="10">
        <f t="shared" si="49"/>
        <v>4485.7140000000009</v>
      </c>
      <c r="AS355" s="11">
        <f t="shared" si="50"/>
        <v>0.4351672056642476</v>
      </c>
      <c r="AT355" s="9">
        <f t="shared" si="51"/>
        <v>2</v>
      </c>
      <c r="AU355" s="9">
        <f t="shared" si="52"/>
        <v>2025</v>
      </c>
      <c r="AV355" s="9" t="b">
        <f t="shared" si="53"/>
        <v>0</v>
      </c>
      <c r="AW355" s="9" t="b">
        <f t="shared" si="54"/>
        <v>0</v>
      </c>
      <c r="AX355" s="9" t="str">
        <f t="shared" si="55"/>
        <v>Yes</v>
      </c>
      <c r="AY355" s="9" t="str">
        <f t="shared" si="59"/>
        <v/>
      </c>
      <c r="AZ355" s="9" t="str">
        <f>IF(OR(G355="Missing date",G355="Invalid date",G355="Ship date before order date",NOT(ISNUMBER(AP355)),AP355&lt;0,AP355&gt;0.5,AV355=TRUE,AW355=TRUE),"Invalid",IF(OR(O355="Unknown",Z355="Unknown",AC355="",AH355&lt;&gt;"Paid",AJ355&lt;&gt;"Completed",AO355&lt;&gt;""),"Warning","Clean"))</f>
        <v>Clean</v>
      </c>
    </row>
    <row r="356" spans="1:52" ht="15.75" customHeight="1">
      <c r="A356" s="6" t="s">
        <v>1865</v>
      </c>
      <c r="B356" s="7" t="s">
        <v>223</v>
      </c>
      <c r="C356" s="7" t="str">
        <f t="shared" si="58"/>
        <v>2024-12</v>
      </c>
      <c r="D356" s="7" cm="1">
        <f t="array" ref="D356">_xlfn.LET(_xlpm.x,B356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45653</v>
      </c>
      <c r="E356" s="7" t="s">
        <v>1866</v>
      </c>
      <c r="F356" s="7" cm="1">
        <f t="array" ref="F356">_xlfn.LET(_xlpm.x,E356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45657</v>
      </c>
      <c r="G356" s="8" t="str">
        <f t="shared" si="32"/>
        <v>OK</v>
      </c>
      <c r="H356" s="6">
        <f t="shared" si="33"/>
        <v>4</v>
      </c>
      <c r="I356" s="6" t="s">
        <v>1867</v>
      </c>
      <c r="J356" s="6" t="s">
        <v>442</v>
      </c>
      <c r="K356" s="6" t="str">
        <f t="shared" si="34"/>
        <v>Kabir Singh</v>
      </c>
      <c r="L356" s="6" t="s">
        <v>1868</v>
      </c>
      <c r="M356" s="8" t="str">
        <f t="shared" si="35"/>
        <v>Corporate</v>
      </c>
      <c r="N356" s="6" t="s">
        <v>7</v>
      </c>
      <c r="O356" s="6" t="str">
        <f t="shared" si="36"/>
        <v>North</v>
      </c>
      <c r="P356" s="6" t="s">
        <v>232</v>
      </c>
      <c r="Q356" s="6" t="str">
        <f t="shared" si="37"/>
        <v>Punjab</v>
      </c>
      <c r="R356" s="6" t="s">
        <v>233</v>
      </c>
      <c r="S356" s="6" t="str">
        <f t="shared" si="38"/>
        <v>Ludhiana</v>
      </c>
      <c r="T356" s="6" t="s">
        <v>14</v>
      </c>
      <c r="U356" s="8" t="str">
        <f t="shared" si="39"/>
        <v>Furniture</v>
      </c>
      <c r="V356" s="6" t="s">
        <v>17</v>
      </c>
      <c r="W356" s="6" t="str">
        <f t="shared" si="40"/>
        <v>Furnishings</v>
      </c>
      <c r="X356" s="6" t="s">
        <v>1869</v>
      </c>
      <c r="Y356" s="6" t="s">
        <v>34</v>
      </c>
      <c r="Z356" s="6" t="str">
        <f t="shared" si="41"/>
        <v>Standard Class</v>
      </c>
      <c r="AA356" s="6">
        <v>6</v>
      </c>
      <c r="AB356" s="6">
        <v>3346.78</v>
      </c>
      <c r="AC356" s="6">
        <v>-0.06</v>
      </c>
      <c r="AD356" s="6">
        <v>20080.68</v>
      </c>
      <c r="AE356" s="6">
        <v>12908.84</v>
      </c>
      <c r="AF356" s="6">
        <v>7171.84</v>
      </c>
      <c r="AG356" s="6" t="s">
        <v>54</v>
      </c>
      <c r="AH356" s="6" t="str">
        <f t="shared" si="42"/>
        <v>Pending</v>
      </c>
      <c r="AI356" s="6" t="s">
        <v>58</v>
      </c>
      <c r="AJ356" s="6" t="str">
        <f t="shared" si="43"/>
        <v>Cancelled</v>
      </c>
      <c r="AK356" s="9" t="str">
        <f>_xlfn.TEXTJOIN("|",FALSE,A356,TEXT(B356,"mm-dd-yyyy"),TEXT(E356,"mm-dd-yyyy"),I356,J356,L356,N356,P356,R356,T356,V356,X356,Y356,AA356,AB356,AC356,AD356,AE356,AF356,AG356,AI356)</f>
        <v>ORD-2024-10355|12-27-2024|12-31-2024|CUST-1058|Kabir Singh|corporate|North|Punjab|Ludhiana|Furniture|Furnishings|Classic Furnishings 498|Standard Class|6|3346.78|-0.06|20080.68|12908.84|7171.84|Pending|Cancelled</v>
      </c>
      <c r="AL356" s="27" t="str">
        <f>IF(COUNTIF($AK$2:AK356,AK356)&gt;1,"Remove exact duplicate copy","Keep")</f>
        <v>Keep</v>
      </c>
      <c r="AM356" s="9">
        <f t="shared" si="44"/>
        <v>1</v>
      </c>
      <c r="AN356" s="9" t="str">
        <f t="shared" si="45"/>
        <v>Unique</v>
      </c>
      <c r="AO356" s="9" t="str">
        <f t="shared" si="46"/>
        <v/>
      </c>
      <c r="AP356" s="9">
        <f t="shared" si="47"/>
        <v>-0.06</v>
      </c>
      <c r="AQ356" s="10">
        <f t="shared" si="48"/>
        <v>21285.520800000002</v>
      </c>
      <c r="AR356" s="10">
        <f t="shared" si="49"/>
        <v>8376.6808000000019</v>
      </c>
      <c r="AS356" s="11">
        <f t="shared" si="50"/>
        <v>0.39353891683965753</v>
      </c>
      <c r="AT356" s="9">
        <f t="shared" si="51"/>
        <v>12</v>
      </c>
      <c r="AU356" s="9">
        <f t="shared" si="52"/>
        <v>2024</v>
      </c>
      <c r="AV356" s="9" t="b">
        <f t="shared" si="53"/>
        <v>1</v>
      </c>
      <c r="AW356" s="9" t="b">
        <f t="shared" si="54"/>
        <v>1</v>
      </c>
      <c r="AX356" s="9" t="str">
        <f t="shared" si="55"/>
        <v>No</v>
      </c>
      <c r="AY356" s="9" t="str">
        <f t="shared" si="59"/>
        <v>Negative discount; Cancelled order excluded; Sales mismatch; Profit mismatch</v>
      </c>
      <c r="AZ356" s="9" t="str">
        <f>IF(OR(G356="Missing date",G356="Invalid date",G356="Ship date before order date",NOT(ISNUMBER(AP356)),AP356&lt;0,AP356&gt;0.5,AV356=TRUE,AW356=TRUE),"Invalid",IF(OR(O356="Unknown",Z356="Unknown",AC356="",AH356&lt;&gt;"Paid",AJ356&lt;&gt;"Completed",AO356&lt;&gt;""),"Warning","Clean"))</f>
        <v>Invalid</v>
      </c>
    </row>
    <row r="357" spans="1:52" ht="15.75" customHeight="1">
      <c r="A357" s="6" t="s">
        <v>1870</v>
      </c>
      <c r="B357" s="7" t="s">
        <v>1871</v>
      </c>
      <c r="C357" s="7" t="str">
        <f t="shared" si="58"/>
        <v>2024-05</v>
      </c>
      <c r="D357" s="7" cm="1">
        <f t="array" ref="D357">_xlfn.LET(_xlpm.x,B357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45424</v>
      </c>
      <c r="E357" s="7" t="s">
        <v>1872</v>
      </c>
      <c r="F357" s="7" cm="1">
        <f t="array" ref="F357">_xlfn.LET(_xlpm.x,E357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45421</v>
      </c>
      <c r="G357" s="8" t="str">
        <f t="shared" si="32"/>
        <v>Ship date before order date</v>
      </c>
      <c r="H357" s="6">
        <f t="shared" si="33"/>
        <v>-3</v>
      </c>
      <c r="I357" s="6" t="s">
        <v>1873</v>
      </c>
      <c r="J357" s="6" t="s">
        <v>220</v>
      </c>
      <c r="K357" s="6" t="str">
        <f t="shared" si="34"/>
        <v>Priya Menon</v>
      </c>
      <c r="L357" s="6" t="s">
        <v>45</v>
      </c>
      <c r="M357" s="8" t="str">
        <f t="shared" si="35"/>
        <v>Corporate</v>
      </c>
      <c r="N357" s="6" t="s">
        <v>9</v>
      </c>
      <c r="O357" s="6" t="str">
        <f t="shared" si="36"/>
        <v>West</v>
      </c>
      <c r="P357" s="6" t="s">
        <v>131</v>
      </c>
      <c r="Q357" s="6" t="str">
        <f t="shared" si="37"/>
        <v>Rajasthan</v>
      </c>
      <c r="R357" s="6" t="s">
        <v>214</v>
      </c>
      <c r="S357" s="6" t="str">
        <f t="shared" si="38"/>
        <v>Udaipur</v>
      </c>
      <c r="T357" s="6" t="s">
        <v>14</v>
      </c>
      <c r="U357" s="8" t="str">
        <f t="shared" si="39"/>
        <v>Furniture</v>
      </c>
      <c r="V357" s="6" t="s">
        <v>18</v>
      </c>
      <c r="W357" s="6" t="str">
        <f t="shared" si="40"/>
        <v>Tables</v>
      </c>
      <c r="X357" s="6" t="s">
        <v>1874</v>
      </c>
      <c r="Y357" s="6" t="s">
        <v>34</v>
      </c>
      <c r="Z357" s="6" t="str">
        <f t="shared" si="41"/>
        <v>Standard Class</v>
      </c>
      <c r="AA357" s="6">
        <v>5</v>
      </c>
      <c r="AB357" s="6">
        <v>3203.48</v>
      </c>
      <c r="AC357" s="6">
        <v>0</v>
      </c>
      <c r="AD357" s="6">
        <v>16017.4</v>
      </c>
      <c r="AE357" s="6">
        <v>9557.7999999999993</v>
      </c>
      <c r="AF357" s="6">
        <v>6459.6</v>
      </c>
      <c r="AG357" s="6" t="s">
        <v>54</v>
      </c>
      <c r="AH357" s="6" t="str">
        <f t="shared" si="42"/>
        <v>Pending</v>
      </c>
      <c r="AI357" s="6" t="s">
        <v>58</v>
      </c>
      <c r="AJ357" s="6" t="str">
        <f t="shared" si="43"/>
        <v>Cancelled</v>
      </c>
      <c r="AK357" s="9" t="str">
        <f>_xlfn.TEXTJOIN("|",FALSE,A357,TEXT(B357,"mm-dd-yyyy"),TEXT(E357,"mm-dd-yyyy"),I357,J357,L357,N357,P357,R357,T357,V357,X357,Y357,AA357,AB357,AC357,AD357,AE357,AF357,AG357,AI357)</f>
        <v>ORD-2024-10356|12-05-2024|05-09-2024|CUST-6414|Priya Menon|Corporate|West|Rajasthan|Udaipur|Furniture|Tables|Max Tables 829|Standard Class|5|3203.48|0|16017.4|9557.8|6459.6|Pending|Cancelled</v>
      </c>
      <c r="AL357" s="27" t="str">
        <f>IF(COUNTIF($AK$2:AK357,AK357)&gt;1,"Remove exact duplicate copy","Keep")</f>
        <v>Keep</v>
      </c>
      <c r="AM357" s="9">
        <f t="shared" si="44"/>
        <v>1</v>
      </c>
      <c r="AN357" s="9" t="str">
        <f t="shared" si="45"/>
        <v>Unique</v>
      </c>
      <c r="AO357" s="9" t="str">
        <f t="shared" si="46"/>
        <v/>
      </c>
      <c r="AP357" s="9">
        <f t="shared" si="47"/>
        <v>0</v>
      </c>
      <c r="AQ357" s="10">
        <f t="shared" si="48"/>
        <v>16017.4</v>
      </c>
      <c r="AR357" s="10">
        <f t="shared" si="49"/>
        <v>6459.6</v>
      </c>
      <c r="AS357" s="11">
        <f t="shared" si="50"/>
        <v>0.40328642601171227</v>
      </c>
      <c r="AT357" s="9">
        <f t="shared" si="51"/>
        <v>5</v>
      </c>
      <c r="AU357" s="9">
        <f t="shared" si="52"/>
        <v>2024</v>
      </c>
      <c r="AV357" s="9" t="b">
        <f t="shared" si="53"/>
        <v>0</v>
      </c>
      <c r="AW357" s="9" t="b">
        <f t="shared" si="54"/>
        <v>0</v>
      </c>
      <c r="AX357" s="9" t="str">
        <f t="shared" si="55"/>
        <v>No</v>
      </c>
      <c r="AY357" s="9" t="str">
        <f t="shared" si="59"/>
        <v>Ship date before order date; Cancelled order excluded</v>
      </c>
      <c r="AZ357" s="9" t="str">
        <f>IF(OR(G357="Missing date",G357="Invalid date",G357="Ship date before order date",NOT(ISNUMBER(AP357)),AP357&lt;0,AP357&gt;0.5,AV357=TRUE,AW357=TRUE),"Invalid",IF(OR(O357="Unknown",Z357="Unknown",AC357="",AH357&lt;&gt;"Paid",AJ357&lt;&gt;"Completed",AO357&lt;&gt;""),"Warning","Clean"))</f>
        <v>Invalid</v>
      </c>
    </row>
    <row r="358" spans="1:52" ht="15.75" customHeight="1">
      <c r="A358" s="6" t="s">
        <v>1875</v>
      </c>
      <c r="B358" s="7" t="s">
        <v>1876</v>
      </c>
      <c r="C358" s="7" t="str">
        <f t="shared" si="58"/>
        <v>2025-06</v>
      </c>
      <c r="D358" s="7" cm="1">
        <f t="array" ref="D358">_xlfn.LET(_xlpm.x,B358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45835</v>
      </c>
      <c r="E358" s="7" t="s">
        <v>1877</v>
      </c>
      <c r="F358" s="7" cm="1">
        <f t="array" ref="F358">_xlfn.LET(_xlpm.x,E358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45837</v>
      </c>
      <c r="G358" s="8" t="str">
        <f t="shared" si="32"/>
        <v>OK</v>
      </c>
      <c r="H358" s="6">
        <f t="shared" si="33"/>
        <v>2</v>
      </c>
      <c r="I358" s="6" t="s">
        <v>1878</v>
      </c>
      <c r="J358" s="6" t="s">
        <v>257</v>
      </c>
      <c r="K358" s="6" t="str">
        <f t="shared" si="34"/>
        <v>Rohan Mehta</v>
      </c>
      <c r="L358" s="6" t="s">
        <v>44</v>
      </c>
      <c r="M358" s="8" t="str">
        <f t="shared" si="35"/>
        <v>Home Office</v>
      </c>
      <c r="N358" s="6" t="s">
        <v>10</v>
      </c>
      <c r="O358" s="6" t="str">
        <f t="shared" si="36"/>
        <v>South</v>
      </c>
      <c r="P358" s="6" t="s">
        <v>154</v>
      </c>
      <c r="Q358" s="6" t="str">
        <f t="shared" si="37"/>
        <v>Telangana</v>
      </c>
      <c r="R358" s="6" t="s">
        <v>155</v>
      </c>
      <c r="S358" s="6" t="str">
        <f t="shared" si="38"/>
        <v>Hyderabad</v>
      </c>
      <c r="T358" s="6" t="s">
        <v>14</v>
      </c>
      <c r="U358" s="8" t="str">
        <f t="shared" si="39"/>
        <v>Furniture</v>
      </c>
      <c r="V358" s="6" t="s">
        <v>16</v>
      </c>
      <c r="W358" s="6" t="str">
        <f t="shared" si="40"/>
        <v>Chairs</v>
      </c>
      <c r="X358" s="6" t="s">
        <v>1879</v>
      </c>
      <c r="Y358" s="6" t="s">
        <v>35</v>
      </c>
      <c r="Z358" s="6" t="str">
        <f t="shared" si="41"/>
        <v>First Class</v>
      </c>
      <c r="AA358" s="6">
        <v>5</v>
      </c>
      <c r="AB358" s="6">
        <v>621.70000000000005</v>
      </c>
      <c r="AC358" s="6">
        <v>0.2</v>
      </c>
      <c r="AD358" s="6">
        <v>2486.8000000000002</v>
      </c>
      <c r="AE358" s="6">
        <v>2131.73</v>
      </c>
      <c r="AF358" s="6">
        <v>355.07</v>
      </c>
      <c r="AG358" s="6" t="s">
        <v>54</v>
      </c>
      <c r="AH358" s="6" t="str">
        <f t="shared" si="42"/>
        <v>Pending</v>
      </c>
      <c r="AI358" s="6" t="s">
        <v>59</v>
      </c>
      <c r="AJ358" s="6" t="str">
        <f t="shared" si="43"/>
        <v>Returned</v>
      </c>
      <c r="AK358" s="9" t="str">
        <f>_xlfn.TEXTJOIN("|",FALSE,A358,TEXT(B358,"mm-dd-yyyy"),TEXT(E358,"mm-dd-yyyy"),I358,J358,L358,N358,P358,R358,T358,V358,X358,Y358,AA358,AB358,AC358,AD358,AE358,AF358,AG358,AI358)</f>
        <v>ORD-2025-10357|06-27-2025|06-29-2025|CUST-9268|Rohan Mehta|Home Office|South|Telangana|Hyderabad|Furniture|Chairs|Eco Chairs 346|First Class|5|621.7|0.2|2486.8|2131.73|355.07|Pending|Returned</v>
      </c>
      <c r="AL358" s="27" t="str">
        <f>IF(COUNTIF($AK$2:AK358,AK358)&gt;1,"Remove exact duplicate copy","Keep")</f>
        <v>Keep</v>
      </c>
      <c r="AM358" s="9">
        <f t="shared" si="44"/>
        <v>1</v>
      </c>
      <c r="AN358" s="9" t="str">
        <f t="shared" si="45"/>
        <v>Unique</v>
      </c>
      <c r="AO358" s="9" t="str">
        <f t="shared" si="46"/>
        <v/>
      </c>
      <c r="AP358" s="9">
        <f t="shared" si="47"/>
        <v>0.2</v>
      </c>
      <c r="AQ358" s="10">
        <f t="shared" si="48"/>
        <v>2486.8000000000002</v>
      </c>
      <c r="AR358" s="10">
        <f t="shared" si="49"/>
        <v>355.07000000000016</v>
      </c>
      <c r="AS358" s="11">
        <f t="shared" si="50"/>
        <v>0.1427818883705968</v>
      </c>
      <c r="AT358" s="9">
        <f t="shared" si="51"/>
        <v>6</v>
      </c>
      <c r="AU358" s="9">
        <f t="shared" si="52"/>
        <v>2025</v>
      </c>
      <c r="AV358" s="9" t="b">
        <f t="shared" si="53"/>
        <v>0</v>
      </c>
      <c r="AW358" s="9" t="b">
        <f t="shared" si="54"/>
        <v>0</v>
      </c>
      <c r="AX358" s="9" t="str">
        <f t="shared" si="55"/>
        <v>No</v>
      </c>
      <c r="AY358" s="9" t="str">
        <f t="shared" si="59"/>
        <v>Returned order excluded</v>
      </c>
      <c r="AZ358" s="9" t="str">
        <f>IF(OR(G358="Missing date",G358="Invalid date",G358="Ship date before order date",NOT(ISNUMBER(AP358)),AP358&lt;0,AP358&gt;0.5,AV358=TRUE,AW358=TRUE),"Invalid",IF(OR(O358="Unknown",Z358="Unknown",AC358="",AH358&lt;&gt;"Paid",AJ358&lt;&gt;"Completed",AO358&lt;&gt;""),"Warning","Clean"))</f>
        <v>Warning</v>
      </c>
    </row>
    <row r="359" spans="1:52" ht="15.75" customHeight="1">
      <c r="A359" s="6" t="s">
        <v>1880</v>
      </c>
      <c r="B359" s="7" t="s">
        <v>273</v>
      </c>
      <c r="C359" s="7" t="str">
        <f t="shared" si="58"/>
        <v>2025-01</v>
      </c>
      <c r="D359" s="7" cm="1">
        <f t="array" ref="D359">_xlfn.LET(_xlpm.x,B359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45678</v>
      </c>
      <c r="E359" s="7" t="s">
        <v>1881</v>
      </c>
      <c r="F359" s="7" cm="1">
        <f t="array" ref="F359">_xlfn.LET(_xlpm.x,E359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45686</v>
      </c>
      <c r="G359" s="8" t="str">
        <f t="shared" si="32"/>
        <v>OK</v>
      </c>
      <c r="H359" s="6">
        <f t="shared" si="33"/>
        <v>8</v>
      </c>
      <c r="I359" s="6" t="s">
        <v>1882</v>
      </c>
      <c r="J359" s="6" t="s">
        <v>139</v>
      </c>
      <c r="K359" s="6" t="str">
        <f t="shared" si="34"/>
        <v>Mira Das</v>
      </c>
      <c r="L359" s="6" t="s">
        <v>44</v>
      </c>
      <c r="M359" s="8" t="str">
        <f t="shared" si="35"/>
        <v>Home Office</v>
      </c>
      <c r="N359" s="6" t="s">
        <v>10</v>
      </c>
      <c r="O359" s="6" t="str">
        <f t="shared" si="36"/>
        <v>South</v>
      </c>
      <c r="P359" s="6" t="s">
        <v>183</v>
      </c>
      <c r="Q359" s="6" t="str">
        <f t="shared" si="37"/>
        <v>Andhra Pradesh</v>
      </c>
      <c r="R359" s="6" t="s">
        <v>184</v>
      </c>
      <c r="S359" s="6" t="str">
        <f t="shared" si="38"/>
        <v>Vijayawada</v>
      </c>
      <c r="T359" s="6" t="s">
        <v>27</v>
      </c>
      <c r="U359" s="8" t="str">
        <f t="shared" si="39"/>
        <v>Technology</v>
      </c>
      <c r="V359" s="6" t="s">
        <v>30</v>
      </c>
      <c r="W359" s="6" t="str">
        <f t="shared" si="40"/>
        <v>Machines</v>
      </c>
      <c r="X359" s="6" t="s">
        <v>1883</v>
      </c>
      <c r="Y359" s="6" t="s">
        <v>36</v>
      </c>
      <c r="Z359" s="6" t="str">
        <f t="shared" si="41"/>
        <v>Second Class</v>
      </c>
      <c r="AA359" s="6">
        <v>8</v>
      </c>
      <c r="AB359" s="6">
        <v>546.13</v>
      </c>
      <c r="AC359" s="6">
        <v>0</v>
      </c>
      <c r="AD359" s="6">
        <v>4369.04</v>
      </c>
      <c r="AE359" s="6">
        <v>3716.88</v>
      </c>
      <c r="AF359" s="6">
        <v>652.16</v>
      </c>
      <c r="AG359" s="6" t="s">
        <v>52</v>
      </c>
      <c r="AH359" s="6" t="str">
        <f t="shared" si="42"/>
        <v>Paid</v>
      </c>
      <c r="AI359" s="6" t="s">
        <v>58</v>
      </c>
      <c r="AJ359" s="6" t="str">
        <f t="shared" si="43"/>
        <v>Cancelled</v>
      </c>
      <c r="AK359" s="9" t="str">
        <f>_xlfn.TEXTJOIN("|",FALSE,A359,TEXT(B359,"mm-dd-yyyy"),TEXT(E359,"mm-dd-yyyy"),I359,J359,L359,N359,P359,R359,T359,V359,X359,Y359,AA359,AB359,AC359,AD359,AE359,AF359,AG359,AI359)</f>
        <v>ORD-2025-10358|01-21-2025|01-29-2025|CUST-1363|Mira Das|Home Office|South|Andhra Pradesh|Vijayawada|Technology|Machines|Max Machines 770|Second Class|8|546.13|0|4369.04|3716.88|652.16|Paid|Cancelled</v>
      </c>
      <c r="AL359" s="27" t="str">
        <f>IF(COUNTIF($AK$2:AK359,AK359)&gt;1,"Remove exact duplicate copy","Keep")</f>
        <v>Keep</v>
      </c>
      <c r="AM359" s="9">
        <f t="shared" si="44"/>
        <v>1</v>
      </c>
      <c r="AN359" s="9" t="str">
        <f t="shared" si="45"/>
        <v>Unique</v>
      </c>
      <c r="AO359" s="9" t="str">
        <f t="shared" si="46"/>
        <v/>
      </c>
      <c r="AP359" s="9">
        <f t="shared" si="47"/>
        <v>0</v>
      </c>
      <c r="AQ359" s="10">
        <f t="shared" si="48"/>
        <v>4369.04</v>
      </c>
      <c r="AR359" s="10">
        <f t="shared" si="49"/>
        <v>652.15999999999985</v>
      </c>
      <c r="AS359" s="11">
        <f t="shared" si="50"/>
        <v>0.14926848918755603</v>
      </c>
      <c r="AT359" s="9">
        <f t="shared" si="51"/>
        <v>1</v>
      </c>
      <c r="AU359" s="9">
        <f t="shared" si="52"/>
        <v>2025</v>
      </c>
      <c r="AV359" s="9" t="b">
        <f t="shared" si="53"/>
        <v>0</v>
      </c>
      <c r="AW359" s="9" t="b">
        <f t="shared" si="54"/>
        <v>0</v>
      </c>
      <c r="AX359" s="9" t="str">
        <f t="shared" si="55"/>
        <v>No</v>
      </c>
      <c r="AY359" s="9" t="str">
        <f t="shared" si="59"/>
        <v>Cancelled order excluded</v>
      </c>
      <c r="AZ359" s="9" t="str">
        <f>IF(OR(G359="Missing date",G359="Invalid date",G359="Ship date before order date",NOT(ISNUMBER(AP359)),AP359&lt;0,AP359&gt;0.5,AV359=TRUE,AW359=TRUE),"Invalid",IF(OR(O359="Unknown",Z359="Unknown",AC359="",AH359&lt;&gt;"Paid",AJ359&lt;&gt;"Completed",AO359&lt;&gt;""),"Warning","Clean"))</f>
        <v>Warning</v>
      </c>
    </row>
    <row r="360" spans="1:52" ht="15.75" customHeight="1">
      <c r="A360" s="6" t="s">
        <v>1884</v>
      </c>
      <c r="B360" s="7" t="s">
        <v>1885</v>
      </c>
      <c r="C360" s="7" t="str">
        <f t="shared" si="58"/>
        <v>2025-08</v>
      </c>
      <c r="D360" s="7" cm="1">
        <f t="array" ref="D360">_xlfn.LET(_xlpm.x,B360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45878</v>
      </c>
      <c r="E360" s="7" t="s">
        <v>1886</v>
      </c>
      <c r="F360" s="7" cm="1">
        <f t="array" ref="F360">_xlfn.LET(_xlpm.x,E360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45876</v>
      </c>
      <c r="G360" s="8" t="str">
        <f t="shared" si="32"/>
        <v>Ship date before order date</v>
      </c>
      <c r="H360" s="6">
        <f t="shared" si="33"/>
        <v>-2</v>
      </c>
      <c r="I360" s="6" t="s">
        <v>1887</v>
      </c>
      <c r="J360" s="6" t="s">
        <v>169</v>
      </c>
      <c r="K360" s="6" t="str">
        <f t="shared" si="34"/>
        <v>Vikram Iyer</v>
      </c>
      <c r="L360" s="6" t="s">
        <v>44</v>
      </c>
      <c r="M360" s="8" t="str">
        <f t="shared" si="35"/>
        <v>Home Office</v>
      </c>
      <c r="N360" s="6" t="s">
        <v>9</v>
      </c>
      <c r="O360" s="6" t="str">
        <f t="shared" si="36"/>
        <v>West</v>
      </c>
      <c r="P360" s="6" t="s">
        <v>309</v>
      </c>
      <c r="Q360" s="6" t="str">
        <f t="shared" si="37"/>
        <v>Gujarat</v>
      </c>
      <c r="R360" s="6" t="s">
        <v>310</v>
      </c>
      <c r="S360" s="6" t="str">
        <f t="shared" si="38"/>
        <v>Ahmedabad</v>
      </c>
      <c r="T360" s="6" t="s">
        <v>14</v>
      </c>
      <c r="U360" s="8" t="str">
        <f t="shared" si="39"/>
        <v>Furniture</v>
      </c>
      <c r="V360" s="6" t="s">
        <v>15</v>
      </c>
      <c r="W360" s="6" t="str">
        <f t="shared" si="40"/>
        <v>Bookcases</v>
      </c>
      <c r="X360" s="6" t="s">
        <v>1888</v>
      </c>
      <c r="Y360" s="6" t="s">
        <v>36</v>
      </c>
      <c r="Z360" s="6" t="str">
        <f t="shared" si="41"/>
        <v>Second Class</v>
      </c>
      <c r="AA360" s="6">
        <v>5</v>
      </c>
      <c r="AB360" s="6">
        <v>1253.92</v>
      </c>
      <c r="AC360" s="6">
        <v>0.05</v>
      </c>
      <c r="AD360" s="6">
        <v>5956.12</v>
      </c>
      <c r="AE360" s="6">
        <v>4379.18</v>
      </c>
      <c r="AF360" s="6">
        <v>1576.94</v>
      </c>
      <c r="AG360" s="6" t="s">
        <v>54</v>
      </c>
      <c r="AH360" s="6" t="str">
        <f t="shared" si="42"/>
        <v>Pending</v>
      </c>
      <c r="AI360" s="6" t="s">
        <v>59</v>
      </c>
      <c r="AJ360" s="6" t="str">
        <f t="shared" si="43"/>
        <v>Returned</v>
      </c>
      <c r="AK360" s="9" t="str">
        <f>_xlfn.TEXTJOIN("|",FALSE,A360,TEXT(B360,"mm-dd-yyyy"),TEXT(E360,"mm-dd-yyyy"),I360,J360,L360,N360,P360,R360,T360,V360,X360,Y360,AA360,AB360,AC360,AD360,AE360,AF360,AG360,AI360)</f>
        <v>ORD-2025-10359|08-09-2025|08-07-2025|CUST-2477|Vikram Iyer|Home Office|West|Gujarat|Ahmedabad|Furniture|Bookcases|Smart Bookcases 134|Second Class|5|1253.92|0.05|5956.12|4379.18|1576.94|Pending|Returned</v>
      </c>
      <c r="AL360" s="27" t="str">
        <f>IF(COUNTIF($AK$2:AK360,AK360)&gt;1,"Remove exact duplicate copy","Keep")</f>
        <v>Keep</v>
      </c>
      <c r="AM360" s="9">
        <f t="shared" si="44"/>
        <v>1</v>
      </c>
      <c r="AN360" s="9" t="str">
        <f t="shared" si="45"/>
        <v>Unique</v>
      </c>
      <c r="AO360" s="9" t="str">
        <f t="shared" si="46"/>
        <v/>
      </c>
      <c r="AP360" s="9">
        <f t="shared" si="47"/>
        <v>0.05</v>
      </c>
      <c r="AQ360" s="10">
        <f t="shared" si="48"/>
        <v>5956.12</v>
      </c>
      <c r="AR360" s="10">
        <f t="shared" si="49"/>
        <v>1576.9399999999996</v>
      </c>
      <c r="AS360" s="11">
        <f t="shared" si="50"/>
        <v>0.26475960860425907</v>
      </c>
      <c r="AT360" s="9">
        <f t="shared" si="51"/>
        <v>8</v>
      </c>
      <c r="AU360" s="9">
        <f t="shared" si="52"/>
        <v>2025</v>
      </c>
      <c r="AV360" s="9" t="b">
        <f t="shared" si="53"/>
        <v>0</v>
      </c>
      <c r="AW360" s="9" t="b">
        <f t="shared" si="54"/>
        <v>0</v>
      </c>
      <c r="AX360" s="9" t="str">
        <f t="shared" si="55"/>
        <v>No</v>
      </c>
      <c r="AY360" s="9" t="str">
        <f t="shared" si="59"/>
        <v>Ship date before order date; Returned order excluded</v>
      </c>
      <c r="AZ360" s="9" t="str">
        <f>IF(OR(G360="Missing date",G360="Invalid date",G360="Ship date before order date",NOT(ISNUMBER(AP360)),AP360&lt;0,AP360&gt;0.5,AV360=TRUE,AW360=TRUE),"Invalid",IF(OR(O360="Unknown",Z360="Unknown",AC360="",AH360&lt;&gt;"Paid",AJ360&lt;&gt;"Completed",AO360&lt;&gt;""),"Warning","Clean"))</f>
        <v>Invalid</v>
      </c>
    </row>
    <row r="361" spans="1:52" ht="15.75" customHeight="1">
      <c r="A361" s="6" t="s">
        <v>1889</v>
      </c>
      <c r="B361" s="7" t="s">
        <v>1713</v>
      </c>
      <c r="C361" s="7" t="str">
        <f t="shared" si="58"/>
        <v>2024-08</v>
      </c>
      <c r="D361" s="7" cm="1">
        <f t="array" ref="D361">_xlfn.LET(_xlpm.x,B361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45525</v>
      </c>
      <c r="E361" s="7" t="s">
        <v>1890</v>
      </c>
      <c r="F361" s="7" cm="1">
        <f t="array" ref="F361">_xlfn.LET(_xlpm.x,E361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45526</v>
      </c>
      <c r="G361" s="8" t="str">
        <f t="shared" si="32"/>
        <v>OK</v>
      </c>
      <c r="H361" s="6">
        <f t="shared" si="33"/>
        <v>1</v>
      </c>
      <c r="I361" s="6" t="s">
        <v>1891</v>
      </c>
      <c r="J361" s="6" t="s">
        <v>147</v>
      </c>
      <c r="K361" s="6" t="str">
        <f t="shared" si="34"/>
        <v>Isha Nair</v>
      </c>
      <c r="L361" s="6" t="s">
        <v>43</v>
      </c>
      <c r="M361" s="8" t="str">
        <f t="shared" si="35"/>
        <v>Consumer</v>
      </c>
      <c r="N361" s="6" t="s">
        <v>10</v>
      </c>
      <c r="O361" s="6" t="str">
        <f t="shared" si="36"/>
        <v>South</v>
      </c>
      <c r="P361" s="6" t="s">
        <v>413</v>
      </c>
      <c r="Q361" s="6" t="str">
        <f t="shared" si="37"/>
        <v>Tamil Nadu</v>
      </c>
      <c r="R361" s="6" t="s">
        <v>414</v>
      </c>
      <c r="S361" s="6" t="str">
        <f t="shared" si="38"/>
        <v>Chennai</v>
      </c>
      <c r="T361" s="6" t="s">
        <v>27</v>
      </c>
      <c r="U361" s="8" t="str">
        <f t="shared" si="39"/>
        <v>Technology</v>
      </c>
      <c r="V361" s="6" t="s">
        <v>31</v>
      </c>
      <c r="W361" s="6" t="str">
        <f t="shared" si="40"/>
        <v>Phones</v>
      </c>
      <c r="X361" s="6" t="s">
        <v>1892</v>
      </c>
      <c r="Y361" s="6" t="s">
        <v>37</v>
      </c>
      <c r="Z361" s="6" t="str">
        <f t="shared" si="41"/>
        <v>Same Day</v>
      </c>
      <c r="AA361" s="6">
        <v>9</v>
      </c>
      <c r="AB361" s="6">
        <v>616.96</v>
      </c>
      <c r="AC361" s="6">
        <v>0.1</v>
      </c>
      <c r="AD361" s="6">
        <v>4997.38</v>
      </c>
      <c r="AE361" s="6">
        <v>2971.39</v>
      </c>
      <c r="AF361" s="6">
        <v>2025.99</v>
      </c>
      <c r="AG361" s="6" t="s">
        <v>52</v>
      </c>
      <c r="AH361" s="6" t="str">
        <f t="shared" si="42"/>
        <v>Paid</v>
      </c>
      <c r="AI361" s="6" t="s">
        <v>134</v>
      </c>
      <c r="AJ361" s="6" t="str">
        <f t="shared" si="43"/>
        <v>Completed</v>
      </c>
      <c r="AK361" s="9" t="str">
        <f>_xlfn.TEXTJOIN("|",FALSE,A361,TEXT(B361,"mm-dd-yyyy"),TEXT(E361,"mm-dd-yyyy"),I361,J361,L361,N361,P361,R361,T361,V361,X361,Y361,AA361,AB361,AC361,AD361,AE361,AF361,AG361,AI361)</f>
        <v>ORD-2024-10360|08-21-2024|22-08-2024|CUST-9571|Isha Nair|Consumer|South|Tamil Nadu|Chennai|Technology|Phones|Classic Phones 586|Same Day|9|616.96|0.1|4997.38|2971.39|2025.99|Paid|Completed</v>
      </c>
      <c r="AL361" s="27" t="str">
        <f>IF(COUNTIF($AK$2:AK361,AK361)&gt;1,"Remove exact duplicate copy","Keep")</f>
        <v>Keep</v>
      </c>
      <c r="AM361" s="9">
        <f t="shared" si="44"/>
        <v>1</v>
      </c>
      <c r="AN361" s="9" t="str">
        <f t="shared" si="45"/>
        <v>Unique</v>
      </c>
      <c r="AO361" s="9" t="str">
        <f t="shared" si="46"/>
        <v/>
      </c>
      <c r="AP361" s="9">
        <f t="shared" si="47"/>
        <v>0.1</v>
      </c>
      <c r="AQ361" s="10">
        <f t="shared" si="48"/>
        <v>4997.3760000000002</v>
      </c>
      <c r="AR361" s="10">
        <f t="shared" si="49"/>
        <v>2025.9860000000003</v>
      </c>
      <c r="AS361" s="11">
        <f t="shared" si="50"/>
        <v>0.40540995914656014</v>
      </c>
      <c r="AT361" s="9">
        <f t="shared" si="51"/>
        <v>8</v>
      </c>
      <c r="AU361" s="9">
        <f t="shared" si="52"/>
        <v>2024</v>
      </c>
      <c r="AV361" s="9" t="b">
        <f t="shared" si="53"/>
        <v>0</v>
      </c>
      <c r="AW361" s="9" t="b">
        <f t="shared" si="54"/>
        <v>0</v>
      </c>
      <c r="AX361" s="9" t="str">
        <f t="shared" si="55"/>
        <v>Yes</v>
      </c>
      <c r="AY361" s="9" t="str">
        <f t="shared" si="59"/>
        <v/>
      </c>
      <c r="AZ361" s="9" t="str">
        <f>IF(OR(G361="Missing date",G361="Invalid date",G361="Ship date before order date",NOT(ISNUMBER(AP361)),AP361&lt;0,AP361&gt;0.5,AV361=TRUE,AW361=TRUE),"Invalid",IF(OR(O361="Unknown",Z361="Unknown",AC361="",AH361&lt;&gt;"Paid",AJ361&lt;&gt;"Completed",AO361&lt;&gt;""),"Warning","Clean"))</f>
        <v>Clean</v>
      </c>
    </row>
    <row r="362" spans="1:52" ht="15.75" customHeight="1">
      <c r="A362" s="6" t="s">
        <v>1893</v>
      </c>
      <c r="B362" s="7" t="s">
        <v>1894</v>
      </c>
      <c r="C362" s="7" t="str">
        <f t="shared" si="58"/>
        <v>2024-06</v>
      </c>
      <c r="D362" s="7" cm="1">
        <f t="array" ref="D362">_xlfn.LET(_xlpm.x,B362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45460</v>
      </c>
      <c r="E362" s="7" t="s">
        <v>1895</v>
      </c>
      <c r="F362" s="7" cm="1">
        <f t="array" ref="F362">_xlfn.LET(_xlpm.x,E362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45463</v>
      </c>
      <c r="G362" s="8" t="str">
        <f t="shared" si="32"/>
        <v>OK</v>
      </c>
      <c r="H362" s="6">
        <f t="shared" si="33"/>
        <v>3</v>
      </c>
      <c r="I362" s="6" t="s">
        <v>1896</v>
      </c>
      <c r="J362" s="6" t="s">
        <v>245</v>
      </c>
      <c r="K362" s="6" t="str">
        <f t="shared" si="34"/>
        <v>Sneha Kapoor</v>
      </c>
      <c r="L362" s="6" t="s">
        <v>46</v>
      </c>
      <c r="M362" s="8" t="str">
        <f t="shared" si="35"/>
        <v>Small Business</v>
      </c>
      <c r="N362" s="6" t="s">
        <v>9</v>
      </c>
      <c r="O362" s="6" t="str">
        <f t="shared" si="36"/>
        <v>West</v>
      </c>
      <c r="P362" s="6" t="s">
        <v>309</v>
      </c>
      <c r="Q362" s="6" t="str">
        <f t="shared" si="37"/>
        <v>Gujarat</v>
      </c>
      <c r="R362" s="6" t="s">
        <v>310</v>
      </c>
      <c r="S362" s="6" t="str">
        <f t="shared" si="38"/>
        <v>Ahmedabad</v>
      </c>
      <c r="T362" s="6" t="s">
        <v>14</v>
      </c>
      <c r="U362" s="8" t="str">
        <f t="shared" si="39"/>
        <v>Furniture</v>
      </c>
      <c r="V362" s="6" t="s">
        <v>17</v>
      </c>
      <c r="W362" s="6" t="str">
        <f t="shared" si="40"/>
        <v>Furnishings</v>
      </c>
      <c r="X362" s="6" t="s">
        <v>1897</v>
      </c>
      <c r="Y362" s="6" t="s">
        <v>34</v>
      </c>
      <c r="Z362" s="6" t="str">
        <f t="shared" si="41"/>
        <v>Standard Class</v>
      </c>
      <c r="AA362" s="6">
        <v>7</v>
      </c>
      <c r="AB362" s="6">
        <v>3155.25</v>
      </c>
      <c r="AC362" s="6">
        <v>0.2</v>
      </c>
      <c r="AD362" s="6">
        <v>17669.400000000001</v>
      </c>
      <c r="AE362" s="6">
        <v>13718.77</v>
      </c>
      <c r="AF362" s="6">
        <v>3950.63</v>
      </c>
      <c r="AG362" s="6" t="s">
        <v>56</v>
      </c>
      <c r="AH362" s="6" t="str">
        <f t="shared" si="42"/>
        <v>Refunded</v>
      </c>
      <c r="AI362" s="6" t="s">
        <v>58</v>
      </c>
      <c r="AJ362" s="6" t="str">
        <f t="shared" si="43"/>
        <v>Cancelled</v>
      </c>
      <c r="AK362" s="9" t="str">
        <f>_xlfn.TEXTJOIN("|",FALSE,A362,TEXT(B362,"mm-dd-yyyy"),TEXT(E362,"mm-dd-yyyy"),I362,J362,L362,N362,P362,R362,T362,V362,X362,Y362,AA362,AB362,AC362,AD362,AE362,AF362,AG362,AI362)</f>
        <v>ORD-2024-10361|06-17-2024|06-20-2024|CUST-3690|Sneha Kapoor|Small Business|West|Gujarat|Ahmedabad|Furniture|Furnishings|Elite Furnishings 634|Standard Class|7|3155.25|0.2|17669.4|13718.77|3950.63|Refunded|Cancelled</v>
      </c>
      <c r="AL362" s="27" t="str">
        <f>IF(COUNTIF($AK$2:AK362,AK362)&gt;1,"Remove exact duplicate copy","Keep")</f>
        <v>Keep</v>
      </c>
      <c r="AM362" s="9">
        <f t="shared" si="44"/>
        <v>1</v>
      </c>
      <c r="AN362" s="9" t="str">
        <f t="shared" si="45"/>
        <v>Unique</v>
      </c>
      <c r="AO362" s="9" t="str">
        <f t="shared" si="46"/>
        <v/>
      </c>
      <c r="AP362" s="9">
        <f t="shared" si="47"/>
        <v>0.2</v>
      </c>
      <c r="AQ362" s="10">
        <f t="shared" si="48"/>
        <v>17669.400000000001</v>
      </c>
      <c r="AR362" s="10">
        <f t="shared" si="49"/>
        <v>3950.630000000001</v>
      </c>
      <c r="AS362" s="11">
        <f t="shared" si="50"/>
        <v>0.2235859734908939</v>
      </c>
      <c r="AT362" s="9">
        <f t="shared" si="51"/>
        <v>6</v>
      </c>
      <c r="AU362" s="9">
        <f t="shared" si="52"/>
        <v>2024</v>
      </c>
      <c r="AV362" s="9" t="b">
        <f t="shared" si="53"/>
        <v>0</v>
      </c>
      <c r="AW362" s="9" t="b">
        <f t="shared" si="54"/>
        <v>0</v>
      </c>
      <c r="AX362" s="9" t="str">
        <f t="shared" si="55"/>
        <v>No</v>
      </c>
      <c r="AY362" s="9" t="str">
        <f t="shared" si="59"/>
        <v>Refunded order summarized separately; Cancelled order excluded</v>
      </c>
      <c r="AZ362" s="9" t="str">
        <f>IF(OR(G362="Missing date",G362="Invalid date",G362="Ship date before order date",NOT(ISNUMBER(AP362)),AP362&lt;0,AP362&gt;0.5,AV362=TRUE,AW362=TRUE),"Invalid",IF(OR(O362="Unknown",Z362="Unknown",AC362="",AH362&lt;&gt;"Paid",AJ362&lt;&gt;"Completed",AO362&lt;&gt;""),"Warning","Clean"))</f>
        <v>Warning</v>
      </c>
    </row>
    <row r="363" spans="1:52" ht="15.75" customHeight="1">
      <c r="A363" s="6" t="s">
        <v>1898</v>
      </c>
      <c r="B363" s="7" t="s">
        <v>1242</v>
      </c>
      <c r="C363" s="7" t="str">
        <f t="shared" si="58"/>
        <v>2025-04</v>
      </c>
      <c r="D363" s="7" cm="1">
        <f t="array" ref="D363">_xlfn.LET(_xlpm.x,B363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45748</v>
      </c>
      <c r="E363" s="7" t="s">
        <v>1899</v>
      </c>
      <c r="F363" s="7" cm="1">
        <f t="array" ref="F363">_xlfn.LET(_xlpm.x,E363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45749</v>
      </c>
      <c r="G363" s="8" t="str">
        <f t="shared" si="32"/>
        <v>OK</v>
      </c>
      <c r="H363" s="6">
        <f t="shared" si="33"/>
        <v>1</v>
      </c>
      <c r="I363" s="6" t="s">
        <v>1900</v>
      </c>
      <c r="J363" s="6" t="s">
        <v>257</v>
      </c>
      <c r="K363" s="6" t="str">
        <f t="shared" si="34"/>
        <v>Rohan Mehta</v>
      </c>
      <c r="L363" s="6" t="s">
        <v>45</v>
      </c>
      <c r="M363" s="8" t="str">
        <f t="shared" si="35"/>
        <v>Corporate</v>
      </c>
      <c r="N363" s="6" t="s">
        <v>8</v>
      </c>
      <c r="O363" s="6" t="str">
        <f t="shared" si="36"/>
        <v>East</v>
      </c>
      <c r="P363" s="6" t="s">
        <v>140</v>
      </c>
      <c r="Q363" s="6" t="str">
        <f t="shared" si="37"/>
        <v>Odisha</v>
      </c>
      <c r="R363" s="6" t="s">
        <v>141</v>
      </c>
      <c r="S363" s="6" t="str">
        <f t="shared" si="38"/>
        <v>Bhubaneswar</v>
      </c>
      <c r="T363" s="6" t="s">
        <v>14</v>
      </c>
      <c r="U363" s="8" t="str">
        <f t="shared" si="39"/>
        <v>Furniture</v>
      </c>
      <c r="V363" s="6" t="s">
        <v>16</v>
      </c>
      <c r="W363" s="6" t="str">
        <f t="shared" si="40"/>
        <v>Chairs</v>
      </c>
      <c r="X363" s="6" t="s">
        <v>1901</v>
      </c>
      <c r="Y363" s="6" t="s">
        <v>36</v>
      </c>
      <c r="Z363" s="6" t="str">
        <f t="shared" si="41"/>
        <v>Second Class</v>
      </c>
      <c r="AA363" s="6">
        <v>9</v>
      </c>
      <c r="AB363" s="6">
        <v>4165.58</v>
      </c>
      <c r="AC363" s="6">
        <v>0.05</v>
      </c>
      <c r="AD363" s="6">
        <v>35615.71</v>
      </c>
      <c r="AE363" s="6">
        <v>20389.71</v>
      </c>
      <c r="AF363" s="6">
        <v>15226</v>
      </c>
      <c r="AG363" s="6" t="s">
        <v>54</v>
      </c>
      <c r="AH363" s="6" t="str">
        <f t="shared" si="42"/>
        <v>Pending</v>
      </c>
      <c r="AI363" s="6" t="s">
        <v>59</v>
      </c>
      <c r="AJ363" s="6" t="str">
        <f t="shared" si="43"/>
        <v>Returned</v>
      </c>
      <c r="AK363" s="9" t="str">
        <f>_xlfn.TEXTJOIN("|",FALSE,A363,TEXT(B363,"mm-dd-yyyy"),TEXT(E363,"mm-dd-yyyy"),I363,J363,L363,N363,P363,R363,T363,V363,X363,Y363,AA363,AB363,AC363,AD363,AE363,AF363,AG363,AI363)</f>
        <v>ORD-2025-10362|01-04-2025|04-02-2025|CUST-2909|Rohan Mehta|Corporate|East|Odisha|Bhubaneswar|Furniture|Chairs|Basic Chairs 113|Second Class|9|4165.58|0.05|35615.71|20389.71|15226|Pending|Returned</v>
      </c>
      <c r="AL363" s="27" t="str">
        <f>IF(COUNTIF($AK$2:AK363,AK363)&gt;1,"Remove exact duplicate copy","Keep")</f>
        <v>Keep</v>
      </c>
      <c r="AM363" s="9">
        <f t="shared" si="44"/>
        <v>1</v>
      </c>
      <c r="AN363" s="9" t="str">
        <f t="shared" si="45"/>
        <v>Unique</v>
      </c>
      <c r="AO363" s="9" t="str">
        <f t="shared" si="46"/>
        <v/>
      </c>
      <c r="AP363" s="9">
        <f t="shared" si="47"/>
        <v>0.05</v>
      </c>
      <c r="AQ363" s="10">
        <f t="shared" si="48"/>
        <v>35615.709000000003</v>
      </c>
      <c r="AR363" s="10">
        <f t="shared" si="49"/>
        <v>15225.999000000003</v>
      </c>
      <c r="AS363" s="11">
        <f t="shared" si="50"/>
        <v>0.42750795723314122</v>
      </c>
      <c r="AT363" s="9">
        <f t="shared" si="51"/>
        <v>4</v>
      </c>
      <c r="AU363" s="9">
        <f t="shared" si="52"/>
        <v>2025</v>
      </c>
      <c r="AV363" s="9" t="b">
        <f t="shared" si="53"/>
        <v>0</v>
      </c>
      <c r="AW363" s="9" t="b">
        <f t="shared" si="54"/>
        <v>0</v>
      </c>
      <c r="AX363" s="9" t="str">
        <f t="shared" si="55"/>
        <v>No</v>
      </c>
      <c r="AY363" s="9" t="str">
        <f t="shared" si="59"/>
        <v>Returned order excluded</v>
      </c>
      <c r="AZ363" s="9" t="str">
        <f>IF(OR(G363="Missing date",G363="Invalid date",G363="Ship date before order date",NOT(ISNUMBER(AP363)),AP363&lt;0,AP363&gt;0.5,AV363=TRUE,AW363=TRUE),"Invalid",IF(OR(O363="Unknown",Z363="Unknown",AC363="",AH363&lt;&gt;"Paid",AJ363&lt;&gt;"Completed",AO363&lt;&gt;""),"Warning","Clean"))</f>
        <v>Warning</v>
      </c>
    </row>
    <row r="364" spans="1:52" ht="15.75" customHeight="1">
      <c r="A364" s="6" t="s">
        <v>1902</v>
      </c>
      <c r="B364" s="7" t="s">
        <v>1903</v>
      </c>
      <c r="C364" s="7" t="str">
        <f t="shared" si="58"/>
        <v>2024-08</v>
      </c>
      <c r="D364" s="7" cm="1">
        <f t="array" ref="D364">_xlfn.LET(_xlpm.x,B364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45527</v>
      </c>
      <c r="E364" s="7" t="s">
        <v>1904</v>
      </c>
      <c r="F364" s="7" cm="1">
        <f t="array" ref="F364">_xlfn.LET(_xlpm.x,E364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45529</v>
      </c>
      <c r="G364" s="8" t="str">
        <f t="shared" si="32"/>
        <v>OK</v>
      </c>
      <c r="H364" s="6">
        <f t="shared" si="33"/>
        <v>2</v>
      </c>
      <c r="I364" s="6" t="s">
        <v>1905</v>
      </c>
      <c r="J364" s="6" t="s">
        <v>169</v>
      </c>
      <c r="K364" s="6" t="str">
        <f t="shared" si="34"/>
        <v>Vikram Iyer</v>
      </c>
      <c r="L364" s="6" t="s">
        <v>43</v>
      </c>
      <c r="M364" s="8" t="str">
        <f t="shared" si="35"/>
        <v>Consumer</v>
      </c>
      <c r="N364" s="6" t="s">
        <v>9</v>
      </c>
      <c r="O364" s="6" t="str">
        <f t="shared" si="36"/>
        <v>West</v>
      </c>
      <c r="P364" s="6" t="s">
        <v>323</v>
      </c>
      <c r="Q364" s="6" t="str">
        <f t="shared" si="37"/>
        <v>Goa</v>
      </c>
      <c r="R364" s="6" t="s">
        <v>324</v>
      </c>
      <c r="S364" s="6" t="str">
        <f t="shared" si="38"/>
        <v>Panaji</v>
      </c>
      <c r="T364" s="6" t="s">
        <v>27</v>
      </c>
      <c r="U364" s="8" t="str">
        <f t="shared" si="39"/>
        <v>Technology</v>
      </c>
      <c r="V364" s="6" t="s">
        <v>30</v>
      </c>
      <c r="W364" s="6" t="str">
        <f t="shared" si="40"/>
        <v>Machines</v>
      </c>
      <c r="X364" s="6" t="s">
        <v>1906</v>
      </c>
      <c r="Y364" s="6" t="s">
        <v>37</v>
      </c>
      <c r="Z364" s="6" t="str">
        <f t="shared" si="41"/>
        <v>Same Day</v>
      </c>
      <c r="AA364" s="6">
        <v>4</v>
      </c>
      <c r="AB364" s="6">
        <v>491.16</v>
      </c>
      <c r="AC364" s="6">
        <v>0.05</v>
      </c>
      <c r="AD364" s="6">
        <v>1866.41</v>
      </c>
      <c r="AE364" s="6">
        <v>1576.49</v>
      </c>
      <c r="AF364" s="6">
        <v>289.92</v>
      </c>
      <c r="AG364" s="6" t="s">
        <v>52</v>
      </c>
      <c r="AH364" s="6" t="str">
        <f t="shared" si="42"/>
        <v>Paid</v>
      </c>
      <c r="AI364" s="6" t="s">
        <v>134</v>
      </c>
      <c r="AJ364" s="6" t="str">
        <f t="shared" si="43"/>
        <v>Completed</v>
      </c>
      <c r="AK364" s="9" t="str">
        <f>_xlfn.TEXTJOIN("|",FALSE,A364,TEXT(B364,"mm-dd-yyyy"),TEXT(E364,"mm-dd-yyyy"),I364,J364,L364,N364,P364,R364,T364,V364,X364,Y364,AA364,AB364,AC364,AD364,AE364,AF364,AG364,AI364)</f>
        <v>ORD-2024-10363|08-23-2024|25-08-2024|CUST-6755|Vikram Iyer|Consumer|West|Goa|Panaji|Technology|Machines|Elite Machines 216|Same Day|4|491.16|0.05|1866.41|1576.49|289.92|Paid|Completed</v>
      </c>
      <c r="AL364" s="27" t="str">
        <f>IF(COUNTIF($AK$2:AK364,AK364)&gt;1,"Remove exact duplicate copy","Keep")</f>
        <v>Keep</v>
      </c>
      <c r="AM364" s="9">
        <f t="shared" si="44"/>
        <v>1</v>
      </c>
      <c r="AN364" s="9" t="str">
        <f t="shared" si="45"/>
        <v>Unique</v>
      </c>
      <c r="AO364" s="9" t="str">
        <f t="shared" si="46"/>
        <v/>
      </c>
      <c r="AP364" s="9">
        <f t="shared" si="47"/>
        <v>0.05</v>
      </c>
      <c r="AQ364" s="10">
        <f t="shared" si="48"/>
        <v>1866.4079999999999</v>
      </c>
      <c r="AR364" s="10">
        <f t="shared" si="49"/>
        <v>289.91799999999989</v>
      </c>
      <c r="AS364" s="11">
        <f t="shared" si="50"/>
        <v>0.15533473924243782</v>
      </c>
      <c r="AT364" s="9">
        <f t="shared" si="51"/>
        <v>8</v>
      </c>
      <c r="AU364" s="9">
        <f t="shared" si="52"/>
        <v>2024</v>
      </c>
      <c r="AV364" s="9" t="b">
        <f t="shared" si="53"/>
        <v>0</v>
      </c>
      <c r="AW364" s="9" t="b">
        <f t="shared" si="54"/>
        <v>0</v>
      </c>
      <c r="AX364" s="9" t="str">
        <f t="shared" si="55"/>
        <v>Yes</v>
      </c>
      <c r="AY364" s="9" t="str">
        <f t="shared" si="59"/>
        <v/>
      </c>
      <c r="AZ364" s="9" t="str">
        <f>IF(OR(G364="Missing date",G364="Invalid date",G364="Ship date before order date",NOT(ISNUMBER(AP364)),AP364&lt;0,AP364&gt;0.5,AV364=TRUE,AW364=TRUE),"Invalid",IF(OR(O364="Unknown",Z364="Unknown",AC364="",AH364&lt;&gt;"Paid",AJ364&lt;&gt;"Completed",AO364&lt;&gt;""),"Warning","Clean"))</f>
        <v>Clean</v>
      </c>
    </row>
    <row r="365" spans="1:52" ht="15.75" customHeight="1">
      <c r="A365" s="6" t="s">
        <v>1907</v>
      </c>
      <c r="B365" s="7" t="s">
        <v>1908</v>
      </c>
      <c r="C365" s="7" t="str">
        <f t="shared" si="58"/>
        <v>2025-07</v>
      </c>
      <c r="D365" s="7" cm="1">
        <f t="array" ref="D365">_xlfn.LET(_xlpm.x,B365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45845</v>
      </c>
      <c r="E365" s="7" t="s">
        <v>1909</v>
      </c>
      <c r="F365" s="7" cm="1">
        <f t="array" ref="F365">_xlfn.LET(_xlpm.x,E365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45850</v>
      </c>
      <c r="G365" s="8" t="str">
        <f t="shared" si="32"/>
        <v>OK</v>
      </c>
      <c r="H365" s="6">
        <f t="shared" si="33"/>
        <v>5</v>
      </c>
      <c r="I365" s="6" t="s">
        <v>1910</v>
      </c>
      <c r="J365" s="6" t="s">
        <v>284</v>
      </c>
      <c r="K365" s="6" t="str">
        <f t="shared" si="34"/>
        <v>Diya Patel</v>
      </c>
      <c r="L365" s="6" t="s">
        <v>45</v>
      </c>
      <c r="M365" s="8" t="str">
        <f t="shared" si="35"/>
        <v>Corporate</v>
      </c>
      <c r="N365" s="6" t="s">
        <v>8</v>
      </c>
      <c r="O365" s="6" t="str">
        <f t="shared" si="36"/>
        <v>East</v>
      </c>
      <c r="P365" s="6" t="s">
        <v>201</v>
      </c>
      <c r="Q365" s="6" t="str">
        <f t="shared" si="37"/>
        <v>West Bengal</v>
      </c>
      <c r="R365" s="6" t="s">
        <v>202</v>
      </c>
      <c r="S365" s="6" t="str">
        <f t="shared" si="38"/>
        <v>Kolkata</v>
      </c>
      <c r="T365" s="6" t="s">
        <v>14</v>
      </c>
      <c r="U365" s="8" t="str">
        <f t="shared" si="39"/>
        <v>Furniture</v>
      </c>
      <c r="V365" s="6" t="s">
        <v>18</v>
      </c>
      <c r="W365" s="6" t="str">
        <f t="shared" si="40"/>
        <v>Tables</v>
      </c>
      <c r="X365" s="6" t="s">
        <v>1911</v>
      </c>
      <c r="Y365" s="6" t="s">
        <v>36</v>
      </c>
      <c r="Z365" s="6" t="str">
        <f t="shared" si="41"/>
        <v>Second Class</v>
      </c>
      <c r="AA365" s="6">
        <v>5</v>
      </c>
      <c r="AB365" s="6">
        <v>1831.37</v>
      </c>
      <c r="AC365" s="6">
        <v>0.25</v>
      </c>
      <c r="AD365" s="6">
        <v>6867.64</v>
      </c>
      <c r="AE365" s="6">
        <v>5205.3599999999997</v>
      </c>
      <c r="AF365" s="6">
        <v>1662.28</v>
      </c>
      <c r="AG365" s="6" t="s">
        <v>52</v>
      </c>
      <c r="AH365" s="6" t="str">
        <f t="shared" si="42"/>
        <v>Paid</v>
      </c>
      <c r="AI365" s="6" t="s">
        <v>134</v>
      </c>
      <c r="AJ365" s="6" t="str">
        <f t="shared" si="43"/>
        <v>Completed</v>
      </c>
      <c r="AK365" s="9" t="str">
        <f>_xlfn.TEXTJOIN("|",FALSE,A365,TEXT(B365,"mm-dd-yyyy"),TEXT(E365,"mm-dd-yyyy"),I365,J365,L365,N365,P365,R365,T365,V365,X365,Y365,AA365,AB365,AC365,AD365,AE365,AF365,AG365,AI365)</f>
        <v>ORD-2025-10364|07-07-2025|07-12-2025|CUST-1832|Diya Patel|Corporate|East|West Bengal|Kolkata|Furniture|Tables|Smart Tables 943|Second Class|5|1831.37|0.25|6867.64|5205.36|1662.28|Paid|Completed</v>
      </c>
      <c r="AL365" s="27" t="str">
        <f>IF(COUNTIF($AK$2:AK365,AK365)&gt;1,"Remove exact duplicate copy","Keep")</f>
        <v>Keep</v>
      </c>
      <c r="AM365" s="9">
        <f t="shared" si="44"/>
        <v>1</v>
      </c>
      <c r="AN365" s="9" t="str">
        <f t="shared" si="45"/>
        <v>Unique</v>
      </c>
      <c r="AO365" s="9" t="str">
        <f t="shared" si="46"/>
        <v/>
      </c>
      <c r="AP365" s="9">
        <f t="shared" si="47"/>
        <v>0.25</v>
      </c>
      <c r="AQ365" s="10">
        <f t="shared" si="48"/>
        <v>6867.6374999999989</v>
      </c>
      <c r="AR365" s="10">
        <f t="shared" si="49"/>
        <v>1662.2774999999992</v>
      </c>
      <c r="AS365" s="11">
        <f t="shared" si="50"/>
        <v>0.24204502640100028</v>
      </c>
      <c r="AT365" s="9">
        <f t="shared" si="51"/>
        <v>7</v>
      </c>
      <c r="AU365" s="9">
        <f t="shared" si="52"/>
        <v>2025</v>
      </c>
      <c r="AV365" s="9" t="b">
        <f t="shared" si="53"/>
        <v>0</v>
      </c>
      <c r="AW365" s="9" t="b">
        <f t="shared" si="54"/>
        <v>0</v>
      </c>
      <c r="AX365" s="9" t="str">
        <f t="shared" si="55"/>
        <v>Yes</v>
      </c>
      <c r="AY365" s="9" t="str">
        <f t="shared" si="59"/>
        <v/>
      </c>
      <c r="AZ365" s="9" t="str">
        <f>IF(OR(G365="Missing date",G365="Invalid date",G365="Ship date before order date",NOT(ISNUMBER(AP365)),AP365&lt;0,AP365&gt;0.5,AV365=TRUE,AW365=TRUE),"Invalid",IF(OR(O365="Unknown",Z365="Unknown",AC365="",AH365&lt;&gt;"Paid",AJ365&lt;&gt;"Completed",AO365&lt;&gt;""),"Warning","Clean"))</f>
        <v>Clean</v>
      </c>
    </row>
    <row r="366" spans="1:52" ht="15.75" customHeight="1">
      <c r="A366" s="6" t="s">
        <v>1912</v>
      </c>
      <c r="B366" s="7" t="s">
        <v>1913</v>
      </c>
      <c r="C366" s="7" t="str">
        <f t="shared" si="58"/>
        <v>2025-03</v>
      </c>
      <c r="D366" s="7" cm="1">
        <f t="array" ref="D366">_xlfn.LET(_xlpm.x,B366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45737</v>
      </c>
      <c r="E366" s="7" t="s">
        <v>1914</v>
      </c>
      <c r="F366" s="7" cm="1">
        <f t="array" ref="F366">_xlfn.LET(_xlpm.x,E366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45740</v>
      </c>
      <c r="G366" s="8" t="str">
        <f t="shared" si="32"/>
        <v>OK</v>
      </c>
      <c r="H366" s="6">
        <f t="shared" si="33"/>
        <v>3</v>
      </c>
      <c r="I366" s="6" t="s">
        <v>1915</v>
      </c>
      <c r="J366" s="6" t="s">
        <v>239</v>
      </c>
      <c r="K366" s="6" t="str">
        <f t="shared" si="34"/>
        <v>Aarav Sharma</v>
      </c>
      <c r="L366" s="6" t="s">
        <v>46</v>
      </c>
      <c r="M366" s="8" t="str">
        <f t="shared" si="35"/>
        <v>Small Business</v>
      </c>
      <c r="N366" s="6" t="s">
        <v>10</v>
      </c>
      <c r="O366" s="6" t="str">
        <f t="shared" si="36"/>
        <v>South</v>
      </c>
      <c r="P366" s="6" t="s">
        <v>183</v>
      </c>
      <c r="Q366" s="6" t="str">
        <f t="shared" si="37"/>
        <v>Andhra Pradesh</v>
      </c>
      <c r="R366" s="6" t="s">
        <v>184</v>
      </c>
      <c r="S366" s="6" t="str">
        <f t="shared" si="38"/>
        <v>Vijayawada</v>
      </c>
      <c r="T366" s="6" t="s">
        <v>14</v>
      </c>
      <c r="U366" s="8" t="str">
        <f t="shared" si="39"/>
        <v>Furniture</v>
      </c>
      <c r="V366" s="6" t="s">
        <v>16</v>
      </c>
      <c r="W366" s="6" t="str">
        <f t="shared" si="40"/>
        <v>Chairs</v>
      </c>
      <c r="X366" s="6" t="s">
        <v>1916</v>
      </c>
      <c r="Y366" s="6" t="s">
        <v>36</v>
      </c>
      <c r="Z366" s="6" t="str">
        <f t="shared" si="41"/>
        <v>Second Class</v>
      </c>
      <c r="AA366" s="6">
        <v>5</v>
      </c>
      <c r="AB366" s="6">
        <v>1239.1500000000001</v>
      </c>
      <c r="AC366" s="6">
        <v>0</v>
      </c>
      <c r="AD366" s="6">
        <v>6195.75</v>
      </c>
      <c r="AE366" s="6">
        <v>3967.02</v>
      </c>
      <c r="AF366" s="6">
        <v>2228.73</v>
      </c>
      <c r="AG366" s="6" t="s">
        <v>52</v>
      </c>
      <c r="AH366" s="6" t="str">
        <f t="shared" si="42"/>
        <v>Paid</v>
      </c>
      <c r="AI366" s="6" t="s">
        <v>134</v>
      </c>
      <c r="AJ366" s="6" t="str">
        <f t="shared" si="43"/>
        <v>Completed</v>
      </c>
      <c r="AK366" s="9" t="str">
        <f>_xlfn.TEXTJOIN("|",FALSE,A366,TEXT(B366,"mm-dd-yyyy"),TEXT(E366,"mm-dd-yyyy"),I366,J366,L366,N366,P366,R366,T366,V366,X366,Y366,AA366,AB366,AC366,AD366,AE366,AF366,AG366,AI366)</f>
        <v>ORD-2025-10365|03-21-2025|03-24-2025|CUST-4452|Aarav Sharma|Small Business|South|Andhra Pradesh|Vijayawada|Furniture|Chairs|Prime Chairs 101|Second Class|5|1239.15|0|6195.75|3967.02|2228.73|Paid|Completed</v>
      </c>
      <c r="AL366" s="27" t="str">
        <f>IF(COUNTIF($AK$2:AK366,AK366)&gt;1,"Remove exact duplicate copy","Keep")</f>
        <v>Keep</v>
      </c>
      <c r="AM366" s="9">
        <f t="shared" si="44"/>
        <v>1</v>
      </c>
      <c r="AN366" s="9" t="str">
        <f t="shared" si="45"/>
        <v>Unique</v>
      </c>
      <c r="AO366" s="9" t="str">
        <f t="shared" si="46"/>
        <v/>
      </c>
      <c r="AP366" s="9">
        <f t="shared" si="47"/>
        <v>0</v>
      </c>
      <c r="AQ366" s="10">
        <f t="shared" si="48"/>
        <v>6195.75</v>
      </c>
      <c r="AR366" s="10">
        <f t="shared" si="49"/>
        <v>2228.73</v>
      </c>
      <c r="AS366" s="11">
        <f t="shared" si="50"/>
        <v>0.35971916232901585</v>
      </c>
      <c r="AT366" s="9">
        <f t="shared" si="51"/>
        <v>3</v>
      </c>
      <c r="AU366" s="9">
        <f t="shared" si="52"/>
        <v>2025</v>
      </c>
      <c r="AV366" s="9" t="b">
        <f t="shared" si="53"/>
        <v>0</v>
      </c>
      <c r="AW366" s="9" t="b">
        <f t="shared" si="54"/>
        <v>0</v>
      </c>
      <c r="AX366" s="9" t="str">
        <f t="shared" si="55"/>
        <v>Yes</v>
      </c>
      <c r="AY366" s="9" t="str">
        <f t="shared" si="59"/>
        <v/>
      </c>
      <c r="AZ366" s="9" t="str">
        <f>IF(OR(G366="Missing date",G366="Invalid date",G366="Ship date before order date",NOT(ISNUMBER(AP366)),AP366&lt;0,AP366&gt;0.5,AV366=TRUE,AW366=TRUE),"Invalid",IF(OR(O366="Unknown",Z366="Unknown",AC366="",AH366&lt;&gt;"Paid",AJ366&lt;&gt;"Completed",AO366&lt;&gt;""),"Warning","Clean"))</f>
        <v>Clean</v>
      </c>
    </row>
    <row r="367" spans="1:52" ht="15.75" customHeight="1">
      <c r="A367" s="6" t="s">
        <v>1917</v>
      </c>
      <c r="B367" s="7" t="s">
        <v>1918</v>
      </c>
      <c r="C367" s="7" t="str">
        <f t="shared" si="58"/>
        <v>2024-06</v>
      </c>
      <c r="D367" s="7" cm="1">
        <f t="array" ref="D367">_xlfn.LET(_xlpm.x,B367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45458</v>
      </c>
      <c r="E367" s="7" t="s">
        <v>1919</v>
      </c>
      <c r="F367" s="7" cm="1">
        <f t="array" ref="F367">_xlfn.LET(_xlpm.x,E367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45464</v>
      </c>
      <c r="G367" s="8" t="str">
        <f t="shared" si="32"/>
        <v>OK</v>
      </c>
      <c r="H367" s="6">
        <f t="shared" si="33"/>
        <v>6</v>
      </c>
      <c r="I367" s="6" t="s">
        <v>1920</v>
      </c>
      <c r="J367" s="6" t="s">
        <v>190</v>
      </c>
      <c r="K367" s="6" t="str">
        <f t="shared" si="34"/>
        <v>Aditi Sen</v>
      </c>
      <c r="L367" s="6" t="s">
        <v>45</v>
      </c>
      <c r="M367" s="8" t="str">
        <f t="shared" si="35"/>
        <v>Corporate</v>
      </c>
      <c r="N367" s="6" t="s">
        <v>9</v>
      </c>
      <c r="O367" s="6" t="str">
        <f t="shared" si="36"/>
        <v>West</v>
      </c>
      <c r="P367" s="6" t="s">
        <v>323</v>
      </c>
      <c r="Q367" s="6" t="str">
        <f t="shared" si="37"/>
        <v>Goa</v>
      </c>
      <c r="R367" s="6" t="s">
        <v>324</v>
      </c>
      <c r="S367" s="6" t="str">
        <f t="shared" si="38"/>
        <v>Panaji</v>
      </c>
      <c r="T367" s="6" t="s">
        <v>27</v>
      </c>
      <c r="U367" s="8" t="str">
        <f t="shared" si="39"/>
        <v>Technology</v>
      </c>
      <c r="V367" s="6" t="s">
        <v>28</v>
      </c>
      <c r="W367" s="6" t="str">
        <f t="shared" si="40"/>
        <v>Accessories</v>
      </c>
      <c r="X367" s="6" t="s">
        <v>1921</v>
      </c>
      <c r="Y367" s="6" t="s">
        <v>35</v>
      </c>
      <c r="Z367" s="6" t="str">
        <f t="shared" si="41"/>
        <v>First Class</v>
      </c>
      <c r="AA367" s="6">
        <v>8</v>
      </c>
      <c r="AB367" s="6">
        <v>1706.4</v>
      </c>
      <c r="AC367" s="6"/>
      <c r="AD367" s="6">
        <v>12968.64</v>
      </c>
      <c r="AE367" s="6">
        <v>10119.61</v>
      </c>
      <c r="AF367" s="6">
        <v>2849.03</v>
      </c>
      <c r="AG367" s="6" t="s">
        <v>52</v>
      </c>
      <c r="AH367" s="6" t="str">
        <f t="shared" si="42"/>
        <v>Paid</v>
      </c>
      <c r="AI367" s="6" t="s">
        <v>134</v>
      </c>
      <c r="AJ367" s="6" t="str">
        <f t="shared" si="43"/>
        <v>Completed</v>
      </c>
      <c r="AK367" s="9" t="str">
        <f>_xlfn.TEXTJOIN("|",FALSE,A367,TEXT(B367,"mm-dd-yyyy"),TEXT(E367,"mm-dd-yyyy"),I367,J367,L367,N367,P367,R367,T367,V367,X367,Y367,AA367,AB367,AC367,AD367,AE367,AF367,AG367,AI367)</f>
        <v>ORD-2024-10366|15-06-2024|21-06-2024|CUST-2203|Aditi Sen|Corporate|West|Goa|Panaji|Technology|Accessories|Basic Accessories 774|First Class|8|1706.4||12968.64|10119.61|2849.03|Paid|Completed</v>
      </c>
      <c r="AL367" s="27" t="str">
        <f>IF(COUNTIF($AK$2:AK367,AK367)&gt;1,"Remove exact duplicate copy","Keep")</f>
        <v>Keep</v>
      </c>
      <c r="AM367" s="9">
        <f t="shared" si="44"/>
        <v>1</v>
      </c>
      <c r="AN367" s="9" t="str">
        <f t="shared" si="45"/>
        <v>Unique</v>
      </c>
      <c r="AO367" s="9" t="str">
        <f t="shared" si="46"/>
        <v/>
      </c>
      <c r="AP367" s="9">
        <f t="shared" si="47"/>
        <v>0</v>
      </c>
      <c r="AQ367" s="10">
        <f t="shared" si="48"/>
        <v>13651.2</v>
      </c>
      <c r="AR367" s="10">
        <f t="shared" si="49"/>
        <v>3531.59</v>
      </c>
      <c r="AS367" s="11">
        <f t="shared" si="50"/>
        <v>0.2587017991092358</v>
      </c>
      <c r="AT367" s="9">
        <f t="shared" si="51"/>
        <v>6</v>
      </c>
      <c r="AU367" s="9">
        <f t="shared" si="52"/>
        <v>2024</v>
      </c>
      <c r="AV367" s="9" t="b">
        <f t="shared" si="53"/>
        <v>1</v>
      </c>
      <c r="AW367" s="9" t="b">
        <f t="shared" si="54"/>
        <v>1</v>
      </c>
      <c r="AX367" s="9" t="str">
        <f t="shared" si="55"/>
        <v>No</v>
      </c>
      <c r="AY367" s="9" t="str">
        <f t="shared" si="59"/>
        <v>Missing discount treated as 0; Sales mismatch; Profit mismatch</v>
      </c>
      <c r="AZ367" s="9" t="str">
        <f>IF(OR(G367="Missing date",G367="Invalid date",G367="Ship date before order date",NOT(ISNUMBER(AP367)),AP367&lt;0,AP367&gt;0.5,AV367=TRUE,AW367=TRUE),"Invalid",IF(OR(O367="Unknown",Z367="Unknown",AC367="",AH367&lt;&gt;"Paid",AJ367&lt;&gt;"Completed",AO367&lt;&gt;""),"Warning","Clean"))</f>
        <v>Invalid</v>
      </c>
    </row>
    <row r="368" spans="1:52" ht="15.75" customHeight="1">
      <c r="A368" s="6" t="s">
        <v>1922</v>
      </c>
      <c r="B368" s="7" t="s">
        <v>1923</v>
      </c>
      <c r="C368" s="7" t="str">
        <f t="shared" si="58"/>
        <v>2025-01</v>
      </c>
      <c r="D368" s="7" cm="1">
        <f t="array" ref="D368">_xlfn.LET(_xlpm.x,B368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45673</v>
      </c>
      <c r="E368" s="7" t="s">
        <v>1924</v>
      </c>
      <c r="F368" s="7" cm="1">
        <f t="array" ref="F368">_xlfn.LET(_xlpm.x,E368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45679</v>
      </c>
      <c r="G368" s="8" t="str">
        <f t="shared" si="32"/>
        <v>OK</v>
      </c>
      <c r="H368" s="6">
        <f t="shared" si="33"/>
        <v>6</v>
      </c>
      <c r="I368" s="6" t="s">
        <v>1925</v>
      </c>
      <c r="J368" s="6" t="s">
        <v>245</v>
      </c>
      <c r="K368" s="6" t="str">
        <f t="shared" si="34"/>
        <v>Sneha Kapoor</v>
      </c>
      <c r="L368" s="6" t="s">
        <v>45</v>
      </c>
      <c r="M368" s="8" t="str">
        <f t="shared" si="35"/>
        <v>Corporate</v>
      </c>
      <c r="N368" s="6" t="s">
        <v>7</v>
      </c>
      <c r="O368" s="6" t="str">
        <f t="shared" si="36"/>
        <v>North</v>
      </c>
      <c r="P368" s="6" t="s">
        <v>131</v>
      </c>
      <c r="Q368" s="6" t="str">
        <f t="shared" si="37"/>
        <v>Rajasthan</v>
      </c>
      <c r="R368" s="6" t="s">
        <v>132</v>
      </c>
      <c r="S368" s="6" t="str">
        <f t="shared" si="38"/>
        <v>Jaipur</v>
      </c>
      <c r="T368" s="6" t="s">
        <v>14</v>
      </c>
      <c r="U368" s="8" t="str">
        <f t="shared" si="39"/>
        <v>Furniture</v>
      </c>
      <c r="V368" s="6" t="s">
        <v>18</v>
      </c>
      <c r="W368" s="6" t="str">
        <f t="shared" si="40"/>
        <v>Tables</v>
      </c>
      <c r="X368" s="6" t="s">
        <v>1926</v>
      </c>
      <c r="Y368" s="6" t="s">
        <v>37</v>
      </c>
      <c r="Z368" s="6" t="str">
        <f t="shared" si="41"/>
        <v>Same Day</v>
      </c>
      <c r="AA368" s="6">
        <v>2</v>
      </c>
      <c r="AB368" s="6">
        <v>4418.28</v>
      </c>
      <c r="AC368" s="6">
        <v>0</v>
      </c>
      <c r="AD368" s="6">
        <v>8836.56</v>
      </c>
      <c r="AE368" s="6">
        <v>5867.75</v>
      </c>
      <c r="AF368" s="6">
        <v>2968.81</v>
      </c>
      <c r="AG368" s="6" t="s">
        <v>52</v>
      </c>
      <c r="AH368" s="6" t="str">
        <f t="shared" si="42"/>
        <v>Paid</v>
      </c>
      <c r="AI368" s="6" t="s">
        <v>134</v>
      </c>
      <c r="AJ368" s="6" t="str">
        <f t="shared" si="43"/>
        <v>Completed</v>
      </c>
      <c r="AK368" s="9" t="str">
        <f>_xlfn.TEXTJOIN("|",FALSE,A368,TEXT(B368,"mm-dd-yyyy"),TEXT(E368,"mm-dd-yyyy"),I368,J368,L368,N368,P368,R368,T368,V368,X368,Y368,AA368,AB368,AC368,AD368,AE368,AF368,AG368,AI368)</f>
        <v>ORD-2025-10367|01-16-2025|01-22-2025|CUST-5397|Sneha Kapoor|Corporate|North|Rajasthan|Jaipur|Furniture|Tables|Max Tables 478|Same Day|2|4418.28|0|8836.56|5867.75|2968.81|Paid|Completed</v>
      </c>
      <c r="AL368" s="27" t="str">
        <f>IF(COUNTIF($AK$2:AK368,AK368)&gt;1,"Remove exact duplicate copy","Keep")</f>
        <v>Keep</v>
      </c>
      <c r="AM368" s="9">
        <f t="shared" si="44"/>
        <v>1</v>
      </c>
      <c r="AN368" s="9" t="str">
        <f t="shared" si="45"/>
        <v>Unique</v>
      </c>
      <c r="AO368" s="9" t="str">
        <f t="shared" si="46"/>
        <v/>
      </c>
      <c r="AP368" s="9">
        <f t="shared" si="47"/>
        <v>0</v>
      </c>
      <c r="AQ368" s="10">
        <f t="shared" si="48"/>
        <v>8836.56</v>
      </c>
      <c r="AR368" s="10">
        <f t="shared" si="49"/>
        <v>2968.8099999999995</v>
      </c>
      <c r="AS368" s="11">
        <f t="shared" si="50"/>
        <v>0.33596897435201023</v>
      </c>
      <c r="AT368" s="9">
        <f t="shared" si="51"/>
        <v>1</v>
      </c>
      <c r="AU368" s="9">
        <f t="shared" si="52"/>
        <v>2025</v>
      </c>
      <c r="AV368" s="9" t="b">
        <f t="shared" si="53"/>
        <v>0</v>
      </c>
      <c r="AW368" s="9" t="b">
        <f t="shared" si="54"/>
        <v>0</v>
      </c>
      <c r="AX368" s="9" t="str">
        <f t="shared" si="55"/>
        <v>Yes</v>
      </c>
      <c r="AY368" s="9" t="str">
        <f t="shared" si="59"/>
        <v/>
      </c>
      <c r="AZ368" s="9" t="str">
        <f>IF(OR(G368="Missing date",G368="Invalid date",G368="Ship date before order date",NOT(ISNUMBER(AP368)),AP368&lt;0,AP368&gt;0.5,AV368=TRUE,AW368=TRUE),"Invalid",IF(OR(O368="Unknown",Z368="Unknown",AC368="",AH368&lt;&gt;"Paid",AJ368&lt;&gt;"Completed",AO368&lt;&gt;""),"Warning","Clean"))</f>
        <v>Clean</v>
      </c>
    </row>
    <row r="369" spans="1:52" ht="15.75" customHeight="1">
      <c r="A369" s="6" t="s">
        <v>1927</v>
      </c>
      <c r="B369" s="7" t="s">
        <v>1060</v>
      </c>
      <c r="C369" s="7" t="str">
        <f t="shared" si="58"/>
        <v>2024-03</v>
      </c>
      <c r="D369" s="7" cm="1">
        <f t="array" ref="D369">_xlfn.LET(_xlpm.x,B369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45366</v>
      </c>
      <c r="E369" s="7" t="s">
        <v>1928</v>
      </c>
      <c r="F369" s="7" cm="1">
        <f t="array" ref="F369">_xlfn.LET(_xlpm.x,E369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45367</v>
      </c>
      <c r="G369" s="8" t="str">
        <f t="shared" si="32"/>
        <v>OK</v>
      </c>
      <c r="H369" s="6">
        <f t="shared" si="33"/>
        <v>1</v>
      </c>
      <c r="I369" s="6" t="s">
        <v>1929</v>
      </c>
      <c r="J369" s="6" t="s">
        <v>257</v>
      </c>
      <c r="K369" s="6" t="str">
        <f t="shared" si="34"/>
        <v>Rohan Mehta</v>
      </c>
      <c r="L369" s="6" t="s">
        <v>43</v>
      </c>
      <c r="M369" s="8" t="str">
        <f t="shared" si="35"/>
        <v>Consumer</v>
      </c>
      <c r="N369" s="6" t="s">
        <v>7</v>
      </c>
      <c r="O369" s="6" t="str">
        <f t="shared" si="36"/>
        <v>North</v>
      </c>
      <c r="P369" s="6" t="s">
        <v>583</v>
      </c>
      <c r="Q369" s="6" t="str">
        <f t="shared" si="37"/>
        <v>Delhi</v>
      </c>
      <c r="R369" s="6" t="s">
        <v>584</v>
      </c>
      <c r="S369" s="6" t="str">
        <f t="shared" si="38"/>
        <v>New Delhi</v>
      </c>
      <c r="T369" s="6" t="s">
        <v>20</v>
      </c>
      <c r="U369" s="8" t="str">
        <f t="shared" si="39"/>
        <v>Office Supplies</v>
      </c>
      <c r="V369" s="6" t="s">
        <v>21</v>
      </c>
      <c r="W369" s="6" t="str">
        <f t="shared" si="40"/>
        <v>Art</v>
      </c>
      <c r="X369" s="6" t="s">
        <v>1930</v>
      </c>
      <c r="Y369" s="6" t="s">
        <v>34</v>
      </c>
      <c r="Z369" s="6" t="str">
        <f t="shared" si="41"/>
        <v>Standard Class</v>
      </c>
      <c r="AA369" s="6">
        <v>6</v>
      </c>
      <c r="AB369" s="6">
        <v>3815.09</v>
      </c>
      <c r="AC369" s="6">
        <v>0.15</v>
      </c>
      <c r="AD369" s="6">
        <v>19456.96</v>
      </c>
      <c r="AE369" s="6">
        <v>14520.06</v>
      </c>
      <c r="AF369" s="6">
        <v>4936.8999999999996</v>
      </c>
      <c r="AG369" s="6" t="s">
        <v>50</v>
      </c>
      <c r="AH369" s="6" t="str">
        <f t="shared" si="42"/>
        <v>Failed</v>
      </c>
      <c r="AI369" s="6" t="s">
        <v>58</v>
      </c>
      <c r="AJ369" s="6" t="str">
        <f t="shared" si="43"/>
        <v>Cancelled</v>
      </c>
      <c r="AK369" s="9" t="str">
        <f>_xlfn.TEXTJOIN("|",FALSE,A369,TEXT(B369,"mm-dd-yyyy"),TEXT(E369,"mm-dd-yyyy"),I369,J369,L369,N369,P369,R369,T369,V369,X369,Y369,AA369,AB369,AC369,AD369,AE369,AF369,AG369,AI369)</f>
        <v>ORD-2024-10368|03-15-2024|03-16-2024|CUST-4696|Rohan Mehta|Consumer|North|Delhi|New Delhi|Office Supplies|Art|Eco Art 646|Standard Class|6|3815.09|0.15|19456.96|14520.06|4936.9|Failed|Cancelled</v>
      </c>
      <c r="AL369" s="27" t="str">
        <f>IF(COUNTIF($AK$2:AK369,AK369)&gt;1,"Remove exact duplicate copy","Keep")</f>
        <v>Keep</v>
      </c>
      <c r="AM369" s="9">
        <f t="shared" si="44"/>
        <v>1</v>
      </c>
      <c r="AN369" s="9" t="str">
        <f t="shared" si="45"/>
        <v>Unique</v>
      </c>
      <c r="AO369" s="9" t="str">
        <f t="shared" si="46"/>
        <v/>
      </c>
      <c r="AP369" s="9">
        <f t="shared" si="47"/>
        <v>0.15</v>
      </c>
      <c r="AQ369" s="10">
        <f t="shared" si="48"/>
        <v>19456.958999999999</v>
      </c>
      <c r="AR369" s="10">
        <f t="shared" si="49"/>
        <v>4936.8989999999994</v>
      </c>
      <c r="AS369" s="11">
        <f t="shared" si="50"/>
        <v>0.25373435797443988</v>
      </c>
      <c r="AT369" s="9">
        <f t="shared" si="51"/>
        <v>3</v>
      </c>
      <c r="AU369" s="9">
        <f t="shared" si="52"/>
        <v>2024</v>
      </c>
      <c r="AV369" s="9" t="b">
        <f t="shared" si="53"/>
        <v>0</v>
      </c>
      <c r="AW369" s="9" t="b">
        <f t="shared" si="54"/>
        <v>0</v>
      </c>
      <c r="AX369" s="9" t="str">
        <f t="shared" si="55"/>
        <v>No</v>
      </c>
      <c r="AY369" s="9" t="str">
        <f t="shared" si="59"/>
        <v>Failed payment excluded; Cancelled order excluded</v>
      </c>
      <c r="AZ369" s="9" t="str">
        <f>IF(OR(G369="Missing date",G369="Invalid date",G369="Ship date before order date",NOT(ISNUMBER(AP369)),AP369&lt;0,AP369&gt;0.5,AV369=TRUE,AW369=TRUE),"Invalid",IF(OR(O369="Unknown",Z369="Unknown",AC369="",AH369&lt;&gt;"Paid",AJ369&lt;&gt;"Completed",AO369&lt;&gt;""),"Warning","Clean"))</f>
        <v>Warning</v>
      </c>
    </row>
    <row r="370" spans="1:52" ht="15.75" customHeight="1">
      <c r="A370" s="6" t="s">
        <v>1931</v>
      </c>
      <c r="B370" s="7" t="s">
        <v>1357</v>
      </c>
      <c r="C370" s="7" t="str">
        <f t="shared" si="58"/>
        <v>2025-07</v>
      </c>
      <c r="D370" s="7" cm="1">
        <f t="array" ref="D370">_xlfn.LET(_xlpm.x,B370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45844</v>
      </c>
      <c r="E370" s="7" t="s">
        <v>1357</v>
      </c>
      <c r="F370" s="7" cm="1">
        <f t="array" ref="F370">_xlfn.LET(_xlpm.x,E370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45844</v>
      </c>
      <c r="G370" s="8" t="str">
        <f t="shared" si="32"/>
        <v>OK</v>
      </c>
      <c r="H370" s="6">
        <f t="shared" si="33"/>
        <v>0</v>
      </c>
      <c r="I370" s="6" t="s">
        <v>1932</v>
      </c>
      <c r="J370" s="6" t="s">
        <v>239</v>
      </c>
      <c r="K370" s="6" t="str">
        <f t="shared" si="34"/>
        <v>Aarav Sharma</v>
      </c>
      <c r="L370" s="6" t="s">
        <v>44</v>
      </c>
      <c r="M370" s="8" t="str">
        <f t="shared" si="35"/>
        <v>Home Office</v>
      </c>
      <c r="N370" s="6" t="s">
        <v>7</v>
      </c>
      <c r="O370" s="6" t="str">
        <f t="shared" si="36"/>
        <v>North</v>
      </c>
      <c r="P370" s="6" t="s">
        <v>131</v>
      </c>
      <c r="Q370" s="6" t="str">
        <f t="shared" si="37"/>
        <v>Rajasthan</v>
      </c>
      <c r="R370" s="6" t="s">
        <v>132</v>
      </c>
      <c r="S370" s="6" t="str">
        <f t="shared" si="38"/>
        <v>Jaipur</v>
      </c>
      <c r="T370" s="6" t="s">
        <v>27</v>
      </c>
      <c r="U370" s="8" t="str">
        <f t="shared" si="39"/>
        <v>Technology</v>
      </c>
      <c r="V370" s="6" t="s">
        <v>28</v>
      </c>
      <c r="W370" s="6" t="str">
        <f t="shared" si="40"/>
        <v>Accessories</v>
      </c>
      <c r="X370" s="6" t="s">
        <v>1933</v>
      </c>
      <c r="Y370" s="6" t="s">
        <v>37</v>
      </c>
      <c r="Z370" s="6" t="str">
        <f t="shared" si="41"/>
        <v>Same Day</v>
      </c>
      <c r="AA370" s="6">
        <v>9</v>
      </c>
      <c r="AB370" s="6">
        <v>243.19</v>
      </c>
      <c r="AC370" s="6">
        <v>0.05</v>
      </c>
      <c r="AD370" s="6">
        <v>2079.27</v>
      </c>
      <c r="AE370" s="6">
        <v>1512.17</v>
      </c>
      <c r="AF370" s="6">
        <v>567.1</v>
      </c>
      <c r="AG370" s="6" t="s">
        <v>56</v>
      </c>
      <c r="AH370" s="6" t="str">
        <f t="shared" si="42"/>
        <v>Refunded</v>
      </c>
      <c r="AI370" s="6" t="s">
        <v>59</v>
      </c>
      <c r="AJ370" s="6" t="str">
        <f t="shared" si="43"/>
        <v>Returned</v>
      </c>
      <c r="AK370" s="9" t="str">
        <f>_xlfn.TEXTJOIN("|",FALSE,A370,TEXT(B370,"mm-dd-yyyy"),TEXT(E370,"mm-dd-yyyy"),I370,J370,L370,N370,P370,R370,T370,V370,X370,Y370,AA370,AB370,AC370,AD370,AE370,AF370,AG370,AI370)</f>
        <v>ORD-2025-10369|06-07-2025|06-07-2025|CUST-8246|Aarav Sharma|Home Office|North|Rajasthan|Jaipur|Technology|Accessories|Prime Accessories 962|Same Day|9|243.19|0.05|2079.27|1512.17|567.1|Refunded|Returned</v>
      </c>
      <c r="AL370" s="27" t="str">
        <f>IF(COUNTIF($AK$2:AK370,AK370)&gt;1,"Remove exact duplicate copy","Keep")</f>
        <v>Keep</v>
      </c>
      <c r="AM370" s="9">
        <f t="shared" si="44"/>
        <v>1</v>
      </c>
      <c r="AN370" s="9" t="str">
        <f t="shared" si="45"/>
        <v>Unique</v>
      </c>
      <c r="AO370" s="9" t="str">
        <f t="shared" si="46"/>
        <v/>
      </c>
      <c r="AP370" s="9">
        <f t="shared" si="47"/>
        <v>0.05</v>
      </c>
      <c r="AQ370" s="10">
        <f t="shared" si="48"/>
        <v>2079.2745</v>
      </c>
      <c r="AR370" s="10">
        <f t="shared" si="49"/>
        <v>567.10449999999992</v>
      </c>
      <c r="AS370" s="11">
        <f t="shared" si="50"/>
        <v>0.27274152595051782</v>
      </c>
      <c r="AT370" s="9">
        <f t="shared" si="51"/>
        <v>7</v>
      </c>
      <c r="AU370" s="9">
        <f t="shared" si="52"/>
        <v>2025</v>
      </c>
      <c r="AV370" s="9" t="b">
        <f t="shared" si="53"/>
        <v>0</v>
      </c>
      <c r="AW370" s="9" t="b">
        <f t="shared" si="54"/>
        <v>0</v>
      </c>
      <c r="AX370" s="9" t="str">
        <f t="shared" si="55"/>
        <v>No</v>
      </c>
      <c r="AY370" s="9" t="str">
        <f t="shared" si="59"/>
        <v>Refunded order summarized separately; Returned order excluded</v>
      </c>
      <c r="AZ370" s="9" t="str">
        <f>IF(OR(G370="Missing date",G370="Invalid date",G370="Ship date before order date",NOT(ISNUMBER(AP370)),AP370&lt;0,AP370&gt;0.5,AV370=TRUE,AW370=TRUE),"Invalid",IF(OR(O370="Unknown",Z370="Unknown",AC370="",AH370&lt;&gt;"Paid",AJ370&lt;&gt;"Completed",AO370&lt;&gt;""),"Warning","Clean"))</f>
        <v>Warning</v>
      </c>
    </row>
    <row r="371" spans="1:52" ht="15.75" customHeight="1">
      <c r="A371" s="6" t="s">
        <v>1934</v>
      </c>
      <c r="B371" s="7" t="s">
        <v>1618</v>
      </c>
      <c r="C371" s="7" t="str">
        <f t="shared" si="58"/>
        <v>2025-01</v>
      </c>
      <c r="D371" s="7" cm="1">
        <f t="array" ref="D371">_xlfn.LET(_xlpm.x,B371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45680</v>
      </c>
      <c r="E371" s="7" t="s">
        <v>268</v>
      </c>
      <c r="F371" s="7" cm="1">
        <f t="array" ref="F371">_xlfn.LET(_xlpm.x,E371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45687</v>
      </c>
      <c r="G371" s="8" t="str">
        <f t="shared" si="32"/>
        <v>OK</v>
      </c>
      <c r="H371" s="6">
        <f t="shared" si="33"/>
        <v>7</v>
      </c>
      <c r="I371" s="6" t="s">
        <v>1935</v>
      </c>
      <c r="J371" s="6" t="s">
        <v>220</v>
      </c>
      <c r="K371" s="6" t="str">
        <f t="shared" si="34"/>
        <v>Priya Menon</v>
      </c>
      <c r="L371" s="6" t="s">
        <v>43</v>
      </c>
      <c r="M371" s="8" t="str">
        <f t="shared" si="35"/>
        <v>Consumer</v>
      </c>
      <c r="N371" s="6" t="s">
        <v>7</v>
      </c>
      <c r="O371" s="6" t="str">
        <f t="shared" si="36"/>
        <v>North</v>
      </c>
      <c r="P371" s="6" t="s">
        <v>583</v>
      </c>
      <c r="Q371" s="6" t="str">
        <f t="shared" si="37"/>
        <v>Delhi</v>
      </c>
      <c r="R371" s="6" t="s">
        <v>584</v>
      </c>
      <c r="S371" s="6" t="str">
        <f t="shared" si="38"/>
        <v>New Delhi</v>
      </c>
      <c r="T371" s="6" t="s">
        <v>20</v>
      </c>
      <c r="U371" s="8" t="str">
        <f t="shared" si="39"/>
        <v>Office Supplies</v>
      </c>
      <c r="V371" s="6" t="s">
        <v>23</v>
      </c>
      <c r="W371" s="6" t="str">
        <f t="shared" si="40"/>
        <v>Labels</v>
      </c>
      <c r="X371" s="6" t="s">
        <v>1936</v>
      </c>
      <c r="Y371" s="6" t="s">
        <v>34</v>
      </c>
      <c r="Z371" s="6" t="str">
        <f t="shared" si="41"/>
        <v>Standard Class</v>
      </c>
      <c r="AA371" s="6">
        <v>9</v>
      </c>
      <c r="AB371" s="6">
        <v>1169.3699999999999</v>
      </c>
      <c r="AC371" s="6">
        <v>0.15</v>
      </c>
      <c r="AD371" s="6">
        <v>8945.68</v>
      </c>
      <c r="AE371" s="6">
        <v>6740.35</v>
      </c>
      <c r="AF371" s="6">
        <v>2205.33</v>
      </c>
      <c r="AG371" s="6" t="s">
        <v>52</v>
      </c>
      <c r="AH371" s="6" t="str">
        <f t="shared" si="42"/>
        <v>Paid</v>
      </c>
      <c r="AI371" s="6" t="s">
        <v>134</v>
      </c>
      <c r="AJ371" s="6" t="str">
        <f t="shared" si="43"/>
        <v>Completed</v>
      </c>
      <c r="AK371" s="9" t="str">
        <f>_xlfn.TEXTJOIN("|",FALSE,A371,TEXT(B371,"mm-dd-yyyy"),TEXT(E371,"mm-dd-yyyy"),I371,J371,L371,N371,P371,R371,T371,V371,X371,Y371,AA371,AB371,AC371,AD371,AE371,AF371,AG371,AI371)</f>
        <v>ORD-2025-10370|23-01-2025|01-30-2025|CUST-5672|Priya Menon|Consumer|North|Delhi|New Delhi|Office Supplies|Labels|Eco Labels 646|Standard Class|9|1169.37|0.15|8945.68|6740.35|2205.33|Paid|Completed</v>
      </c>
      <c r="AL371" s="27" t="str">
        <f>IF(COUNTIF($AK$2:AK371,AK371)&gt;1,"Remove exact duplicate copy","Keep")</f>
        <v>Keep</v>
      </c>
      <c r="AM371" s="9">
        <f t="shared" si="44"/>
        <v>1</v>
      </c>
      <c r="AN371" s="9" t="str">
        <f t="shared" si="45"/>
        <v>Unique</v>
      </c>
      <c r="AO371" s="9" t="str">
        <f t="shared" si="46"/>
        <v/>
      </c>
      <c r="AP371" s="9">
        <f t="shared" si="47"/>
        <v>0.15</v>
      </c>
      <c r="AQ371" s="10">
        <f t="shared" si="48"/>
        <v>8945.6804999999986</v>
      </c>
      <c r="AR371" s="10">
        <f t="shared" si="49"/>
        <v>2205.3304999999982</v>
      </c>
      <c r="AS371" s="11">
        <f t="shared" si="50"/>
        <v>0.24652462157574245</v>
      </c>
      <c r="AT371" s="9">
        <f t="shared" si="51"/>
        <v>1</v>
      </c>
      <c r="AU371" s="9">
        <f t="shared" si="52"/>
        <v>2025</v>
      </c>
      <c r="AV371" s="9" t="b">
        <f t="shared" si="53"/>
        <v>0</v>
      </c>
      <c r="AW371" s="9" t="b">
        <f t="shared" si="54"/>
        <v>0</v>
      </c>
      <c r="AX371" s="9" t="str">
        <f t="shared" si="55"/>
        <v>Yes</v>
      </c>
      <c r="AY371" s="9" t="str">
        <f t="shared" si="59"/>
        <v/>
      </c>
      <c r="AZ371" s="9" t="str">
        <f>IF(OR(G371="Missing date",G371="Invalid date",G371="Ship date before order date",NOT(ISNUMBER(AP371)),AP371&lt;0,AP371&gt;0.5,AV371=TRUE,AW371=TRUE),"Invalid",IF(OR(O371="Unknown",Z371="Unknown",AC371="",AH371&lt;&gt;"Paid",AJ371&lt;&gt;"Completed",AO371&lt;&gt;""),"Warning","Clean"))</f>
        <v>Clean</v>
      </c>
    </row>
    <row r="372" spans="1:52" ht="15.75" customHeight="1">
      <c r="A372" s="6" t="s">
        <v>1937</v>
      </c>
      <c r="B372" s="7" t="s">
        <v>1938</v>
      </c>
      <c r="C372" s="7" t="str">
        <f t="shared" si="58"/>
        <v>2024-08</v>
      </c>
      <c r="D372" s="7" cm="1">
        <f t="array" ref="D372">_xlfn.LET(_xlpm.x,B372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45519</v>
      </c>
      <c r="E372" s="7" t="s">
        <v>1713</v>
      </c>
      <c r="F372" s="7" cm="1">
        <f t="array" ref="F372">_xlfn.LET(_xlpm.x,E372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45525</v>
      </c>
      <c r="G372" s="8" t="str">
        <f t="shared" si="32"/>
        <v>OK</v>
      </c>
      <c r="H372" s="6">
        <f t="shared" si="33"/>
        <v>6</v>
      </c>
      <c r="I372" s="6" t="s">
        <v>1939</v>
      </c>
      <c r="J372" s="6" t="s">
        <v>161</v>
      </c>
      <c r="K372" s="6" t="str">
        <f t="shared" si="34"/>
        <v>Ananya Rao</v>
      </c>
      <c r="L372" s="6" t="s">
        <v>46</v>
      </c>
      <c r="M372" s="8" t="str">
        <f t="shared" si="35"/>
        <v>Small Business</v>
      </c>
      <c r="N372" s="6" t="s">
        <v>9</v>
      </c>
      <c r="O372" s="6" t="str">
        <f t="shared" si="36"/>
        <v>West</v>
      </c>
      <c r="P372" s="6" t="s">
        <v>131</v>
      </c>
      <c r="Q372" s="6" t="str">
        <f t="shared" si="37"/>
        <v>Rajasthan</v>
      </c>
      <c r="R372" s="6" t="s">
        <v>214</v>
      </c>
      <c r="S372" s="6" t="str">
        <f t="shared" si="38"/>
        <v>Udaipur</v>
      </c>
      <c r="T372" s="6" t="s">
        <v>27</v>
      </c>
      <c r="U372" s="8" t="str">
        <f t="shared" si="39"/>
        <v>Technology</v>
      </c>
      <c r="V372" s="6" t="s">
        <v>29</v>
      </c>
      <c r="W372" s="6" t="str">
        <f t="shared" si="40"/>
        <v>Copiers</v>
      </c>
      <c r="X372" s="6" t="s">
        <v>1940</v>
      </c>
      <c r="Y372" s="6" t="s">
        <v>35</v>
      </c>
      <c r="Z372" s="6" t="str">
        <f t="shared" si="41"/>
        <v>First Class</v>
      </c>
      <c r="AA372" s="6">
        <v>7</v>
      </c>
      <c r="AB372" s="6">
        <v>2333.81</v>
      </c>
      <c r="AC372" s="6">
        <v>0.2</v>
      </c>
      <c r="AD372" s="6">
        <v>13069.34</v>
      </c>
      <c r="AE372" s="6">
        <v>8768.59</v>
      </c>
      <c r="AF372" s="6">
        <v>4300.75</v>
      </c>
      <c r="AG372" s="6" t="s">
        <v>52</v>
      </c>
      <c r="AH372" s="6" t="str">
        <f t="shared" si="42"/>
        <v>Paid</v>
      </c>
      <c r="AI372" s="6" t="s">
        <v>134</v>
      </c>
      <c r="AJ372" s="6" t="str">
        <f t="shared" si="43"/>
        <v>Completed</v>
      </c>
      <c r="AK372" s="9" t="str">
        <f>_xlfn.TEXTJOIN("|",FALSE,A372,TEXT(B372,"mm-dd-yyyy"),TEXT(E372,"mm-dd-yyyy"),I372,J372,L372,N372,P372,R372,T372,V372,X372,Y372,AA372,AB372,AC372,AD372,AE372,AF372,AG372,AI372)</f>
        <v>ORD-2024-10371|08-15-2024|08-21-2024|CUST-8521|Ananya Rao|Small Business|West|Rajasthan|Udaipur|Technology|Copiers|Classic Copiers 505|First Class|7|2333.81|0.2|13069.34|8768.59|4300.75|Paid|Completed</v>
      </c>
      <c r="AL372" s="27" t="str">
        <f>IF(COUNTIF($AK$2:AK372,AK372)&gt;1,"Remove exact duplicate copy","Keep")</f>
        <v>Keep</v>
      </c>
      <c r="AM372" s="9">
        <f t="shared" si="44"/>
        <v>1</v>
      </c>
      <c r="AN372" s="9" t="str">
        <f t="shared" si="45"/>
        <v>Unique</v>
      </c>
      <c r="AO372" s="9" t="str">
        <f t="shared" si="46"/>
        <v/>
      </c>
      <c r="AP372" s="9">
        <f t="shared" si="47"/>
        <v>0.2</v>
      </c>
      <c r="AQ372" s="10">
        <f t="shared" si="48"/>
        <v>13069.336000000001</v>
      </c>
      <c r="AR372" s="10">
        <f t="shared" si="49"/>
        <v>4300.746000000001</v>
      </c>
      <c r="AS372" s="11">
        <f t="shared" si="50"/>
        <v>0.32907149988339124</v>
      </c>
      <c r="AT372" s="9">
        <f t="shared" si="51"/>
        <v>8</v>
      </c>
      <c r="AU372" s="9">
        <f t="shared" si="52"/>
        <v>2024</v>
      </c>
      <c r="AV372" s="9" t="b">
        <f t="shared" si="53"/>
        <v>0</v>
      </c>
      <c r="AW372" s="9" t="b">
        <f t="shared" si="54"/>
        <v>0</v>
      </c>
      <c r="AX372" s="9" t="str">
        <f t="shared" si="55"/>
        <v>Yes</v>
      </c>
      <c r="AY372" s="9" t="str">
        <f t="shared" si="59"/>
        <v/>
      </c>
      <c r="AZ372" s="9" t="str">
        <f>IF(OR(G372="Missing date",G372="Invalid date",G372="Ship date before order date",NOT(ISNUMBER(AP372)),AP372&lt;0,AP372&gt;0.5,AV372=TRUE,AW372=TRUE),"Invalid",IF(OR(O372="Unknown",Z372="Unknown",AC372="",AH372&lt;&gt;"Paid",AJ372&lt;&gt;"Completed",AO372&lt;&gt;""),"Warning","Clean"))</f>
        <v>Clean</v>
      </c>
    </row>
    <row r="373" spans="1:52" ht="15.75" customHeight="1">
      <c r="A373" s="6" t="s">
        <v>1941</v>
      </c>
      <c r="B373" s="7" t="s">
        <v>1141</v>
      </c>
      <c r="C373" s="7" t="str">
        <f t="shared" si="58"/>
        <v>2024-01</v>
      </c>
      <c r="D373" s="7" cm="1">
        <f t="array" ref="D373">_xlfn.LET(_xlpm.x,B373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45313</v>
      </c>
      <c r="E373" s="7" t="s">
        <v>1942</v>
      </c>
      <c r="F373" s="7" cm="1">
        <f t="array" ref="F373">_xlfn.LET(_xlpm.x,E373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45315</v>
      </c>
      <c r="G373" s="8" t="str">
        <f t="shared" si="32"/>
        <v>OK</v>
      </c>
      <c r="H373" s="6">
        <f t="shared" si="33"/>
        <v>2</v>
      </c>
      <c r="I373" s="6" t="s">
        <v>1943</v>
      </c>
      <c r="J373" s="6" t="s">
        <v>284</v>
      </c>
      <c r="K373" s="6" t="str">
        <f t="shared" si="34"/>
        <v>Diya Patel</v>
      </c>
      <c r="L373" s="6" t="s">
        <v>44</v>
      </c>
      <c r="M373" s="8" t="str">
        <f t="shared" si="35"/>
        <v>Home Office</v>
      </c>
      <c r="N373" s="6" t="s">
        <v>9</v>
      </c>
      <c r="O373" s="6" t="str">
        <f t="shared" si="36"/>
        <v>West</v>
      </c>
      <c r="P373" s="6" t="s">
        <v>162</v>
      </c>
      <c r="Q373" s="6" t="str">
        <f t="shared" si="37"/>
        <v>Maharashtra</v>
      </c>
      <c r="R373" s="6" t="s">
        <v>163</v>
      </c>
      <c r="S373" s="6" t="str">
        <f t="shared" si="38"/>
        <v>Mumbai</v>
      </c>
      <c r="T373" s="6" t="s">
        <v>20</v>
      </c>
      <c r="U373" s="8" t="str">
        <f t="shared" si="39"/>
        <v>Office Supplies</v>
      </c>
      <c r="V373" s="6" t="s">
        <v>21</v>
      </c>
      <c r="W373" s="6" t="str">
        <f t="shared" si="40"/>
        <v>Art</v>
      </c>
      <c r="X373" s="6" t="s">
        <v>1944</v>
      </c>
      <c r="Y373" s="6" t="s">
        <v>34</v>
      </c>
      <c r="Z373" s="6" t="str">
        <f t="shared" si="41"/>
        <v>Standard Class</v>
      </c>
      <c r="AA373" s="6">
        <v>6</v>
      </c>
      <c r="AB373" s="6">
        <v>1026.06</v>
      </c>
      <c r="AC373" s="6"/>
      <c r="AD373" s="6">
        <v>4617.2700000000004</v>
      </c>
      <c r="AE373" s="6">
        <v>2981.94</v>
      </c>
      <c r="AF373" s="6">
        <v>1635.33</v>
      </c>
      <c r="AG373" s="6" t="s">
        <v>56</v>
      </c>
      <c r="AH373" s="6" t="str">
        <f t="shared" si="42"/>
        <v>Refunded</v>
      </c>
      <c r="AI373" s="6" t="s">
        <v>58</v>
      </c>
      <c r="AJ373" s="6" t="str">
        <f t="shared" si="43"/>
        <v>Cancelled</v>
      </c>
      <c r="AK373" s="9" t="str">
        <f>_xlfn.TEXTJOIN("|",FALSE,A373,TEXT(B373,"mm-dd-yyyy"),TEXT(E373,"mm-dd-yyyy"),I373,J373,L373,N373,P373,R373,T373,V373,X373,Y373,AA373,AB373,AC373,AD373,AE373,AF373,AG373,AI373)</f>
        <v>ORD-2024-10372|22-01-2024|01-24-2024|CUST-2204|Diya Patel|Home Office|West|Maharashtra|Mumbai|Office Supplies|Art|Pro Art 906|Standard Class|6|1026.06||4617.27|2981.94|1635.33|Refunded|Cancelled</v>
      </c>
      <c r="AL373" s="27" t="str">
        <f>IF(COUNTIF($AK$2:AK373,AK373)&gt;1,"Remove exact duplicate copy","Keep")</f>
        <v>Keep</v>
      </c>
      <c r="AM373" s="9">
        <f t="shared" si="44"/>
        <v>1</v>
      </c>
      <c r="AN373" s="9" t="str">
        <f t="shared" si="45"/>
        <v>Unique</v>
      </c>
      <c r="AO373" s="9" t="str">
        <f t="shared" si="46"/>
        <v/>
      </c>
      <c r="AP373" s="9">
        <f t="shared" si="47"/>
        <v>0</v>
      </c>
      <c r="AQ373" s="10">
        <f t="shared" si="48"/>
        <v>6156.36</v>
      </c>
      <c r="AR373" s="10">
        <f t="shared" si="49"/>
        <v>3174.4199999999996</v>
      </c>
      <c r="AS373" s="11">
        <f t="shared" si="50"/>
        <v>0.51563261407714944</v>
      </c>
      <c r="AT373" s="9">
        <f t="shared" si="51"/>
        <v>1</v>
      </c>
      <c r="AU373" s="9">
        <f t="shared" si="52"/>
        <v>2024</v>
      </c>
      <c r="AV373" s="9" t="b">
        <f t="shared" si="53"/>
        <v>1</v>
      </c>
      <c r="AW373" s="9" t="b">
        <f t="shared" si="54"/>
        <v>1</v>
      </c>
      <c r="AX373" s="9" t="str">
        <f t="shared" si="55"/>
        <v>No</v>
      </c>
      <c r="AY373" s="9" t="str">
        <f t="shared" si="59"/>
        <v>Missing discount treated as 0; Refunded order summarized separately; Cancelled order excluded; Sales mismatch; Profit mismatch</v>
      </c>
      <c r="AZ373" s="9" t="str">
        <f>IF(OR(G373="Missing date",G373="Invalid date",G373="Ship date before order date",NOT(ISNUMBER(AP373)),AP373&lt;0,AP373&gt;0.5,AV373=TRUE,AW373=TRUE),"Invalid",IF(OR(O373="Unknown",Z373="Unknown",AC373="",AH373&lt;&gt;"Paid",AJ373&lt;&gt;"Completed",AO373&lt;&gt;""),"Warning","Clean"))</f>
        <v>Invalid</v>
      </c>
    </row>
    <row r="374" spans="1:52" ht="15.75" customHeight="1">
      <c r="A374" s="6" t="s">
        <v>1945</v>
      </c>
      <c r="B374" s="7" t="s">
        <v>1946</v>
      </c>
      <c r="C374" s="7" t="str">
        <f t="shared" si="58"/>
        <v>2025-08</v>
      </c>
      <c r="D374" s="7" cm="1">
        <f t="array" ref="D374">_xlfn.LET(_xlpm.x,B374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45885</v>
      </c>
      <c r="E374" s="7" t="s">
        <v>1003</v>
      </c>
      <c r="F374" s="7" cm="1">
        <f t="array" ref="F374">_xlfn.LET(_xlpm.x,E374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45887</v>
      </c>
      <c r="G374" s="8" t="str">
        <f t="shared" si="32"/>
        <v>OK</v>
      </c>
      <c r="H374" s="6">
        <f t="shared" si="33"/>
        <v>2</v>
      </c>
      <c r="I374" s="6" t="s">
        <v>1052</v>
      </c>
      <c r="J374" s="6" t="s">
        <v>442</v>
      </c>
      <c r="K374" s="6" t="str">
        <f t="shared" si="34"/>
        <v>Kabir Singh</v>
      </c>
      <c r="L374" s="6" t="s">
        <v>43</v>
      </c>
      <c r="M374" s="8" t="str">
        <f t="shared" si="35"/>
        <v>Consumer</v>
      </c>
      <c r="N374" s="6" t="s">
        <v>8</v>
      </c>
      <c r="O374" s="6" t="str">
        <f t="shared" si="36"/>
        <v>East</v>
      </c>
      <c r="P374" s="6" t="s">
        <v>385</v>
      </c>
      <c r="Q374" s="6" t="str">
        <f t="shared" si="37"/>
        <v>Jharkhand</v>
      </c>
      <c r="R374" s="6" t="s">
        <v>386</v>
      </c>
      <c r="S374" s="6" t="str">
        <f t="shared" si="38"/>
        <v>Ranchi</v>
      </c>
      <c r="T374" s="6" t="s">
        <v>14</v>
      </c>
      <c r="U374" s="8" t="str">
        <f t="shared" si="39"/>
        <v>Furniture</v>
      </c>
      <c r="V374" s="6" t="s">
        <v>16</v>
      </c>
      <c r="W374" s="6" t="str">
        <f t="shared" si="40"/>
        <v>Chairs</v>
      </c>
      <c r="X374" s="6" t="s">
        <v>1947</v>
      </c>
      <c r="Y374" s="6" t="s">
        <v>37</v>
      </c>
      <c r="Z374" s="6" t="str">
        <f t="shared" si="41"/>
        <v>Same Day</v>
      </c>
      <c r="AA374" s="6">
        <v>5</v>
      </c>
      <c r="AB374" s="6">
        <v>1530.36</v>
      </c>
      <c r="AC374" s="6">
        <v>0</v>
      </c>
      <c r="AD374" s="6">
        <v>7651.8</v>
      </c>
      <c r="AE374" s="6">
        <v>5171.78</v>
      </c>
      <c r="AF374" s="6">
        <v>2480.02</v>
      </c>
      <c r="AG374" s="6" t="s">
        <v>52</v>
      </c>
      <c r="AH374" s="6" t="str">
        <f t="shared" si="42"/>
        <v>Paid</v>
      </c>
      <c r="AI374" s="6" t="s">
        <v>134</v>
      </c>
      <c r="AJ374" s="6" t="str">
        <f t="shared" si="43"/>
        <v>Completed</v>
      </c>
      <c r="AK374" s="9" t="str">
        <f>_xlfn.TEXTJOIN("|",FALSE,A374,TEXT(B374,"mm-dd-yyyy"),TEXT(E374,"mm-dd-yyyy"),I374,J374,L374,N374,P374,R374,T374,V374,X374,Y374,AA374,AB374,AC374,AD374,AE374,AF374,AG374,AI374)</f>
        <v>ORD-2025-10373|08-16-2025|08-18-2025|CUST-4399|Kabir Singh|Consumer|East|Jharkhand|Ranchi|Furniture|Chairs|Max Chairs 181|Same Day|5|1530.36|0|7651.8|5171.78|2480.02|Paid|Completed</v>
      </c>
      <c r="AL374" s="27" t="str">
        <f>IF(COUNTIF($AK$2:AK374,AK374)&gt;1,"Remove exact duplicate copy","Keep")</f>
        <v>Keep</v>
      </c>
      <c r="AM374" s="9">
        <f t="shared" si="44"/>
        <v>1</v>
      </c>
      <c r="AN374" s="9" t="str">
        <f t="shared" si="45"/>
        <v>Unique</v>
      </c>
      <c r="AO374" s="9" t="str">
        <f t="shared" si="46"/>
        <v/>
      </c>
      <c r="AP374" s="9">
        <f t="shared" si="47"/>
        <v>0</v>
      </c>
      <c r="AQ374" s="10">
        <f t="shared" si="48"/>
        <v>7651.7999999999993</v>
      </c>
      <c r="AR374" s="10">
        <f t="shared" si="49"/>
        <v>2480.0199999999995</v>
      </c>
      <c r="AS374" s="11">
        <f t="shared" si="50"/>
        <v>0.32410935988917638</v>
      </c>
      <c r="AT374" s="9">
        <f t="shared" si="51"/>
        <v>8</v>
      </c>
      <c r="AU374" s="9">
        <f t="shared" si="52"/>
        <v>2025</v>
      </c>
      <c r="AV374" s="9" t="b">
        <f t="shared" si="53"/>
        <v>0</v>
      </c>
      <c r="AW374" s="9" t="b">
        <f t="shared" si="54"/>
        <v>0</v>
      </c>
      <c r="AX374" s="9" t="str">
        <f t="shared" si="55"/>
        <v>Yes</v>
      </c>
      <c r="AY374" s="9" t="str">
        <f t="shared" si="59"/>
        <v/>
      </c>
      <c r="AZ374" s="9" t="str">
        <f>IF(OR(G374="Missing date",G374="Invalid date",G374="Ship date before order date",NOT(ISNUMBER(AP374)),AP374&lt;0,AP374&gt;0.5,AV374=TRUE,AW374=TRUE),"Invalid",IF(OR(O374="Unknown",Z374="Unknown",AC374="",AH374&lt;&gt;"Paid",AJ374&lt;&gt;"Completed",AO374&lt;&gt;""),"Warning","Clean"))</f>
        <v>Clean</v>
      </c>
    </row>
    <row r="375" spans="1:52" ht="15.75" customHeight="1">
      <c r="A375" s="6" t="s">
        <v>1948</v>
      </c>
      <c r="B375" s="7" t="s">
        <v>1949</v>
      </c>
      <c r="C375" s="7" t="str">
        <f t="shared" si="58"/>
        <v>2025-04</v>
      </c>
      <c r="D375" s="7" cm="1">
        <f t="array" ref="D375">_xlfn.LET(_xlpm.x,B375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45760</v>
      </c>
      <c r="E375" s="7" t="s">
        <v>1949</v>
      </c>
      <c r="F375" s="7" cm="1">
        <f t="array" ref="F375">_xlfn.LET(_xlpm.x,E375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45760</v>
      </c>
      <c r="G375" s="8" t="str">
        <f t="shared" si="32"/>
        <v>OK</v>
      </c>
      <c r="H375" s="6">
        <f t="shared" si="33"/>
        <v>0</v>
      </c>
      <c r="I375" s="6" t="s">
        <v>1950</v>
      </c>
      <c r="J375" s="6" t="s">
        <v>245</v>
      </c>
      <c r="K375" s="6" t="str">
        <f t="shared" si="34"/>
        <v>Sneha Kapoor</v>
      </c>
      <c r="L375" s="6" t="s">
        <v>46</v>
      </c>
      <c r="M375" s="8" t="str">
        <f t="shared" si="35"/>
        <v>Small Business</v>
      </c>
      <c r="N375" s="6" t="s">
        <v>7</v>
      </c>
      <c r="O375" s="6" t="str">
        <f t="shared" si="36"/>
        <v>North</v>
      </c>
      <c r="P375" s="6" t="s">
        <v>251</v>
      </c>
      <c r="Q375" s="6" t="str">
        <f t="shared" si="37"/>
        <v>Uttar Pradesh</v>
      </c>
      <c r="R375" s="6" t="s">
        <v>252</v>
      </c>
      <c r="S375" s="6" t="str">
        <f t="shared" si="38"/>
        <v>Noida</v>
      </c>
      <c r="T375" s="6" t="s">
        <v>20</v>
      </c>
      <c r="U375" s="8" t="str">
        <f t="shared" si="39"/>
        <v>Office Supplies</v>
      </c>
      <c r="V375" s="6" t="s">
        <v>25</v>
      </c>
      <c r="W375" s="6" t="str">
        <f t="shared" si="40"/>
        <v>Storage</v>
      </c>
      <c r="X375" s="6" t="s">
        <v>1951</v>
      </c>
      <c r="Y375" s="6" t="s">
        <v>36</v>
      </c>
      <c r="Z375" s="6" t="str">
        <f t="shared" si="41"/>
        <v>Second Class</v>
      </c>
      <c r="AA375" s="6">
        <v>9</v>
      </c>
      <c r="AB375" s="6">
        <v>1118.68</v>
      </c>
      <c r="AC375" s="6">
        <v>0</v>
      </c>
      <c r="AD375" s="6">
        <v>10068.120000000001</v>
      </c>
      <c r="AE375" s="6">
        <v>8595.3700000000008</v>
      </c>
      <c r="AF375" s="6">
        <v>1472.75</v>
      </c>
      <c r="AG375" s="6" t="s">
        <v>52</v>
      </c>
      <c r="AH375" s="6" t="str">
        <f t="shared" si="42"/>
        <v>Paid</v>
      </c>
      <c r="AI375" s="6" t="s">
        <v>134</v>
      </c>
      <c r="AJ375" s="6" t="str">
        <f t="shared" si="43"/>
        <v>Completed</v>
      </c>
      <c r="AK375" s="9" t="str">
        <f>_xlfn.TEXTJOIN("|",FALSE,A375,TEXT(B375,"mm-dd-yyyy"),TEXT(E375,"mm-dd-yyyy"),I375,J375,L375,N375,P375,R375,T375,V375,X375,Y375,AA375,AB375,AC375,AD375,AE375,AF375,AG375,AI375)</f>
        <v>ORD-2025-10374|04-13-2025|04-13-2025|CUST-8566|Sneha Kapoor|Small Business|North|Uttar Pradesh|Noida|Office Supplies|Storage|Prime Storage 951|Second Class|9|1118.68|0|10068.12|8595.37|1472.75|Paid|Completed</v>
      </c>
      <c r="AL375" s="27" t="str">
        <f>IF(COUNTIF($AK$2:AK375,AK375)&gt;1,"Remove exact duplicate copy","Keep")</f>
        <v>Keep</v>
      </c>
      <c r="AM375" s="9">
        <f t="shared" si="44"/>
        <v>2</v>
      </c>
      <c r="AN375" s="9" t="str">
        <f t="shared" si="45"/>
        <v>Duplicate order_id</v>
      </c>
      <c r="AO375" s="9" t="str">
        <f t="shared" si="46"/>
        <v>Review conflicting duplicate</v>
      </c>
      <c r="AP375" s="9">
        <f t="shared" si="47"/>
        <v>0</v>
      </c>
      <c r="AQ375" s="10">
        <f t="shared" si="48"/>
        <v>10068.120000000001</v>
      </c>
      <c r="AR375" s="10">
        <f t="shared" si="49"/>
        <v>1472.75</v>
      </c>
      <c r="AS375" s="11">
        <f t="shared" si="50"/>
        <v>0.14627855051389932</v>
      </c>
      <c r="AT375" s="9">
        <f t="shared" si="51"/>
        <v>4</v>
      </c>
      <c r="AU375" s="9">
        <f t="shared" si="52"/>
        <v>2025</v>
      </c>
      <c r="AV375" s="9" t="b">
        <f t="shared" si="53"/>
        <v>0</v>
      </c>
      <c r="AW375" s="9" t="b">
        <f t="shared" si="54"/>
        <v>0</v>
      </c>
      <c r="AX375" s="9" t="str">
        <f t="shared" si="55"/>
        <v>No</v>
      </c>
      <c r="AY375" s="9" t="str">
        <f t="shared" si="59"/>
        <v>Duplicate order ID conflict</v>
      </c>
      <c r="AZ375" s="9" t="str">
        <f>IF(OR(G375="Missing date",G375="Invalid date",G375="Ship date before order date",NOT(ISNUMBER(AP375)),AP375&lt;0,AP375&gt;0.5,AV375=TRUE,AW375=TRUE),"Invalid",IF(OR(O375="Unknown",Z375="Unknown",AC375="",AH375&lt;&gt;"Paid",AJ375&lt;&gt;"Completed",AO375&lt;&gt;""),"Warning","Clean"))</f>
        <v>Warning</v>
      </c>
    </row>
    <row r="376" spans="1:52" ht="15.75" customHeight="1">
      <c r="A376" s="6" t="s">
        <v>1952</v>
      </c>
      <c r="B376" s="7" t="s">
        <v>1953</v>
      </c>
      <c r="C376" s="7" t="str">
        <f t="shared" si="58"/>
        <v>2025-02</v>
      </c>
      <c r="D376" s="7" cm="1">
        <f t="array" ref="D376">_xlfn.LET(_xlpm.x,B376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45715</v>
      </c>
      <c r="E376" s="7" t="s">
        <v>1954</v>
      </c>
      <c r="F376" s="7" cm="1">
        <f t="array" ref="F376">_xlfn.LET(_xlpm.x,E376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45716</v>
      </c>
      <c r="G376" s="8" t="str">
        <f t="shared" si="32"/>
        <v>OK</v>
      </c>
      <c r="H376" s="6">
        <f t="shared" si="33"/>
        <v>1</v>
      </c>
      <c r="I376" s="6" t="s">
        <v>1955</v>
      </c>
      <c r="J376" s="6" t="s">
        <v>190</v>
      </c>
      <c r="K376" s="6" t="str">
        <f t="shared" si="34"/>
        <v>Aditi Sen</v>
      </c>
      <c r="L376" s="6" t="s">
        <v>46</v>
      </c>
      <c r="M376" s="8" t="str">
        <f t="shared" si="35"/>
        <v>Small Business</v>
      </c>
      <c r="N376" s="6" t="s">
        <v>7</v>
      </c>
      <c r="O376" s="6" t="str">
        <f t="shared" si="36"/>
        <v>North</v>
      </c>
      <c r="P376" s="6" t="s">
        <v>251</v>
      </c>
      <c r="Q376" s="6" t="str">
        <f t="shared" si="37"/>
        <v>Uttar Pradesh</v>
      </c>
      <c r="R376" s="6" t="s">
        <v>252</v>
      </c>
      <c r="S376" s="6" t="str">
        <f t="shared" si="38"/>
        <v>Noida</v>
      </c>
      <c r="T376" s="6" t="s">
        <v>20</v>
      </c>
      <c r="U376" s="8" t="str">
        <f t="shared" si="39"/>
        <v>Office Supplies</v>
      </c>
      <c r="V376" s="6" t="s">
        <v>23</v>
      </c>
      <c r="W376" s="6" t="str">
        <f t="shared" si="40"/>
        <v>Labels</v>
      </c>
      <c r="X376" s="6" t="s">
        <v>1956</v>
      </c>
      <c r="Y376" s="6" t="s">
        <v>34</v>
      </c>
      <c r="Z376" s="6" t="str">
        <f t="shared" si="41"/>
        <v>Standard Class</v>
      </c>
      <c r="AA376" s="6">
        <v>6</v>
      </c>
      <c r="AB376" s="6">
        <v>2393.25</v>
      </c>
      <c r="AC376" s="6">
        <v>0</v>
      </c>
      <c r="AD376" s="6">
        <v>14359.5</v>
      </c>
      <c r="AE376" s="6">
        <v>8117.71</v>
      </c>
      <c r="AF376" s="6">
        <v>6241.79</v>
      </c>
      <c r="AG376" s="6" t="s">
        <v>52</v>
      </c>
      <c r="AH376" s="6" t="str">
        <f t="shared" si="42"/>
        <v>Paid</v>
      </c>
      <c r="AI376" s="6" t="s">
        <v>134</v>
      </c>
      <c r="AJ376" s="6" t="str">
        <f t="shared" si="43"/>
        <v>Completed</v>
      </c>
      <c r="AK376" s="9" t="str">
        <f>_xlfn.TEXTJOIN("|",FALSE,A376,TEXT(B376,"mm-dd-yyyy"),TEXT(E376,"mm-dd-yyyy"),I376,J376,L376,N376,P376,R376,T376,V376,X376,Y376,AA376,AB376,AC376,AD376,AE376,AF376,AG376,AI376)</f>
        <v>ORD-2025-10375|02-27-2025|28-02-2025|CUST-2358|Aditi Sen|Small Business|North|Uttar Pradesh|Noida|Office Supplies|Labels|Smart Labels 668|Standard Class|6|2393.25|0|14359.5|8117.71|6241.79|Paid|Completed</v>
      </c>
      <c r="AL376" s="27" t="str">
        <f>IF(COUNTIF($AK$2:AK376,AK376)&gt;1,"Remove exact duplicate copy","Keep")</f>
        <v>Keep</v>
      </c>
      <c r="AM376" s="9">
        <f t="shared" si="44"/>
        <v>1</v>
      </c>
      <c r="AN376" s="9" t="str">
        <f t="shared" si="45"/>
        <v>Unique</v>
      </c>
      <c r="AO376" s="9" t="str">
        <f t="shared" si="46"/>
        <v/>
      </c>
      <c r="AP376" s="9">
        <f t="shared" si="47"/>
        <v>0</v>
      </c>
      <c r="AQ376" s="10">
        <f t="shared" si="48"/>
        <v>14359.5</v>
      </c>
      <c r="AR376" s="10">
        <f t="shared" si="49"/>
        <v>6241.79</v>
      </c>
      <c r="AS376" s="11">
        <f t="shared" si="50"/>
        <v>0.43468017688638183</v>
      </c>
      <c r="AT376" s="9">
        <f t="shared" si="51"/>
        <v>2</v>
      </c>
      <c r="AU376" s="9">
        <f t="shared" si="52"/>
        <v>2025</v>
      </c>
      <c r="AV376" s="9" t="b">
        <f t="shared" si="53"/>
        <v>0</v>
      </c>
      <c r="AW376" s="9" t="b">
        <f t="shared" si="54"/>
        <v>0</v>
      </c>
      <c r="AX376" s="9" t="str">
        <f t="shared" si="55"/>
        <v>Yes</v>
      </c>
      <c r="AY376" s="9" t="str">
        <f t="shared" si="59"/>
        <v/>
      </c>
      <c r="AZ376" s="9" t="str">
        <f>IF(OR(G376="Missing date",G376="Invalid date",G376="Ship date before order date",NOT(ISNUMBER(AP376)),AP376&lt;0,AP376&gt;0.5,AV376=TRUE,AW376=TRUE),"Invalid",IF(OR(O376="Unknown",Z376="Unknown",AC376="",AH376&lt;&gt;"Paid",AJ376&lt;&gt;"Completed",AO376&lt;&gt;""),"Warning","Clean"))</f>
        <v>Clean</v>
      </c>
    </row>
    <row r="377" spans="1:52" ht="15.75" customHeight="1">
      <c r="A377" s="6" t="s">
        <v>1957</v>
      </c>
      <c r="B377" s="7" t="s">
        <v>1958</v>
      </c>
      <c r="C377" s="7" t="str">
        <f t="shared" si="58"/>
        <v>2024-12</v>
      </c>
      <c r="D377" s="7" cm="1">
        <f t="array" ref="D377">_xlfn.LET(_xlpm.x,B377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45657</v>
      </c>
      <c r="E377" s="7" t="s">
        <v>1959</v>
      </c>
      <c r="F377" s="7" cm="1">
        <f t="array" ref="F377">_xlfn.LET(_xlpm.x,E377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45661</v>
      </c>
      <c r="G377" s="8" t="str">
        <f t="shared" si="32"/>
        <v>OK</v>
      </c>
      <c r="H377" s="6">
        <f t="shared" si="33"/>
        <v>4</v>
      </c>
      <c r="I377" s="6" t="s">
        <v>1960</v>
      </c>
      <c r="J377" s="6" t="s">
        <v>169</v>
      </c>
      <c r="K377" s="6" t="str">
        <f t="shared" si="34"/>
        <v>Vikram Iyer</v>
      </c>
      <c r="L377" s="6" t="s">
        <v>43</v>
      </c>
      <c r="M377" s="8" t="str">
        <f t="shared" si="35"/>
        <v>Consumer</v>
      </c>
      <c r="N377" s="6" t="s">
        <v>7</v>
      </c>
      <c r="O377" s="6" t="str">
        <f t="shared" si="36"/>
        <v>North</v>
      </c>
      <c r="P377" s="6" t="s">
        <v>583</v>
      </c>
      <c r="Q377" s="6" t="str">
        <f t="shared" si="37"/>
        <v>Delhi</v>
      </c>
      <c r="R377" s="6" t="s">
        <v>584</v>
      </c>
      <c r="S377" s="6" t="str">
        <f t="shared" si="38"/>
        <v>New Delhi</v>
      </c>
      <c r="T377" s="6" t="s">
        <v>14</v>
      </c>
      <c r="U377" s="8" t="str">
        <f t="shared" si="39"/>
        <v>Furniture</v>
      </c>
      <c r="V377" s="6" t="s">
        <v>16</v>
      </c>
      <c r="W377" s="6" t="str">
        <f t="shared" si="40"/>
        <v>Chairs</v>
      </c>
      <c r="X377" s="6" t="s">
        <v>1961</v>
      </c>
      <c r="Y377" s="6" t="s">
        <v>37</v>
      </c>
      <c r="Z377" s="6" t="str">
        <f t="shared" si="41"/>
        <v>Same Day</v>
      </c>
      <c r="AA377" s="6">
        <v>3</v>
      </c>
      <c r="AB377" s="6">
        <v>1166.6099999999999</v>
      </c>
      <c r="AC377" s="6">
        <v>0.25</v>
      </c>
      <c r="AD377" s="6">
        <v>2624.87</v>
      </c>
      <c r="AE377" s="6">
        <v>2253.88</v>
      </c>
      <c r="AF377" s="6">
        <v>370.99</v>
      </c>
      <c r="AG377" s="6" t="s">
        <v>52</v>
      </c>
      <c r="AH377" s="6" t="str">
        <f t="shared" si="42"/>
        <v>Paid</v>
      </c>
      <c r="AI377" s="6" t="s">
        <v>134</v>
      </c>
      <c r="AJ377" s="6" t="str">
        <f t="shared" si="43"/>
        <v>Completed</v>
      </c>
      <c r="AK377" s="9" t="str">
        <f>_xlfn.TEXTJOIN("|",FALSE,A377,TEXT(B377,"mm-dd-yyyy"),TEXT(E377,"mm-dd-yyyy"),I377,J377,L377,N377,P377,R377,T377,V377,X377,Y377,AA377,AB377,AC377,AD377,AE377,AF377,AG377,AI377)</f>
        <v>ORD-2024-10376|31-12-2024|01-04-2025|CUST-2810|Vikram Iyer|Consumer|North|Delhi|New Delhi|Furniture|Chairs|Pro Chairs 364|Same Day|3|1166.61|0.25|2624.87|2253.88|370.99|Paid|Completed</v>
      </c>
      <c r="AL377" s="27" t="str">
        <f>IF(COUNTIF($AK$2:AK377,AK377)&gt;1,"Remove exact duplicate copy","Keep")</f>
        <v>Keep</v>
      </c>
      <c r="AM377" s="9">
        <f t="shared" si="44"/>
        <v>1</v>
      </c>
      <c r="AN377" s="9" t="str">
        <f t="shared" si="45"/>
        <v>Unique</v>
      </c>
      <c r="AO377" s="9" t="str">
        <f t="shared" si="46"/>
        <v/>
      </c>
      <c r="AP377" s="9">
        <f t="shared" si="47"/>
        <v>0.25</v>
      </c>
      <c r="AQ377" s="10">
        <f t="shared" si="48"/>
        <v>2624.8724999999999</v>
      </c>
      <c r="AR377" s="10">
        <f t="shared" si="49"/>
        <v>370.99249999999984</v>
      </c>
      <c r="AS377" s="11">
        <f t="shared" si="50"/>
        <v>0.14133734114704613</v>
      </c>
      <c r="AT377" s="9">
        <f t="shared" si="51"/>
        <v>12</v>
      </c>
      <c r="AU377" s="9">
        <f t="shared" si="52"/>
        <v>2024</v>
      </c>
      <c r="AV377" s="9" t="b">
        <f t="shared" si="53"/>
        <v>0</v>
      </c>
      <c r="AW377" s="9" t="b">
        <f t="shared" si="54"/>
        <v>0</v>
      </c>
      <c r="AX377" s="9" t="str">
        <f t="shared" si="55"/>
        <v>Yes</v>
      </c>
      <c r="AY377" s="9" t="str">
        <f t="shared" si="59"/>
        <v/>
      </c>
      <c r="AZ377" s="9" t="str">
        <f>IF(OR(G377="Missing date",G377="Invalid date",G377="Ship date before order date",NOT(ISNUMBER(AP377)),AP377&lt;0,AP377&gt;0.5,AV377=TRUE,AW377=TRUE),"Invalid",IF(OR(O377="Unknown",Z377="Unknown",AC377="",AH377&lt;&gt;"Paid",AJ377&lt;&gt;"Completed",AO377&lt;&gt;""),"Warning","Clean"))</f>
        <v>Clean</v>
      </c>
    </row>
    <row r="378" spans="1:52" ht="15.75" customHeight="1">
      <c r="A378" s="6" t="s">
        <v>1962</v>
      </c>
      <c r="B378" s="7" t="s">
        <v>1963</v>
      </c>
      <c r="C378" s="7" t="str">
        <f t="shared" si="58"/>
        <v>2024-12</v>
      </c>
      <c r="D378" s="7" cm="1">
        <f t="array" ref="D378">_xlfn.LET(_xlpm.x,B378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45655</v>
      </c>
      <c r="E378" s="7" t="s">
        <v>1866</v>
      </c>
      <c r="F378" s="7" cm="1">
        <f t="array" ref="F378">_xlfn.LET(_xlpm.x,E378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45657</v>
      </c>
      <c r="G378" s="8" t="str">
        <f t="shared" si="32"/>
        <v>OK</v>
      </c>
      <c r="H378" s="6">
        <f t="shared" si="33"/>
        <v>2</v>
      </c>
      <c r="I378" s="6" t="s">
        <v>1964</v>
      </c>
      <c r="J378" s="6" t="s">
        <v>147</v>
      </c>
      <c r="K378" s="6" t="str">
        <f t="shared" si="34"/>
        <v>Isha Nair</v>
      </c>
      <c r="L378" s="6" t="s">
        <v>46</v>
      </c>
      <c r="M378" s="8" t="str">
        <f t="shared" si="35"/>
        <v>Small Business</v>
      </c>
      <c r="N378" s="6" t="s">
        <v>8</v>
      </c>
      <c r="O378" s="6" t="str">
        <f t="shared" si="36"/>
        <v>East</v>
      </c>
      <c r="P378" s="6" t="s">
        <v>263</v>
      </c>
      <c r="Q378" s="6" t="str">
        <f t="shared" si="37"/>
        <v>Bihar</v>
      </c>
      <c r="R378" s="6" t="s">
        <v>264</v>
      </c>
      <c r="S378" s="6" t="str">
        <f t="shared" si="38"/>
        <v>Patna</v>
      </c>
      <c r="T378" s="6" t="s">
        <v>14</v>
      </c>
      <c r="U378" s="8" t="str">
        <f t="shared" si="39"/>
        <v>Furniture</v>
      </c>
      <c r="V378" s="6" t="s">
        <v>16</v>
      </c>
      <c r="W378" s="6" t="str">
        <f t="shared" si="40"/>
        <v>Chairs</v>
      </c>
      <c r="X378" s="6" t="s">
        <v>1965</v>
      </c>
      <c r="Y378" s="6" t="s">
        <v>35</v>
      </c>
      <c r="Z378" s="6" t="str">
        <f t="shared" si="41"/>
        <v>First Class</v>
      </c>
      <c r="AA378" s="6">
        <v>6</v>
      </c>
      <c r="AB378" s="6">
        <v>1844.78</v>
      </c>
      <c r="AC378" s="6">
        <v>0.2</v>
      </c>
      <c r="AD378" s="6">
        <v>8854.94</v>
      </c>
      <c r="AE378" s="6">
        <v>7433.95</v>
      </c>
      <c r="AF378" s="6">
        <v>1420.99</v>
      </c>
      <c r="AG378" s="6" t="s">
        <v>52</v>
      </c>
      <c r="AH378" s="6" t="str">
        <f t="shared" si="42"/>
        <v>Paid</v>
      </c>
      <c r="AI378" s="6" t="s">
        <v>134</v>
      </c>
      <c r="AJ378" s="6" t="str">
        <f t="shared" si="43"/>
        <v>Completed</v>
      </c>
      <c r="AK378" s="9" t="str">
        <f>_xlfn.TEXTJOIN("|",FALSE,A378,TEXT(B378,"mm-dd-yyyy"),TEXT(E378,"mm-dd-yyyy"),I378,J378,L378,N378,P378,R378,T378,V378,X378,Y378,AA378,AB378,AC378,AD378,AE378,AF378,AG378,AI378)</f>
        <v>ORD-2024-10377|29-12-2024|12-31-2024|CUST-5166|Isha Nair|Small Business|East|Bihar|Patna|Furniture|Chairs|Basic Chairs 248|First Class|6|1844.78|0.2|8854.94|7433.95|1420.99|Paid|Completed</v>
      </c>
      <c r="AL378" s="27" t="str">
        <f>IF(COUNTIF($AK$2:AK378,AK378)&gt;1,"Remove exact duplicate copy","Keep")</f>
        <v>Keep</v>
      </c>
      <c r="AM378" s="9">
        <f t="shared" si="44"/>
        <v>1</v>
      </c>
      <c r="AN378" s="9" t="str">
        <f t="shared" si="45"/>
        <v>Unique</v>
      </c>
      <c r="AO378" s="9" t="str">
        <f t="shared" si="46"/>
        <v/>
      </c>
      <c r="AP378" s="9">
        <f t="shared" si="47"/>
        <v>0.2</v>
      </c>
      <c r="AQ378" s="10">
        <f t="shared" si="48"/>
        <v>8854.9440000000013</v>
      </c>
      <c r="AR378" s="10">
        <f t="shared" si="49"/>
        <v>1420.9940000000015</v>
      </c>
      <c r="AS378" s="11">
        <f t="shared" si="50"/>
        <v>0.1604746455765278</v>
      </c>
      <c r="AT378" s="9">
        <f t="shared" si="51"/>
        <v>12</v>
      </c>
      <c r="AU378" s="9">
        <f t="shared" si="52"/>
        <v>2024</v>
      </c>
      <c r="AV378" s="9" t="b">
        <f t="shared" si="53"/>
        <v>0</v>
      </c>
      <c r="AW378" s="9" t="b">
        <f t="shared" si="54"/>
        <v>0</v>
      </c>
      <c r="AX378" s="9" t="str">
        <f t="shared" si="55"/>
        <v>Yes</v>
      </c>
      <c r="AY378" s="9" t="str">
        <f t="shared" si="59"/>
        <v/>
      </c>
      <c r="AZ378" s="9" t="str">
        <f>IF(OR(G378="Missing date",G378="Invalid date",G378="Ship date before order date",NOT(ISNUMBER(AP378)),AP378&lt;0,AP378&gt;0.5,AV378=TRUE,AW378=TRUE),"Invalid",IF(OR(O378="Unknown",Z378="Unknown",AC378="",AH378&lt;&gt;"Paid",AJ378&lt;&gt;"Completed",AO378&lt;&gt;""),"Warning","Clean"))</f>
        <v>Clean</v>
      </c>
    </row>
    <row r="379" spans="1:52" ht="15.75" customHeight="1">
      <c r="A379" s="6" t="s">
        <v>1966</v>
      </c>
      <c r="B379" s="7" t="s">
        <v>1608</v>
      </c>
      <c r="C379" s="7" t="str">
        <f t="shared" si="58"/>
        <v>2025-05</v>
      </c>
      <c r="D379" s="7" cm="1">
        <f t="array" ref="D379">_xlfn.LET(_xlpm.x,B379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45801</v>
      </c>
      <c r="E379" s="7" t="s">
        <v>1967</v>
      </c>
      <c r="F379" s="7" cm="1">
        <f t="array" ref="F379">_xlfn.LET(_xlpm.x,E379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45807</v>
      </c>
      <c r="G379" s="8" t="str">
        <f t="shared" si="32"/>
        <v>OK</v>
      </c>
      <c r="H379" s="6">
        <f t="shared" si="33"/>
        <v>6</v>
      </c>
      <c r="I379" s="6" t="s">
        <v>1968</v>
      </c>
      <c r="J379" s="6" t="s">
        <v>442</v>
      </c>
      <c r="K379" s="6" t="str">
        <f t="shared" si="34"/>
        <v>Kabir Singh</v>
      </c>
      <c r="L379" s="6" t="s">
        <v>46</v>
      </c>
      <c r="M379" s="8" t="str">
        <f t="shared" si="35"/>
        <v>Small Business</v>
      </c>
      <c r="N379" s="6" t="s">
        <v>8</v>
      </c>
      <c r="O379" s="6" t="str">
        <f t="shared" si="36"/>
        <v>East</v>
      </c>
      <c r="P379" s="6" t="s">
        <v>140</v>
      </c>
      <c r="Q379" s="6" t="str">
        <f t="shared" si="37"/>
        <v>Odisha</v>
      </c>
      <c r="R379" s="6" t="s">
        <v>141</v>
      </c>
      <c r="S379" s="6" t="str">
        <f t="shared" si="38"/>
        <v>Bhubaneswar</v>
      </c>
      <c r="T379" s="6" t="s">
        <v>20</v>
      </c>
      <c r="U379" s="8" t="str">
        <f t="shared" si="39"/>
        <v>Office Supplies</v>
      </c>
      <c r="V379" s="6" t="s">
        <v>1969</v>
      </c>
      <c r="W379" s="6" t="str">
        <f t="shared" si="40"/>
        <v>Storage</v>
      </c>
      <c r="X379" s="6" t="s">
        <v>1970</v>
      </c>
      <c r="Y379" s="6" t="s">
        <v>37</v>
      </c>
      <c r="Z379" s="6" t="str">
        <f t="shared" si="41"/>
        <v>Same Day</v>
      </c>
      <c r="AA379" s="6">
        <v>1</v>
      </c>
      <c r="AB379" s="6">
        <v>2564.7399999999998</v>
      </c>
      <c r="AC379" s="6">
        <v>0</v>
      </c>
      <c r="AD379" s="6">
        <v>2564.7399999999998</v>
      </c>
      <c r="AE379" s="6">
        <v>1754.58</v>
      </c>
      <c r="AF379" s="6">
        <v>810.16</v>
      </c>
      <c r="AG379" s="6" t="s">
        <v>52</v>
      </c>
      <c r="AH379" s="6" t="str">
        <f t="shared" si="42"/>
        <v>Paid</v>
      </c>
      <c r="AI379" s="6" t="s">
        <v>134</v>
      </c>
      <c r="AJ379" s="6" t="str">
        <f t="shared" si="43"/>
        <v>Completed</v>
      </c>
      <c r="AK379" s="9" t="str">
        <f>_xlfn.TEXTJOIN("|",FALSE,A379,TEXT(B379,"mm-dd-yyyy"),TEXT(E379,"mm-dd-yyyy"),I379,J379,L379,N379,P379,R379,T379,V379,X379,Y379,AA379,AB379,AC379,AD379,AE379,AF379,AG379,AI379)</f>
        <v>ORD-2025-10378|05-24-2025|30-05-2025|CUST-4875|Kabir Singh|Small Business|East|Odisha|Bhubaneswar|Office Supplies|storage|Basic Storage 360|Same Day|1|2564.74|0|2564.74|1754.58|810.16|Paid|Completed</v>
      </c>
      <c r="AL379" s="27" t="str">
        <f>IF(COUNTIF($AK$2:AK379,AK379)&gt;1,"Remove exact duplicate copy","Keep")</f>
        <v>Keep</v>
      </c>
      <c r="AM379" s="9">
        <f t="shared" si="44"/>
        <v>1</v>
      </c>
      <c r="AN379" s="9" t="str">
        <f t="shared" si="45"/>
        <v>Unique</v>
      </c>
      <c r="AO379" s="9" t="str">
        <f t="shared" si="46"/>
        <v/>
      </c>
      <c r="AP379" s="9">
        <f t="shared" si="47"/>
        <v>0</v>
      </c>
      <c r="AQ379" s="10">
        <f t="shared" si="48"/>
        <v>2564.7399999999998</v>
      </c>
      <c r="AR379" s="10">
        <f t="shared" si="49"/>
        <v>810.15999999999985</v>
      </c>
      <c r="AS379" s="11">
        <f t="shared" si="50"/>
        <v>0.31588387126960232</v>
      </c>
      <c r="AT379" s="9">
        <f t="shared" si="51"/>
        <v>5</v>
      </c>
      <c r="AU379" s="9">
        <f t="shared" si="52"/>
        <v>2025</v>
      </c>
      <c r="AV379" s="9" t="b">
        <f t="shared" si="53"/>
        <v>0</v>
      </c>
      <c r="AW379" s="9" t="b">
        <f t="shared" si="54"/>
        <v>0</v>
      </c>
      <c r="AX379" s="9" t="str">
        <f t="shared" si="55"/>
        <v>Yes</v>
      </c>
      <c r="AY379" s="9" t="str">
        <f t="shared" si="59"/>
        <v/>
      </c>
      <c r="AZ379" s="9" t="str">
        <f>IF(OR(G379="Missing date",G379="Invalid date",G379="Ship date before order date",NOT(ISNUMBER(AP379)),AP379&lt;0,AP379&gt;0.5,AV379=TRUE,AW379=TRUE),"Invalid",IF(OR(O379="Unknown",Z379="Unknown",AC379="",AH379&lt;&gt;"Paid",AJ379&lt;&gt;"Completed",AO379&lt;&gt;""),"Warning","Clean"))</f>
        <v>Clean</v>
      </c>
    </row>
    <row r="380" spans="1:52" ht="15.75" customHeight="1">
      <c r="A380" s="6" t="s">
        <v>1971</v>
      </c>
      <c r="B380" s="7" t="s">
        <v>1972</v>
      </c>
      <c r="C380" s="7" t="str">
        <f t="shared" si="58"/>
        <v>2025-05</v>
      </c>
      <c r="D380" s="7" cm="1">
        <f t="array" ref="D380">_xlfn.LET(_xlpm.x,B380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45799</v>
      </c>
      <c r="E380" s="7" t="s">
        <v>1972</v>
      </c>
      <c r="F380" s="7" cm="1">
        <f t="array" ref="F380">_xlfn.LET(_xlpm.x,E380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45799</v>
      </c>
      <c r="G380" s="8" t="str">
        <f t="shared" si="32"/>
        <v>OK</v>
      </c>
      <c r="H380" s="6">
        <f t="shared" si="33"/>
        <v>0</v>
      </c>
      <c r="I380" s="6" t="s">
        <v>1973</v>
      </c>
      <c r="J380" s="6" t="s">
        <v>139</v>
      </c>
      <c r="K380" s="6" t="str">
        <f t="shared" si="34"/>
        <v>Mira Das</v>
      </c>
      <c r="L380" s="6" t="s">
        <v>43</v>
      </c>
      <c r="M380" s="8" t="str">
        <f t="shared" si="35"/>
        <v>Consumer</v>
      </c>
      <c r="N380" s="6" t="s">
        <v>9</v>
      </c>
      <c r="O380" s="6" t="str">
        <f t="shared" si="36"/>
        <v>West</v>
      </c>
      <c r="P380" s="6" t="s">
        <v>323</v>
      </c>
      <c r="Q380" s="6" t="str">
        <f t="shared" si="37"/>
        <v>Goa</v>
      </c>
      <c r="R380" s="6" t="s">
        <v>324</v>
      </c>
      <c r="S380" s="6" t="str">
        <f t="shared" si="38"/>
        <v>Panaji</v>
      </c>
      <c r="T380" s="6" t="s">
        <v>27</v>
      </c>
      <c r="U380" s="8" t="str">
        <f t="shared" si="39"/>
        <v>Technology</v>
      </c>
      <c r="V380" s="6" t="s">
        <v>28</v>
      </c>
      <c r="W380" s="6" t="str">
        <f t="shared" si="40"/>
        <v>Accessories</v>
      </c>
      <c r="X380" s="6" t="s">
        <v>1974</v>
      </c>
      <c r="Y380" s="6" t="s">
        <v>34</v>
      </c>
      <c r="Z380" s="6" t="str">
        <f t="shared" si="41"/>
        <v>Standard Class</v>
      </c>
      <c r="AA380" s="6">
        <v>2</v>
      </c>
      <c r="AB380" s="6">
        <v>3910.61</v>
      </c>
      <c r="AC380" s="6">
        <v>0</v>
      </c>
      <c r="AD380" s="6">
        <v>7821.22</v>
      </c>
      <c r="AE380" s="6">
        <v>4994.46</v>
      </c>
      <c r="AF380" s="6">
        <v>2826.76</v>
      </c>
      <c r="AG380" s="6" t="s">
        <v>52</v>
      </c>
      <c r="AH380" s="6" t="str">
        <f t="shared" si="42"/>
        <v>Paid</v>
      </c>
      <c r="AI380" s="6" t="s">
        <v>134</v>
      </c>
      <c r="AJ380" s="6" t="str">
        <f t="shared" si="43"/>
        <v>Completed</v>
      </c>
      <c r="AK380" s="9" t="str">
        <f>_xlfn.TEXTJOIN("|",FALSE,A380,TEXT(B380,"mm-dd-yyyy"),TEXT(E380,"mm-dd-yyyy"),I380,J380,L380,N380,P380,R380,T380,V380,X380,Y380,AA380,AB380,AC380,AD380,AE380,AF380,AG380,AI380)</f>
        <v>ORD-2025-10379|22-05-2025|22-05-2025|CUST-3154|Mira Das|Consumer|West|Goa|Panaji|Technology|Accessories|Basic Accessories 988|Standard Class|2|3910.61|0|7821.22|4994.46|2826.76|Paid|Completed</v>
      </c>
      <c r="AL380" s="27" t="str">
        <f>IF(COUNTIF($AK$2:AK380,AK380)&gt;1,"Remove exact duplicate copy","Keep")</f>
        <v>Keep</v>
      </c>
      <c r="AM380" s="9">
        <f t="shared" si="44"/>
        <v>1</v>
      </c>
      <c r="AN380" s="9" t="str">
        <f t="shared" si="45"/>
        <v>Unique</v>
      </c>
      <c r="AO380" s="9" t="str">
        <f t="shared" si="46"/>
        <v/>
      </c>
      <c r="AP380" s="9">
        <f t="shared" si="47"/>
        <v>0</v>
      </c>
      <c r="AQ380" s="10">
        <f t="shared" si="48"/>
        <v>7821.22</v>
      </c>
      <c r="AR380" s="10">
        <f t="shared" si="49"/>
        <v>2826.76</v>
      </c>
      <c r="AS380" s="11">
        <f t="shared" si="50"/>
        <v>0.36142187535959863</v>
      </c>
      <c r="AT380" s="9">
        <f t="shared" si="51"/>
        <v>5</v>
      </c>
      <c r="AU380" s="9">
        <f t="shared" si="52"/>
        <v>2025</v>
      </c>
      <c r="AV380" s="9" t="b">
        <f t="shared" si="53"/>
        <v>0</v>
      </c>
      <c r="AW380" s="9" t="b">
        <f t="shared" si="54"/>
        <v>0</v>
      </c>
      <c r="AX380" s="9" t="str">
        <f t="shared" si="55"/>
        <v>Yes</v>
      </c>
      <c r="AY380" s="9" t="str">
        <f t="shared" si="59"/>
        <v/>
      </c>
      <c r="AZ380" s="9" t="str">
        <f>IF(OR(G380="Missing date",G380="Invalid date",G380="Ship date before order date",NOT(ISNUMBER(AP380)),AP380&lt;0,AP380&gt;0.5,AV380=TRUE,AW380=TRUE),"Invalid",IF(OR(O380="Unknown",Z380="Unknown",AC380="",AH380&lt;&gt;"Paid",AJ380&lt;&gt;"Completed",AO380&lt;&gt;""),"Warning","Clean"))</f>
        <v>Clean</v>
      </c>
    </row>
    <row r="381" spans="1:52" ht="15.75" customHeight="1">
      <c r="A381" s="6" t="s">
        <v>1975</v>
      </c>
      <c r="B381" s="7" t="s">
        <v>1976</v>
      </c>
      <c r="C381" s="7" t="str">
        <f t="shared" si="58"/>
        <v>2024-09</v>
      </c>
      <c r="D381" s="7" cm="1">
        <f t="array" ref="D381">_xlfn.LET(_xlpm.x,B381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45554</v>
      </c>
      <c r="E381" s="7" t="s">
        <v>1977</v>
      </c>
      <c r="F381" s="7" cm="1">
        <f t="array" ref="F381">_xlfn.LET(_xlpm.x,E381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45558</v>
      </c>
      <c r="G381" s="8" t="str">
        <f t="shared" si="32"/>
        <v>OK</v>
      </c>
      <c r="H381" s="6">
        <f t="shared" si="33"/>
        <v>4</v>
      </c>
      <c r="I381" s="6" t="s">
        <v>1978</v>
      </c>
      <c r="J381" s="6" t="s">
        <v>139</v>
      </c>
      <c r="K381" s="6" t="str">
        <f t="shared" si="34"/>
        <v>Mira Das</v>
      </c>
      <c r="L381" s="6" t="s">
        <v>46</v>
      </c>
      <c r="M381" s="8" t="str">
        <f t="shared" si="35"/>
        <v>Small Business</v>
      </c>
      <c r="N381" s="6" t="s">
        <v>10</v>
      </c>
      <c r="O381" s="6" t="str">
        <f t="shared" si="36"/>
        <v>South</v>
      </c>
      <c r="P381" s="6" t="s">
        <v>316</v>
      </c>
      <c r="Q381" s="6" t="str">
        <f t="shared" si="37"/>
        <v>Kerala</v>
      </c>
      <c r="R381" s="6" t="s">
        <v>317</v>
      </c>
      <c r="S381" s="6" t="str">
        <f t="shared" si="38"/>
        <v>Kochi</v>
      </c>
      <c r="T381" s="6" t="s">
        <v>20</v>
      </c>
      <c r="U381" s="8" t="str">
        <f t="shared" si="39"/>
        <v>Office Supplies</v>
      </c>
      <c r="V381" s="6" t="s">
        <v>24</v>
      </c>
      <c r="W381" s="6" t="str">
        <f t="shared" si="40"/>
        <v>Paper</v>
      </c>
      <c r="X381" s="6" t="s">
        <v>1979</v>
      </c>
      <c r="Y381" s="6" t="s">
        <v>34</v>
      </c>
      <c r="Z381" s="6" t="str">
        <f t="shared" si="41"/>
        <v>Standard Class</v>
      </c>
      <c r="AA381" s="6">
        <v>7</v>
      </c>
      <c r="AB381" s="6">
        <v>1136.68</v>
      </c>
      <c r="AC381" s="6"/>
      <c r="AD381" s="6">
        <v>7956.76</v>
      </c>
      <c r="AE381" s="6">
        <v>4799.54</v>
      </c>
      <c r="AF381" s="6">
        <v>3157.22</v>
      </c>
      <c r="AG381" s="6" t="s">
        <v>52</v>
      </c>
      <c r="AH381" s="6" t="str">
        <f t="shared" si="42"/>
        <v>Paid</v>
      </c>
      <c r="AI381" s="6" t="s">
        <v>134</v>
      </c>
      <c r="AJ381" s="6" t="str">
        <f t="shared" si="43"/>
        <v>Completed</v>
      </c>
      <c r="AK381" s="9" t="str">
        <f>_xlfn.TEXTJOIN("|",FALSE,A381,TEXT(B381,"mm-dd-yyyy"),TEXT(E381,"mm-dd-yyyy"),I381,J381,L381,N381,P381,R381,T381,V381,X381,Y381,AA381,AB381,AC381,AD381,AE381,AF381,AG381,AI381)</f>
        <v>ORD-2024-10380|09-19-2024|09-23-2024|CUST-6405|Mira Das|Small Business|South|Kerala|Kochi|Office Supplies|Paper|Max Paper 334|Standard Class|7|1136.68||7956.76|4799.54|3157.22|Paid|Completed</v>
      </c>
      <c r="AL381" s="27" t="str">
        <f>IF(COUNTIF($AK$2:AK381,AK381)&gt;1,"Remove exact duplicate copy","Keep")</f>
        <v>Keep</v>
      </c>
      <c r="AM381" s="9">
        <f t="shared" si="44"/>
        <v>1</v>
      </c>
      <c r="AN381" s="9" t="str">
        <f t="shared" si="45"/>
        <v>Unique</v>
      </c>
      <c r="AO381" s="9" t="str">
        <f t="shared" si="46"/>
        <v/>
      </c>
      <c r="AP381" s="9">
        <f t="shared" si="47"/>
        <v>0</v>
      </c>
      <c r="AQ381" s="10">
        <f t="shared" si="48"/>
        <v>7956.76</v>
      </c>
      <c r="AR381" s="10">
        <f t="shared" si="49"/>
        <v>3157.2200000000003</v>
      </c>
      <c r="AS381" s="11">
        <f t="shared" si="50"/>
        <v>0.39679718880549369</v>
      </c>
      <c r="AT381" s="9">
        <f t="shared" si="51"/>
        <v>9</v>
      </c>
      <c r="AU381" s="9">
        <f t="shared" si="52"/>
        <v>2024</v>
      </c>
      <c r="AV381" s="9" t="b">
        <f t="shared" si="53"/>
        <v>0</v>
      </c>
      <c r="AW381" s="9" t="b">
        <f t="shared" si="54"/>
        <v>0</v>
      </c>
      <c r="AX381" s="9" t="str">
        <f t="shared" si="55"/>
        <v>Yes</v>
      </c>
      <c r="AY381" s="9" t="str">
        <f t="shared" si="59"/>
        <v>Missing discount treated as 0</v>
      </c>
      <c r="AZ381" s="9" t="str">
        <f>IF(OR(G381="Missing date",G381="Invalid date",G381="Ship date before order date",NOT(ISNUMBER(AP381)),AP381&lt;0,AP381&gt;0.5,AV381=TRUE,AW381=TRUE),"Invalid",IF(OR(O381="Unknown",Z381="Unknown",AC381="",AH381&lt;&gt;"Paid",AJ381&lt;&gt;"Completed",AO381&lt;&gt;""),"Warning","Clean"))</f>
        <v>Warning</v>
      </c>
    </row>
    <row r="382" spans="1:52" ht="15.75" customHeight="1">
      <c r="A382" s="6" t="s">
        <v>1980</v>
      </c>
      <c r="B382" s="7" t="s">
        <v>1981</v>
      </c>
      <c r="C382" s="7" t="str">
        <f t="shared" si="58"/>
        <v>2024-04</v>
      </c>
      <c r="D382" s="7" cm="1">
        <f t="array" ref="D382">_xlfn.LET(_xlpm.x,B382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45389</v>
      </c>
      <c r="E382" s="7" t="s">
        <v>1506</v>
      </c>
      <c r="F382" s="7" cm="1">
        <f t="array" ref="F382">_xlfn.LET(_xlpm.x,E382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45396</v>
      </c>
      <c r="G382" s="8" t="str">
        <f t="shared" si="32"/>
        <v>OK</v>
      </c>
      <c r="H382" s="6">
        <f t="shared" si="33"/>
        <v>7</v>
      </c>
      <c r="I382" s="6" t="s">
        <v>1982</v>
      </c>
      <c r="J382" s="6" t="s">
        <v>169</v>
      </c>
      <c r="K382" s="6" t="str">
        <f t="shared" si="34"/>
        <v>Vikram Iyer</v>
      </c>
      <c r="L382" s="6" t="s">
        <v>43</v>
      </c>
      <c r="M382" s="8" t="str">
        <f t="shared" si="35"/>
        <v>Consumer</v>
      </c>
      <c r="N382" s="6" t="s">
        <v>9</v>
      </c>
      <c r="O382" s="6" t="str">
        <f t="shared" si="36"/>
        <v>West</v>
      </c>
      <c r="P382" s="6" t="s">
        <v>162</v>
      </c>
      <c r="Q382" s="6" t="str">
        <f t="shared" si="37"/>
        <v>Maharashtra</v>
      </c>
      <c r="R382" s="6" t="s">
        <v>163</v>
      </c>
      <c r="S382" s="6" t="str">
        <f t="shared" si="38"/>
        <v>Mumbai</v>
      </c>
      <c r="T382" s="6" t="s">
        <v>14</v>
      </c>
      <c r="U382" s="8" t="str">
        <f t="shared" si="39"/>
        <v>Furniture</v>
      </c>
      <c r="V382" s="6" t="s">
        <v>15</v>
      </c>
      <c r="W382" s="6" t="str">
        <f t="shared" si="40"/>
        <v>Bookcases</v>
      </c>
      <c r="X382" s="6" t="s">
        <v>1983</v>
      </c>
      <c r="Y382" s="6" t="s">
        <v>37</v>
      </c>
      <c r="Z382" s="6" t="str">
        <f t="shared" si="41"/>
        <v>Same Day</v>
      </c>
      <c r="AA382" s="6">
        <v>5</v>
      </c>
      <c r="AB382" s="6">
        <v>2235.85</v>
      </c>
      <c r="AC382" s="6">
        <v>0.25</v>
      </c>
      <c r="AD382" s="6">
        <v>8384.44</v>
      </c>
      <c r="AE382" s="6">
        <v>4765.96</v>
      </c>
      <c r="AF382" s="6">
        <v>3618.48</v>
      </c>
      <c r="AG382" s="6" t="s">
        <v>52</v>
      </c>
      <c r="AH382" s="6" t="str">
        <f t="shared" si="42"/>
        <v>Paid</v>
      </c>
      <c r="AI382" s="6" t="s">
        <v>59</v>
      </c>
      <c r="AJ382" s="6" t="str">
        <f t="shared" si="43"/>
        <v>Returned</v>
      </c>
      <c r="AK382" s="9" t="str">
        <f>_xlfn.TEXTJOIN("|",FALSE,A382,TEXT(B382,"mm-dd-yyyy"),TEXT(E382,"mm-dd-yyyy"),I382,J382,L382,N382,P382,R382,T382,V382,X382,Y382,AA382,AB382,AC382,AD382,AE382,AF382,AG382,AI382)</f>
        <v>ORD-2024-10381|04-07-2024|14-04-2024|CUST-5779|Vikram Iyer|Consumer|West|Maharashtra|Mumbai|Furniture|Bookcases|Prime Bookcases 952|Same Day|5|2235.85|0.25|8384.44|4765.96|3618.48|Paid|Returned</v>
      </c>
      <c r="AL382" s="27" t="str">
        <f>IF(COUNTIF($AK$2:AK382,AK382)&gt;1,"Remove exact duplicate copy","Keep")</f>
        <v>Keep</v>
      </c>
      <c r="AM382" s="9">
        <f t="shared" si="44"/>
        <v>1</v>
      </c>
      <c r="AN382" s="9" t="str">
        <f t="shared" si="45"/>
        <v>Unique</v>
      </c>
      <c r="AO382" s="9" t="str">
        <f t="shared" si="46"/>
        <v/>
      </c>
      <c r="AP382" s="9">
        <f t="shared" si="47"/>
        <v>0.25</v>
      </c>
      <c r="AQ382" s="10">
        <f t="shared" si="48"/>
        <v>8384.4375</v>
      </c>
      <c r="AR382" s="10">
        <f t="shared" si="49"/>
        <v>3618.4775</v>
      </c>
      <c r="AS382" s="11">
        <f t="shared" si="50"/>
        <v>0.43157069272685256</v>
      </c>
      <c r="AT382" s="9">
        <f t="shared" si="51"/>
        <v>4</v>
      </c>
      <c r="AU382" s="9">
        <f t="shared" si="52"/>
        <v>2024</v>
      </c>
      <c r="AV382" s="9" t="b">
        <f t="shared" si="53"/>
        <v>0</v>
      </c>
      <c r="AW382" s="9" t="b">
        <f t="shared" si="54"/>
        <v>0</v>
      </c>
      <c r="AX382" s="9" t="str">
        <f t="shared" si="55"/>
        <v>No</v>
      </c>
      <c r="AY382" s="9" t="str">
        <f t="shared" si="59"/>
        <v>Returned order excluded</v>
      </c>
      <c r="AZ382" s="9" t="str">
        <f>IF(OR(G382="Missing date",G382="Invalid date",G382="Ship date before order date",NOT(ISNUMBER(AP382)),AP382&lt;0,AP382&gt;0.5,AV382=TRUE,AW382=TRUE),"Invalid",IF(OR(O382="Unknown",Z382="Unknown",AC382="",AH382&lt;&gt;"Paid",AJ382&lt;&gt;"Completed",AO382&lt;&gt;""),"Warning","Clean"))</f>
        <v>Warning</v>
      </c>
    </row>
    <row r="383" spans="1:52" ht="15.75" customHeight="1">
      <c r="A383" s="6" t="s">
        <v>1984</v>
      </c>
      <c r="B383" s="7" t="s">
        <v>1985</v>
      </c>
      <c r="C383" s="7" t="str">
        <f t="shared" si="58"/>
        <v>2025-09</v>
      </c>
      <c r="D383" s="7" cm="1">
        <f t="array" ref="D383">_xlfn.LET(_xlpm.x,B383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45919</v>
      </c>
      <c r="E383" s="7" t="s">
        <v>1986</v>
      </c>
      <c r="F383" s="7" cm="1">
        <f t="array" ref="F383">_xlfn.LET(_xlpm.x,E383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45923</v>
      </c>
      <c r="G383" s="8" t="str">
        <f t="shared" si="32"/>
        <v>OK</v>
      </c>
      <c r="H383" s="6">
        <f t="shared" si="33"/>
        <v>4</v>
      </c>
      <c r="I383" s="6" t="s">
        <v>1987</v>
      </c>
      <c r="J383" s="6" t="s">
        <v>153</v>
      </c>
      <c r="K383" s="6" t="str">
        <f t="shared" si="34"/>
        <v>Arjun Bose</v>
      </c>
      <c r="L383" s="6" t="s">
        <v>1988</v>
      </c>
      <c r="M383" s="8" t="str">
        <f t="shared" si="35"/>
        <v>Home Office</v>
      </c>
      <c r="N383" s="6" t="s">
        <v>7</v>
      </c>
      <c r="O383" s="6" t="str">
        <f t="shared" si="36"/>
        <v>North</v>
      </c>
      <c r="P383" s="6" t="s">
        <v>583</v>
      </c>
      <c r="Q383" s="6" t="str">
        <f t="shared" si="37"/>
        <v>Delhi</v>
      </c>
      <c r="R383" s="6" t="s">
        <v>584</v>
      </c>
      <c r="S383" s="6" t="str">
        <f t="shared" si="38"/>
        <v>New Delhi</v>
      </c>
      <c r="T383" s="6" t="s">
        <v>20</v>
      </c>
      <c r="U383" s="8" t="str">
        <f t="shared" si="39"/>
        <v>Office Supplies</v>
      </c>
      <c r="V383" s="6" t="s">
        <v>22</v>
      </c>
      <c r="W383" s="6" t="str">
        <f t="shared" si="40"/>
        <v>Binders</v>
      </c>
      <c r="X383" s="6" t="s">
        <v>1989</v>
      </c>
      <c r="Y383" s="6" t="s">
        <v>34</v>
      </c>
      <c r="Z383" s="6" t="str">
        <f t="shared" si="41"/>
        <v>Standard Class</v>
      </c>
      <c r="AA383" s="6">
        <v>4</v>
      </c>
      <c r="AB383" s="6">
        <v>4387.1499999999996</v>
      </c>
      <c r="AC383" s="6">
        <v>0.05</v>
      </c>
      <c r="AD383" s="6">
        <v>16671.169999999998</v>
      </c>
      <c r="AE383" s="6">
        <v>10833.19</v>
      </c>
      <c r="AF383" s="6">
        <v>5837.98</v>
      </c>
      <c r="AG383" s="6" t="s">
        <v>50</v>
      </c>
      <c r="AH383" s="6" t="str">
        <f t="shared" si="42"/>
        <v>Failed</v>
      </c>
      <c r="AI383" s="6" t="s">
        <v>58</v>
      </c>
      <c r="AJ383" s="6" t="str">
        <f t="shared" si="43"/>
        <v>Cancelled</v>
      </c>
      <c r="AK383" s="9" t="str">
        <f>_xlfn.TEXTJOIN("|",FALSE,A383,TEXT(B383,"mm-dd-yyyy"),TEXT(E383,"mm-dd-yyyy"),I383,J383,L383,N383,P383,R383,T383,V383,X383,Y383,AA383,AB383,AC383,AD383,AE383,AF383,AG383,AI383)</f>
        <v>ORD-2025-10382|09-19-2025|23-09-2025|CUST-9943|Arjun Bose|HOME OFFICE|North|Delhi|New Delhi|Office Supplies|Binders|Prime Binders 523|Standard Class|4|4387.15|0.05|16671.17|10833.19|5837.98|Failed|Cancelled</v>
      </c>
      <c r="AL383" s="27" t="str">
        <f>IF(COUNTIF($AK$2:AK383,AK383)&gt;1,"Remove exact duplicate copy","Keep")</f>
        <v>Keep</v>
      </c>
      <c r="AM383" s="9">
        <f t="shared" si="44"/>
        <v>1</v>
      </c>
      <c r="AN383" s="9" t="str">
        <f t="shared" si="45"/>
        <v>Unique</v>
      </c>
      <c r="AO383" s="9" t="str">
        <f t="shared" si="46"/>
        <v/>
      </c>
      <c r="AP383" s="9">
        <f t="shared" si="47"/>
        <v>0.05</v>
      </c>
      <c r="AQ383" s="10">
        <f t="shared" si="48"/>
        <v>16671.169999999998</v>
      </c>
      <c r="AR383" s="10">
        <f t="shared" si="49"/>
        <v>5837.9799999999977</v>
      </c>
      <c r="AS383" s="11">
        <f t="shared" si="50"/>
        <v>0.35018418023450054</v>
      </c>
      <c r="AT383" s="9">
        <f t="shared" si="51"/>
        <v>9</v>
      </c>
      <c r="AU383" s="9">
        <f t="shared" si="52"/>
        <v>2025</v>
      </c>
      <c r="AV383" s="9" t="b">
        <f t="shared" si="53"/>
        <v>0</v>
      </c>
      <c r="AW383" s="9" t="b">
        <f t="shared" si="54"/>
        <v>0</v>
      </c>
      <c r="AX383" s="9" t="str">
        <f t="shared" si="55"/>
        <v>No</v>
      </c>
      <c r="AY383" s="9" t="str">
        <f t="shared" si="59"/>
        <v>Failed payment excluded; Cancelled order excluded</v>
      </c>
      <c r="AZ383" s="9" t="str">
        <f>IF(OR(G383="Missing date",G383="Invalid date",G383="Ship date before order date",NOT(ISNUMBER(AP383)),AP383&lt;0,AP383&gt;0.5,AV383=TRUE,AW383=TRUE),"Invalid",IF(OR(O383="Unknown",Z383="Unknown",AC383="",AH383&lt;&gt;"Paid",AJ383&lt;&gt;"Completed",AO383&lt;&gt;""),"Warning","Clean"))</f>
        <v>Warning</v>
      </c>
    </row>
    <row r="384" spans="1:52" ht="15.75" customHeight="1">
      <c r="A384" s="6" t="s">
        <v>1990</v>
      </c>
      <c r="B384" s="7" t="s">
        <v>1991</v>
      </c>
      <c r="C384" s="7" t="str">
        <f t="shared" si="58"/>
        <v>2025-03</v>
      </c>
      <c r="D384" s="7" cm="1">
        <f t="array" ref="D384">_xlfn.LET(_xlpm.x,B384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45720</v>
      </c>
      <c r="E384" s="7" t="s">
        <v>633</v>
      </c>
      <c r="F384" s="7" cm="1">
        <f t="array" ref="F384">_xlfn.LET(_xlpm.x,E384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45724</v>
      </c>
      <c r="G384" s="8" t="str">
        <f t="shared" si="32"/>
        <v>OK</v>
      </c>
      <c r="H384" s="6">
        <f t="shared" si="33"/>
        <v>4</v>
      </c>
      <c r="I384" s="6" t="s">
        <v>278</v>
      </c>
      <c r="J384" s="6" t="s">
        <v>153</v>
      </c>
      <c r="K384" s="6" t="str">
        <f t="shared" si="34"/>
        <v>Arjun Bose</v>
      </c>
      <c r="L384" s="6" t="s">
        <v>46</v>
      </c>
      <c r="M384" s="8" t="str">
        <f t="shared" si="35"/>
        <v>Small Business</v>
      </c>
      <c r="N384" s="6" t="s">
        <v>8</v>
      </c>
      <c r="O384" s="6" t="str">
        <f t="shared" si="36"/>
        <v>East</v>
      </c>
      <c r="P384" s="6" t="s">
        <v>263</v>
      </c>
      <c r="Q384" s="6" t="str">
        <f t="shared" si="37"/>
        <v>Bihar</v>
      </c>
      <c r="R384" s="6" t="s">
        <v>264</v>
      </c>
      <c r="S384" s="6" t="str">
        <f t="shared" si="38"/>
        <v>Patna</v>
      </c>
      <c r="T384" s="6" t="s">
        <v>1992</v>
      </c>
      <c r="U384" s="8" t="str">
        <f t="shared" si="39"/>
        <v>Technology</v>
      </c>
      <c r="V384" s="6" t="s">
        <v>31</v>
      </c>
      <c r="W384" s="6" t="str">
        <f t="shared" si="40"/>
        <v>Phones</v>
      </c>
      <c r="X384" s="6" t="s">
        <v>1993</v>
      </c>
      <c r="Y384" s="6" t="s">
        <v>35</v>
      </c>
      <c r="Z384" s="6" t="str">
        <f t="shared" si="41"/>
        <v>First Class</v>
      </c>
      <c r="AA384" s="6">
        <v>3</v>
      </c>
      <c r="AB384" s="6">
        <v>4361.8500000000004</v>
      </c>
      <c r="AC384" s="6">
        <v>0.2</v>
      </c>
      <c r="AD384" s="6">
        <v>10468.44</v>
      </c>
      <c r="AE384" s="6">
        <v>8399.8700000000008</v>
      </c>
      <c r="AF384" s="6">
        <v>2068.5700000000002</v>
      </c>
      <c r="AG384" s="6" t="s">
        <v>52</v>
      </c>
      <c r="AH384" s="6" t="str">
        <f t="shared" si="42"/>
        <v>Paid</v>
      </c>
      <c r="AI384" s="6" t="s">
        <v>134</v>
      </c>
      <c r="AJ384" s="6" t="str">
        <f t="shared" si="43"/>
        <v>Completed</v>
      </c>
      <c r="AK384" s="9" t="str">
        <f>_xlfn.TEXTJOIN("|",FALSE,A384,TEXT(B384,"mm-dd-yyyy"),TEXT(E384,"mm-dd-yyyy"),I384,J384,L384,N384,P384,R384,T384,V384,X384,Y384,AA384,AB384,AC384,AD384,AE384,AF384,AG384,AI384)</f>
        <v>ORD-2025-10383|03-04-2025|03-08-2025|CUST-7098|Arjun Bose|Small Business|East|Bihar|Patna|TECHNOLOGY|Phones|Pro Phones 538|First Class|3|4361.85|0.2|10468.44|8399.87|2068.57|Paid|Completed</v>
      </c>
      <c r="AL384" s="27" t="str">
        <f>IF(COUNTIF($AK$2:AK384,AK384)&gt;1,"Remove exact duplicate copy","Keep")</f>
        <v>Keep</v>
      </c>
      <c r="AM384" s="9">
        <f t="shared" si="44"/>
        <v>1</v>
      </c>
      <c r="AN384" s="9" t="str">
        <f t="shared" si="45"/>
        <v>Unique</v>
      </c>
      <c r="AO384" s="9" t="str">
        <f t="shared" si="46"/>
        <v/>
      </c>
      <c r="AP384" s="9">
        <f t="shared" si="47"/>
        <v>0.2</v>
      </c>
      <c r="AQ384" s="10">
        <f t="shared" si="48"/>
        <v>10468.440000000002</v>
      </c>
      <c r="AR384" s="10">
        <f t="shared" si="49"/>
        <v>2068.5700000000015</v>
      </c>
      <c r="AS384" s="11">
        <f t="shared" si="50"/>
        <v>0.19760059760575607</v>
      </c>
      <c r="AT384" s="9">
        <f t="shared" si="51"/>
        <v>3</v>
      </c>
      <c r="AU384" s="9">
        <f t="shared" si="52"/>
        <v>2025</v>
      </c>
      <c r="AV384" s="9" t="b">
        <f t="shared" si="53"/>
        <v>0</v>
      </c>
      <c r="AW384" s="9" t="b">
        <f t="shared" si="54"/>
        <v>0</v>
      </c>
      <c r="AX384" s="9" t="str">
        <f t="shared" si="55"/>
        <v>Yes</v>
      </c>
      <c r="AY384" s="9" t="str">
        <f t="shared" si="59"/>
        <v/>
      </c>
      <c r="AZ384" s="9" t="str">
        <f>IF(OR(G384="Missing date",G384="Invalid date",G384="Ship date before order date",NOT(ISNUMBER(AP384)),AP384&lt;0,AP384&gt;0.5,AV384=TRUE,AW384=TRUE),"Invalid",IF(OR(O384="Unknown",Z384="Unknown",AC384="",AH384&lt;&gt;"Paid",AJ384&lt;&gt;"Completed",AO384&lt;&gt;""),"Warning","Clean"))</f>
        <v>Clean</v>
      </c>
    </row>
    <row r="385" spans="1:52" ht="15.75" customHeight="1">
      <c r="A385" s="6" t="s">
        <v>1994</v>
      </c>
      <c r="B385" s="7" t="s">
        <v>1604</v>
      </c>
      <c r="C385" s="7" t="str">
        <f t="shared" si="58"/>
        <v>2025-06</v>
      </c>
      <c r="D385" s="7" cm="1">
        <f t="array" ref="D385">_xlfn.LET(_xlpm.x,B385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45836</v>
      </c>
      <c r="E385" s="7" t="s">
        <v>1158</v>
      </c>
      <c r="F385" s="7" cm="1">
        <f t="array" ref="F385">_xlfn.LET(_xlpm.x,E385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45843</v>
      </c>
      <c r="G385" s="8" t="str">
        <f t="shared" si="32"/>
        <v>OK</v>
      </c>
      <c r="H385" s="6">
        <f t="shared" si="33"/>
        <v>7</v>
      </c>
      <c r="I385" s="6" t="s">
        <v>1995</v>
      </c>
      <c r="J385" s="6" t="s">
        <v>169</v>
      </c>
      <c r="K385" s="6" t="str">
        <f t="shared" si="34"/>
        <v>Vikram Iyer</v>
      </c>
      <c r="L385" s="6" t="s">
        <v>45</v>
      </c>
      <c r="M385" s="8" t="str">
        <f t="shared" si="35"/>
        <v>Corporate</v>
      </c>
      <c r="N385" s="6" t="s">
        <v>8</v>
      </c>
      <c r="O385" s="6" t="str">
        <f t="shared" si="36"/>
        <v>East</v>
      </c>
      <c r="P385" s="6" t="s">
        <v>201</v>
      </c>
      <c r="Q385" s="6" t="str">
        <f t="shared" si="37"/>
        <v>West Bengal</v>
      </c>
      <c r="R385" s="6" t="s">
        <v>202</v>
      </c>
      <c r="S385" s="6" t="str">
        <f t="shared" si="38"/>
        <v>Kolkata</v>
      </c>
      <c r="T385" s="6" t="s">
        <v>20</v>
      </c>
      <c r="U385" s="8" t="str">
        <f t="shared" si="39"/>
        <v>Office Supplies</v>
      </c>
      <c r="V385" s="6" t="s">
        <v>21</v>
      </c>
      <c r="W385" s="6" t="str">
        <f t="shared" si="40"/>
        <v>Art</v>
      </c>
      <c r="X385" s="6" t="s">
        <v>1996</v>
      </c>
      <c r="Y385" s="6" t="s">
        <v>35</v>
      </c>
      <c r="Z385" s="6" t="str">
        <f t="shared" si="41"/>
        <v>First Class</v>
      </c>
      <c r="AA385" s="6">
        <v>2</v>
      </c>
      <c r="AB385" s="6">
        <v>2242.75</v>
      </c>
      <c r="AC385" s="6">
        <v>0</v>
      </c>
      <c r="AD385" s="6">
        <v>4485.5</v>
      </c>
      <c r="AE385" s="6">
        <v>3131.86</v>
      </c>
      <c r="AF385" s="6">
        <v>1353.64</v>
      </c>
      <c r="AG385" s="6" t="s">
        <v>52</v>
      </c>
      <c r="AH385" s="6" t="str">
        <f t="shared" si="42"/>
        <v>Paid</v>
      </c>
      <c r="AI385" s="6" t="s">
        <v>58</v>
      </c>
      <c r="AJ385" s="6" t="str">
        <f t="shared" si="43"/>
        <v>Cancelled</v>
      </c>
      <c r="AK385" s="9" t="str">
        <f>_xlfn.TEXTJOIN("|",FALSE,A385,TEXT(B385,"mm-dd-yyyy"),TEXT(E385,"mm-dd-yyyy"),I385,J385,L385,N385,P385,R385,T385,V385,X385,Y385,AA385,AB385,AC385,AD385,AE385,AF385,AG385,AI385)</f>
        <v>ORD-2025-10384|06-28-2025|07-05-2025|CUST-7438|Vikram Iyer|Corporate|East|West Bengal|Kolkata|Office Supplies|Art|Basic Art 608|First Class|2|2242.75|0|4485.5|3131.86|1353.64|Paid|Cancelled</v>
      </c>
      <c r="AL385" s="27" t="str">
        <f>IF(COUNTIF($AK$2:AK385,AK385)&gt;1,"Remove exact duplicate copy","Keep")</f>
        <v>Keep</v>
      </c>
      <c r="AM385" s="9">
        <f t="shared" si="44"/>
        <v>1</v>
      </c>
      <c r="AN385" s="9" t="str">
        <f t="shared" si="45"/>
        <v>Unique</v>
      </c>
      <c r="AO385" s="9" t="str">
        <f t="shared" si="46"/>
        <v/>
      </c>
      <c r="AP385" s="9">
        <f t="shared" si="47"/>
        <v>0</v>
      </c>
      <c r="AQ385" s="10">
        <f t="shared" si="48"/>
        <v>4485.5</v>
      </c>
      <c r="AR385" s="10">
        <f t="shared" si="49"/>
        <v>1353.6399999999999</v>
      </c>
      <c r="AS385" s="11">
        <f t="shared" si="50"/>
        <v>0.30178129528480657</v>
      </c>
      <c r="AT385" s="9">
        <f t="shared" si="51"/>
        <v>6</v>
      </c>
      <c r="AU385" s="9">
        <f t="shared" si="52"/>
        <v>2025</v>
      </c>
      <c r="AV385" s="9" t="b">
        <f t="shared" si="53"/>
        <v>0</v>
      </c>
      <c r="AW385" s="9" t="b">
        <f t="shared" si="54"/>
        <v>0</v>
      </c>
      <c r="AX385" s="9" t="str">
        <f t="shared" si="55"/>
        <v>No</v>
      </c>
      <c r="AY385" s="9" t="str">
        <f t="shared" si="59"/>
        <v>Cancelled order excluded</v>
      </c>
      <c r="AZ385" s="9" t="str">
        <f>IF(OR(G385="Missing date",G385="Invalid date",G385="Ship date before order date",NOT(ISNUMBER(AP385)),AP385&lt;0,AP385&gt;0.5,AV385=TRUE,AW385=TRUE),"Invalid",IF(OR(O385="Unknown",Z385="Unknown",AC385="",AH385&lt;&gt;"Paid",AJ385&lt;&gt;"Completed",AO385&lt;&gt;""),"Warning","Clean"))</f>
        <v>Warning</v>
      </c>
    </row>
    <row r="386" spans="1:52" ht="15.75" customHeight="1">
      <c r="A386" s="6" t="s">
        <v>1997</v>
      </c>
      <c r="B386" s="7" t="s">
        <v>1998</v>
      </c>
      <c r="C386" s="7" t="str">
        <f t="shared" ref="C386:C449" si="60">TEXT(D386, "yyyy-mm")</f>
        <v>2024-03</v>
      </c>
      <c r="D386" s="7" cm="1">
        <f t="array" ref="D386">_xlfn.LET(_xlpm.x,B386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45366</v>
      </c>
      <c r="E386" s="7" t="s">
        <v>1999</v>
      </c>
      <c r="F386" s="7" cm="1">
        <f t="array" ref="F386">_xlfn.LET(_xlpm.x,E386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45371</v>
      </c>
      <c r="G386" s="8" t="str">
        <f t="shared" si="32"/>
        <v>OK</v>
      </c>
      <c r="H386" s="6">
        <f t="shared" si="33"/>
        <v>5</v>
      </c>
      <c r="I386" s="6" t="s">
        <v>2000</v>
      </c>
      <c r="J386" s="6" t="s">
        <v>257</v>
      </c>
      <c r="K386" s="6" t="str">
        <f t="shared" si="34"/>
        <v>Rohan Mehta</v>
      </c>
      <c r="L386" s="6" t="s">
        <v>43</v>
      </c>
      <c r="M386" s="8" t="str">
        <f t="shared" si="35"/>
        <v>Consumer</v>
      </c>
      <c r="N386" s="6" t="s">
        <v>8</v>
      </c>
      <c r="O386" s="6" t="str">
        <f t="shared" si="36"/>
        <v>East</v>
      </c>
      <c r="P386" s="6" t="s">
        <v>385</v>
      </c>
      <c r="Q386" s="6" t="str">
        <f t="shared" si="37"/>
        <v>Jharkhand</v>
      </c>
      <c r="R386" s="6" t="s">
        <v>386</v>
      </c>
      <c r="S386" s="6" t="str">
        <f t="shared" si="38"/>
        <v>Ranchi</v>
      </c>
      <c r="T386" s="6" t="s">
        <v>27</v>
      </c>
      <c r="U386" s="8" t="str">
        <f t="shared" si="39"/>
        <v>Technology</v>
      </c>
      <c r="V386" s="6" t="s">
        <v>29</v>
      </c>
      <c r="W386" s="6" t="str">
        <f t="shared" si="40"/>
        <v>Copiers</v>
      </c>
      <c r="X386" s="6" t="s">
        <v>2001</v>
      </c>
      <c r="Y386" s="6" t="s">
        <v>34</v>
      </c>
      <c r="Z386" s="6" t="str">
        <f t="shared" si="41"/>
        <v>Standard Class</v>
      </c>
      <c r="AA386" s="6">
        <v>2</v>
      </c>
      <c r="AB386" s="6">
        <v>1881.4</v>
      </c>
      <c r="AC386" s="6">
        <v>0.25</v>
      </c>
      <c r="AD386" s="6">
        <v>2822.1</v>
      </c>
      <c r="AE386" s="6">
        <v>1624.57</v>
      </c>
      <c r="AF386" s="6">
        <v>1197.53</v>
      </c>
      <c r="AG386" s="6" t="s">
        <v>52</v>
      </c>
      <c r="AH386" s="6" t="str">
        <f t="shared" si="42"/>
        <v>Paid</v>
      </c>
      <c r="AI386" s="6" t="s">
        <v>59</v>
      </c>
      <c r="AJ386" s="6" t="str">
        <f t="shared" si="43"/>
        <v>Returned</v>
      </c>
      <c r="AK386" s="9" t="str">
        <f>_xlfn.TEXTJOIN("|",FALSE,A386,TEXT(B386,"mm-dd-yyyy"),TEXT(E386,"mm-dd-yyyy"),I386,J386,L386,N386,P386,R386,T386,V386,X386,Y386,AA386,AB386,AC386,AD386,AE386,AF386,AG386,AI386)</f>
        <v>ORD-2024-10385|15-03-2024|03-20-2024|CUST-8432|Rohan Mehta|Consumer|East|Jharkhand|Ranchi|Technology|Copiers|Prime Copiers 820|Standard Class|2|1881.4|0.25|2822.1|1624.57|1197.53|Paid|Returned</v>
      </c>
      <c r="AL386" s="27" t="str">
        <f>IF(COUNTIF($AK$2:AK386,AK386)&gt;1,"Remove exact duplicate copy","Keep")</f>
        <v>Keep</v>
      </c>
      <c r="AM386" s="9">
        <f t="shared" si="44"/>
        <v>1</v>
      </c>
      <c r="AN386" s="9" t="str">
        <f t="shared" si="45"/>
        <v>Unique</v>
      </c>
      <c r="AO386" s="9" t="str">
        <f t="shared" si="46"/>
        <v/>
      </c>
      <c r="AP386" s="9">
        <f t="shared" si="47"/>
        <v>0.25</v>
      </c>
      <c r="AQ386" s="10">
        <f t="shared" si="48"/>
        <v>2822.1000000000004</v>
      </c>
      <c r="AR386" s="10">
        <f t="shared" si="49"/>
        <v>1197.5300000000004</v>
      </c>
      <c r="AS386" s="11">
        <f t="shared" si="50"/>
        <v>0.42434003047376079</v>
      </c>
      <c r="AT386" s="9">
        <f t="shared" si="51"/>
        <v>3</v>
      </c>
      <c r="AU386" s="9">
        <f t="shared" si="52"/>
        <v>2024</v>
      </c>
      <c r="AV386" s="9" t="b">
        <f t="shared" si="53"/>
        <v>0</v>
      </c>
      <c r="AW386" s="9" t="b">
        <f t="shared" si="54"/>
        <v>0</v>
      </c>
      <c r="AX386" s="9" t="str">
        <f t="shared" si="55"/>
        <v>No</v>
      </c>
      <c r="AY386" s="9" t="str">
        <f t="shared" si="59"/>
        <v>Returned order excluded</v>
      </c>
      <c r="AZ386" s="9" t="str">
        <f>IF(OR(G386="Missing date",G386="Invalid date",G386="Ship date before order date",NOT(ISNUMBER(AP386)),AP386&lt;0,AP386&gt;0.5,AV386=TRUE,AW386=TRUE),"Invalid",IF(OR(O386="Unknown",Z386="Unknown",AC386="",AH386&lt;&gt;"Paid",AJ386&lt;&gt;"Completed",AO386&lt;&gt;""),"Warning","Clean"))</f>
        <v>Warning</v>
      </c>
    </row>
    <row r="387" spans="1:52" ht="15.75" customHeight="1">
      <c r="A387" s="6" t="s">
        <v>2002</v>
      </c>
      <c r="B387" s="7" t="s">
        <v>1078</v>
      </c>
      <c r="C387" s="7" t="str">
        <f t="shared" si="60"/>
        <v>2025-06</v>
      </c>
      <c r="D387" s="7" cm="1">
        <f t="array" ref="D387">_xlfn.LET(_xlpm.x,B387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45832</v>
      </c>
      <c r="E387" s="7" t="s">
        <v>2003</v>
      </c>
      <c r="F387" s="7" cm="1">
        <f t="array" ref="F387">_xlfn.LET(_xlpm.x,E387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45838</v>
      </c>
      <c r="G387" s="8" t="str">
        <f t="shared" si="32"/>
        <v>OK</v>
      </c>
      <c r="H387" s="6">
        <f t="shared" si="33"/>
        <v>6</v>
      </c>
      <c r="I387" s="6" t="s">
        <v>2004</v>
      </c>
      <c r="J387" s="6" t="s">
        <v>153</v>
      </c>
      <c r="K387" s="6" t="str">
        <f t="shared" si="34"/>
        <v>Arjun Bose</v>
      </c>
      <c r="L387" s="6" t="s">
        <v>43</v>
      </c>
      <c r="M387" s="8" t="str">
        <f t="shared" si="35"/>
        <v>Consumer</v>
      </c>
      <c r="N387" s="6" t="s">
        <v>7</v>
      </c>
      <c r="O387" s="6" t="str">
        <f t="shared" si="36"/>
        <v>North</v>
      </c>
      <c r="P387" s="6" t="s">
        <v>397</v>
      </c>
      <c r="Q387" s="6" t="str">
        <f t="shared" si="37"/>
        <v>Haryana</v>
      </c>
      <c r="R387" s="6" t="s">
        <v>398</v>
      </c>
      <c r="S387" s="6" t="str">
        <f t="shared" si="38"/>
        <v>Gurugram</v>
      </c>
      <c r="T387" s="6" t="s">
        <v>20</v>
      </c>
      <c r="U387" s="8" t="str">
        <f t="shared" si="39"/>
        <v>Office Supplies</v>
      </c>
      <c r="V387" s="6" t="s">
        <v>23</v>
      </c>
      <c r="W387" s="6" t="str">
        <f t="shared" si="40"/>
        <v>Labels</v>
      </c>
      <c r="X387" s="6" t="s">
        <v>2005</v>
      </c>
      <c r="Y387" s="6" t="s">
        <v>34</v>
      </c>
      <c r="Z387" s="6" t="str">
        <f t="shared" si="41"/>
        <v>Standard Class</v>
      </c>
      <c r="AA387" s="6">
        <v>6</v>
      </c>
      <c r="AB387" s="6">
        <v>365.76</v>
      </c>
      <c r="AC387" s="6">
        <v>0.1</v>
      </c>
      <c r="AD387" s="6">
        <v>1975.1</v>
      </c>
      <c r="AE387" s="6">
        <v>1115.3499999999999</v>
      </c>
      <c r="AF387" s="6">
        <v>859.75</v>
      </c>
      <c r="AG387" s="6" t="s">
        <v>52</v>
      </c>
      <c r="AH387" s="6" t="str">
        <f t="shared" si="42"/>
        <v>Paid</v>
      </c>
      <c r="AI387" s="6" t="s">
        <v>134</v>
      </c>
      <c r="AJ387" s="6" t="str">
        <f t="shared" si="43"/>
        <v>Completed</v>
      </c>
      <c r="AK387" s="9" t="str">
        <f>_xlfn.TEXTJOIN("|",FALSE,A387,TEXT(B387,"mm-dd-yyyy"),TEXT(E387,"mm-dd-yyyy"),I387,J387,L387,N387,P387,R387,T387,V387,X387,Y387,AA387,AB387,AC387,AD387,AE387,AF387,AG387,AI387)</f>
        <v>ORD-2025-10386|06-24-2025|06-30-2025|CUST-2834|Arjun Bose|Consumer|North|Haryana|Gurugram|Office Supplies|Labels|Classic Labels 670|Standard Class|6|365.76|0.1|1975.1|1115.35|859.75|Paid|Completed</v>
      </c>
      <c r="AL387" s="27" t="str">
        <f>IF(COUNTIF($AK$2:AK387,AK387)&gt;1,"Remove exact duplicate copy","Keep")</f>
        <v>Keep</v>
      </c>
      <c r="AM387" s="9">
        <f t="shared" si="44"/>
        <v>1</v>
      </c>
      <c r="AN387" s="9" t="str">
        <f t="shared" si="45"/>
        <v>Unique</v>
      </c>
      <c r="AO387" s="9" t="str">
        <f t="shared" si="46"/>
        <v/>
      </c>
      <c r="AP387" s="9">
        <f t="shared" si="47"/>
        <v>0.1</v>
      </c>
      <c r="AQ387" s="10">
        <f t="shared" si="48"/>
        <v>1975.104</v>
      </c>
      <c r="AR387" s="10">
        <f t="shared" si="49"/>
        <v>859.75400000000013</v>
      </c>
      <c r="AS387" s="11">
        <f t="shared" si="50"/>
        <v>0.4352955591199249</v>
      </c>
      <c r="AT387" s="9">
        <f t="shared" si="51"/>
        <v>6</v>
      </c>
      <c r="AU387" s="9">
        <f t="shared" si="52"/>
        <v>2025</v>
      </c>
      <c r="AV387" s="9" t="b">
        <f t="shared" si="53"/>
        <v>0</v>
      </c>
      <c r="AW387" s="9" t="b">
        <f t="shared" si="54"/>
        <v>0</v>
      </c>
      <c r="AX387" s="9" t="str">
        <f t="shared" si="55"/>
        <v>Yes</v>
      </c>
      <c r="AY387" s="9" t="str">
        <f t="shared" ref="AY387:AY450" si="61">_xlfn.TEXTJOIN("; ",TRUE,IF(O387="Unknown","Missing region filled as Unknown",""),IF(Z387="Unknown","Missing ship mode filled as Unknown",""),IF(AND(AC387="",AP387=0),"Missing discount treated as 0",""),IF(AP387&lt;0,"Negative discount",""),IF(AP387&gt;0.5,"Discount above 50%",""),IF(G387="Ship date before order date","Ship date before order date",""),IF(AH387="Failed","Failed payment excluded",""),IF(AH387="Refunded","Refunded order summarized separately",""),IF(AJ387="Cancelled","Cancelled order excluded",""),IF(AJ387="Returned","Returned order excluded",""),IF(AO387&lt;&gt;"","Duplicate order ID conflict",""),IF(AV387=TRUE,"Sales mismatch",""),IF(AW387=TRUE,"Profit mismatch",""))</f>
        <v/>
      </c>
      <c r="AZ387" s="9" t="str">
        <f>IF(OR(G387="Missing date",G387="Invalid date",G387="Ship date before order date",NOT(ISNUMBER(AP387)),AP387&lt;0,AP387&gt;0.5,AV387=TRUE,AW387=TRUE),"Invalid",IF(OR(O387="Unknown",Z387="Unknown",AC387="",AH387&lt;&gt;"Paid",AJ387&lt;&gt;"Completed",AO387&lt;&gt;""),"Warning","Clean"))</f>
        <v>Clean</v>
      </c>
    </row>
    <row r="388" spans="1:52" ht="15.75" customHeight="1">
      <c r="A388" s="6" t="s">
        <v>2006</v>
      </c>
      <c r="B388" s="7" t="s">
        <v>1483</v>
      </c>
      <c r="C388" s="7" t="str">
        <f t="shared" si="60"/>
        <v>2025-02</v>
      </c>
      <c r="D388" s="7" cm="1">
        <f t="array" ref="D388">_xlfn.LET(_xlpm.x,B388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45700</v>
      </c>
      <c r="E388" s="7" t="s">
        <v>2007</v>
      </c>
      <c r="F388" s="7" cm="1">
        <f t="array" ref="F388">_xlfn.LET(_xlpm.x,E388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45702</v>
      </c>
      <c r="G388" s="8" t="str">
        <f t="shared" si="32"/>
        <v>OK</v>
      </c>
      <c r="H388" s="6">
        <f t="shared" si="33"/>
        <v>2</v>
      </c>
      <c r="I388" s="6" t="s">
        <v>2008</v>
      </c>
      <c r="J388" s="6" t="s">
        <v>245</v>
      </c>
      <c r="K388" s="6" t="str">
        <f t="shared" si="34"/>
        <v>Sneha Kapoor</v>
      </c>
      <c r="L388" s="6" t="s">
        <v>43</v>
      </c>
      <c r="M388" s="8" t="str">
        <f t="shared" si="35"/>
        <v>Consumer</v>
      </c>
      <c r="N388" s="6" t="s">
        <v>9</v>
      </c>
      <c r="O388" s="6" t="str">
        <f t="shared" si="36"/>
        <v>West</v>
      </c>
      <c r="P388" s="6" t="s">
        <v>162</v>
      </c>
      <c r="Q388" s="6" t="str">
        <f t="shared" si="37"/>
        <v>Maharashtra</v>
      </c>
      <c r="R388" s="6" t="s">
        <v>163</v>
      </c>
      <c r="S388" s="6" t="str">
        <f t="shared" si="38"/>
        <v>Mumbai</v>
      </c>
      <c r="T388" s="6" t="s">
        <v>14</v>
      </c>
      <c r="U388" s="8" t="str">
        <f t="shared" si="39"/>
        <v>Furniture</v>
      </c>
      <c r="V388" s="6" t="s">
        <v>17</v>
      </c>
      <c r="W388" s="6" t="str">
        <f t="shared" si="40"/>
        <v>Furnishings</v>
      </c>
      <c r="X388" s="6" t="s">
        <v>2009</v>
      </c>
      <c r="Y388" s="6" t="s">
        <v>36</v>
      </c>
      <c r="Z388" s="6" t="str">
        <f t="shared" si="41"/>
        <v>Second Class</v>
      </c>
      <c r="AA388" s="6">
        <v>8</v>
      </c>
      <c r="AB388" s="6">
        <v>2786.66</v>
      </c>
      <c r="AC388" s="6">
        <v>0.1</v>
      </c>
      <c r="AD388" s="6">
        <v>20063.95</v>
      </c>
      <c r="AE388" s="6">
        <v>14363.38</v>
      </c>
      <c r="AF388" s="6">
        <v>5700.57</v>
      </c>
      <c r="AG388" s="6" t="s">
        <v>52</v>
      </c>
      <c r="AH388" s="6" t="str">
        <f t="shared" si="42"/>
        <v>Paid</v>
      </c>
      <c r="AI388" s="6" t="s">
        <v>134</v>
      </c>
      <c r="AJ388" s="6" t="str">
        <f t="shared" si="43"/>
        <v>Completed</v>
      </c>
      <c r="AK388" s="9" t="str">
        <f>_xlfn.TEXTJOIN("|",FALSE,A388,TEXT(B388,"mm-dd-yyyy"),TEXT(E388,"mm-dd-yyyy"),I388,J388,L388,N388,P388,R388,T388,V388,X388,Y388,AA388,AB388,AC388,AD388,AE388,AF388,AG388,AI388)</f>
        <v>ORD-2025-10387|02-12-2025|14-02-2025|CUST-4222|Sneha Kapoor|Consumer|West|Maharashtra|Mumbai|Furniture|Furnishings|Prime Furnishings 597|Second Class|8|2786.66|0.1|20063.95|14363.38|5700.57|Paid|Completed</v>
      </c>
      <c r="AL388" s="27" t="str">
        <f>IF(COUNTIF($AK$2:AK388,AK388)&gt;1,"Remove exact duplicate copy","Keep")</f>
        <v>Keep</v>
      </c>
      <c r="AM388" s="9">
        <f t="shared" si="44"/>
        <v>1</v>
      </c>
      <c r="AN388" s="9" t="str">
        <f t="shared" si="45"/>
        <v>Unique</v>
      </c>
      <c r="AO388" s="9" t="str">
        <f t="shared" si="46"/>
        <v/>
      </c>
      <c r="AP388" s="9">
        <f t="shared" si="47"/>
        <v>0.1</v>
      </c>
      <c r="AQ388" s="10">
        <f t="shared" si="48"/>
        <v>20063.952000000001</v>
      </c>
      <c r="AR388" s="10">
        <f t="shared" si="49"/>
        <v>5700.5720000000019</v>
      </c>
      <c r="AS388" s="11">
        <f t="shared" si="50"/>
        <v>0.2841200975759911</v>
      </c>
      <c r="AT388" s="9">
        <f t="shared" si="51"/>
        <v>2</v>
      </c>
      <c r="AU388" s="9">
        <f t="shared" si="52"/>
        <v>2025</v>
      </c>
      <c r="AV388" s="9" t="b">
        <f t="shared" si="53"/>
        <v>0</v>
      </c>
      <c r="AW388" s="9" t="b">
        <f t="shared" si="54"/>
        <v>0</v>
      </c>
      <c r="AX388" s="9" t="str">
        <f t="shared" si="55"/>
        <v>Yes</v>
      </c>
      <c r="AY388" s="9" t="str">
        <f t="shared" si="61"/>
        <v/>
      </c>
      <c r="AZ388" s="9" t="str">
        <f>IF(OR(G388="Missing date",G388="Invalid date",G388="Ship date before order date",NOT(ISNUMBER(AP388)),AP388&lt;0,AP388&gt;0.5,AV388=TRUE,AW388=TRUE),"Invalid",IF(OR(O388="Unknown",Z388="Unknown",AC388="",AH388&lt;&gt;"Paid",AJ388&lt;&gt;"Completed",AO388&lt;&gt;""),"Warning","Clean"))</f>
        <v>Clean</v>
      </c>
    </row>
    <row r="389" spans="1:52" ht="15.75" customHeight="1">
      <c r="A389" s="6" t="s">
        <v>2010</v>
      </c>
      <c r="B389" s="7" t="s">
        <v>1026</v>
      </c>
      <c r="C389" s="7" t="str">
        <f t="shared" si="60"/>
        <v>2025-08</v>
      </c>
      <c r="D389" s="7" cm="1">
        <f t="array" ref="D389">_xlfn.LET(_xlpm.x,B389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45879</v>
      </c>
      <c r="E389" s="7" t="s">
        <v>1201</v>
      </c>
      <c r="F389" s="7" cm="1">
        <f t="array" ref="F389">_xlfn.LET(_xlpm.x,E389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45882</v>
      </c>
      <c r="G389" s="8" t="str">
        <f t="shared" si="32"/>
        <v>OK</v>
      </c>
      <c r="H389" s="6">
        <f t="shared" si="33"/>
        <v>3</v>
      </c>
      <c r="I389" s="6" t="s">
        <v>2011</v>
      </c>
      <c r="J389" s="6" t="s">
        <v>220</v>
      </c>
      <c r="K389" s="6" t="str">
        <f t="shared" si="34"/>
        <v>Priya Menon</v>
      </c>
      <c r="L389" s="6" t="s">
        <v>46</v>
      </c>
      <c r="M389" s="8" t="str">
        <f t="shared" si="35"/>
        <v>Small Business</v>
      </c>
      <c r="N389" s="6" t="s">
        <v>9</v>
      </c>
      <c r="O389" s="6" t="str">
        <f t="shared" si="36"/>
        <v>West</v>
      </c>
      <c r="P389" s="6" t="s">
        <v>170</v>
      </c>
      <c r="Q389" s="6" t="str">
        <f t="shared" si="37"/>
        <v>Madhya Pradesh</v>
      </c>
      <c r="R389" s="6" t="s">
        <v>171</v>
      </c>
      <c r="S389" s="6" t="str">
        <f t="shared" si="38"/>
        <v>Indore</v>
      </c>
      <c r="T389" s="6" t="s">
        <v>14</v>
      </c>
      <c r="U389" s="8" t="str">
        <f t="shared" si="39"/>
        <v>Furniture</v>
      </c>
      <c r="V389" s="6" t="s">
        <v>16</v>
      </c>
      <c r="W389" s="6" t="str">
        <f t="shared" si="40"/>
        <v>Chairs</v>
      </c>
      <c r="X389" s="6" t="s">
        <v>2012</v>
      </c>
      <c r="Y389" s="6" t="s">
        <v>34</v>
      </c>
      <c r="Z389" s="6" t="str">
        <f t="shared" si="41"/>
        <v>Standard Class</v>
      </c>
      <c r="AA389" s="6">
        <v>5</v>
      </c>
      <c r="AB389" s="6">
        <v>352.86</v>
      </c>
      <c r="AC389" s="6">
        <v>0</v>
      </c>
      <c r="AD389" s="6">
        <v>1764.3</v>
      </c>
      <c r="AE389" s="6">
        <v>1332.49</v>
      </c>
      <c r="AF389" s="6">
        <v>431.81</v>
      </c>
      <c r="AG389" s="6" t="s">
        <v>54</v>
      </c>
      <c r="AH389" s="6" t="str">
        <f t="shared" si="42"/>
        <v>Pending</v>
      </c>
      <c r="AI389" s="6" t="s">
        <v>58</v>
      </c>
      <c r="AJ389" s="6" t="str">
        <f t="shared" si="43"/>
        <v>Cancelled</v>
      </c>
      <c r="AK389" s="9" t="str">
        <f>_xlfn.TEXTJOIN("|",FALSE,A389,TEXT(B389,"mm-dd-yyyy"),TEXT(E389,"mm-dd-yyyy"),I389,J389,L389,N389,P389,R389,T389,V389,X389,Y389,AA389,AB389,AC389,AD389,AE389,AF389,AG389,AI389)</f>
        <v>ORD-2025-10388|10-08-2025|08-13-2025|CUST-1053|Priya Menon|Small Business|West|Madhya Pradesh|Indore|Furniture|Chairs|Prime Chairs 196|Standard Class|5|352.86|0|1764.3|1332.49|431.81|Pending|Cancelled</v>
      </c>
      <c r="AL389" s="27" t="str">
        <f>IF(COUNTIF($AK$2:AK389,AK389)&gt;1,"Remove exact duplicate copy","Keep")</f>
        <v>Keep</v>
      </c>
      <c r="AM389" s="9">
        <f t="shared" si="44"/>
        <v>1</v>
      </c>
      <c r="AN389" s="9" t="str">
        <f t="shared" si="45"/>
        <v>Unique</v>
      </c>
      <c r="AO389" s="9" t="str">
        <f t="shared" si="46"/>
        <v/>
      </c>
      <c r="AP389" s="9">
        <f t="shared" si="47"/>
        <v>0</v>
      </c>
      <c r="AQ389" s="10">
        <f t="shared" si="48"/>
        <v>1764.3000000000002</v>
      </c>
      <c r="AR389" s="10">
        <f t="shared" si="49"/>
        <v>431.81000000000017</v>
      </c>
      <c r="AS389" s="11">
        <f t="shared" si="50"/>
        <v>0.24474862551720236</v>
      </c>
      <c r="AT389" s="9">
        <f t="shared" si="51"/>
        <v>8</v>
      </c>
      <c r="AU389" s="9">
        <f t="shared" si="52"/>
        <v>2025</v>
      </c>
      <c r="AV389" s="9" t="b">
        <f t="shared" si="53"/>
        <v>0</v>
      </c>
      <c r="AW389" s="9" t="b">
        <f t="shared" si="54"/>
        <v>0</v>
      </c>
      <c r="AX389" s="9" t="str">
        <f t="shared" si="55"/>
        <v>No</v>
      </c>
      <c r="AY389" s="9" t="str">
        <f t="shared" si="61"/>
        <v>Cancelled order excluded</v>
      </c>
      <c r="AZ389" s="9" t="str">
        <f>IF(OR(G389="Missing date",G389="Invalid date",G389="Ship date before order date",NOT(ISNUMBER(AP389)),AP389&lt;0,AP389&gt;0.5,AV389=TRUE,AW389=TRUE),"Invalid",IF(OR(O389="Unknown",Z389="Unknown",AC389="",AH389&lt;&gt;"Paid",AJ389&lt;&gt;"Completed",AO389&lt;&gt;""),"Warning","Clean"))</f>
        <v>Warning</v>
      </c>
    </row>
    <row r="390" spans="1:52" ht="15.75" customHeight="1">
      <c r="A390" s="6" t="s">
        <v>2013</v>
      </c>
      <c r="B390" s="7" t="s">
        <v>2014</v>
      </c>
      <c r="C390" s="7" t="str">
        <f t="shared" si="60"/>
        <v>2024-05</v>
      </c>
      <c r="D390" s="7" cm="1">
        <f t="array" ref="D390">_xlfn.LET(_xlpm.x,B390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45425</v>
      </c>
      <c r="E390" s="7" t="s">
        <v>2015</v>
      </c>
      <c r="F390" s="7" cm="1">
        <f t="array" ref="F390">_xlfn.LET(_xlpm.x,E390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45430</v>
      </c>
      <c r="G390" s="8" t="str">
        <f t="shared" si="32"/>
        <v>OK</v>
      </c>
      <c r="H390" s="6">
        <f t="shared" si="33"/>
        <v>5</v>
      </c>
      <c r="I390" s="6" t="s">
        <v>2016</v>
      </c>
      <c r="J390" s="6" t="s">
        <v>147</v>
      </c>
      <c r="K390" s="6" t="str">
        <f t="shared" si="34"/>
        <v>Isha Nair</v>
      </c>
      <c r="L390" s="6" t="s">
        <v>46</v>
      </c>
      <c r="M390" s="8" t="str">
        <f t="shared" si="35"/>
        <v>Small Business</v>
      </c>
      <c r="N390" s="6" t="s">
        <v>9</v>
      </c>
      <c r="O390" s="6" t="str">
        <f t="shared" si="36"/>
        <v>West</v>
      </c>
      <c r="P390" s="6" t="s">
        <v>309</v>
      </c>
      <c r="Q390" s="6" t="str">
        <f t="shared" si="37"/>
        <v>Gujarat</v>
      </c>
      <c r="R390" s="6" t="s">
        <v>310</v>
      </c>
      <c r="S390" s="6" t="str">
        <f t="shared" si="38"/>
        <v>Ahmedabad</v>
      </c>
      <c r="T390" s="6" t="s">
        <v>14</v>
      </c>
      <c r="U390" s="8" t="str">
        <f t="shared" si="39"/>
        <v>Furniture</v>
      </c>
      <c r="V390" s="6" t="s">
        <v>16</v>
      </c>
      <c r="W390" s="6" t="str">
        <f t="shared" si="40"/>
        <v>Chairs</v>
      </c>
      <c r="X390" s="6" t="s">
        <v>2017</v>
      </c>
      <c r="Y390" s="6" t="s">
        <v>34</v>
      </c>
      <c r="Z390" s="6" t="str">
        <f t="shared" si="41"/>
        <v>Standard Class</v>
      </c>
      <c r="AA390" s="6">
        <v>3</v>
      </c>
      <c r="AB390" s="6">
        <v>3128.59</v>
      </c>
      <c r="AC390" s="6">
        <v>0</v>
      </c>
      <c r="AD390" s="6">
        <v>9385.77</v>
      </c>
      <c r="AE390" s="6">
        <v>6872.44</v>
      </c>
      <c r="AF390" s="6">
        <v>2783.66</v>
      </c>
      <c r="AG390" s="6" t="s">
        <v>52</v>
      </c>
      <c r="AH390" s="6" t="str">
        <f t="shared" si="42"/>
        <v>Paid</v>
      </c>
      <c r="AI390" s="6" t="s">
        <v>134</v>
      </c>
      <c r="AJ390" s="6" t="str">
        <f t="shared" si="43"/>
        <v>Completed</v>
      </c>
      <c r="AK390" s="9" t="str">
        <f>_xlfn.TEXTJOIN("|",FALSE,A390,TEXT(B390,"mm-dd-yyyy"),TEXT(E390,"mm-dd-yyyy"),I390,J390,L390,N390,P390,R390,T390,V390,X390,Y390,AA390,AB390,AC390,AD390,AE390,AF390,AG390,AI390)</f>
        <v>ORD-2024-10389|05-13-2024|05-18-2024|CUST-1457|Isha Nair|Small Business|West|Gujarat|Ahmedabad|Furniture|Chairs|Elite Chairs 639|Standard Class|3|3128.59|0|9385.77|6872.44|2783.66|Paid|Completed</v>
      </c>
      <c r="AL390" s="27" t="str">
        <f>IF(COUNTIF($AK$2:AK390,AK390)&gt;1,"Remove exact duplicate copy","Keep")</f>
        <v>Keep</v>
      </c>
      <c r="AM390" s="9">
        <f t="shared" si="44"/>
        <v>1</v>
      </c>
      <c r="AN390" s="9" t="str">
        <f t="shared" si="45"/>
        <v>Unique</v>
      </c>
      <c r="AO390" s="9" t="str">
        <f t="shared" si="46"/>
        <v/>
      </c>
      <c r="AP390" s="9">
        <f t="shared" si="47"/>
        <v>0</v>
      </c>
      <c r="AQ390" s="10">
        <f t="shared" si="48"/>
        <v>9385.77</v>
      </c>
      <c r="AR390" s="10">
        <f t="shared" si="49"/>
        <v>2513.3300000000008</v>
      </c>
      <c r="AS390" s="11">
        <f t="shared" si="50"/>
        <v>0.26778090662779941</v>
      </c>
      <c r="AT390" s="9">
        <f t="shared" si="51"/>
        <v>5</v>
      </c>
      <c r="AU390" s="9">
        <f t="shared" si="52"/>
        <v>2024</v>
      </c>
      <c r="AV390" s="9" t="b">
        <f t="shared" si="53"/>
        <v>0</v>
      </c>
      <c r="AW390" s="9" t="b">
        <f t="shared" si="54"/>
        <v>1</v>
      </c>
      <c r="AX390" s="9" t="str">
        <f t="shared" si="55"/>
        <v>No</v>
      </c>
      <c r="AY390" s="9" t="str">
        <f t="shared" si="61"/>
        <v>Profit mismatch</v>
      </c>
      <c r="AZ390" s="9" t="str">
        <f>IF(OR(G390="Missing date",G390="Invalid date",G390="Ship date before order date",NOT(ISNUMBER(AP390)),AP390&lt;0,AP390&gt;0.5,AV390=TRUE,AW390=TRUE),"Invalid",IF(OR(O390="Unknown",Z390="Unknown",AC390="",AH390&lt;&gt;"Paid",AJ390&lt;&gt;"Completed",AO390&lt;&gt;""),"Warning","Clean"))</f>
        <v>Invalid</v>
      </c>
    </row>
    <row r="391" spans="1:52" ht="15.75" customHeight="1">
      <c r="A391" s="6" t="s">
        <v>2018</v>
      </c>
      <c r="B391" s="7" t="s">
        <v>2019</v>
      </c>
      <c r="C391" s="7" t="str">
        <f t="shared" si="60"/>
        <v>2024-04</v>
      </c>
      <c r="D391" s="7" cm="1">
        <f t="array" ref="D391">_xlfn.LET(_xlpm.x,B391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45387</v>
      </c>
      <c r="E391" s="7" t="s">
        <v>424</v>
      </c>
      <c r="F391" s="7" cm="1">
        <f t="array" ref="F391">_xlfn.LET(_xlpm.x,E391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45395</v>
      </c>
      <c r="G391" s="8" t="str">
        <f t="shared" si="32"/>
        <v>OK</v>
      </c>
      <c r="H391" s="6">
        <f t="shared" si="33"/>
        <v>8</v>
      </c>
      <c r="I391" s="6" t="s">
        <v>2020</v>
      </c>
      <c r="J391" s="6" t="s">
        <v>284</v>
      </c>
      <c r="K391" s="6" t="str">
        <f t="shared" si="34"/>
        <v>Diya Patel</v>
      </c>
      <c r="L391" s="6" t="s">
        <v>45</v>
      </c>
      <c r="M391" s="8" t="str">
        <f t="shared" si="35"/>
        <v>Corporate</v>
      </c>
      <c r="N391" s="6" t="s">
        <v>9</v>
      </c>
      <c r="O391" s="6" t="str">
        <f t="shared" si="36"/>
        <v>West</v>
      </c>
      <c r="P391" s="6" t="s">
        <v>309</v>
      </c>
      <c r="Q391" s="6" t="str">
        <f t="shared" si="37"/>
        <v>Gujarat</v>
      </c>
      <c r="R391" s="6" t="s">
        <v>310</v>
      </c>
      <c r="S391" s="6" t="str">
        <f t="shared" si="38"/>
        <v>Ahmedabad</v>
      </c>
      <c r="T391" s="6" t="s">
        <v>27</v>
      </c>
      <c r="U391" s="8" t="str">
        <f t="shared" si="39"/>
        <v>Technology</v>
      </c>
      <c r="V391" s="6" t="s">
        <v>30</v>
      </c>
      <c r="W391" s="6" t="str">
        <f t="shared" si="40"/>
        <v>Machines</v>
      </c>
      <c r="X391" s="6" t="s">
        <v>2021</v>
      </c>
      <c r="Y391" s="6" t="s">
        <v>36</v>
      </c>
      <c r="Z391" s="6" t="str">
        <f t="shared" si="41"/>
        <v>Second Class</v>
      </c>
      <c r="AA391" s="6">
        <v>5</v>
      </c>
      <c r="AB391" s="6">
        <v>1937.54</v>
      </c>
      <c r="AC391" s="6">
        <v>0.2</v>
      </c>
      <c r="AD391" s="6">
        <v>7750.16</v>
      </c>
      <c r="AE391" s="6">
        <v>5434.3</v>
      </c>
      <c r="AF391" s="6">
        <v>2315.86</v>
      </c>
      <c r="AG391" s="6" t="s">
        <v>54</v>
      </c>
      <c r="AH391" s="6" t="str">
        <f t="shared" si="42"/>
        <v>Pending</v>
      </c>
      <c r="AI391" s="6" t="s">
        <v>58</v>
      </c>
      <c r="AJ391" s="6" t="str">
        <f t="shared" si="43"/>
        <v>Cancelled</v>
      </c>
      <c r="AK391" s="9" t="str">
        <f>_xlfn.TEXTJOIN("|",FALSE,A391,TEXT(B391,"mm-dd-yyyy"),TEXT(E391,"mm-dd-yyyy"),I391,J391,L391,N391,P391,R391,T391,V391,X391,Y391,AA391,AB391,AC391,AD391,AE391,AF391,AG391,AI391)</f>
        <v>ORD-2024-10390|04-05-2024|04-13-2024|CUST-3930|Diya Patel|Corporate|West|Gujarat|Ahmedabad|Technology|Machines|Elite Machines 563|Second Class|5|1937.54|0.2|7750.16|5434.3|2315.86|Pending|Cancelled</v>
      </c>
      <c r="AL391" s="27" t="str">
        <f>IF(COUNTIF($AK$2:AK391,AK391)&gt;1,"Remove exact duplicate copy","Keep")</f>
        <v>Keep</v>
      </c>
      <c r="AM391" s="9">
        <f t="shared" si="44"/>
        <v>1</v>
      </c>
      <c r="AN391" s="9" t="str">
        <f t="shared" si="45"/>
        <v>Unique</v>
      </c>
      <c r="AO391" s="9" t="str">
        <f t="shared" si="46"/>
        <v/>
      </c>
      <c r="AP391" s="9">
        <f t="shared" si="47"/>
        <v>0.2</v>
      </c>
      <c r="AQ391" s="10">
        <f t="shared" si="48"/>
        <v>7750.1600000000008</v>
      </c>
      <c r="AR391" s="10">
        <f t="shared" si="49"/>
        <v>2315.8600000000006</v>
      </c>
      <c r="AS391" s="11">
        <f t="shared" si="50"/>
        <v>0.29881447608823564</v>
      </c>
      <c r="AT391" s="9">
        <f t="shared" si="51"/>
        <v>4</v>
      </c>
      <c r="AU391" s="9">
        <f t="shared" si="52"/>
        <v>2024</v>
      </c>
      <c r="AV391" s="9" t="b">
        <f t="shared" si="53"/>
        <v>0</v>
      </c>
      <c r="AW391" s="9" t="b">
        <f t="shared" si="54"/>
        <v>0</v>
      </c>
      <c r="AX391" s="9" t="str">
        <f t="shared" si="55"/>
        <v>No</v>
      </c>
      <c r="AY391" s="9" t="str">
        <f t="shared" si="61"/>
        <v>Cancelled order excluded</v>
      </c>
      <c r="AZ391" s="9" t="str">
        <f>IF(OR(G391="Missing date",G391="Invalid date",G391="Ship date before order date",NOT(ISNUMBER(AP391)),AP391&lt;0,AP391&gt;0.5,AV391=TRUE,AW391=TRUE),"Invalid",IF(OR(O391="Unknown",Z391="Unknown",AC391="",AH391&lt;&gt;"Paid",AJ391&lt;&gt;"Completed",AO391&lt;&gt;""),"Warning","Clean"))</f>
        <v>Warning</v>
      </c>
    </row>
    <row r="392" spans="1:52" ht="15.75" customHeight="1">
      <c r="A392" s="6" t="s">
        <v>2022</v>
      </c>
      <c r="B392" s="7" t="s">
        <v>2023</v>
      </c>
      <c r="C392" s="7" t="str">
        <f t="shared" si="60"/>
        <v>2024-11</v>
      </c>
      <c r="D392" s="7" cm="1">
        <f t="array" ref="D392">_xlfn.LET(_xlpm.x,B392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45602</v>
      </c>
      <c r="E392" s="7" t="s">
        <v>560</v>
      </c>
      <c r="F392" s="7" cm="1">
        <f t="array" ref="F392">_xlfn.LET(_xlpm.x,E392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45607</v>
      </c>
      <c r="G392" s="8" t="str">
        <f t="shared" si="32"/>
        <v>OK</v>
      </c>
      <c r="H392" s="6">
        <f t="shared" si="33"/>
        <v>5</v>
      </c>
      <c r="I392" s="6" t="s">
        <v>2024</v>
      </c>
      <c r="J392" s="6" t="s">
        <v>147</v>
      </c>
      <c r="K392" s="6" t="str">
        <f t="shared" si="34"/>
        <v>Isha Nair</v>
      </c>
      <c r="L392" s="6" t="s">
        <v>43</v>
      </c>
      <c r="M392" s="8" t="str">
        <f t="shared" si="35"/>
        <v>Consumer</v>
      </c>
      <c r="N392" s="6" t="s">
        <v>9</v>
      </c>
      <c r="O392" s="6" t="str">
        <f t="shared" si="36"/>
        <v>West</v>
      </c>
      <c r="P392" s="6" t="s">
        <v>309</v>
      </c>
      <c r="Q392" s="6" t="str">
        <f t="shared" si="37"/>
        <v>Gujarat</v>
      </c>
      <c r="R392" s="6" t="s">
        <v>310</v>
      </c>
      <c r="S392" s="6" t="str">
        <f t="shared" si="38"/>
        <v>Ahmedabad</v>
      </c>
      <c r="T392" s="6" t="s">
        <v>14</v>
      </c>
      <c r="U392" s="8" t="str">
        <f t="shared" si="39"/>
        <v>Furniture</v>
      </c>
      <c r="V392" s="6" t="s">
        <v>17</v>
      </c>
      <c r="W392" s="6" t="str">
        <f t="shared" si="40"/>
        <v>Furnishings</v>
      </c>
      <c r="X392" s="6" t="s">
        <v>2025</v>
      </c>
      <c r="Y392" s="6" t="s">
        <v>34</v>
      </c>
      <c r="Z392" s="6" t="str">
        <f t="shared" si="41"/>
        <v>Standard Class</v>
      </c>
      <c r="AA392" s="6">
        <v>4</v>
      </c>
      <c r="AB392" s="6">
        <v>1917.26</v>
      </c>
      <c r="AC392" s="6">
        <v>0.2</v>
      </c>
      <c r="AD392" s="6">
        <v>6135.23</v>
      </c>
      <c r="AE392" s="6">
        <v>3439.79</v>
      </c>
      <c r="AF392" s="6">
        <v>2695.44</v>
      </c>
      <c r="AG392" s="6" t="s">
        <v>52</v>
      </c>
      <c r="AH392" s="6" t="str">
        <f t="shared" si="42"/>
        <v>Paid</v>
      </c>
      <c r="AI392" s="6" t="s">
        <v>134</v>
      </c>
      <c r="AJ392" s="6" t="str">
        <f t="shared" si="43"/>
        <v>Completed</v>
      </c>
      <c r="AK392" s="9" t="str">
        <f>_xlfn.TEXTJOIN("|",FALSE,A392,TEXT(B392,"mm-dd-yyyy"),TEXT(E392,"mm-dd-yyyy"),I392,J392,L392,N392,P392,R392,T392,V392,X392,Y392,AA392,AB392,AC392,AD392,AE392,AF392,AG392,AI392)</f>
        <v>ORD-2024-10391|11-06-2024|11-11-2024|CUST-7853|Isha Nair|Consumer|West|Gujarat|Ahmedabad|Furniture|Furnishings|Pro Furnishings 281|Standard Class|4|1917.26|0.2|6135.23|3439.79|2695.44|Paid|Completed</v>
      </c>
      <c r="AL392" s="27" t="str">
        <f>IF(COUNTIF($AK$2:AK392,AK392)&gt;1,"Remove exact duplicate copy","Keep")</f>
        <v>Keep</v>
      </c>
      <c r="AM392" s="9">
        <f t="shared" si="44"/>
        <v>1</v>
      </c>
      <c r="AN392" s="9" t="str">
        <f t="shared" si="45"/>
        <v>Unique</v>
      </c>
      <c r="AO392" s="9" t="str">
        <f t="shared" si="46"/>
        <v/>
      </c>
      <c r="AP392" s="9">
        <f t="shared" si="47"/>
        <v>0.2</v>
      </c>
      <c r="AQ392" s="10">
        <f t="shared" si="48"/>
        <v>6135.232</v>
      </c>
      <c r="AR392" s="10">
        <f t="shared" si="49"/>
        <v>2695.442</v>
      </c>
      <c r="AS392" s="11">
        <f t="shared" si="50"/>
        <v>0.43933823529411764</v>
      </c>
      <c r="AT392" s="9">
        <f t="shared" si="51"/>
        <v>11</v>
      </c>
      <c r="AU392" s="9">
        <f t="shared" si="52"/>
        <v>2024</v>
      </c>
      <c r="AV392" s="9" t="b">
        <f t="shared" si="53"/>
        <v>0</v>
      </c>
      <c r="AW392" s="9" t="b">
        <f t="shared" si="54"/>
        <v>0</v>
      </c>
      <c r="AX392" s="9" t="str">
        <f t="shared" si="55"/>
        <v>Yes</v>
      </c>
      <c r="AY392" s="9" t="str">
        <f t="shared" si="61"/>
        <v/>
      </c>
      <c r="AZ392" s="9" t="str">
        <f>IF(OR(G392="Missing date",G392="Invalid date",G392="Ship date before order date",NOT(ISNUMBER(AP392)),AP392&lt;0,AP392&gt;0.5,AV392=TRUE,AW392=TRUE),"Invalid",IF(OR(O392="Unknown",Z392="Unknown",AC392="",AH392&lt;&gt;"Paid",AJ392&lt;&gt;"Completed",AO392&lt;&gt;""),"Warning","Clean"))</f>
        <v>Clean</v>
      </c>
    </row>
    <row r="393" spans="1:52" ht="15.75" customHeight="1">
      <c r="A393" s="6" t="s">
        <v>2026</v>
      </c>
      <c r="B393" s="7" t="s">
        <v>2007</v>
      </c>
      <c r="C393" s="7" t="str">
        <f t="shared" si="60"/>
        <v>2025-02</v>
      </c>
      <c r="D393" s="7" cm="1">
        <f t="array" ref="D393">_xlfn.LET(_xlpm.x,B393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45702</v>
      </c>
      <c r="E393" s="7" t="s">
        <v>2027</v>
      </c>
      <c r="F393" s="7" cm="1">
        <f t="array" ref="F393">_xlfn.LET(_xlpm.x,E393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45702</v>
      </c>
      <c r="G393" s="8" t="str">
        <f t="shared" si="32"/>
        <v>OK</v>
      </c>
      <c r="H393" s="6">
        <f t="shared" si="33"/>
        <v>0</v>
      </c>
      <c r="I393" s="6" t="s">
        <v>2028</v>
      </c>
      <c r="J393" s="6" t="s">
        <v>284</v>
      </c>
      <c r="K393" s="6" t="str">
        <f t="shared" si="34"/>
        <v>Diya Patel</v>
      </c>
      <c r="L393" s="6" t="s">
        <v>43</v>
      </c>
      <c r="M393" s="8" t="str">
        <f t="shared" si="35"/>
        <v>Consumer</v>
      </c>
      <c r="N393" s="6" t="s">
        <v>10</v>
      </c>
      <c r="O393" s="6" t="str">
        <f t="shared" si="36"/>
        <v>South</v>
      </c>
      <c r="P393" s="6" t="s">
        <v>303</v>
      </c>
      <c r="Q393" s="6" t="str">
        <f t="shared" si="37"/>
        <v>Karnataka</v>
      </c>
      <c r="R393" s="6" t="s">
        <v>304</v>
      </c>
      <c r="S393" s="6" t="str">
        <f t="shared" si="38"/>
        <v>Bengaluru</v>
      </c>
      <c r="T393" s="6" t="s">
        <v>20</v>
      </c>
      <c r="U393" s="8" t="str">
        <f t="shared" si="39"/>
        <v>Office Supplies</v>
      </c>
      <c r="V393" s="6" t="s">
        <v>25</v>
      </c>
      <c r="W393" s="6" t="str">
        <f t="shared" si="40"/>
        <v>Storage</v>
      </c>
      <c r="X393" s="6" t="s">
        <v>2029</v>
      </c>
      <c r="Y393" s="6" t="s">
        <v>35</v>
      </c>
      <c r="Z393" s="6" t="str">
        <f t="shared" si="41"/>
        <v>First Class</v>
      </c>
      <c r="AA393" s="6">
        <v>1</v>
      </c>
      <c r="AB393" s="6">
        <v>714.43</v>
      </c>
      <c r="AC393" s="6">
        <v>0</v>
      </c>
      <c r="AD393" s="6">
        <v>714.43</v>
      </c>
      <c r="AE393" s="6">
        <v>565.44000000000005</v>
      </c>
      <c r="AF393" s="6">
        <v>148.99</v>
      </c>
      <c r="AG393" s="6" t="s">
        <v>52</v>
      </c>
      <c r="AH393" s="6" t="str">
        <f t="shared" si="42"/>
        <v>Paid</v>
      </c>
      <c r="AI393" s="6" t="s">
        <v>134</v>
      </c>
      <c r="AJ393" s="6" t="str">
        <f t="shared" si="43"/>
        <v>Completed</v>
      </c>
      <c r="AK393" s="9" t="str">
        <f>_xlfn.TEXTJOIN("|",FALSE,A393,TEXT(B393,"mm-dd-yyyy"),TEXT(E393,"mm-dd-yyyy"),I393,J393,L393,N393,P393,R393,T393,V393,X393,Y393,AA393,AB393,AC393,AD393,AE393,AF393,AG393,AI393)</f>
        <v>ORD-2025-10392|14-02-2025|02-14-2025|CUST-2267|Diya Patel|Consumer|South|Karnataka|Bengaluru|Office Supplies|Storage|Eco Storage 285|First Class|1|714.43|0|714.43|565.44|148.99|Paid|Completed</v>
      </c>
      <c r="AL393" s="27" t="str">
        <f>IF(COUNTIF($AK$2:AK393,AK393)&gt;1,"Remove exact duplicate copy","Keep")</f>
        <v>Keep</v>
      </c>
      <c r="AM393" s="9">
        <f t="shared" si="44"/>
        <v>1</v>
      </c>
      <c r="AN393" s="9" t="str">
        <f t="shared" si="45"/>
        <v>Unique</v>
      </c>
      <c r="AO393" s="9" t="str">
        <f t="shared" si="46"/>
        <v/>
      </c>
      <c r="AP393" s="9">
        <f t="shared" si="47"/>
        <v>0</v>
      </c>
      <c r="AQ393" s="10">
        <f t="shared" si="48"/>
        <v>714.43</v>
      </c>
      <c r="AR393" s="10">
        <f t="shared" si="49"/>
        <v>148.9899999999999</v>
      </c>
      <c r="AS393" s="11">
        <f t="shared" si="50"/>
        <v>0.20854387413742412</v>
      </c>
      <c r="AT393" s="9">
        <f t="shared" si="51"/>
        <v>2</v>
      </c>
      <c r="AU393" s="9">
        <f t="shared" si="52"/>
        <v>2025</v>
      </c>
      <c r="AV393" s="9" t="b">
        <f t="shared" si="53"/>
        <v>0</v>
      </c>
      <c r="AW393" s="9" t="b">
        <f t="shared" si="54"/>
        <v>0</v>
      </c>
      <c r="AX393" s="9" t="str">
        <f t="shared" si="55"/>
        <v>Yes</v>
      </c>
      <c r="AY393" s="9" t="str">
        <f t="shared" si="61"/>
        <v/>
      </c>
      <c r="AZ393" s="9" t="str">
        <f>IF(OR(G393="Missing date",G393="Invalid date",G393="Ship date before order date",NOT(ISNUMBER(AP393)),AP393&lt;0,AP393&gt;0.5,AV393=TRUE,AW393=TRUE),"Invalid",IF(OR(O393="Unknown",Z393="Unknown",AC393="",AH393&lt;&gt;"Paid",AJ393&lt;&gt;"Completed",AO393&lt;&gt;""),"Warning","Clean"))</f>
        <v>Clean</v>
      </c>
    </row>
    <row r="394" spans="1:52" ht="15.75" customHeight="1">
      <c r="A394" s="6" t="s">
        <v>2030</v>
      </c>
      <c r="B394" s="7" t="s">
        <v>2031</v>
      </c>
      <c r="C394" s="7" t="str">
        <f t="shared" si="60"/>
        <v>2024-02</v>
      </c>
      <c r="D394" s="7" cm="1">
        <f t="array" ref="D394">_xlfn.LET(_xlpm.x,B394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45341</v>
      </c>
      <c r="E394" s="7" t="s">
        <v>2032</v>
      </c>
      <c r="F394" s="7" cm="1">
        <f t="array" ref="F394">_xlfn.LET(_xlpm.x,E394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45344</v>
      </c>
      <c r="G394" s="8" t="str">
        <f t="shared" si="32"/>
        <v>OK</v>
      </c>
      <c r="H394" s="6">
        <f t="shared" si="33"/>
        <v>3</v>
      </c>
      <c r="I394" s="6" t="s">
        <v>2033</v>
      </c>
      <c r="J394" s="6" t="s">
        <v>190</v>
      </c>
      <c r="K394" s="6" t="str">
        <f t="shared" si="34"/>
        <v>Aditi Sen</v>
      </c>
      <c r="L394" s="6" t="s">
        <v>46</v>
      </c>
      <c r="M394" s="8" t="str">
        <f t="shared" si="35"/>
        <v>Small Business</v>
      </c>
      <c r="N394" s="6" t="s">
        <v>10</v>
      </c>
      <c r="O394" s="6" t="str">
        <f t="shared" si="36"/>
        <v>South</v>
      </c>
      <c r="P394" s="6" t="s">
        <v>316</v>
      </c>
      <c r="Q394" s="6" t="str">
        <f t="shared" si="37"/>
        <v>Kerala</v>
      </c>
      <c r="R394" s="6" t="s">
        <v>317</v>
      </c>
      <c r="S394" s="6" t="str">
        <f t="shared" si="38"/>
        <v>Kochi</v>
      </c>
      <c r="T394" s="6" t="s">
        <v>14</v>
      </c>
      <c r="U394" s="8" t="str">
        <f t="shared" si="39"/>
        <v>Furniture</v>
      </c>
      <c r="V394" s="6" t="s">
        <v>17</v>
      </c>
      <c r="W394" s="6" t="str">
        <f t="shared" si="40"/>
        <v>Furnishings</v>
      </c>
      <c r="X394" s="6" t="s">
        <v>2034</v>
      </c>
      <c r="Y394" s="6" t="s">
        <v>37</v>
      </c>
      <c r="Z394" s="6" t="str">
        <f t="shared" si="41"/>
        <v>Same Day</v>
      </c>
      <c r="AA394" s="6">
        <v>9</v>
      </c>
      <c r="AB394" s="6">
        <v>4053.01</v>
      </c>
      <c r="AC394" s="6">
        <v>0</v>
      </c>
      <c r="AD394" s="6">
        <v>36477.089999999997</v>
      </c>
      <c r="AE394" s="6">
        <v>24525.48</v>
      </c>
      <c r="AF394" s="6">
        <v>11951.61</v>
      </c>
      <c r="AG394" s="6" t="s">
        <v>52</v>
      </c>
      <c r="AH394" s="6" t="str">
        <f t="shared" si="42"/>
        <v>Paid</v>
      </c>
      <c r="AI394" s="6" t="s">
        <v>134</v>
      </c>
      <c r="AJ394" s="6" t="str">
        <f t="shared" si="43"/>
        <v>Completed</v>
      </c>
      <c r="AK394" s="9" t="str">
        <f>_xlfn.TEXTJOIN("|",FALSE,A394,TEXT(B394,"mm-dd-yyyy"),TEXT(E394,"mm-dd-yyyy"),I394,J394,L394,N394,P394,R394,T394,V394,X394,Y394,AA394,AB394,AC394,AD394,AE394,AF394,AG394,AI394)</f>
        <v>ORD-2024-10393|02-19-2024|02-22-2024|CUST-6866|Aditi Sen|Small Business|South|Kerala|Kochi|Furniture|Furnishings|Classic Furnishings 746|Same Day|9|4053.01|0|36477.09|24525.48|11951.61|Paid|Completed</v>
      </c>
      <c r="AL394" s="27" t="str">
        <f>IF(COUNTIF($AK$2:AK394,AK394)&gt;1,"Remove exact duplicate copy","Keep")</f>
        <v>Keep</v>
      </c>
      <c r="AM394" s="9">
        <f t="shared" si="44"/>
        <v>1</v>
      </c>
      <c r="AN394" s="9" t="str">
        <f t="shared" si="45"/>
        <v>Unique</v>
      </c>
      <c r="AO394" s="9" t="str">
        <f t="shared" si="46"/>
        <v/>
      </c>
      <c r="AP394" s="9">
        <f t="shared" si="47"/>
        <v>0</v>
      </c>
      <c r="AQ394" s="10">
        <f t="shared" si="48"/>
        <v>36477.090000000004</v>
      </c>
      <c r="AR394" s="10">
        <f t="shared" si="49"/>
        <v>11951.610000000004</v>
      </c>
      <c r="AS394" s="11">
        <f t="shared" si="50"/>
        <v>0.32764702447481425</v>
      </c>
      <c r="AT394" s="9">
        <f t="shared" si="51"/>
        <v>2</v>
      </c>
      <c r="AU394" s="9">
        <f t="shared" si="52"/>
        <v>2024</v>
      </c>
      <c r="AV394" s="9" t="b">
        <f t="shared" si="53"/>
        <v>0</v>
      </c>
      <c r="AW394" s="9" t="b">
        <f t="shared" si="54"/>
        <v>0</v>
      </c>
      <c r="AX394" s="9" t="str">
        <f t="shared" si="55"/>
        <v>Yes</v>
      </c>
      <c r="AY394" s="9" t="str">
        <f t="shared" si="61"/>
        <v/>
      </c>
      <c r="AZ394" s="9" t="str">
        <f>IF(OR(G394="Missing date",G394="Invalid date",G394="Ship date before order date",NOT(ISNUMBER(AP394)),AP394&lt;0,AP394&gt;0.5,AV394=TRUE,AW394=TRUE),"Invalid",IF(OR(O394="Unknown",Z394="Unknown",AC394="",AH394&lt;&gt;"Paid",AJ394&lt;&gt;"Completed",AO394&lt;&gt;""),"Warning","Clean"))</f>
        <v>Clean</v>
      </c>
    </row>
    <row r="395" spans="1:52" ht="15.75" customHeight="1">
      <c r="A395" s="6" t="s">
        <v>2035</v>
      </c>
      <c r="B395" s="7" t="s">
        <v>2036</v>
      </c>
      <c r="C395" s="7" t="str">
        <f t="shared" si="60"/>
        <v>2024-08</v>
      </c>
      <c r="D395" s="7" cm="1">
        <f t="array" ref="D395">_xlfn.LET(_xlpm.x,B395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45527</v>
      </c>
      <c r="E395" s="7" t="s">
        <v>2037</v>
      </c>
      <c r="F395" s="7" cm="1">
        <f t="array" ref="F395">_xlfn.LET(_xlpm.x,E395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45533</v>
      </c>
      <c r="G395" s="8" t="str">
        <f t="shared" si="32"/>
        <v>OK</v>
      </c>
      <c r="H395" s="6">
        <f t="shared" si="33"/>
        <v>6</v>
      </c>
      <c r="I395" s="6" t="s">
        <v>2038</v>
      </c>
      <c r="J395" s="6" t="s">
        <v>139</v>
      </c>
      <c r="K395" s="6" t="str">
        <f t="shared" si="34"/>
        <v>Mira Das</v>
      </c>
      <c r="L395" s="6" t="s">
        <v>45</v>
      </c>
      <c r="M395" s="8" t="str">
        <f t="shared" si="35"/>
        <v>Corporate</v>
      </c>
      <c r="N395" s="6" t="s">
        <v>7</v>
      </c>
      <c r="O395" s="6" t="str">
        <f t="shared" si="36"/>
        <v>North</v>
      </c>
      <c r="P395" s="6" t="s">
        <v>251</v>
      </c>
      <c r="Q395" s="6" t="str">
        <f t="shared" si="37"/>
        <v>Uttar Pradesh</v>
      </c>
      <c r="R395" s="6" t="s">
        <v>252</v>
      </c>
      <c r="S395" s="6" t="str">
        <f t="shared" si="38"/>
        <v>Noida</v>
      </c>
      <c r="T395" s="6" t="s">
        <v>20</v>
      </c>
      <c r="U395" s="8" t="str">
        <f t="shared" si="39"/>
        <v>Office Supplies</v>
      </c>
      <c r="V395" s="6" t="s">
        <v>23</v>
      </c>
      <c r="W395" s="6" t="str">
        <f t="shared" si="40"/>
        <v>Labels</v>
      </c>
      <c r="X395" s="6" t="s">
        <v>2039</v>
      </c>
      <c r="Y395" s="6" t="s">
        <v>37</v>
      </c>
      <c r="Z395" s="6" t="str">
        <f t="shared" si="41"/>
        <v>Same Day</v>
      </c>
      <c r="AA395" s="6">
        <v>2</v>
      </c>
      <c r="AB395" s="6">
        <v>1936.91</v>
      </c>
      <c r="AC395" s="6">
        <v>0.05</v>
      </c>
      <c r="AD395" s="6">
        <v>3680.13</v>
      </c>
      <c r="AE395" s="6">
        <v>2967.46</v>
      </c>
      <c r="AF395" s="6">
        <v>712.67</v>
      </c>
      <c r="AG395" s="6" t="s">
        <v>52</v>
      </c>
      <c r="AH395" s="6" t="str">
        <f t="shared" si="42"/>
        <v>Paid</v>
      </c>
      <c r="AI395" s="6" t="s">
        <v>134</v>
      </c>
      <c r="AJ395" s="6" t="str">
        <f t="shared" si="43"/>
        <v>Completed</v>
      </c>
      <c r="AK395" s="9" t="str">
        <f>_xlfn.TEXTJOIN("|",FALSE,A395,TEXT(B395,"mm-dd-yyyy"),TEXT(E395,"mm-dd-yyyy"),I395,J395,L395,N395,P395,R395,T395,V395,X395,Y395,AA395,AB395,AC395,AD395,AE395,AF395,AG395,AI395)</f>
        <v>ORD-2024-10394|08-23-2024|08-29-2024|CUST-3160|Mira Das|Corporate|North|Uttar Pradesh|Noida|Office Supplies|Labels|Eco Labels 815|Same Day|2|1936.91|0.05|3680.13|2967.46|712.67|Paid|Completed</v>
      </c>
      <c r="AL395" s="27" t="str">
        <f>IF(COUNTIF($AK$2:AK395,AK395)&gt;1,"Remove exact duplicate copy","Keep")</f>
        <v>Keep</v>
      </c>
      <c r="AM395" s="9">
        <f t="shared" si="44"/>
        <v>1</v>
      </c>
      <c r="AN395" s="9" t="str">
        <f t="shared" si="45"/>
        <v>Unique</v>
      </c>
      <c r="AO395" s="9" t="str">
        <f t="shared" si="46"/>
        <v/>
      </c>
      <c r="AP395" s="9">
        <f t="shared" si="47"/>
        <v>0.05</v>
      </c>
      <c r="AQ395" s="10">
        <f t="shared" si="48"/>
        <v>3680.1289999999999</v>
      </c>
      <c r="AR395" s="10">
        <f t="shared" si="49"/>
        <v>712.66899999999987</v>
      </c>
      <c r="AS395" s="11">
        <f t="shared" si="50"/>
        <v>0.19365326595888346</v>
      </c>
      <c r="AT395" s="9">
        <f t="shared" si="51"/>
        <v>8</v>
      </c>
      <c r="AU395" s="9">
        <f t="shared" si="52"/>
        <v>2024</v>
      </c>
      <c r="AV395" s="9" t="b">
        <f t="shared" si="53"/>
        <v>0</v>
      </c>
      <c r="AW395" s="9" t="b">
        <f t="shared" si="54"/>
        <v>0</v>
      </c>
      <c r="AX395" s="9" t="str">
        <f t="shared" si="55"/>
        <v>Yes</v>
      </c>
      <c r="AY395" s="9" t="str">
        <f t="shared" si="61"/>
        <v/>
      </c>
      <c r="AZ395" s="9" t="str">
        <f>IF(OR(G395="Missing date",G395="Invalid date",G395="Ship date before order date",NOT(ISNUMBER(AP395)),AP395&lt;0,AP395&gt;0.5,AV395=TRUE,AW395=TRUE),"Invalid",IF(OR(O395="Unknown",Z395="Unknown",AC395="",AH395&lt;&gt;"Paid",AJ395&lt;&gt;"Completed",AO395&lt;&gt;""),"Warning","Clean"))</f>
        <v>Clean</v>
      </c>
    </row>
    <row r="396" spans="1:52" ht="15.75" customHeight="1">
      <c r="A396" s="6" t="s">
        <v>2040</v>
      </c>
      <c r="B396" s="7" t="s">
        <v>2041</v>
      </c>
      <c r="C396" s="7" t="str">
        <f t="shared" si="60"/>
        <v>2024-04</v>
      </c>
      <c r="D396" s="7" cm="1">
        <f t="array" ref="D396">_xlfn.LET(_xlpm.x,B396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45385</v>
      </c>
      <c r="E396" s="7" t="s">
        <v>2042</v>
      </c>
      <c r="F396" s="7" cm="1">
        <f t="array" ref="F396">_xlfn.LET(_xlpm.x,E396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45386</v>
      </c>
      <c r="G396" s="8" t="str">
        <f t="shared" si="32"/>
        <v>OK</v>
      </c>
      <c r="H396" s="6">
        <f t="shared" si="33"/>
        <v>1</v>
      </c>
      <c r="I396" s="6" t="s">
        <v>2043</v>
      </c>
      <c r="J396" s="6" t="s">
        <v>442</v>
      </c>
      <c r="K396" s="6" t="str">
        <f t="shared" si="34"/>
        <v>Kabir Singh</v>
      </c>
      <c r="L396" s="6" t="s">
        <v>43</v>
      </c>
      <c r="M396" s="8" t="str">
        <f t="shared" si="35"/>
        <v>Consumer</v>
      </c>
      <c r="N396" s="6" t="s">
        <v>9</v>
      </c>
      <c r="O396" s="6" t="str">
        <f t="shared" si="36"/>
        <v>West</v>
      </c>
      <c r="P396" s="6" t="s">
        <v>162</v>
      </c>
      <c r="Q396" s="6" t="str">
        <f t="shared" si="37"/>
        <v>Maharashtra</v>
      </c>
      <c r="R396" s="6" t="s">
        <v>163</v>
      </c>
      <c r="S396" s="6" t="str">
        <f t="shared" si="38"/>
        <v>Mumbai</v>
      </c>
      <c r="T396" s="6" t="s">
        <v>14</v>
      </c>
      <c r="U396" s="8" t="str">
        <f t="shared" si="39"/>
        <v>Furniture</v>
      </c>
      <c r="V396" s="6" t="s">
        <v>17</v>
      </c>
      <c r="W396" s="6" t="str">
        <f t="shared" si="40"/>
        <v>Furnishings</v>
      </c>
      <c r="X396" s="6" t="s">
        <v>2044</v>
      </c>
      <c r="Y396" s="6" t="s">
        <v>35</v>
      </c>
      <c r="Z396" s="6" t="str">
        <f t="shared" si="41"/>
        <v>First Class</v>
      </c>
      <c r="AA396" s="6">
        <v>7</v>
      </c>
      <c r="AB396" s="6">
        <v>3945.21</v>
      </c>
      <c r="AC396" s="6">
        <v>0</v>
      </c>
      <c r="AD396" s="6">
        <v>27616.47</v>
      </c>
      <c r="AE396" s="6">
        <v>21225.26</v>
      </c>
      <c r="AF396" s="6">
        <v>6391.21</v>
      </c>
      <c r="AG396" s="6" t="s">
        <v>52</v>
      </c>
      <c r="AH396" s="6" t="str">
        <f t="shared" si="42"/>
        <v>Paid</v>
      </c>
      <c r="AI396" s="6" t="s">
        <v>134</v>
      </c>
      <c r="AJ396" s="6" t="str">
        <f t="shared" si="43"/>
        <v>Completed</v>
      </c>
      <c r="AK396" s="9" t="str">
        <f>_xlfn.TEXTJOIN("|",FALSE,A396,TEXT(B396,"mm-dd-yyyy"),TEXT(E396,"mm-dd-yyyy"),I396,J396,L396,N396,P396,R396,T396,V396,X396,Y396,AA396,AB396,AC396,AD396,AE396,AF396,AG396,AI396)</f>
        <v>ORD-2024-10395|03-04-2024|04-04-2024|CUST-8444|Kabir Singh|Consumer|West|Maharashtra|Mumbai|Furniture|Furnishings|Prime Furnishings 879|First Class|7|3945.21|0|27616.47|21225.26|6391.21|Paid|Completed</v>
      </c>
      <c r="AL396" s="27" t="str">
        <f>IF(COUNTIF($AK$2:AK396,AK396)&gt;1,"Remove exact duplicate copy","Keep")</f>
        <v>Keep</v>
      </c>
      <c r="AM396" s="9">
        <f t="shared" si="44"/>
        <v>1</v>
      </c>
      <c r="AN396" s="9" t="str">
        <f t="shared" si="45"/>
        <v>Unique</v>
      </c>
      <c r="AO396" s="9" t="str">
        <f t="shared" si="46"/>
        <v/>
      </c>
      <c r="AP396" s="9">
        <f t="shared" si="47"/>
        <v>0</v>
      </c>
      <c r="AQ396" s="10">
        <f t="shared" si="48"/>
        <v>27616.47</v>
      </c>
      <c r="AR396" s="10">
        <f t="shared" si="49"/>
        <v>6391.2100000000028</v>
      </c>
      <c r="AS396" s="11">
        <f t="shared" si="50"/>
        <v>0.23142747787823725</v>
      </c>
      <c r="AT396" s="9">
        <f t="shared" si="51"/>
        <v>4</v>
      </c>
      <c r="AU396" s="9">
        <f t="shared" si="52"/>
        <v>2024</v>
      </c>
      <c r="AV396" s="9" t="b">
        <f t="shared" si="53"/>
        <v>0</v>
      </c>
      <c r="AW396" s="9" t="b">
        <f t="shared" si="54"/>
        <v>0</v>
      </c>
      <c r="AX396" s="9" t="str">
        <f t="shared" si="55"/>
        <v>Yes</v>
      </c>
      <c r="AY396" s="9" t="str">
        <f t="shared" si="61"/>
        <v/>
      </c>
      <c r="AZ396" s="9" t="str">
        <f>IF(OR(G396="Missing date",G396="Invalid date",G396="Ship date before order date",NOT(ISNUMBER(AP396)),AP396&lt;0,AP396&gt;0.5,AV396=TRUE,AW396=TRUE),"Invalid",IF(OR(O396="Unknown",Z396="Unknown",AC396="",AH396&lt;&gt;"Paid",AJ396&lt;&gt;"Completed",AO396&lt;&gt;""),"Warning","Clean"))</f>
        <v>Clean</v>
      </c>
    </row>
    <row r="397" spans="1:52" ht="15.75" customHeight="1">
      <c r="A397" s="6" t="s">
        <v>2045</v>
      </c>
      <c r="B397" s="7" t="s">
        <v>1150</v>
      </c>
      <c r="C397" s="7" t="str">
        <f t="shared" si="60"/>
        <v>2024-06</v>
      </c>
      <c r="D397" s="7" cm="1">
        <f t="array" ref="D397">_xlfn.LET(_xlpm.x,B397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45449</v>
      </c>
      <c r="E397" s="7" t="s">
        <v>1841</v>
      </c>
      <c r="F397" s="7" cm="1">
        <f t="array" ref="F397">_xlfn.LET(_xlpm.x,E397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45450</v>
      </c>
      <c r="G397" s="8" t="str">
        <f t="shared" si="32"/>
        <v>OK</v>
      </c>
      <c r="H397" s="6">
        <f t="shared" si="33"/>
        <v>1</v>
      </c>
      <c r="I397" s="6" t="s">
        <v>2046</v>
      </c>
      <c r="J397" s="6" t="s">
        <v>226</v>
      </c>
      <c r="K397" s="6" t="str">
        <f t="shared" si="34"/>
        <v>Rahul Verma</v>
      </c>
      <c r="L397" s="6" t="s">
        <v>44</v>
      </c>
      <c r="M397" s="8" t="str">
        <f t="shared" si="35"/>
        <v>Home Office</v>
      </c>
      <c r="N397" s="6" t="s">
        <v>10</v>
      </c>
      <c r="O397" s="6" t="str">
        <f t="shared" si="36"/>
        <v>South</v>
      </c>
      <c r="P397" s="6" t="s">
        <v>413</v>
      </c>
      <c r="Q397" s="6" t="str">
        <f t="shared" si="37"/>
        <v>Tamil Nadu</v>
      </c>
      <c r="R397" s="6" t="s">
        <v>414</v>
      </c>
      <c r="S397" s="6" t="str">
        <f t="shared" si="38"/>
        <v>Chennai</v>
      </c>
      <c r="T397" s="6" t="s">
        <v>14</v>
      </c>
      <c r="U397" s="8" t="str">
        <f t="shared" si="39"/>
        <v>Furniture</v>
      </c>
      <c r="V397" s="6" t="s">
        <v>18</v>
      </c>
      <c r="W397" s="6" t="str">
        <f t="shared" si="40"/>
        <v>Tables</v>
      </c>
      <c r="X397" s="6" t="s">
        <v>2047</v>
      </c>
      <c r="Y397" s="6" t="s">
        <v>37</v>
      </c>
      <c r="Z397" s="6" t="str">
        <f t="shared" si="41"/>
        <v>Same Day</v>
      </c>
      <c r="AA397" s="6">
        <v>7</v>
      </c>
      <c r="AB397" s="6">
        <v>861.91</v>
      </c>
      <c r="AC397" s="6">
        <v>0.05</v>
      </c>
      <c r="AD397" s="6">
        <v>5731.7</v>
      </c>
      <c r="AE397" s="6">
        <v>4115.5600000000004</v>
      </c>
      <c r="AF397" s="6">
        <v>1616.14</v>
      </c>
      <c r="AG397" s="6" t="s">
        <v>52</v>
      </c>
      <c r="AH397" s="6" t="str">
        <f t="shared" si="42"/>
        <v>Paid</v>
      </c>
      <c r="AI397" s="6" t="s">
        <v>134</v>
      </c>
      <c r="AJ397" s="6" t="str">
        <f t="shared" si="43"/>
        <v>Completed</v>
      </c>
      <c r="AK397" s="9" t="str">
        <f>_xlfn.TEXTJOIN("|",FALSE,A397,TEXT(B397,"mm-dd-yyyy"),TEXT(E397,"mm-dd-yyyy"),I397,J397,L397,N397,P397,R397,T397,V397,X397,Y397,AA397,AB397,AC397,AD397,AE397,AF397,AG397,AI397)</f>
        <v>ORD-2024-10396|06-06-2024|06-07-2024|CUST-4765|Rahul Verma|Home Office|South|Tamil Nadu|Chennai|Furniture|Tables|Pro Tables 142|Same Day|7|861.91|0.05|5731.7|4115.56|1616.14|Paid|Completed</v>
      </c>
      <c r="AL397" s="27" t="str">
        <f>IF(COUNTIF($AK$2:AK397,AK397)&gt;1,"Remove exact duplicate copy","Keep")</f>
        <v>Keep</v>
      </c>
      <c r="AM397" s="9">
        <f t="shared" si="44"/>
        <v>1</v>
      </c>
      <c r="AN397" s="9" t="str">
        <f t="shared" si="45"/>
        <v>Unique</v>
      </c>
      <c r="AO397" s="9" t="str">
        <f t="shared" si="46"/>
        <v/>
      </c>
      <c r="AP397" s="9">
        <f t="shared" si="47"/>
        <v>0.05</v>
      </c>
      <c r="AQ397" s="10">
        <f t="shared" si="48"/>
        <v>5731.7014999999992</v>
      </c>
      <c r="AR397" s="10">
        <f t="shared" si="49"/>
        <v>1616.1414999999988</v>
      </c>
      <c r="AS397" s="11">
        <f t="shared" si="50"/>
        <v>0.28196539893084088</v>
      </c>
      <c r="AT397" s="9">
        <f t="shared" si="51"/>
        <v>6</v>
      </c>
      <c r="AU397" s="9">
        <f t="shared" si="52"/>
        <v>2024</v>
      </c>
      <c r="AV397" s="9" t="b">
        <f t="shared" si="53"/>
        <v>0</v>
      </c>
      <c r="AW397" s="9" t="b">
        <f t="shared" si="54"/>
        <v>0</v>
      </c>
      <c r="AX397" s="9" t="str">
        <f t="shared" si="55"/>
        <v>Yes</v>
      </c>
      <c r="AY397" s="9" t="str">
        <f t="shared" si="61"/>
        <v/>
      </c>
      <c r="AZ397" s="9" t="str">
        <f>IF(OR(G397="Missing date",G397="Invalid date",G397="Ship date before order date",NOT(ISNUMBER(AP397)),AP397&lt;0,AP397&gt;0.5,AV397=TRUE,AW397=TRUE),"Invalid",IF(OR(O397="Unknown",Z397="Unknown",AC397="",AH397&lt;&gt;"Paid",AJ397&lt;&gt;"Completed",AO397&lt;&gt;""),"Warning","Clean"))</f>
        <v>Clean</v>
      </c>
    </row>
    <row r="398" spans="1:52" ht="15.75" customHeight="1">
      <c r="A398" s="6" t="s">
        <v>2048</v>
      </c>
      <c r="B398" s="7" t="s">
        <v>2049</v>
      </c>
      <c r="C398" s="7" t="str">
        <f t="shared" si="60"/>
        <v>2025-04</v>
      </c>
      <c r="D398" s="7" cm="1">
        <f t="array" ref="D398">_xlfn.LET(_xlpm.x,B398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45761</v>
      </c>
      <c r="E398" s="7" t="s">
        <v>2050</v>
      </c>
      <c r="F398" s="7" cm="1">
        <f t="array" ref="F398">_xlfn.LET(_xlpm.x,E398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45769</v>
      </c>
      <c r="G398" s="8" t="str">
        <f t="shared" si="32"/>
        <v>OK</v>
      </c>
      <c r="H398" s="6">
        <f t="shared" si="33"/>
        <v>8</v>
      </c>
      <c r="I398" s="6" t="s">
        <v>2051</v>
      </c>
      <c r="J398" s="6" t="s">
        <v>190</v>
      </c>
      <c r="K398" s="6" t="str">
        <f t="shared" si="34"/>
        <v>Aditi Sen</v>
      </c>
      <c r="L398" s="6" t="s">
        <v>46</v>
      </c>
      <c r="M398" s="8" t="str">
        <f t="shared" si="35"/>
        <v>Small Business</v>
      </c>
      <c r="N398" s="6" t="s">
        <v>10</v>
      </c>
      <c r="O398" s="6" t="str">
        <f t="shared" si="36"/>
        <v>South</v>
      </c>
      <c r="P398" s="6" t="s">
        <v>303</v>
      </c>
      <c r="Q398" s="6" t="str">
        <f t="shared" si="37"/>
        <v>Karnataka</v>
      </c>
      <c r="R398" s="6" t="s">
        <v>304</v>
      </c>
      <c r="S398" s="6" t="str">
        <f t="shared" si="38"/>
        <v>Bengaluru</v>
      </c>
      <c r="T398" s="6" t="s">
        <v>27</v>
      </c>
      <c r="U398" s="8" t="str">
        <f t="shared" si="39"/>
        <v>Technology</v>
      </c>
      <c r="V398" s="6" t="s">
        <v>30</v>
      </c>
      <c r="W398" s="6" t="str">
        <f t="shared" si="40"/>
        <v>Machines</v>
      </c>
      <c r="X398" s="6" t="s">
        <v>2052</v>
      </c>
      <c r="Y398" s="6" t="s">
        <v>34</v>
      </c>
      <c r="Z398" s="6" t="str">
        <f t="shared" si="41"/>
        <v>Standard Class</v>
      </c>
      <c r="AA398" s="6">
        <v>2</v>
      </c>
      <c r="AB398" s="6">
        <v>638.73</v>
      </c>
      <c r="AC398" s="6">
        <v>0.05</v>
      </c>
      <c r="AD398" s="6">
        <v>1213.5899999999999</v>
      </c>
      <c r="AE398" s="6">
        <v>956.22</v>
      </c>
      <c r="AF398" s="6">
        <v>257.37</v>
      </c>
      <c r="AG398" s="6" t="s">
        <v>52</v>
      </c>
      <c r="AH398" s="6" t="str">
        <f t="shared" si="42"/>
        <v>Paid</v>
      </c>
      <c r="AI398" s="6" t="s">
        <v>134</v>
      </c>
      <c r="AJ398" s="6" t="str">
        <f t="shared" si="43"/>
        <v>Completed</v>
      </c>
      <c r="AK398" s="9" t="str">
        <f>_xlfn.TEXTJOIN("|",FALSE,A398,TEXT(B398,"mm-dd-yyyy"),TEXT(E398,"mm-dd-yyyy"),I398,J398,L398,N398,P398,R398,T398,V398,X398,Y398,AA398,AB398,AC398,AD398,AE398,AF398,AG398,AI398)</f>
        <v>ORD-2025-10397|04-14-2025|04-22-2025|CUST-2280|Aditi Sen|Small Business|South|Karnataka|Bengaluru|Technology|Machines|Prime Machines 267|Standard Class|2|638.73|0.05|1213.59|956.22|257.37|Paid|Completed</v>
      </c>
      <c r="AL398" s="27" t="str">
        <f>IF(COUNTIF($AK$2:AK398,AK398)&gt;1,"Remove exact duplicate copy","Keep")</f>
        <v>Keep</v>
      </c>
      <c r="AM398" s="9">
        <f t="shared" si="44"/>
        <v>1</v>
      </c>
      <c r="AN398" s="9" t="str">
        <f t="shared" si="45"/>
        <v>Unique</v>
      </c>
      <c r="AO398" s="9" t="str">
        <f t="shared" si="46"/>
        <v/>
      </c>
      <c r="AP398" s="9">
        <f t="shared" si="47"/>
        <v>0.05</v>
      </c>
      <c r="AQ398" s="10">
        <f t="shared" si="48"/>
        <v>1213.587</v>
      </c>
      <c r="AR398" s="10">
        <f t="shared" si="49"/>
        <v>257.36699999999996</v>
      </c>
      <c r="AS398" s="11">
        <f t="shared" si="50"/>
        <v>0.21207132245154239</v>
      </c>
      <c r="AT398" s="9">
        <f t="shared" si="51"/>
        <v>4</v>
      </c>
      <c r="AU398" s="9">
        <f t="shared" si="52"/>
        <v>2025</v>
      </c>
      <c r="AV398" s="9" t="b">
        <f t="shared" si="53"/>
        <v>0</v>
      </c>
      <c r="AW398" s="9" t="b">
        <f t="shared" si="54"/>
        <v>0</v>
      </c>
      <c r="AX398" s="9" t="str">
        <f t="shared" si="55"/>
        <v>Yes</v>
      </c>
      <c r="AY398" s="9" t="str">
        <f t="shared" si="61"/>
        <v/>
      </c>
      <c r="AZ398" s="9" t="str">
        <f>IF(OR(G398="Missing date",G398="Invalid date",G398="Ship date before order date",NOT(ISNUMBER(AP398)),AP398&lt;0,AP398&gt;0.5,AV398=TRUE,AW398=TRUE),"Invalid",IF(OR(O398="Unknown",Z398="Unknown",AC398="",AH398&lt;&gt;"Paid",AJ398&lt;&gt;"Completed",AO398&lt;&gt;""),"Warning","Clean"))</f>
        <v>Clean</v>
      </c>
    </row>
    <row r="399" spans="1:52" ht="15.75" customHeight="1">
      <c r="A399" s="6" t="s">
        <v>2053</v>
      </c>
      <c r="B399" s="7" t="s">
        <v>2054</v>
      </c>
      <c r="C399" s="7" t="str">
        <f t="shared" si="60"/>
        <v>2025-06</v>
      </c>
      <c r="D399" s="7" cm="1">
        <f t="array" ref="D399">_xlfn.LET(_xlpm.x,B399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45817</v>
      </c>
      <c r="E399" s="7" t="s">
        <v>2055</v>
      </c>
      <c r="F399" s="7" cm="1">
        <f t="array" ref="F399">_xlfn.LET(_xlpm.x,E399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45818</v>
      </c>
      <c r="G399" s="8" t="str">
        <f t="shared" si="32"/>
        <v>OK</v>
      </c>
      <c r="H399" s="6">
        <f t="shared" si="33"/>
        <v>1</v>
      </c>
      <c r="I399" s="6" t="s">
        <v>2056</v>
      </c>
      <c r="J399" s="6" t="s">
        <v>245</v>
      </c>
      <c r="K399" s="6" t="str">
        <f t="shared" si="34"/>
        <v>Sneha Kapoor</v>
      </c>
      <c r="L399" s="6" t="s">
        <v>46</v>
      </c>
      <c r="M399" s="8" t="str">
        <f t="shared" si="35"/>
        <v>Small Business</v>
      </c>
      <c r="N399" s="6" t="s">
        <v>7</v>
      </c>
      <c r="O399" s="6" t="str">
        <f t="shared" si="36"/>
        <v>North</v>
      </c>
      <c r="P399" s="6" t="s">
        <v>251</v>
      </c>
      <c r="Q399" s="6" t="str">
        <f t="shared" si="37"/>
        <v>Uttar Pradesh</v>
      </c>
      <c r="R399" s="6" t="s">
        <v>252</v>
      </c>
      <c r="S399" s="6" t="str">
        <f t="shared" si="38"/>
        <v>Noida</v>
      </c>
      <c r="T399" s="6" t="s">
        <v>14</v>
      </c>
      <c r="U399" s="8" t="str">
        <f t="shared" si="39"/>
        <v>Furniture</v>
      </c>
      <c r="V399" s="6" t="s">
        <v>18</v>
      </c>
      <c r="W399" s="6" t="str">
        <f t="shared" si="40"/>
        <v>Tables</v>
      </c>
      <c r="X399" s="6" t="s">
        <v>2057</v>
      </c>
      <c r="Y399" s="6" t="s">
        <v>36</v>
      </c>
      <c r="Z399" s="6" t="str">
        <f t="shared" si="41"/>
        <v>Second Class</v>
      </c>
      <c r="AA399" s="6">
        <v>2</v>
      </c>
      <c r="AB399" s="6">
        <v>1731.88</v>
      </c>
      <c r="AC399" s="6">
        <v>0</v>
      </c>
      <c r="AD399" s="6">
        <v>3463.76</v>
      </c>
      <c r="AE399" s="6">
        <v>2143.7399999999998</v>
      </c>
      <c r="AF399" s="6">
        <v>1320.02</v>
      </c>
      <c r="AG399" s="6" t="s">
        <v>52</v>
      </c>
      <c r="AH399" s="6" t="str">
        <f t="shared" si="42"/>
        <v>Paid</v>
      </c>
      <c r="AI399" s="6" t="s">
        <v>134</v>
      </c>
      <c r="AJ399" s="6" t="str">
        <f t="shared" si="43"/>
        <v>Completed</v>
      </c>
      <c r="AK399" s="9" t="str">
        <f>_xlfn.TEXTJOIN("|",FALSE,A399,TEXT(B399,"mm-dd-yyyy"),TEXT(E399,"mm-dd-yyyy"),I399,J399,L399,N399,P399,R399,T399,V399,X399,Y399,AA399,AB399,AC399,AD399,AE399,AF399,AG399,AI399)</f>
        <v>ORD-2025-10398|06-09-2025|06-10-2025|CUST-3177|Sneha Kapoor|Small Business|North|Uttar Pradesh|Noida|Furniture|Tables|Eco Tables 378|Second Class|2|1731.88|0|3463.76|2143.74|1320.02|Paid|Completed</v>
      </c>
      <c r="AL399" s="27" t="str">
        <f>IF(COUNTIF($AK$2:AK399,AK399)&gt;1,"Remove exact duplicate copy","Keep")</f>
        <v>Keep</v>
      </c>
      <c r="AM399" s="9">
        <f t="shared" si="44"/>
        <v>1</v>
      </c>
      <c r="AN399" s="9" t="str">
        <f t="shared" si="45"/>
        <v>Unique</v>
      </c>
      <c r="AO399" s="9" t="str">
        <f t="shared" si="46"/>
        <v/>
      </c>
      <c r="AP399" s="9">
        <f t="shared" si="47"/>
        <v>0</v>
      </c>
      <c r="AQ399" s="10">
        <f t="shared" si="48"/>
        <v>3463.76</v>
      </c>
      <c r="AR399" s="10">
        <f t="shared" si="49"/>
        <v>1320.0200000000004</v>
      </c>
      <c r="AS399" s="11">
        <f t="shared" si="50"/>
        <v>0.38109453310852959</v>
      </c>
      <c r="AT399" s="9">
        <f t="shared" si="51"/>
        <v>6</v>
      </c>
      <c r="AU399" s="9">
        <f t="shared" si="52"/>
        <v>2025</v>
      </c>
      <c r="AV399" s="9" t="b">
        <f t="shared" si="53"/>
        <v>0</v>
      </c>
      <c r="AW399" s="9" t="b">
        <f t="shared" si="54"/>
        <v>0</v>
      </c>
      <c r="AX399" s="9" t="str">
        <f t="shared" si="55"/>
        <v>Yes</v>
      </c>
      <c r="AY399" s="9" t="str">
        <f t="shared" si="61"/>
        <v/>
      </c>
      <c r="AZ399" s="9" t="str">
        <f>IF(OR(G399="Missing date",G399="Invalid date",G399="Ship date before order date",NOT(ISNUMBER(AP399)),AP399&lt;0,AP399&gt;0.5,AV399=TRUE,AW399=TRUE),"Invalid",IF(OR(O399="Unknown",Z399="Unknown",AC399="",AH399&lt;&gt;"Paid",AJ399&lt;&gt;"Completed",AO399&lt;&gt;""),"Warning","Clean"))</f>
        <v>Clean</v>
      </c>
    </row>
    <row r="400" spans="1:52" ht="15.75" customHeight="1">
      <c r="A400" s="6" t="s">
        <v>2058</v>
      </c>
      <c r="B400" s="7" t="s">
        <v>2059</v>
      </c>
      <c r="C400" s="7" t="str">
        <f t="shared" si="60"/>
        <v>2024-07</v>
      </c>
      <c r="D400" s="7" cm="1">
        <f t="array" ref="D400">_xlfn.LET(_xlpm.x,B400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45492</v>
      </c>
      <c r="E400" s="7" t="s">
        <v>2060</v>
      </c>
      <c r="F400" s="7" cm="1">
        <f t="array" ref="F400">_xlfn.LET(_xlpm.x,E400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45499</v>
      </c>
      <c r="G400" s="8" t="str">
        <f t="shared" si="32"/>
        <v>OK</v>
      </c>
      <c r="H400" s="6">
        <f t="shared" si="33"/>
        <v>7</v>
      </c>
      <c r="I400" s="6" t="s">
        <v>2061</v>
      </c>
      <c r="J400" s="6" t="s">
        <v>169</v>
      </c>
      <c r="K400" s="6" t="str">
        <f t="shared" si="34"/>
        <v>Vikram Iyer</v>
      </c>
      <c r="L400" s="6" t="s">
        <v>2062</v>
      </c>
      <c r="M400" s="8" t="str">
        <f t="shared" si="35"/>
        <v>Corporate</v>
      </c>
      <c r="N400" s="6" t="s">
        <v>7</v>
      </c>
      <c r="O400" s="6" t="str">
        <f t="shared" si="36"/>
        <v>North</v>
      </c>
      <c r="P400" s="6" t="s">
        <v>232</v>
      </c>
      <c r="Q400" s="6" t="str">
        <f t="shared" si="37"/>
        <v>Punjab</v>
      </c>
      <c r="R400" s="6" t="s">
        <v>233</v>
      </c>
      <c r="S400" s="6" t="str">
        <f t="shared" si="38"/>
        <v>Ludhiana</v>
      </c>
      <c r="T400" s="6" t="s">
        <v>27</v>
      </c>
      <c r="U400" s="8" t="str">
        <f t="shared" si="39"/>
        <v>Technology</v>
      </c>
      <c r="V400" s="6" t="s">
        <v>30</v>
      </c>
      <c r="W400" s="6" t="str">
        <f t="shared" si="40"/>
        <v>Machines</v>
      </c>
      <c r="X400" s="6" t="s">
        <v>2063</v>
      </c>
      <c r="Y400" s="6" t="s">
        <v>37</v>
      </c>
      <c r="Z400" s="6" t="str">
        <f t="shared" si="41"/>
        <v>Same Day</v>
      </c>
      <c r="AA400" s="6">
        <v>2</v>
      </c>
      <c r="AB400" s="6">
        <v>1263.6500000000001</v>
      </c>
      <c r="AC400" s="6">
        <v>0.2</v>
      </c>
      <c r="AD400" s="6">
        <v>2021.84</v>
      </c>
      <c r="AE400" s="6">
        <v>1355.22</v>
      </c>
      <c r="AF400" s="6">
        <v>666.62</v>
      </c>
      <c r="AG400" s="6" t="s">
        <v>52</v>
      </c>
      <c r="AH400" s="6" t="str">
        <f t="shared" si="42"/>
        <v>Paid</v>
      </c>
      <c r="AI400" s="6" t="s">
        <v>134</v>
      </c>
      <c r="AJ400" s="6" t="str">
        <f t="shared" si="43"/>
        <v>Completed</v>
      </c>
      <c r="AK400" s="9" t="str">
        <f>_xlfn.TEXTJOIN("|",FALSE,A400,TEXT(B400,"mm-dd-yyyy"),TEXT(E400,"mm-dd-yyyy"),I400,J400,L400,N400,P400,R400,T400,V400,X400,Y400,AA400,AB400,AC400,AD400,AE400,AF400,AG400,AI400)</f>
        <v>ORD-2024-10399|07-19-2024|07-26-2024|CUST-4718|Vikram Iyer|  Corporate |North|Punjab|Ludhiana|Technology|Machines|Elite Machines 523|Same Day|2|1263.65|0.2|2021.84|1355.22|666.62|Paid|Completed</v>
      </c>
      <c r="AL400" s="27" t="str">
        <f>IF(COUNTIF($AK$2:AK400,AK400)&gt;1,"Remove exact duplicate copy","Keep")</f>
        <v>Keep</v>
      </c>
      <c r="AM400" s="9">
        <f t="shared" si="44"/>
        <v>1</v>
      </c>
      <c r="AN400" s="9" t="str">
        <f t="shared" si="45"/>
        <v>Unique</v>
      </c>
      <c r="AO400" s="9" t="str">
        <f t="shared" si="46"/>
        <v/>
      </c>
      <c r="AP400" s="9">
        <f t="shared" si="47"/>
        <v>0.2</v>
      </c>
      <c r="AQ400" s="10">
        <f t="shared" si="48"/>
        <v>2021.8400000000001</v>
      </c>
      <c r="AR400" s="10">
        <f t="shared" si="49"/>
        <v>666.62000000000012</v>
      </c>
      <c r="AS400" s="11">
        <f t="shared" si="50"/>
        <v>0.32970957147944452</v>
      </c>
      <c r="AT400" s="9">
        <f t="shared" si="51"/>
        <v>7</v>
      </c>
      <c r="AU400" s="9">
        <f t="shared" si="52"/>
        <v>2024</v>
      </c>
      <c r="AV400" s="9" t="b">
        <f t="shared" si="53"/>
        <v>0</v>
      </c>
      <c r="AW400" s="9" t="b">
        <f t="shared" si="54"/>
        <v>0</v>
      </c>
      <c r="AX400" s="9" t="str">
        <f t="shared" si="55"/>
        <v>Yes</v>
      </c>
      <c r="AY400" s="9" t="str">
        <f t="shared" si="61"/>
        <v/>
      </c>
      <c r="AZ400" s="9" t="str">
        <f>IF(OR(G400="Missing date",G400="Invalid date",G400="Ship date before order date",NOT(ISNUMBER(AP400)),AP400&lt;0,AP400&gt;0.5,AV400=TRUE,AW400=TRUE),"Invalid",IF(OR(O400="Unknown",Z400="Unknown",AC400="",AH400&lt;&gt;"Paid",AJ400&lt;&gt;"Completed",AO400&lt;&gt;""),"Warning","Clean"))</f>
        <v>Clean</v>
      </c>
    </row>
    <row r="401" spans="1:52" ht="15.75" customHeight="1">
      <c r="A401" s="6" t="s">
        <v>2064</v>
      </c>
      <c r="B401" s="7" t="s">
        <v>2065</v>
      </c>
      <c r="C401" s="7" t="str">
        <f t="shared" si="60"/>
        <v>2025-04</v>
      </c>
      <c r="D401" s="7" cm="1">
        <f t="array" ref="D401">_xlfn.LET(_xlpm.x,B401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45771</v>
      </c>
      <c r="E401" s="7" t="s">
        <v>2066</v>
      </c>
      <c r="F401" s="7" cm="1">
        <f t="array" ref="F401">_xlfn.LET(_xlpm.x,E401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45776</v>
      </c>
      <c r="G401" s="8" t="str">
        <f t="shared" si="32"/>
        <v>OK</v>
      </c>
      <c r="H401" s="6">
        <f t="shared" si="33"/>
        <v>5</v>
      </c>
      <c r="I401" s="6" t="s">
        <v>2067</v>
      </c>
      <c r="J401" s="6" t="s">
        <v>284</v>
      </c>
      <c r="K401" s="6" t="str">
        <f t="shared" si="34"/>
        <v>Diya Patel</v>
      </c>
      <c r="L401" s="6" t="s">
        <v>46</v>
      </c>
      <c r="M401" s="8" t="str">
        <f t="shared" si="35"/>
        <v>Small Business</v>
      </c>
      <c r="N401" s="6" t="s">
        <v>10</v>
      </c>
      <c r="O401" s="6" t="str">
        <f t="shared" si="36"/>
        <v>South</v>
      </c>
      <c r="P401" s="6" t="s">
        <v>183</v>
      </c>
      <c r="Q401" s="6" t="str">
        <f t="shared" si="37"/>
        <v>Andhra Pradesh</v>
      </c>
      <c r="R401" s="6" t="s">
        <v>184</v>
      </c>
      <c r="S401" s="6" t="str">
        <f t="shared" si="38"/>
        <v>Vijayawada</v>
      </c>
      <c r="T401" s="6" t="s">
        <v>20</v>
      </c>
      <c r="U401" s="8" t="str">
        <f t="shared" si="39"/>
        <v>Office Supplies</v>
      </c>
      <c r="V401" s="6" t="s">
        <v>24</v>
      </c>
      <c r="W401" s="6" t="str">
        <f t="shared" si="40"/>
        <v>Paper</v>
      </c>
      <c r="X401" s="6" t="s">
        <v>2068</v>
      </c>
      <c r="Y401" s="6" t="s">
        <v>37</v>
      </c>
      <c r="Z401" s="6" t="str">
        <f t="shared" si="41"/>
        <v>Same Day</v>
      </c>
      <c r="AA401" s="6">
        <v>1</v>
      </c>
      <c r="AB401" s="6">
        <v>4358.5</v>
      </c>
      <c r="AC401" s="6">
        <v>0.25</v>
      </c>
      <c r="AD401" s="6">
        <v>3268.88</v>
      </c>
      <c r="AE401" s="6">
        <v>1993.74</v>
      </c>
      <c r="AF401" s="6">
        <v>1275.1400000000001</v>
      </c>
      <c r="AG401" s="6" t="s">
        <v>52</v>
      </c>
      <c r="AH401" s="6" t="str">
        <f t="shared" si="42"/>
        <v>Paid</v>
      </c>
      <c r="AI401" s="6" t="s">
        <v>134</v>
      </c>
      <c r="AJ401" s="6" t="str">
        <f t="shared" si="43"/>
        <v>Completed</v>
      </c>
      <c r="AK401" s="9" t="str">
        <f>_xlfn.TEXTJOIN("|",FALSE,A401,TEXT(B401,"mm-dd-yyyy"),TEXT(E401,"mm-dd-yyyy"),I401,J401,L401,N401,P401,R401,T401,V401,X401,Y401,AA401,AB401,AC401,AD401,AE401,AF401,AG401,AI401)</f>
        <v>ORD-2025-10400|04-24-2025|04-29-2025|CUST-5647|Diya Patel|Small Business|South|Andhra Pradesh|Vijayawada|Office Supplies|Paper|Elite Paper 308|Same Day|1|4358.5|0.25|3268.88|1993.74|1275.14|Paid|Completed</v>
      </c>
      <c r="AL401" s="27" t="str">
        <f>IF(COUNTIF($AK$2:AK401,AK401)&gt;1,"Remove exact duplicate copy","Keep")</f>
        <v>Keep</v>
      </c>
      <c r="AM401" s="9">
        <f t="shared" si="44"/>
        <v>1</v>
      </c>
      <c r="AN401" s="9" t="str">
        <f t="shared" si="45"/>
        <v>Unique</v>
      </c>
      <c r="AO401" s="9" t="str">
        <f t="shared" si="46"/>
        <v/>
      </c>
      <c r="AP401" s="9">
        <f t="shared" si="47"/>
        <v>0.25</v>
      </c>
      <c r="AQ401" s="10">
        <f t="shared" si="48"/>
        <v>3268.875</v>
      </c>
      <c r="AR401" s="10">
        <f t="shared" si="49"/>
        <v>1275.135</v>
      </c>
      <c r="AS401" s="11">
        <f t="shared" si="50"/>
        <v>0.39008374440747962</v>
      </c>
      <c r="AT401" s="9">
        <f t="shared" si="51"/>
        <v>4</v>
      </c>
      <c r="AU401" s="9">
        <f t="shared" si="52"/>
        <v>2025</v>
      </c>
      <c r="AV401" s="9" t="b">
        <f t="shared" si="53"/>
        <v>0</v>
      </c>
      <c r="AW401" s="9" t="b">
        <f t="shared" si="54"/>
        <v>0</v>
      </c>
      <c r="AX401" s="9" t="str">
        <f t="shared" si="55"/>
        <v>Yes</v>
      </c>
      <c r="AY401" s="9" t="str">
        <f t="shared" si="61"/>
        <v/>
      </c>
      <c r="AZ401" s="9" t="str">
        <f>IF(OR(G401="Missing date",G401="Invalid date",G401="Ship date before order date",NOT(ISNUMBER(AP401)),AP401&lt;0,AP401&gt;0.5,AV401=TRUE,AW401=TRUE),"Invalid",IF(OR(O401="Unknown",Z401="Unknown",AC401="",AH401&lt;&gt;"Paid",AJ401&lt;&gt;"Completed",AO401&lt;&gt;""),"Warning","Clean"))</f>
        <v>Clean</v>
      </c>
    </row>
    <row r="402" spans="1:52" ht="15.75" customHeight="1">
      <c r="A402" s="6" t="s">
        <v>2069</v>
      </c>
      <c r="B402" s="7" t="s">
        <v>2070</v>
      </c>
      <c r="C402" s="7" t="str">
        <f t="shared" si="60"/>
        <v>2025-06</v>
      </c>
      <c r="D402" s="7" cm="1">
        <f t="array" ref="D402">_xlfn.LET(_xlpm.x,B402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45814</v>
      </c>
      <c r="E402" s="7" t="s">
        <v>2071</v>
      </c>
      <c r="F402" s="7" cm="1">
        <f t="array" ref="F402">_xlfn.LET(_xlpm.x,E402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45819</v>
      </c>
      <c r="G402" s="8" t="str">
        <f t="shared" si="32"/>
        <v>OK</v>
      </c>
      <c r="H402" s="6">
        <f t="shared" si="33"/>
        <v>5</v>
      </c>
      <c r="I402" s="6" t="s">
        <v>2072</v>
      </c>
      <c r="J402" s="6" t="s">
        <v>245</v>
      </c>
      <c r="K402" s="6" t="str">
        <f t="shared" si="34"/>
        <v>Sneha Kapoor</v>
      </c>
      <c r="L402" s="6" t="s">
        <v>46</v>
      </c>
      <c r="M402" s="8" t="str">
        <f t="shared" si="35"/>
        <v>Small Business</v>
      </c>
      <c r="N402" s="6" t="s">
        <v>7</v>
      </c>
      <c r="O402" s="6" t="str">
        <f t="shared" si="36"/>
        <v>North</v>
      </c>
      <c r="P402" s="6" t="s">
        <v>251</v>
      </c>
      <c r="Q402" s="6" t="str">
        <f t="shared" si="37"/>
        <v>Uttar Pradesh</v>
      </c>
      <c r="R402" s="6" t="s">
        <v>252</v>
      </c>
      <c r="S402" s="6" t="str">
        <f t="shared" si="38"/>
        <v>Noida</v>
      </c>
      <c r="T402" s="6" t="s">
        <v>20</v>
      </c>
      <c r="U402" s="8" t="str">
        <f t="shared" si="39"/>
        <v>Office Supplies</v>
      </c>
      <c r="V402" s="6" t="s">
        <v>24</v>
      </c>
      <c r="W402" s="6" t="str">
        <f t="shared" si="40"/>
        <v>Paper</v>
      </c>
      <c r="X402" s="6" t="s">
        <v>2073</v>
      </c>
      <c r="Y402" s="6" t="s">
        <v>37</v>
      </c>
      <c r="Z402" s="6" t="str">
        <f t="shared" si="41"/>
        <v>Same Day</v>
      </c>
      <c r="AA402" s="6">
        <v>7</v>
      </c>
      <c r="AB402" s="6">
        <v>878.09</v>
      </c>
      <c r="AC402" s="6">
        <v>-0.1</v>
      </c>
      <c r="AD402" s="6">
        <v>5839.3</v>
      </c>
      <c r="AE402" s="6">
        <v>4877.38</v>
      </c>
      <c r="AF402" s="6">
        <v>961.92</v>
      </c>
      <c r="AG402" s="6" t="s">
        <v>52</v>
      </c>
      <c r="AH402" s="6" t="str">
        <f t="shared" si="42"/>
        <v>Paid</v>
      </c>
      <c r="AI402" s="6" t="s">
        <v>134</v>
      </c>
      <c r="AJ402" s="6" t="str">
        <f t="shared" si="43"/>
        <v>Completed</v>
      </c>
      <c r="AK402" s="9" t="str">
        <f>_xlfn.TEXTJOIN("|",FALSE,A402,TEXT(B402,"mm-dd-yyyy"),TEXT(E402,"mm-dd-yyyy"),I402,J402,L402,N402,P402,R402,T402,V402,X402,Y402,AA402,AB402,AC402,AD402,AE402,AF402,AG402,AI402)</f>
        <v>ORD-2025-10401|06-06-2025|06-11-2025|CUST-7150|Sneha Kapoor|Small Business|North|Uttar Pradesh|Noida|Office Supplies|Paper|Prime Paper 851|Same Day|7|878.09|-0.1|5839.3|4877.38|961.92|Paid|Completed</v>
      </c>
      <c r="AL402" s="27" t="str">
        <f>IF(COUNTIF($AK$2:AK402,AK402)&gt;1,"Remove exact duplicate copy","Keep")</f>
        <v>Keep</v>
      </c>
      <c r="AM402" s="9">
        <f t="shared" si="44"/>
        <v>1</v>
      </c>
      <c r="AN402" s="9" t="str">
        <f t="shared" si="45"/>
        <v>Unique</v>
      </c>
      <c r="AO402" s="9" t="str">
        <f t="shared" si="46"/>
        <v/>
      </c>
      <c r="AP402" s="9">
        <f t="shared" si="47"/>
        <v>-0.1</v>
      </c>
      <c r="AQ402" s="10">
        <f t="shared" si="48"/>
        <v>6761.2930000000006</v>
      </c>
      <c r="AR402" s="10">
        <f t="shared" si="49"/>
        <v>1883.9130000000005</v>
      </c>
      <c r="AS402" s="11">
        <f t="shared" si="50"/>
        <v>0.27863206046535777</v>
      </c>
      <c r="AT402" s="9">
        <f t="shared" si="51"/>
        <v>6</v>
      </c>
      <c r="AU402" s="9">
        <f t="shared" si="52"/>
        <v>2025</v>
      </c>
      <c r="AV402" s="9" t="b">
        <f t="shared" si="53"/>
        <v>1</v>
      </c>
      <c r="AW402" s="9" t="b">
        <f t="shared" si="54"/>
        <v>1</v>
      </c>
      <c r="AX402" s="9" t="str">
        <f t="shared" si="55"/>
        <v>No</v>
      </c>
      <c r="AY402" s="9" t="str">
        <f t="shared" si="61"/>
        <v>Negative discount; Sales mismatch; Profit mismatch</v>
      </c>
      <c r="AZ402" s="9" t="str">
        <f>IF(OR(G402="Missing date",G402="Invalid date",G402="Ship date before order date",NOT(ISNUMBER(AP402)),AP402&lt;0,AP402&gt;0.5,AV402=TRUE,AW402=TRUE),"Invalid",IF(OR(O402="Unknown",Z402="Unknown",AC402="",AH402&lt;&gt;"Paid",AJ402&lt;&gt;"Completed",AO402&lt;&gt;""),"Warning","Clean"))</f>
        <v>Invalid</v>
      </c>
    </row>
    <row r="403" spans="1:52" ht="15.75" customHeight="1">
      <c r="A403" s="6" t="s">
        <v>2074</v>
      </c>
      <c r="B403" s="7" t="s">
        <v>2075</v>
      </c>
      <c r="C403" s="7" t="str">
        <f t="shared" si="60"/>
        <v>2025-03</v>
      </c>
      <c r="D403" s="7" cm="1">
        <f t="array" ref="D403">_xlfn.LET(_xlpm.x,B403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45725</v>
      </c>
      <c r="E403" s="7" t="s">
        <v>2076</v>
      </c>
      <c r="F403" s="7" cm="1">
        <f t="array" ref="F403">_xlfn.LET(_xlpm.x,E403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45732</v>
      </c>
      <c r="G403" s="8" t="str">
        <f t="shared" si="32"/>
        <v>OK</v>
      </c>
      <c r="H403" s="6">
        <f t="shared" si="33"/>
        <v>7</v>
      </c>
      <c r="I403" s="6" t="s">
        <v>2077</v>
      </c>
      <c r="J403" s="6" t="s">
        <v>153</v>
      </c>
      <c r="K403" s="6" t="str">
        <f t="shared" si="34"/>
        <v>Arjun Bose</v>
      </c>
      <c r="L403" s="6" t="s">
        <v>46</v>
      </c>
      <c r="M403" s="8" t="str">
        <f t="shared" si="35"/>
        <v>Small Business</v>
      </c>
      <c r="N403" s="6" t="s">
        <v>8</v>
      </c>
      <c r="O403" s="6" t="str">
        <f t="shared" si="36"/>
        <v>East</v>
      </c>
      <c r="P403" s="6" t="s">
        <v>385</v>
      </c>
      <c r="Q403" s="6" t="str">
        <f t="shared" si="37"/>
        <v>Jharkhand</v>
      </c>
      <c r="R403" s="6" t="s">
        <v>386</v>
      </c>
      <c r="S403" s="6" t="str">
        <f t="shared" si="38"/>
        <v>Ranchi</v>
      </c>
      <c r="T403" s="6" t="s">
        <v>14</v>
      </c>
      <c r="U403" s="8" t="str">
        <f t="shared" si="39"/>
        <v>Furniture</v>
      </c>
      <c r="V403" s="6" t="s">
        <v>18</v>
      </c>
      <c r="W403" s="6" t="str">
        <f t="shared" si="40"/>
        <v>Tables</v>
      </c>
      <c r="X403" s="6" t="s">
        <v>2078</v>
      </c>
      <c r="Y403" s="6" t="s">
        <v>37</v>
      </c>
      <c r="Z403" s="6" t="str">
        <f t="shared" si="41"/>
        <v>Same Day</v>
      </c>
      <c r="AA403" s="6">
        <v>3</v>
      </c>
      <c r="AB403" s="6">
        <v>2625.85</v>
      </c>
      <c r="AC403" s="6">
        <v>0</v>
      </c>
      <c r="AD403" s="6">
        <v>7877.55</v>
      </c>
      <c r="AE403" s="6">
        <v>5562.77</v>
      </c>
      <c r="AF403" s="6">
        <v>2314.7800000000002</v>
      </c>
      <c r="AG403" s="6" t="s">
        <v>52</v>
      </c>
      <c r="AH403" s="6" t="str">
        <f t="shared" si="42"/>
        <v>Paid</v>
      </c>
      <c r="AI403" s="6" t="s">
        <v>134</v>
      </c>
      <c r="AJ403" s="6" t="str">
        <f t="shared" si="43"/>
        <v>Completed</v>
      </c>
      <c r="AK403" s="9" t="str">
        <f>_xlfn.TEXTJOIN("|",FALSE,A403,TEXT(B403,"mm-dd-yyyy"),TEXT(E403,"mm-dd-yyyy"),I403,J403,L403,N403,P403,R403,T403,V403,X403,Y403,AA403,AB403,AC403,AD403,AE403,AF403,AG403,AI403)</f>
        <v>ORD-2025-10402|03-09-2025|16-03-2025|CUST-6694|Arjun Bose|Small Business|East|Jharkhand|Ranchi|Furniture|Tables|Classic Tables 151|Same Day|3|2625.85|0|7877.55|5562.77|2314.78|Paid|Completed</v>
      </c>
      <c r="AL403" s="27" t="str">
        <f>IF(COUNTIF($AK$2:AK403,AK403)&gt;1,"Remove exact duplicate copy","Keep")</f>
        <v>Keep</v>
      </c>
      <c r="AM403" s="9">
        <f t="shared" si="44"/>
        <v>1</v>
      </c>
      <c r="AN403" s="9" t="str">
        <f t="shared" si="45"/>
        <v>Unique</v>
      </c>
      <c r="AO403" s="9" t="str">
        <f t="shared" si="46"/>
        <v/>
      </c>
      <c r="AP403" s="9">
        <f t="shared" si="47"/>
        <v>0</v>
      </c>
      <c r="AQ403" s="10">
        <f t="shared" si="48"/>
        <v>7877.5499999999993</v>
      </c>
      <c r="AR403" s="10">
        <f t="shared" si="49"/>
        <v>2314.7799999999988</v>
      </c>
      <c r="AS403" s="11">
        <f t="shared" si="50"/>
        <v>0.29384516759652418</v>
      </c>
      <c r="AT403" s="9">
        <f t="shared" si="51"/>
        <v>3</v>
      </c>
      <c r="AU403" s="9">
        <f t="shared" si="52"/>
        <v>2025</v>
      </c>
      <c r="AV403" s="9" t="b">
        <f t="shared" si="53"/>
        <v>0</v>
      </c>
      <c r="AW403" s="9" t="b">
        <f t="shared" si="54"/>
        <v>0</v>
      </c>
      <c r="AX403" s="9" t="str">
        <f t="shared" si="55"/>
        <v>Yes</v>
      </c>
      <c r="AY403" s="9" t="str">
        <f t="shared" si="61"/>
        <v/>
      </c>
      <c r="AZ403" s="9" t="str">
        <f>IF(OR(G403="Missing date",G403="Invalid date",G403="Ship date before order date",NOT(ISNUMBER(AP403)),AP403&lt;0,AP403&gt;0.5,AV403=TRUE,AW403=TRUE),"Invalid",IF(OR(O403="Unknown",Z403="Unknown",AC403="",AH403&lt;&gt;"Paid",AJ403&lt;&gt;"Completed",AO403&lt;&gt;""),"Warning","Clean"))</f>
        <v>Clean</v>
      </c>
    </row>
    <row r="404" spans="1:52" ht="15.75" customHeight="1">
      <c r="A404" s="6" t="s">
        <v>2079</v>
      </c>
      <c r="B404" s="7" t="s">
        <v>2080</v>
      </c>
      <c r="C404" s="7" t="str">
        <f t="shared" si="60"/>
        <v>2024-03</v>
      </c>
      <c r="D404" s="7" cm="1">
        <f t="array" ref="D404">_xlfn.LET(_xlpm.x,B404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45373</v>
      </c>
      <c r="E404" s="7" t="s">
        <v>2081</v>
      </c>
      <c r="F404" s="7" cm="1">
        <f t="array" ref="F404">_xlfn.LET(_xlpm.x,E404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45373</v>
      </c>
      <c r="G404" s="8" t="str">
        <f t="shared" si="32"/>
        <v>OK</v>
      </c>
      <c r="H404" s="6">
        <f t="shared" si="33"/>
        <v>0</v>
      </c>
      <c r="I404" s="6" t="s">
        <v>2082</v>
      </c>
      <c r="J404" s="6" t="s">
        <v>220</v>
      </c>
      <c r="K404" s="6" t="str">
        <f t="shared" si="34"/>
        <v>Priya Menon</v>
      </c>
      <c r="L404" s="6" t="s">
        <v>46</v>
      </c>
      <c r="M404" s="8" t="str">
        <f t="shared" si="35"/>
        <v>Small Business</v>
      </c>
      <c r="N404" s="6" t="s">
        <v>10</v>
      </c>
      <c r="O404" s="6" t="str">
        <f t="shared" si="36"/>
        <v>South</v>
      </c>
      <c r="P404" s="6" t="s">
        <v>303</v>
      </c>
      <c r="Q404" s="6" t="str">
        <f t="shared" si="37"/>
        <v>Karnataka</v>
      </c>
      <c r="R404" s="6" t="s">
        <v>304</v>
      </c>
      <c r="S404" s="6" t="str">
        <f t="shared" si="38"/>
        <v>Bengaluru</v>
      </c>
      <c r="T404" s="6" t="s">
        <v>14</v>
      </c>
      <c r="U404" s="8" t="str">
        <f t="shared" si="39"/>
        <v>Furniture</v>
      </c>
      <c r="V404" s="6" t="s">
        <v>18</v>
      </c>
      <c r="W404" s="6" t="str">
        <f t="shared" si="40"/>
        <v>Tables</v>
      </c>
      <c r="X404" s="6" t="s">
        <v>2083</v>
      </c>
      <c r="Y404" s="6"/>
      <c r="Z404" s="6" t="str">
        <f t="shared" si="41"/>
        <v>Unknown</v>
      </c>
      <c r="AA404" s="6">
        <v>3</v>
      </c>
      <c r="AB404" s="6">
        <v>1365.26</v>
      </c>
      <c r="AC404" s="6">
        <v>0</v>
      </c>
      <c r="AD404" s="6">
        <v>4095.78</v>
      </c>
      <c r="AE404" s="6">
        <v>2807.77</v>
      </c>
      <c r="AF404" s="6">
        <v>1288.01</v>
      </c>
      <c r="AG404" s="6" t="s">
        <v>52</v>
      </c>
      <c r="AH404" s="6" t="str">
        <f t="shared" si="42"/>
        <v>Paid</v>
      </c>
      <c r="AI404" s="6" t="s">
        <v>134</v>
      </c>
      <c r="AJ404" s="6" t="str">
        <f t="shared" si="43"/>
        <v>Completed</v>
      </c>
      <c r="AK404" s="9" t="str">
        <f>_xlfn.TEXTJOIN("|",FALSE,A404,TEXT(B404,"mm-dd-yyyy"),TEXT(E404,"mm-dd-yyyy"),I404,J404,L404,N404,P404,R404,T404,V404,X404,Y404,AA404,AB404,AC404,AD404,AE404,AF404,AG404,AI404)</f>
        <v>ORD-2024-10403|03-22-2024|03-22-2024|CUST-7680|Priya Menon|Small Business|South|Karnataka|Bengaluru|Furniture|Tables|Smart Tables 829||3|1365.26|0|4095.78|2807.77|1288.01|Paid|Completed</v>
      </c>
      <c r="AL404" s="27" t="str">
        <f>IF(COUNTIF($AK$2:AK404,AK404)&gt;1,"Remove exact duplicate copy","Keep")</f>
        <v>Keep</v>
      </c>
      <c r="AM404" s="9">
        <f t="shared" si="44"/>
        <v>1</v>
      </c>
      <c r="AN404" s="9" t="str">
        <f t="shared" si="45"/>
        <v>Unique</v>
      </c>
      <c r="AO404" s="9" t="str">
        <f t="shared" si="46"/>
        <v/>
      </c>
      <c r="AP404" s="9">
        <f t="shared" si="47"/>
        <v>0</v>
      </c>
      <c r="AQ404" s="10">
        <f t="shared" si="48"/>
        <v>4095.7799999999997</v>
      </c>
      <c r="AR404" s="10">
        <f t="shared" si="49"/>
        <v>1288.0099999999998</v>
      </c>
      <c r="AS404" s="11">
        <f t="shared" si="50"/>
        <v>0.31447245701673426</v>
      </c>
      <c r="AT404" s="9">
        <f t="shared" si="51"/>
        <v>3</v>
      </c>
      <c r="AU404" s="9">
        <f t="shared" si="52"/>
        <v>2024</v>
      </c>
      <c r="AV404" s="9" t="b">
        <f t="shared" si="53"/>
        <v>0</v>
      </c>
      <c r="AW404" s="9" t="b">
        <f t="shared" si="54"/>
        <v>0</v>
      </c>
      <c r="AX404" s="9" t="str">
        <f t="shared" si="55"/>
        <v>Yes</v>
      </c>
      <c r="AY404" s="9" t="str">
        <f t="shared" si="61"/>
        <v>Missing ship mode filled as Unknown</v>
      </c>
      <c r="AZ404" s="9" t="str">
        <f>IF(OR(G404="Missing date",G404="Invalid date",G404="Ship date before order date",NOT(ISNUMBER(AP404)),AP404&lt;0,AP404&gt;0.5,AV404=TRUE,AW404=TRUE),"Invalid",IF(OR(O404="Unknown",Z404="Unknown",AC404="",AH404&lt;&gt;"Paid",AJ404&lt;&gt;"Completed",AO404&lt;&gt;""),"Warning","Clean"))</f>
        <v>Warning</v>
      </c>
    </row>
    <row r="405" spans="1:52" ht="15.75" customHeight="1">
      <c r="A405" s="6" t="s">
        <v>2084</v>
      </c>
      <c r="B405" s="7" t="s">
        <v>2085</v>
      </c>
      <c r="C405" s="7" t="str">
        <f t="shared" si="60"/>
        <v>2024-09</v>
      </c>
      <c r="D405" s="7" cm="1">
        <f t="array" ref="D405">_xlfn.LET(_xlpm.x,B405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45565</v>
      </c>
      <c r="E405" s="7" t="s">
        <v>2086</v>
      </c>
      <c r="F405" s="7" cm="1">
        <f t="array" ref="F405">_xlfn.LET(_xlpm.x,E405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45569</v>
      </c>
      <c r="G405" s="8" t="str">
        <f t="shared" si="32"/>
        <v>OK</v>
      </c>
      <c r="H405" s="6">
        <f t="shared" si="33"/>
        <v>4</v>
      </c>
      <c r="I405" s="6" t="s">
        <v>2087</v>
      </c>
      <c r="J405" s="6" t="s">
        <v>153</v>
      </c>
      <c r="K405" s="6" t="str">
        <f t="shared" si="34"/>
        <v>Arjun Bose</v>
      </c>
      <c r="L405" s="6" t="s">
        <v>46</v>
      </c>
      <c r="M405" s="8" t="str">
        <f t="shared" si="35"/>
        <v>Small Business</v>
      </c>
      <c r="N405" s="6" t="s">
        <v>10</v>
      </c>
      <c r="O405" s="6" t="str">
        <f t="shared" si="36"/>
        <v>South</v>
      </c>
      <c r="P405" s="6" t="s">
        <v>316</v>
      </c>
      <c r="Q405" s="6" t="str">
        <f t="shared" si="37"/>
        <v>Kerala</v>
      </c>
      <c r="R405" s="6" t="s">
        <v>317</v>
      </c>
      <c r="S405" s="6" t="str">
        <f t="shared" si="38"/>
        <v>Kochi</v>
      </c>
      <c r="T405" s="6" t="s">
        <v>20</v>
      </c>
      <c r="U405" s="8" t="str">
        <f t="shared" si="39"/>
        <v>Office Supplies</v>
      </c>
      <c r="V405" s="6" t="s">
        <v>2088</v>
      </c>
      <c r="W405" s="6" t="str">
        <f t="shared" si="40"/>
        <v>Paper</v>
      </c>
      <c r="X405" s="6" t="s">
        <v>2089</v>
      </c>
      <c r="Y405" s="6" t="s">
        <v>37</v>
      </c>
      <c r="Z405" s="6" t="str">
        <f t="shared" si="41"/>
        <v>Same Day</v>
      </c>
      <c r="AA405" s="6">
        <v>5</v>
      </c>
      <c r="AB405" s="6">
        <v>3512.25</v>
      </c>
      <c r="AC405" s="6">
        <v>0.05</v>
      </c>
      <c r="AD405" s="6">
        <v>16683.189999999999</v>
      </c>
      <c r="AE405" s="6">
        <v>10301.16</v>
      </c>
      <c r="AF405" s="6">
        <v>6382.03</v>
      </c>
      <c r="AG405" s="6" t="s">
        <v>52</v>
      </c>
      <c r="AH405" s="6" t="str">
        <f t="shared" si="42"/>
        <v>Paid</v>
      </c>
      <c r="AI405" s="6" t="s">
        <v>59</v>
      </c>
      <c r="AJ405" s="6" t="str">
        <f t="shared" si="43"/>
        <v>Returned</v>
      </c>
      <c r="AK405" s="9" t="str">
        <f>_xlfn.TEXTJOIN("|",FALSE,A405,TEXT(B405,"mm-dd-yyyy"),TEXT(E405,"mm-dd-yyyy"),I405,J405,L405,N405,P405,R405,T405,V405,X405,Y405,AA405,AB405,AC405,AD405,AE405,AF405,AG405,AI405)</f>
        <v>ORD-2024-10404|09-30-2024|04-10-2024|CUST-2700|Arjun Bose|Small Business|South|Kerala|Kochi|Office Supplies|PAPER|Classic Paper 237|Same Day|5|3512.25|0.05|16683.19|10301.16|6382.03|Paid|Returned</v>
      </c>
      <c r="AL405" s="27" t="str">
        <f>IF(COUNTIF($AK$2:AK405,AK405)&gt;1,"Remove exact duplicate copy","Keep")</f>
        <v>Keep</v>
      </c>
      <c r="AM405" s="9">
        <f t="shared" si="44"/>
        <v>1</v>
      </c>
      <c r="AN405" s="9" t="str">
        <f t="shared" si="45"/>
        <v>Unique</v>
      </c>
      <c r="AO405" s="9" t="str">
        <f t="shared" si="46"/>
        <v/>
      </c>
      <c r="AP405" s="9">
        <f t="shared" si="47"/>
        <v>0.05</v>
      </c>
      <c r="AQ405" s="10">
        <f t="shared" si="48"/>
        <v>16683.1875</v>
      </c>
      <c r="AR405" s="10">
        <f t="shared" si="49"/>
        <v>6382.0275000000001</v>
      </c>
      <c r="AS405" s="11">
        <f t="shared" si="50"/>
        <v>0.38254245479168775</v>
      </c>
      <c r="AT405" s="9">
        <f t="shared" si="51"/>
        <v>9</v>
      </c>
      <c r="AU405" s="9">
        <f t="shared" si="52"/>
        <v>2024</v>
      </c>
      <c r="AV405" s="9" t="b">
        <f t="shared" si="53"/>
        <v>0</v>
      </c>
      <c r="AW405" s="9" t="b">
        <f t="shared" si="54"/>
        <v>0</v>
      </c>
      <c r="AX405" s="9" t="str">
        <f t="shared" si="55"/>
        <v>No</v>
      </c>
      <c r="AY405" s="9" t="str">
        <f t="shared" si="61"/>
        <v>Returned order excluded</v>
      </c>
      <c r="AZ405" s="9" t="str">
        <f>IF(OR(G405="Missing date",G405="Invalid date",G405="Ship date before order date",NOT(ISNUMBER(AP405)),AP405&lt;0,AP405&gt;0.5,AV405=TRUE,AW405=TRUE),"Invalid",IF(OR(O405="Unknown",Z405="Unknown",AC405="",AH405&lt;&gt;"Paid",AJ405&lt;&gt;"Completed",AO405&lt;&gt;""),"Warning","Clean"))</f>
        <v>Warning</v>
      </c>
    </row>
    <row r="406" spans="1:52" ht="15.75" customHeight="1">
      <c r="A406" s="6" t="s">
        <v>2090</v>
      </c>
      <c r="B406" s="7" t="s">
        <v>2091</v>
      </c>
      <c r="C406" s="7" t="str">
        <f t="shared" si="60"/>
        <v>2024-01</v>
      </c>
      <c r="D406" s="7" cm="1">
        <f t="array" ref="D406">_xlfn.LET(_xlpm.x,B406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45318</v>
      </c>
      <c r="E406" s="7" t="s">
        <v>2092</v>
      </c>
      <c r="F406" s="7" cm="1">
        <f t="array" ref="F406">_xlfn.LET(_xlpm.x,E406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45325</v>
      </c>
      <c r="G406" s="8" t="str">
        <f t="shared" si="32"/>
        <v>OK</v>
      </c>
      <c r="H406" s="6">
        <f t="shared" si="33"/>
        <v>7</v>
      </c>
      <c r="I406" s="6" t="s">
        <v>2093</v>
      </c>
      <c r="J406" s="6" t="s">
        <v>190</v>
      </c>
      <c r="K406" s="6" t="str">
        <f t="shared" si="34"/>
        <v>Aditi Sen</v>
      </c>
      <c r="L406" s="6" t="s">
        <v>45</v>
      </c>
      <c r="M406" s="8" t="str">
        <f t="shared" si="35"/>
        <v>Corporate</v>
      </c>
      <c r="N406" s="6" t="s">
        <v>9</v>
      </c>
      <c r="O406" s="6" t="str">
        <f t="shared" si="36"/>
        <v>West</v>
      </c>
      <c r="P406" s="6" t="s">
        <v>131</v>
      </c>
      <c r="Q406" s="6" t="str">
        <f t="shared" si="37"/>
        <v>Rajasthan</v>
      </c>
      <c r="R406" s="6" t="s">
        <v>214</v>
      </c>
      <c r="S406" s="6" t="str">
        <f t="shared" si="38"/>
        <v>Udaipur</v>
      </c>
      <c r="T406" s="6" t="s">
        <v>14</v>
      </c>
      <c r="U406" s="8" t="str">
        <f t="shared" si="39"/>
        <v>Furniture</v>
      </c>
      <c r="V406" s="6" t="s">
        <v>16</v>
      </c>
      <c r="W406" s="6" t="str">
        <f t="shared" si="40"/>
        <v>Chairs</v>
      </c>
      <c r="X406" s="6" t="s">
        <v>2094</v>
      </c>
      <c r="Y406" s="6" t="s">
        <v>37</v>
      </c>
      <c r="Z406" s="6" t="str">
        <f t="shared" si="41"/>
        <v>Same Day</v>
      </c>
      <c r="AA406" s="6">
        <v>3</v>
      </c>
      <c r="AB406" s="6">
        <v>359.61</v>
      </c>
      <c r="AC406" s="6">
        <v>0</v>
      </c>
      <c r="AD406" s="6">
        <v>1078.83</v>
      </c>
      <c r="AE406" s="6">
        <v>926.35</v>
      </c>
      <c r="AF406" s="6">
        <v>152.47999999999999</v>
      </c>
      <c r="AG406" s="6" t="s">
        <v>52</v>
      </c>
      <c r="AH406" s="6" t="str">
        <f t="shared" si="42"/>
        <v>Paid</v>
      </c>
      <c r="AI406" s="6" t="s">
        <v>1114</v>
      </c>
      <c r="AJ406" s="6" t="str">
        <f t="shared" si="43"/>
        <v>Completed</v>
      </c>
      <c r="AK406" s="9" t="str">
        <f>_xlfn.TEXTJOIN("|",FALSE,A406,TEXT(B406,"mm-dd-yyyy"),TEXT(E406,"mm-dd-yyyy"),I406,J406,L406,N406,P406,R406,T406,V406,X406,Y406,AA406,AB406,AC406,AD406,AE406,AF406,AG406,AI406)</f>
        <v xml:space="preserve">ORD-2024-10405|01-27-2024|02-03-2024|CUST-2904|Aditi Sen|Corporate|West|Rajasthan|Udaipur|Furniture|Chairs|Prime Chairs 891|Same Day|3|359.61|0|1078.83|926.35|152.48|Paid|  Completed </v>
      </c>
      <c r="AL406" s="27" t="str">
        <f>IF(COUNTIF($AK$2:AK406,AK406)&gt;1,"Remove exact duplicate copy","Keep")</f>
        <v>Keep</v>
      </c>
      <c r="AM406" s="9">
        <f t="shared" si="44"/>
        <v>1</v>
      </c>
      <c r="AN406" s="9" t="str">
        <f t="shared" si="45"/>
        <v>Unique</v>
      </c>
      <c r="AO406" s="9" t="str">
        <f t="shared" si="46"/>
        <v/>
      </c>
      <c r="AP406" s="9">
        <f t="shared" si="47"/>
        <v>0</v>
      </c>
      <c r="AQ406" s="10">
        <f t="shared" si="48"/>
        <v>1078.83</v>
      </c>
      <c r="AR406" s="10">
        <f t="shared" si="49"/>
        <v>152.4799999999999</v>
      </c>
      <c r="AS406" s="11">
        <f t="shared" si="50"/>
        <v>0.14133830167867034</v>
      </c>
      <c r="AT406" s="9">
        <f t="shared" si="51"/>
        <v>1</v>
      </c>
      <c r="AU406" s="9">
        <f t="shared" si="52"/>
        <v>2024</v>
      </c>
      <c r="AV406" s="9" t="b">
        <f t="shared" si="53"/>
        <v>0</v>
      </c>
      <c r="AW406" s="9" t="b">
        <f t="shared" si="54"/>
        <v>0</v>
      </c>
      <c r="AX406" s="9" t="str">
        <f t="shared" si="55"/>
        <v>Yes</v>
      </c>
      <c r="AY406" s="9" t="str">
        <f t="shared" si="61"/>
        <v/>
      </c>
      <c r="AZ406" s="9" t="str">
        <f>IF(OR(G406="Missing date",G406="Invalid date",G406="Ship date before order date",NOT(ISNUMBER(AP406)),AP406&lt;0,AP406&gt;0.5,AV406=TRUE,AW406=TRUE),"Invalid",IF(OR(O406="Unknown",Z406="Unknown",AC406="",AH406&lt;&gt;"Paid",AJ406&lt;&gt;"Completed",AO406&lt;&gt;""),"Warning","Clean"))</f>
        <v>Clean</v>
      </c>
    </row>
    <row r="407" spans="1:52" ht="15.75" customHeight="1">
      <c r="A407" s="6" t="s">
        <v>2095</v>
      </c>
      <c r="B407" s="7" t="s">
        <v>2096</v>
      </c>
      <c r="C407" s="7" t="str">
        <f t="shared" si="60"/>
        <v>2024-09</v>
      </c>
      <c r="D407" s="7" cm="1">
        <f t="array" ref="D407">_xlfn.LET(_xlpm.x,B407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45558</v>
      </c>
      <c r="E407" s="7" t="s">
        <v>2097</v>
      </c>
      <c r="F407" s="7" cm="1">
        <f t="array" ref="F407">_xlfn.LET(_xlpm.x,E407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45559</v>
      </c>
      <c r="G407" s="8" t="str">
        <f t="shared" si="32"/>
        <v>OK</v>
      </c>
      <c r="H407" s="6">
        <f t="shared" si="33"/>
        <v>1</v>
      </c>
      <c r="I407" s="6" t="s">
        <v>2098</v>
      </c>
      <c r="J407" s="6" t="s">
        <v>190</v>
      </c>
      <c r="K407" s="6" t="str">
        <f t="shared" si="34"/>
        <v>Aditi Sen</v>
      </c>
      <c r="L407" s="6" t="s">
        <v>44</v>
      </c>
      <c r="M407" s="8" t="str">
        <f t="shared" si="35"/>
        <v>Home Office</v>
      </c>
      <c r="N407" s="6" t="s">
        <v>9</v>
      </c>
      <c r="O407" s="6" t="str">
        <f t="shared" si="36"/>
        <v>West</v>
      </c>
      <c r="P407" s="6" t="s">
        <v>309</v>
      </c>
      <c r="Q407" s="6" t="str">
        <f t="shared" si="37"/>
        <v>Gujarat</v>
      </c>
      <c r="R407" s="6" t="s">
        <v>310</v>
      </c>
      <c r="S407" s="6" t="str">
        <f t="shared" si="38"/>
        <v>Ahmedabad</v>
      </c>
      <c r="T407" s="6" t="s">
        <v>14</v>
      </c>
      <c r="U407" s="8" t="str">
        <f t="shared" si="39"/>
        <v>Furniture</v>
      </c>
      <c r="V407" s="6" t="s">
        <v>15</v>
      </c>
      <c r="W407" s="6" t="str">
        <f t="shared" si="40"/>
        <v>Bookcases</v>
      </c>
      <c r="X407" s="6" t="s">
        <v>2099</v>
      </c>
      <c r="Y407" s="6"/>
      <c r="Z407" s="6" t="str">
        <f t="shared" si="41"/>
        <v>Unknown</v>
      </c>
      <c r="AA407" s="6">
        <v>7</v>
      </c>
      <c r="AB407" s="6">
        <v>3878.01</v>
      </c>
      <c r="AC407" s="6">
        <v>0.1</v>
      </c>
      <c r="AD407" s="6">
        <v>24431.46</v>
      </c>
      <c r="AE407" s="6">
        <v>18202.36</v>
      </c>
      <c r="AF407" s="6">
        <v>6229.1</v>
      </c>
      <c r="AG407" s="6" t="s">
        <v>52</v>
      </c>
      <c r="AH407" s="6" t="str">
        <f t="shared" si="42"/>
        <v>Paid</v>
      </c>
      <c r="AI407" s="6" t="s">
        <v>134</v>
      </c>
      <c r="AJ407" s="6" t="str">
        <f t="shared" si="43"/>
        <v>Completed</v>
      </c>
      <c r="AK407" s="9" t="str">
        <f>_xlfn.TEXTJOIN("|",FALSE,A407,TEXT(B407,"mm-dd-yyyy"),TEXT(E407,"mm-dd-yyyy"),I407,J407,L407,N407,P407,R407,T407,V407,X407,Y407,AA407,AB407,AC407,AD407,AE407,AF407,AG407,AI407)</f>
        <v>ORD-2024-10406|09-23-2024|09-24-2024|CUST-9961|Aditi Sen|Home Office|West|Gujarat|Ahmedabad|Furniture|Bookcases|Max Bookcases 812||7|3878.01|0.1|24431.46|18202.36|6229.1|Paid|Completed</v>
      </c>
      <c r="AL407" s="27" t="str">
        <f>IF(COUNTIF($AK$2:AK407,AK407)&gt;1,"Remove exact duplicate copy","Keep")</f>
        <v>Keep</v>
      </c>
      <c r="AM407" s="9">
        <f t="shared" si="44"/>
        <v>1</v>
      </c>
      <c r="AN407" s="9" t="str">
        <f t="shared" si="45"/>
        <v>Unique</v>
      </c>
      <c r="AO407" s="9" t="str">
        <f t="shared" si="46"/>
        <v/>
      </c>
      <c r="AP407" s="9">
        <f t="shared" si="47"/>
        <v>0.1</v>
      </c>
      <c r="AQ407" s="10">
        <f t="shared" si="48"/>
        <v>24431.463</v>
      </c>
      <c r="AR407" s="10">
        <f t="shared" si="49"/>
        <v>6229.1029999999992</v>
      </c>
      <c r="AS407" s="11">
        <f t="shared" si="50"/>
        <v>0.25496234097810677</v>
      </c>
      <c r="AT407" s="9">
        <f t="shared" si="51"/>
        <v>9</v>
      </c>
      <c r="AU407" s="9">
        <f t="shared" si="52"/>
        <v>2024</v>
      </c>
      <c r="AV407" s="9" t="b">
        <f t="shared" si="53"/>
        <v>0</v>
      </c>
      <c r="AW407" s="9" t="b">
        <f t="shared" si="54"/>
        <v>0</v>
      </c>
      <c r="AX407" s="9" t="str">
        <f t="shared" si="55"/>
        <v>Yes</v>
      </c>
      <c r="AY407" s="9" t="str">
        <f t="shared" si="61"/>
        <v>Missing ship mode filled as Unknown</v>
      </c>
      <c r="AZ407" s="9" t="str">
        <f>IF(OR(G407="Missing date",G407="Invalid date",G407="Ship date before order date",NOT(ISNUMBER(AP407)),AP407&lt;0,AP407&gt;0.5,AV407=TRUE,AW407=TRUE),"Invalid",IF(OR(O407="Unknown",Z407="Unknown",AC407="",AH407&lt;&gt;"Paid",AJ407&lt;&gt;"Completed",AO407&lt;&gt;""),"Warning","Clean"))</f>
        <v>Warning</v>
      </c>
    </row>
    <row r="408" spans="1:52" ht="15.75" customHeight="1">
      <c r="A408" s="6" t="s">
        <v>2100</v>
      </c>
      <c r="B408" s="7" t="s">
        <v>2101</v>
      </c>
      <c r="C408" s="7" t="str">
        <f t="shared" si="60"/>
        <v>2025-02</v>
      </c>
      <c r="D408" s="7" cm="1">
        <f t="array" ref="D408">_xlfn.LET(_xlpm.x,B408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45713</v>
      </c>
      <c r="E408" s="7" t="s">
        <v>2101</v>
      </c>
      <c r="F408" s="7" cm="1">
        <f t="array" ref="F408">_xlfn.LET(_xlpm.x,E408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45713</v>
      </c>
      <c r="G408" s="8" t="str">
        <f t="shared" si="32"/>
        <v>OK</v>
      </c>
      <c r="H408" s="6">
        <f t="shared" si="33"/>
        <v>0</v>
      </c>
      <c r="I408" s="6" t="s">
        <v>2102</v>
      </c>
      <c r="J408" s="6" t="s">
        <v>442</v>
      </c>
      <c r="K408" s="6" t="str">
        <f t="shared" si="34"/>
        <v>Kabir Singh</v>
      </c>
      <c r="L408" s="6" t="s">
        <v>46</v>
      </c>
      <c r="M408" s="8" t="str">
        <f t="shared" si="35"/>
        <v>Small Business</v>
      </c>
      <c r="N408" s="6" t="s">
        <v>9</v>
      </c>
      <c r="O408" s="6" t="str">
        <f t="shared" si="36"/>
        <v>West</v>
      </c>
      <c r="P408" s="6" t="s">
        <v>323</v>
      </c>
      <c r="Q408" s="6" t="str">
        <f t="shared" si="37"/>
        <v>Goa</v>
      </c>
      <c r="R408" s="6" t="s">
        <v>324</v>
      </c>
      <c r="S408" s="6" t="str">
        <f t="shared" si="38"/>
        <v>Panaji</v>
      </c>
      <c r="T408" s="6" t="s">
        <v>14</v>
      </c>
      <c r="U408" s="8" t="str">
        <f t="shared" si="39"/>
        <v>Furniture</v>
      </c>
      <c r="V408" s="6" t="s">
        <v>17</v>
      </c>
      <c r="W408" s="6" t="str">
        <f t="shared" si="40"/>
        <v>Furnishings</v>
      </c>
      <c r="X408" s="6" t="s">
        <v>2103</v>
      </c>
      <c r="Y408" s="6" t="s">
        <v>34</v>
      </c>
      <c r="Z408" s="6" t="str">
        <f t="shared" si="41"/>
        <v>Standard Class</v>
      </c>
      <c r="AA408" s="6">
        <v>2</v>
      </c>
      <c r="AB408" s="6">
        <v>3924.2</v>
      </c>
      <c r="AC408" s="6">
        <v>0.25</v>
      </c>
      <c r="AD408" s="6">
        <v>5886.3</v>
      </c>
      <c r="AE408" s="6">
        <v>3621.76</v>
      </c>
      <c r="AF408" s="6">
        <v>2264.54</v>
      </c>
      <c r="AG408" s="6" t="s">
        <v>54</v>
      </c>
      <c r="AH408" s="6" t="str">
        <f t="shared" si="42"/>
        <v>Pending</v>
      </c>
      <c r="AI408" s="6" t="s">
        <v>59</v>
      </c>
      <c r="AJ408" s="6" t="str">
        <f t="shared" si="43"/>
        <v>Returned</v>
      </c>
      <c r="AK408" s="9" t="str">
        <f>_xlfn.TEXTJOIN("|",FALSE,A408,TEXT(B408,"mm-dd-yyyy"),TEXT(E408,"mm-dd-yyyy"),I408,J408,L408,N408,P408,R408,T408,V408,X408,Y408,AA408,AB408,AC408,AD408,AE408,AF408,AG408,AI408)</f>
        <v>ORD-2025-10407|02-25-2025|02-25-2025|CUST-9909|Kabir Singh|Small Business|West|Goa|Panaji|Furniture|Furnishings|Basic Furnishings 164|Standard Class|2|3924.2|0.25|5886.3|3621.76|2264.54|Pending|Returned</v>
      </c>
      <c r="AL408" s="27" t="str">
        <f>IF(COUNTIF($AK$2:AK408,AK408)&gt;1,"Remove exact duplicate copy","Keep")</f>
        <v>Keep</v>
      </c>
      <c r="AM408" s="9">
        <f t="shared" si="44"/>
        <v>1</v>
      </c>
      <c r="AN408" s="9" t="str">
        <f t="shared" si="45"/>
        <v>Unique</v>
      </c>
      <c r="AO408" s="9" t="str">
        <f t="shared" si="46"/>
        <v/>
      </c>
      <c r="AP408" s="9">
        <f t="shared" si="47"/>
        <v>0.25</v>
      </c>
      <c r="AQ408" s="10">
        <f t="shared" si="48"/>
        <v>5886.2999999999993</v>
      </c>
      <c r="AR408" s="10">
        <f t="shared" si="49"/>
        <v>2264.5399999999991</v>
      </c>
      <c r="AS408" s="11">
        <f t="shared" si="50"/>
        <v>0.38471365713606159</v>
      </c>
      <c r="AT408" s="9">
        <f t="shared" si="51"/>
        <v>2</v>
      </c>
      <c r="AU408" s="9">
        <f t="shared" si="52"/>
        <v>2025</v>
      </c>
      <c r="AV408" s="9" t="b">
        <f t="shared" si="53"/>
        <v>0</v>
      </c>
      <c r="AW408" s="9" t="b">
        <f t="shared" si="54"/>
        <v>0</v>
      </c>
      <c r="AX408" s="9" t="str">
        <f t="shared" si="55"/>
        <v>No</v>
      </c>
      <c r="AY408" s="9" t="str">
        <f t="shared" si="61"/>
        <v>Returned order excluded</v>
      </c>
      <c r="AZ408" s="9" t="str">
        <f>IF(OR(G408="Missing date",G408="Invalid date",G408="Ship date before order date",NOT(ISNUMBER(AP408)),AP408&lt;0,AP408&gt;0.5,AV408=TRUE,AW408=TRUE),"Invalid",IF(OR(O408="Unknown",Z408="Unknown",AC408="",AH408&lt;&gt;"Paid",AJ408&lt;&gt;"Completed",AO408&lt;&gt;""),"Warning","Clean"))</f>
        <v>Warning</v>
      </c>
    </row>
    <row r="409" spans="1:52" ht="15.75" customHeight="1">
      <c r="A409" s="6" t="s">
        <v>2104</v>
      </c>
      <c r="B409" s="7" t="s">
        <v>2105</v>
      </c>
      <c r="C409" s="7" t="str">
        <f t="shared" si="60"/>
        <v>2024-05</v>
      </c>
      <c r="D409" s="7" cm="1">
        <f t="array" ref="D409">_xlfn.LET(_xlpm.x,B409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45424</v>
      </c>
      <c r="E409" s="7" t="s">
        <v>2106</v>
      </c>
      <c r="F409" s="7" cm="1">
        <f t="array" ref="F409">_xlfn.LET(_xlpm.x,E409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45425</v>
      </c>
      <c r="G409" s="8" t="str">
        <f t="shared" si="32"/>
        <v>OK</v>
      </c>
      <c r="H409" s="6">
        <f t="shared" si="33"/>
        <v>1</v>
      </c>
      <c r="I409" s="6" t="s">
        <v>2107</v>
      </c>
      <c r="J409" s="6" t="s">
        <v>226</v>
      </c>
      <c r="K409" s="6" t="str">
        <f t="shared" si="34"/>
        <v>Rahul Verma</v>
      </c>
      <c r="L409" s="6" t="s">
        <v>45</v>
      </c>
      <c r="M409" s="8" t="str">
        <f t="shared" si="35"/>
        <v>Corporate</v>
      </c>
      <c r="N409" s="6" t="s">
        <v>9</v>
      </c>
      <c r="O409" s="6" t="str">
        <f t="shared" si="36"/>
        <v>West</v>
      </c>
      <c r="P409" s="6" t="s">
        <v>323</v>
      </c>
      <c r="Q409" s="6" t="str">
        <f t="shared" si="37"/>
        <v>Goa</v>
      </c>
      <c r="R409" s="6" t="s">
        <v>324</v>
      </c>
      <c r="S409" s="6" t="str">
        <f t="shared" si="38"/>
        <v>Panaji</v>
      </c>
      <c r="T409" s="6" t="s">
        <v>20</v>
      </c>
      <c r="U409" s="8" t="str">
        <f t="shared" si="39"/>
        <v>Office Supplies</v>
      </c>
      <c r="V409" s="6" t="s">
        <v>23</v>
      </c>
      <c r="W409" s="6" t="str">
        <f t="shared" si="40"/>
        <v>Labels</v>
      </c>
      <c r="X409" s="6" t="s">
        <v>2108</v>
      </c>
      <c r="Y409" s="6" t="s">
        <v>36</v>
      </c>
      <c r="Z409" s="6" t="str">
        <f t="shared" si="41"/>
        <v>Second Class</v>
      </c>
      <c r="AA409" s="6">
        <v>3</v>
      </c>
      <c r="AB409" s="6">
        <v>2644.55</v>
      </c>
      <c r="AC409" s="6">
        <v>0</v>
      </c>
      <c r="AD409" s="6">
        <v>7933.65</v>
      </c>
      <c r="AE409" s="6">
        <v>5698.42</v>
      </c>
      <c r="AF409" s="6">
        <v>2235.23</v>
      </c>
      <c r="AG409" s="6" t="s">
        <v>52</v>
      </c>
      <c r="AH409" s="6" t="str">
        <f t="shared" si="42"/>
        <v>Paid</v>
      </c>
      <c r="AI409" s="6" t="s">
        <v>134</v>
      </c>
      <c r="AJ409" s="6" t="str">
        <f t="shared" si="43"/>
        <v>Completed</v>
      </c>
      <c r="AK409" s="9" t="str">
        <f>_xlfn.TEXTJOIN("|",FALSE,A409,TEXT(B409,"mm-dd-yyyy"),TEXT(E409,"mm-dd-yyyy"),I409,J409,L409,N409,P409,R409,T409,V409,X409,Y409,AA409,AB409,AC409,AD409,AE409,AF409,AG409,AI409)</f>
        <v>ORD-2024-10408|05-12-2024|05-13-2024|CUST-8520|Rahul Verma|Corporate|West|Goa|Panaji|Office Supplies|Labels|Smart Labels 261|Second Class|3|2644.55|0|7933.65|5698.42|2235.23|Paid|Completed</v>
      </c>
      <c r="AL409" s="27" t="str">
        <f>IF(COUNTIF($AK$2:AK409,AK409)&gt;1,"Remove exact duplicate copy","Keep")</f>
        <v>Keep</v>
      </c>
      <c r="AM409" s="9">
        <f t="shared" si="44"/>
        <v>1</v>
      </c>
      <c r="AN409" s="9" t="str">
        <f t="shared" si="45"/>
        <v>Unique</v>
      </c>
      <c r="AO409" s="9" t="str">
        <f t="shared" si="46"/>
        <v/>
      </c>
      <c r="AP409" s="9">
        <f t="shared" si="47"/>
        <v>0</v>
      </c>
      <c r="AQ409" s="10">
        <f t="shared" si="48"/>
        <v>7933.6500000000005</v>
      </c>
      <c r="AR409" s="10">
        <f t="shared" si="49"/>
        <v>2235.2300000000005</v>
      </c>
      <c r="AS409" s="11">
        <f t="shared" si="50"/>
        <v>0.2817404347305465</v>
      </c>
      <c r="AT409" s="9">
        <f t="shared" si="51"/>
        <v>5</v>
      </c>
      <c r="AU409" s="9">
        <f t="shared" si="52"/>
        <v>2024</v>
      </c>
      <c r="AV409" s="9" t="b">
        <f t="shared" si="53"/>
        <v>0</v>
      </c>
      <c r="AW409" s="9" t="b">
        <f t="shared" si="54"/>
        <v>0</v>
      </c>
      <c r="AX409" s="9" t="str">
        <f t="shared" si="55"/>
        <v>Yes</v>
      </c>
      <c r="AY409" s="9" t="str">
        <f t="shared" si="61"/>
        <v/>
      </c>
      <c r="AZ409" s="9" t="str">
        <f>IF(OR(G409="Missing date",G409="Invalid date",G409="Ship date before order date",NOT(ISNUMBER(AP409)),AP409&lt;0,AP409&gt;0.5,AV409=TRUE,AW409=TRUE),"Invalid",IF(OR(O409="Unknown",Z409="Unknown",AC409="",AH409&lt;&gt;"Paid",AJ409&lt;&gt;"Completed",AO409&lt;&gt;""),"Warning","Clean"))</f>
        <v>Clean</v>
      </c>
    </row>
    <row r="410" spans="1:52" ht="15.75" customHeight="1">
      <c r="A410" s="6" t="s">
        <v>2109</v>
      </c>
      <c r="B410" s="7" t="s">
        <v>903</v>
      </c>
      <c r="C410" s="7" t="str">
        <f t="shared" si="60"/>
        <v>2025-08</v>
      </c>
      <c r="D410" s="7" cm="1">
        <f t="array" ref="D410">_xlfn.LET(_xlpm.x,B410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45870</v>
      </c>
      <c r="E410" s="7" t="s">
        <v>1163</v>
      </c>
      <c r="F410" s="7" cm="1">
        <f t="array" ref="F410">_xlfn.LET(_xlpm.x,E410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45872</v>
      </c>
      <c r="G410" s="8" t="str">
        <f t="shared" si="32"/>
        <v>OK</v>
      </c>
      <c r="H410" s="6">
        <f t="shared" si="33"/>
        <v>2</v>
      </c>
      <c r="I410" s="6" t="s">
        <v>2110</v>
      </c>
      <c r="J410" s="6" t="s">
        <v>245</v>
      </c>
      <c r="K410" s="6" t="str">
        <f t="shared" si="34"/>
        <v>Sneha Kapoor</v>
      </c>
      <c r="L410" s="6" t="s">
        <v>43</v>
      </c>
      <c r="M410" s="8" t="str">
        <f t="shared" si="35"/>
        <v>Consumer</v>
      </c>
      <c r="N410" s="6" t="s">
        <v>9</v>
      </c>
      <c r="O410" s="6" t="str">
        <f t="shared" si="36"/>
        <v>West</v>
      </c>
      <c r="P410" s="6" t="s">
        <v>162</v>
      </c>
      <c r="Q410" s="6" t="str">
        <f t="shared" si="37"/>
        <v>Maharashtra</v>
      </c>
      <c r="R410" s="6" t="s">
        <v>163</v>
      </c>
      <c r="S410" s="6" t="str">
        <f t="shared" si="38"/>
        <v>Mumbai</v>
      </c>
      <c r="T410" s="6" t="s">
        <v>14</v>
      </c>
      <c r="U410" s="8" t="str">
        <f t="shared" si="39"/>
        <v>Furniture</v>
      </c>
      <c r="V410" s="6" t="s">
        <v>16</v>
      </c>
      <c r="W410" s="6" t="str">
        <f t="shared" si="40"/>
        <v>Chairs</v>
      </c>
      <c r="X410" s="6" t="s">
        <v>2111</v>
      </c>
      <c r="Y410" s="6" t="s">
        <v>35</v>
      </c>
      <c r="Z410" s="6" t="str">
        <f t="shared" si="41"/>
        <v>First Class</v>
      </c>
      <c r="AA410" s="6">
        <v>4</v>
      </c>
      <c r="AB410" s="6">
        <v>1773.46</v>
      </c>
      <c r="AC410" s="6">
        <v>0</v>
      </c>
      <c r="AD410" s="6">
        <v>7093.84</v>
      </c>
      <c r="AE410" s="6">
        <v>4587.49</v>
      </c>
      <c r="AF410" s="6">
        <v>2506.35</v>
      </c>
      <c r="AG410" s="6" t="s">
        <v>50</v>
      </c>
      <c r="AH410" s="6" t="str">
        <f t="shared" si="42"/>
        <v>Failed</v>
      </c>
      <c r="AI410" s="6" t="s">
        <v>59</v>
      </c>
      <c r="AJ410" s="6" t="str">
        <f t="shared" si="43"/>
        <v>Returned</v>
      </c>
      <c r="AK410" s="9" t="str">
        <f>_xlfn.TEXTJOIN("|",FALSE,A410,TEXT(B410,"mm-dd-yyyy"),TEXT(E410,"mm-dd-yyyy"),I410,J410,L410,N410,P410,R410,T410,V410,X410,Y410,AA410,AB410,AC410,AD410,AE410,AF410,AG410,AI410)</f>
        <v>ORD-2025-10409|08-01-2025|08-03-2025|CUST-5036|Sneha Kapoor|Consumer|West|Maharashtra|Mumbai|Furniture|Chairs|Max Chairs 765|First Class|4|1773.46|0|7093.84|4587.49|2506.35|Failed|Returned</v>
      </c>
      <c r="AL410" s="27" t="str">
        <f>IF(COUNTIF($AK$2:AK410,AK410)&gt;1,"Remove exact duplicate copy","Keep")</f>
        <v>Keep</v>
      </c>
      <c r="AM410" s="9">
        <f t="shared" si="44"/>
        <v>1</v>
      </c>
      <c r="AN410" s="9" t="str">
        <f t="shared" si="45"/>
        <v>Unique</v>
      </c>
      <c r="AO410" s="9" t="str">
        <f t="shared" si="46"/>
        <v/>
      </c>
      <c r="AP410" s="9">
        <f t="shared" si="47"/>
        <v>0</v>
      </c>
      <c r="AQ410" s="10">
        <f t="shared" si="48"/>
        <v>7093.84</v>
      </c>
      <c r="AR410" s="10">
        <f t="shared" si="49"/>
        <v>2506.3500000000004</v>
      </c>
      <c r="AS410" s="11">
        <f t="shared" si="50"/>
        <v>0.35331357910525191</v>
      </c>
      <c r="AT410" s="9">
        <f t="shared" si="51"/>
        <v>8</v>
      </c>
      <c r="AU410" s="9">
        <f t="shared" si="52"/>
        <v>2025</v>
      </c>
      <c r="AV410" s="9" t="b">
        <f t="shared" si="53"/>
        <v>0</v>
      </c>
      <c r="AW410" s="9" t="b">
        <f t="shared" si="54"/>
        <v>0</v>
      </c>
      <c r="AX410" s="9" t="str">
        <f t="shared" si="55"/>
        <v>No</v>
      </c>
      <c r="AY410" s="9" t="str">
        <f t="shared" si="61"/>
        <v>Failed payment excluded; Returned order excluded</v>
      </c>
      <c r="AZ410" s="9" t="str">
        <f>IF(OR(G410="Missing date",G410="Invalid date",G410="Ship date before order date",NOT(ISNUMBER(AP410)),AP410&lt;0,AP410&gt;0.5,AV410=TRUE,AW410=TRUE),"Invalid",IF(OR(O410="Unknown",Z410="Unknown",AC410="",AH410&lt;&gt;"Paid",AJ410&lt;&gt;"Completed",AO410&lt;&gt;""),"Warning","Clean"))</f>
        <v>Warning</v>
      </c>
    </row>
    <row r="411" spans="1:52" ht="15.75" customHeight="1">
      <c r="A411" s="6" t="s">
        <v>2112</v>
      </c>
      <c r="B411" s="7" t="s">
        <v>913</v>
      </c>
      <c r="C411" s="7" t="str">
        <f t="shared" si="60"/>
        <v>2025-02</v>
      </c>
      <c r="D411" s="7" cm="1">
        <f t="array" ref="D411">_xlfn.LET(_xlpm.x,B411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45701</v>
      </c>
      <c r="E411" s="7" t="s">
        <v>854</v>
      </c>
      <c r="F411" s="7" cm="1">
        <f t="array" ref="F411">_xlfn.LET(_xlpm.x,E411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45703</v>
      </c>
      <c r="G411" s="8" t="str">
        <f t="shared" si="32"/>
        <v>OK</v>
      </c>
      <c r="H411" s="6">
        <f t="shared" si="33"/>
        <v>2</v>
      </c>
      <c r="I411" s="6" t="s">
        <v>2113</v>
      </c>
      <c r="J411" s="6" t="s">
        <v>129</v>
      </c>
      <c r="K411" s="6" t="str">
        <f t="shared" si="34"/>
        <v>Karan Malhotra</v>
      </c>
      <c r="L411" s="6" t="s">
        <v>43</v>
      </c>
      <c r="M411" s="8" t="str">
        <f t="shared" si="35"/>
        <v>Consumer</v>
      </c>
      <c r="N411" s="6" t="s">
        <v>8</v>
      </c>
      <c r="O411" s="6" t="str">
        <f t="shared" si="36"/>
        <v>East</v>
      </c>
      <c r="P411" s="6" t="s">
        <v>290</v>
      </c>
      <c r="Q411" s="6" t="str">
        <f t="shared" si="37"/>
        <v>Assam</v>
      </c>
      <c r="R411" s="6" t="s">
        <v>291</v>
      </c>
      <c r="S411" s="6" t="str">
        <f t="shared" si="38"/>
        <v>Guwahati</v>
      </c>
      <c r="T411" s="6" t="s">
        <v>27</v>
      </c>
      <c r="U411" s="8" t="str">
        <f t="shared" si="39"/>
        <v>Technology</v>
      </c>
      <c r="V411" s="6" t="s">
        <v>28</v>
      </c>
      <c r="W411" s="6" t="str">
        <f t="shared" si="40"/>
        <v>Accessories</v>
      </c>
      <c r="X411" s="6" t="s">
        <v>2114</v>
      </c>
      <c r="Y411" s="6" t="s">
        <v>37</v>
      </c>
      <c r="Z411" s="6" t="str">
        <f t="shared" si="41"/>
        <v>Same Day</v>
      </c>
      <c r="AA411" s="6">
        <v>1</v>
      </c>
      <c r="AB411" s="6">
        <v>3025.46</v>
      </c>
      <c r="AC411" s="6">
        <v>0.25</v>
      </c>
      <c r="AD411" s="6">
        <v>2269.1</v>
      </c>
      <c r="AE411" s="6">
        <v>1593.59</v>
      </c>
      <c r="AF411" s="6">
        <v>675.51</v>
      </c>
      <c r="AG411" s="6" t="s">
        <v>56</v>
      </c>
      <c r="AH411" s="6" t="str">
        <f t="shared" si="42"/>
        <v>Refunded</v>
      </c>
      <c r="AI411" s="6" t="s">
        <v>59</v>
      </c>
      <c r="AJ411" s="6" t="str">
        <f t="shared" si="43"/>
        <v>Returned</v>
      </c>
      <c r="AK411" s="9" t="str">
        <f>_xlfn.TEXTJOIN("|",FALSE,A411,TEXT(B411,"mm-dd-yyyy"),TEXT(E411,"mm-dd-yyyy"),I411,J411,L411,N411,P411,R411,T411,V411,X411,Y411,AA411,AB411,AC411,AD411,AE411,AF411,AG411,AI411)</f>
        <v>ORD-2025-10410|13-02-2025|15-02-2025|CUST-7721|Karan Malhotra|Consumer|East|Assam|Guwahati|Technology|Accessories|Pro Accessories 686|Same Day|1|3025.46|0.25|2269.1|1593.59|675.51|Refunded|Returned</v>
      </c>
      <c r="AL411" s="27" t="str">
        <f>IF(COUNTIF($AK$2:AK411,AK411)&gt;1,"Remove exact duplicate copy","Keep")</f>
        <v>Keep</v>
      </c>
      <c r="AM411" s="9">
        <f t="shared" si="44"/>
        <v>1</v>
      </c>
      <c r="AN411" s="9" t="str">
        <f t="shared" si="45"/>
        <v>Unique</v>
      </c>
      <c r="AO411" s="9" t="str">
        <f t="shared" si="46"/>
        <v/>
      </c>
      <c r="AP411" s="9">
        <f t="shared" si="47"/>
        <v>0.25</v>
      </c>
      <c r="AQ411" s="10">
        <f t="shared" si="48"/>
        <v>2269.0950000000003</v>
      </c>
      <c r="AR411" s="10">
        <f t="shared" si="49"/>
        <v>675.50500000000034</v>
      </c>
      <c r="AS411" s="11">
        <f t="shared" si="50"/>
        <v>0.29769798091309541</v>
      </c>
      <c r="AT411" s="9">
        <f t="shared" si="51"/>
        <v>2</v>
      </c>
      <c r="AU411" s="9">
        <f t="shared" si="52"/>
        <v>2025</v>
      </c>
      <c r="AV411" s="9" t="b">
        <f t="shared" si="53"/>
        <v>0</v>
      </c>
      <c r="AW411" s="9" t="b">
        <f t="shared" si="54"/>
        <v>0</v>
      </c>
      <c r="AX411" s="9" t="str">
        <f t="shared" si="55"/>
        <v>No</v>
      </c>
      <c r="AY411" s="9" t="str">
        <f t="shared" si="61"/>
        <v>Refunded order summarized separately; Returned order excluded</v>
      </c>
      <c r="AZ411" s="9" t="str">
        <f>IF(OR(G411="Missing date",G411="Invalid date",G411="Ship date before order date",NOT(ISNUMBER(AP411)),AP411&lt;0,AP411&gt;0.5,AV411=TRUE,AW411=TRUE),"Invalid",IF(OR(O411="Unknown",Z411="Unknown",AC411="",AH411&lt;&gt;"Paid",AJ411&lt;&gt;"Completed",AO411&lt;&gt;""),"Warning","Clean"))</f>
        <v>Warning</v>
      </c>
    </row>
    <row r="412" spans="1:52" ht="15.75" customHeight="1">
      <c r="A412" s="6" t="s">
        <v>2115</v>
      </c>
      <c r="B412" s="7" t="s">
        <v>2116</v>
      </c>
      <c r="C412" s="7" t="str">
        <f t="shared" si="60"/>
        <v>2024-04</v>
      </c>
      <c r="D412" s="7" cm="1">
        <f t="array" ref="D412">_xlfn.LET(_xlpm.x,B412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45394</v>
      </c>
      <c r="E412" s="7" t="s">
        <v>2117</v>
      </c>
      <c r="F412" s="7" cm="1">
        <f t="array" ref="F412">_xlfn.LET(_xlpm.x,E412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45402</v>
      </c>
      <c r="G412" s="8" t="str">
        <f t="shared" si="32"/>
        <v>OK</v>
      </c>
      <c r="H412" s="6">
        <f t="shared" si="33"/>
        <v>8</v>
      </c>
      <c r="I412" s="6" t="s">
        <v>2118</v>
      </c>
      <c r="J412" s="6" t="s">
        <v>284</v>
      </c>
      <c r="K412" s="6" t="str">
        <f t="shared" si="34"/>
        <v>Diya Patel</v>
      </c>
      <c r="L412" s="6" t="s">
        <v>43</v>
      </c>
      <c r="M412" s="8" t="str">
        <f t="shared" si="35"/>
        <v>Consumer</v>
      </c>
      <c r="N412" s="6" t="s">
        <v>9</v>
      </c>
      <c r="O412" s="6" t="str">
        <f t="shared" si="36"/>
        <v>West</v>
      </c>
      <c r="P412" s="6" t="s">
        <v>323</v>
      </c>
      <c r="Q412" s="6" t="str">
        <f t="shared" si="37"/>
        <v>Goa</v>
      </c>
      <c r="R412" s="6" t="s">
        <v>324</v>
      </c>
      <c r="S412" s="6" t="str">
        <f t="shared" si="38"/>
        <v>Panaji</v>
      </c>
      <c r="T412" s="6" t="s">
        <v>14</v>
      </c>
      <c r="U412" s="8" t="str">
        <f t="shared" si="39"/>
        <v>Furniture</v>
      </c>
      <c r="V412" s="6" t="s">
        <v>18</v>
      </c>
      <c r="W412" s="6" t="str">
        <f t="shared" si="40"/>
        <v>Tables</v>
      </c>
      <c r="X412" s="6" t="s">
        <v>2119</v>
      </c>
      <c r="Y412" s="6" t="s">
        <v>35</v>
      </c>
      <c r="Z412" s="6" t="str">
        <f t="shared" si="41"/>
        <v>First Class</v>
      </c>
      <c r="AA412" s="6">
        <v>9</v>
      </c>
      <c r="AB412" s="6">
        <v>1302.6099999999999</v>
      </c>
      <c r="AC412" s="6">
        <v>0.2</v>
      </c>
      <c r="AD412" s="6">
        <v>9378.7900000000009</v>
      </c>
      <c r="AE412" s="6">
        <v>6774.48</v>
      </c>
      <c r="AF412" s="6">
        <v>2604.31</v>
      </c>
      <c r="AG412" s="6" t="s">
        <v>52</v>
      </c>
      <c r="AH412" s="6" t="str">
        <f t="shared" si="42"/>
        <v>Paid</v>
      </c>
      <c r="AI412" s="6" t="s">
        <v>134</v>
      </c>
      <c r="AJ412" s="6" t="str">
        <f t="shared" si="43"/>
        <v>Completed</v>
      </c>
      <c r="AK412" s="9" t="str">
        <f>_xlfn.TEXTJOIN("|",FALSE,A412,TEXT(B412,"mm-dd-yyyy"),TEXT(E412,"mm-dd-yyyy"),I412,J412,L412,N412,P412,R412,T412,V412,X412,Y412,AA412,AB412,AC412,AD412,AE412,AF412,AG412,AI412)</f>
        <v>ORD-2024-10411|04-12-2024|04-20-2024|CUST-9495|Diya Patel|Consumer|West|Goa|Panaji|Furniture|Tables|Smart Tables 100|First Class|9|1302.61|0.2|9378.79|6774.48|2604.31|Paid|Completed</v>
      </c>
      <c r="AL412" s="27" t="str">
        <f>IF(COUNTIF($AK$2:AK412,AK412)&gt;1,"Remove exact duplicate copy","Keep")</f>
        <v>Keep</v>
      </c>
      <c r="AM412" s="9">
        <f t="shared" si="44"/>
        <v>1</v>
      </c>
      <c r="AN412" s="9" t="str">
        <f t="shared" si="45"/>
        <v>Unique</v>
      </c>
      <c r="AO412" s="9" t="str">
        <f t="shared" si="46"/>
        <v/>
      </c>
      <c r="AP412" s="9">
        <f t="shared" si="47"/>
        <v>0.2</v>
      </c>
      <c r="AQ412" s="10">
        <f t="shared" si="48"/>
        <v>9378.7919999999995</v>
      </c>
      <c r="AR412" s="10">
        <f t="shared" si="49"/>
        <v>2604.3119999999999</v>
      </c>
      <c r="AS412" s="11">
        <f t="shared" si="50"/>
        <v>0.27768096360384154</v>
      </c>
      <c r="AT412" s="9">
        <f t="shared" si="51"/>
        <v>4</v>
      </c>
      <c r="AU412" s="9">
        <f t="shared" si="52"/>
        <v>2024</v>
      </c>
      <c r="AV412" s="9" t="b">
        <f t="shared" si="53"/>
        <v>0</v>
      </c>
      <c r="AW412" s="9" t="b">
        <f t="shared" si="54"/>
        <v>0</v>
      </c>
      <c r="AX412" s="9" t="str">
        <f t="shared" si="55"/>
        <v>Yes</v>
      </c>
      <c r="AY412" s="9" t="str">
        <f t="shared" si="61"/>
        <v/>
      </c>
      <c r="AZ412" s="9" t="str">
        <f>IF(OR(G412="Missing date",G412="Invalid date",G412="Ship date before order date",NOT(ISNUMBER(AP412)),AP412&lt;0,AP412&gt;0.5,AV412=TRUE,AW412=TRUE),"Invalid",IF(OR(O412="Unknown",Z412="Unknown",AC412="",AH412&lt;&gt;"Paid",AJ412&lt;&gt;"Completed",AO412&lt;&gt;""),"Warning","Clean"))</f>
        <v>Clean</v>
      </c>
    </row>
    <row r="413" spans="1:52" ht="15.75" customHeight="1">
      <c r="A413" s="6" t="s">
        <v>2120</v>
      </c>
      <c r="B413" s="7" t="s">
        <v>2121</v>
      </c>
      <c r="C413" s="7" t="str">
        <f t="shared" si="60"/>
        <v>2025-08</v>
      </c>
      <c r="D413" s="7" cm="1">
        <f t="array" ref="D413">_xlfn.LET(_xlpm.x,B413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45892</v>
      </c>
      <c r="E413" s="7" t="s">
        <v>2122</v>
      </c>
      <c r="F413" s="7" cm="1">
        <f t="array" ref="F413">_xlfn.LET(_xlpm.x,E413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45897</v>
      </c>
      <c r="G413" s="8" t="str">
        <f t="shared" si="32"/>
        <v>OK</v>
      </c>
      <c r="H413" s="6">
        <f t="shared" si="33"/>
        <v>5</v>
      </c>
      <c r="I413" s="6" t="s">
        <v>2123</v>
      </c>
      <c r="J413" s="6" t="s">
        <v>153</v>
      </c>
      <c r="K413" s="6" t="str">
        <f t="shared" si="34"/>
        <v>Arjun Bose</v>
      </c>
      <c r="L413" s="6" t="s">
        <v>44</v>
      </c>
      <c r="M413" s="8" t="str">
        <f t="shared" si="35"/>
        <v>Home Office</v>
      </c>
      <c r="N413" s="6" t="s">
        <v>9</v>
      </c>
      <c r="O413" s="6" t="str">
        <f t="shared" si="36"/>
        <v>West</v>
      </c>
      <c r="P413" s="6" t="s">
        <v>131</v>
      </c>
      <c r="Q413" s="6" t="str">
        <f t="shared" si="37"/>
        <v>Rajasthan</v>
      </c>
      <c r="R413" s="6" t="s">
        <v>214</v>
      </c>
      <c r="S413" s="6" t="str">
        <f t="shared" si="38"/>
        <v>Udaipur</v>
      </c>
      <c r="T413" s="6" t="s">
        <v>14</v>
      </c>
      <c r="U413" s="8" t="str">
        <f t="shared" si="39"/>
        <v>Furniture</v>
      </c>
      <c r="V413" s="6" t="s">
        <v>18</v>
      </c>
      <c r="W413" s="6" t="str">
        <f t="shared" si="40"/>
        <v>Tables</v>
      </c>
      <c r="X413" s="6" t="s">
        <v>2124</v>
      </c>
      <c r="Y413" s="6" t="s">
        <v>35</v>
      </c>
      <c r="Z413" s="6" t="str">
        <f t="shared" si="41"/>
        <v>First Class</v>
      </c>
      <c r="AA413" s="6">
        <v>1</v>
      </c>
      <c r="AB413" s="6">
        <v>4167.8100000000004</v>
      </c>
      <c r="AC413" s="6">
        <v>0.2</v>
      </c>
      <c r="AD413" s="6">
        <v>3334.25</v>
      </c>
      <c r="AE413" s="6">
        <v>2768.77</v>
      </c>
      <c r="AF413" s="6">
        <v>565.48</v>
      </c>
      <c r="AG413" s="6" t="s">
        <v>50</v>
      </c>
      <c r="AH413" s="6" t="str">
        <f t="shared" si="42"/>
        <v>Failed</v>
      </c>
      <c r="AI413" s="6" t="s">
        <v>59</v>
      </c>
      <c r="AJ413" s="6" t="str">
        <f t="shared" si="43"/>
        <v>Returned</v>
      </c>
      <c r="AK413" s="9" t="str">
        <f>_xlfn.TEXTJOIN("|",FALSE,A413,TEXT(B413,"mm-dd-yyyy"),TEXT(E413,"mm-dd-yyyy"),I413,J413,L413,N413,P413,R413,T413,V413,X413,Y413,AA413,AB413,AC413,AD413,AE413,AF413,AG413,AI413)</f>
        <v>ORD-2025-10412|08-23-2025|08-28-2025|CUST-2855|Arjun Bose|Home Office|West|Rajasthan|Udaipur|Furniture|Tables|Basic Tables 615|First Class|1|4167.81|0.2|3334.25|2768.77|565.48|Failed|Returned</v>
      </c>
      <c r="AL413" s="27" t="str">
        <f>IF(COUNTIF($AK$2:AK413,AK413)&gt;1,"Remove exact duplicate copy","Keep")</f>
        <v>Keep</v>
      </c>
      <c r="AM413" s="9">
        <f t="shared" si="44"/>
        <v>1</v>
      </c>
      <c r="AN413" s="9" t="str">
        <f t="shared" si="45"/>
        <v>Unique</v>
      </c>
      <c r="AO413" s="9" t="str">
        <f t="shared" si="46"/>
        <v/>
      </c>
      <c r="AP413" s="9">
        <f t="shared" si="47"/>
        <v>0.2</v>
      </c>
      <c r="AQ413" s="10">
        <f t="shared" si="48"/>
        <v>3334.2480000000005</v>
      </c>
      <c r="AR413" s="10">
        <f t="shared" si="49"/>
        <v>565.47800000000052</v>
      </c>
      <c r="AS413" s="11">
        <f t="shared" si="50"/>
        <v>0.16959686262089696</v>
      </c>
      <c r="AT413" s="9">
        <f t="shared" si="51"/>
        <v>8</v>
      </c>
      <c r="AU413" s="9">
        <f t="shared" si="52"/>
        <v>2025</v>
      </c>
      <c r="AV413" s="9" t="b">
        <f t="shared" si="53"/>
        <v>0</v>
      </c>
      <c r="AW413" s="9" t="b">
        <f t="shared" si="54"/>
        <v>0</v>
      </c>
      <c r="AX413" s="9" t="str">
        <f t="shared" si="55"/>
        <v>No</v>
      </c>
      <c r="AY413" s="9" t="str">
        <f t="shared" si="61"/>
        <v>Failed payment excluded; Returned order excluded</v>
      </c>
      <c r="AZ413" s="9" t="str">
        <f>IF(OR(G413="Missing date",G413="Invalid date",G413="Ship date before order date",NOT(ISNUMBER(AP413)),AP413&lt;0,AP413&gt;0.5,AV413=TRUE,AW413=TRUE),"Invalid",IF(OR(O413="Unknown",Z413="Unknown",AC413="",AH413&lt;&gt;"Paid",AJ413&lt;&gt;"Completed",AO413&lt;&gt;""),"Warning","Clean"))</f>
        <v>Warning</v>
      </c>
    </row>
    <row r="414" spans="1:52" ht="15.75" customHeight="1">
      <c r="A414" s="6" t="s">
        <v>2125</v>
      </c>
      <c r="B414" s="7" t="s">
        <v>2126</v>
      </c>
      <c r="C414" s="7" t="str">
        <f t="shared" si="60"/>
        <v>2024-01</v>
      </c>
      <c r="D414" s="7" cm="1">
        <f t="array" ref="D414">_xlfn.LET(_xlpm.x,B414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45313</v>
      </c>
      <c r="E414" s="7" t="s">
        <v>917</v>
      </c>
      <c r="F414" s="7" cm="1">
        <f t="array" ref="F414">_xlfn.LET(_xlpm.x,E414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45321</v>
      </c>
      <c r="G414" s="8" t="str">
        <f t="shared" si="32"/>
        <v>OK</v>
      </c>
      <c r="H414" s="6">
        <f t="shared" si="33"/>
        <v>8</v>
      </c>
      <c r="I414" s="6" t="s">
        <v>2127</v>
      </c>
      <c r="J414" s="6" t="s">
        <v>147</v>
      </c>
      <c r="K414" s="6" t="str">
        <f t="shared" si="34"/>
        <v>Isha Nair</v>
      </c>
      <c r="L414" s="6" t="s">
        <v>45</v>
      </c>
      <c r="M414" s="8" t="str">
        <f t="shared" si="35"/>
        <v>Corporate</v>
      </c>
      <c r="N414" s="6" t="s">
        <v>10</v>
      </c>
      <c r="O414" s="6" t="str">
        <f t="shared" si="36"/>
        <v>South</v>
      </c>
      <c r="P414" s="6" t="s">
        <v>303</v>
      </c>
      <c r="Q414" s="6" t="str">
        <f t="shared" si="37"/>
        <v>Karnataka</v>
      </c>
      <c r="R414" s="6" t="s">
        <v>304</v>
      </c>
      <c r="S414" s="6" t="str">
        <f t="shared" si="38"/>
        <v>Bengaluru</v>
      </c>
      <c r="T414" s="6" t="s">
        <v>14</v>
      </c>
      <c r="U414" s="8" t="str">
        <f t="shared" si="39"/>
        <v>Furniture</v>
      </c>
      <c r="V414" s="6" t="s">
        <v>16</v>
      </c>
      <c r="W414" s="6" t="str">
        <f t="shared" si="40"/>
        <v>Chairs</v>
      </c>
      <c r="X414" s="6" t="s">
        <v>2128</v>
      </c>
      <c r="Y414" s="6" t="s">
        <v>37</v>
      </c>
      <c r="Z414" s="6" t="str">
        <f t="shared" si="41"/>
        <v>Same Day</v>
      </c>
      <c r="AA414" s="6">
        <v>1</v>
      </c>
      <c r="AB414" s="6">
        <v>2111.39</v>
      </c>
      <c r="AC414" s="6">
        <v>0.25</v>
      </c>
      <c r="AD414" s="6">
        <v>1583.54</v>
      </c>
      <c r="AE414" s="6">
        <v>1014.19</v>
      </c>
      <c r="AF414" s="6">
        <v>569.35</v>
      </c>
      <c r="AG414" s="6" t="s">
        <v>52</v>
      </c>
      <c r="AH414" s="6" t="str">
        <f t="shared" si="42"/>
        <v>Paid</v>
      </c>
      <c r="AI414" s="6" t="s">
        <v>134</v>
      </c>
      <c r="AJ414" s="6" t="str">
        <f t="shared" si="43"/>
        <v>Completed</v>
      </c>
      <c r="AK414" s="9" t="str">
        <f>_xlfn.TEXTJOIN("|",FALSE,A414,TEXT(B414,"mm-dd-yyyy"),TEXT(E414,"mm-dd-yyyy"),I414,J414,L414,N414,P414,R414,T414,V414,X414,Y414,AA414,AB414,AC414,AD414,AE414,AF414,AG414,AI414)</f>
        <v>ORD-2024-10413|01-22-2024|30-01-2024|CUST-4329|Isha Nair|Corporate|South|Karnataka|Bengaluru|Furniture|Chairs|Basic Chairs 790|Same Day|1|2111.39|0.25|1583.54|1014.19|569.35|Paid|Completed</v>
      </c>
      <c r="AL414" s="27" t="str">
        <f>IF(COUNTIF($AK$2:AK414,AK414)&gt;1,"Remove exact duplicate copy","Keep")</f>
        <v>Keep</v>
      </c>
      <c r="AM414" s="9">
        <f t="shared" si="44"/>
        <v>1</v>
      </c>
      <c r="AN414" s="9" t="str">
        <f t="shared" si="45"/>
        <v>Unique</v>
      </c>
      <c r="AO414" s="9" t="str">
        <f t="shared" si="46"/>
        <v/>
      </c>
      <c r="AP414" s="9">
        <f t="shared" si="47"/>
        <v>0.25</v>
      </c>
      <c r="AQ414" s="10">
        <f t="shared" si="48"/>
        <v>1583.5425</v>
      </c>
      <c r="AR414" s="10">
        <f t="shared" si="49"/>
        <v>569.35249999999996</v>
      </c>
      <c r="AS414" s="11">
        <f t="shared" si="50"/>
        <v>0.35954355503562424</v>
      </c>
      <c r="AT414" s="9">
        <f t="shared" si="51"/>
        <v>1</v>
      </c>
      <c r="AU414" s="9">
        <f t="shared" si="52"/>
        <v>2024</v>
      </c>
      <c r="AV414" s="9" t="b">
        <f t="shared" si="53"/>
        <v>0</v>
      </c>
      <c r="AW414" s="9" t="b">
        <f t="shared" si="54"/>
        <v>0</v>
      </c>
      <c r="AX414" s="9" t="str">
        <f t="shared" si="55"/>
        <v>Yes</v>
      </c>
      <c r="AY414" s="9" t="str">
        <f t="shared" si="61"/>
        <v/>
      </c>
      <c r="AZ414" s="9" t="str">
        <f>IF(OR(G414="Missing date",G414="Invalid date",G414="Ship date before order date",NOT(ISNUMBER(AP414)),AP414&lt;0,AP414&gt;0.5,AV414=TRUE,AW414=TRUE),"Invalid",IF(OR(O414="Unknown",Z414="Unknown",AC414="",AH414&lt;&gt;"Paid",AJ414&lt;&gt;"Completed",AO414&lt;&gt;""),"Warning","Clean"))</f>
        <v>Clean</v>
      </c>
    </row>
    <row r="415" spans="1:52" ht="15.75" customHeight="1">
      <c r="A415" s="6" t="s">
        <v>2129</v>
      </c>
      <c r="B415" s="7" t="s">
        <v>314</v>
      </c>
      <c r="C415" s="7" t="str">
        <f t="shared" si="60"/>
        <v>2025-08</v>
      </c>
      <c r="D415" s="7" cm="1">
        <f t="array" ref="D415">_xlfn.LET(_xlpm.x,B415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45882</v>
      </c>
      <c r="E415" s="7" t="s">
        <v>2130</v>
      </c>
      <c r="F415" s="7" cm="1">
        <f t="array" ref="F415">_xlfn.LET(_xlpm.x,E415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45886</v>
      </c>
      <c r="G415" s="8" t="str">
        <f t="shared" si="32"/>
        <v>OK</v>
      </c>
      <c r="H415" s="6">
        <f t="shared" si="33"/>
        <v>4</v>
      </c>
      <c r="I415" s="6" t="s">
        <v>2131</v>
      </c>
      <c r="J415" s="6" t="s">
        <v>177</v>
      </c>
      <c r="K415" s="6" t="str">
        <f t="shared" si="34"/>
        <v>Neha Gupta</v>
      </c>
      <c r="L415" s="6" t="s">
        <v>44</v>
      </c>
      <c r="M415" s="8" t="str">
        <f t="shared" si="35"/>
        <v>Home Office</v>
      </c>
      <c r="N415" s="6" t="s">
        <v>9</v>
      </c>
      <c r="O415" s="6" t="str">
        <f t="shared" si="36"/>
        <v>West</v>
      </c>
      <c r="P415" s="6" t="s">
        <v>170</v>
      </c>
      <c r="Q415" s="6" t="str">
        <f t="shared" si="37"/>
        <v>Madhya Pradesh</v>
      </c>
      <c r="R415" s="6" t="s">
        <v>171</v>
      </c>
      <c r="S415" s="6" t="str">
        <f t="shared" si="38"/>
        <v>Indore</v>
      </c>
      <c r="T415" s="6" t="s">
        <v>27</v>
      </c>
      <c r="U415" s="8" t="str">
        <f t="shared" si="39"/>
        <v>Technology</v>
      </c>
      <c r="V415" s="6" t="s">
        <v>28</v>
      </c>
      <c r="W415" s="6" t="str">
        <f t="shared" si="40"/>
        <v>Accessories</v>
      </c>
      <c r="X415" s="6" t="s">
        <v>2132</v>
      </c>
      <c r="Y415" s="6" t="s">
        <v>36</v>
      </c>
      <c r="Z415" s="6" t="str">
        <f t="shared" si="41"/>
        <v>Second Class</v>
      </c>
      <c r="AA415" s="6">
        <v>8</v>
      </c>
      <c r="AB415" s="6">
        <v>1918.23</v>
      </c>
      <c r="AC415" s="6">
        <v>0</v>
      </c>
      <c r="AD415" s="6">
        <v>15345.84</v>
      </c>
      <c r="AE415" s="6">
        <v>10735.33</v>
      </c>
      <c r="AF415" s="6">
        <v>4610.51</v>
      </c>
      <c r="AG415" s="6" t="s">
        <v>54</v>
      </c>
      <c r="AH415" s="6" t="str">
        <f t="shared" si="42"/>
        <v>Pending</v>
      </c>
      <c r="AI415" s="6" t="s">
        <v>58</v>
      </c>
      <c r="AJ415" s="6" t="str">
        <f t="shared" si="43"/>
        <v>Cancelled</v>
      </c>
      <c r="AK415" s="9" t="str">
        <f>_xlfn.TEXTJOIN("|",FALSE,A415,TEXT(B415,"mm-dd-yyyy"),TEXT(E415,"mm-dd-yyyy"),I415,J415,L415,N415,P415,R415,T415,V415,X415,Y415,AA415,AB415,AC415,AD415,AE415,AF415,AG415,AI415)</f>
        <v>ORD-2025-10414|13-08-2025|17-08-2025|CUST-5094|Neha Gupta|Home Office|West|Madhya Pradesh|Indore|Technology|Accessories|Smart Accessories 226|Second Class|8|1918.23|0|15345.84|10735.33|4610.51|Pending|Cancelled</v>
      </c>
      <c r="AL415" s="27" t="str">
        <f>IF(COUNTIF($AK$2:AK415,AK415)&gt;1,"Remove exact duplicate copy","Keep")</f>
        <v>Keep</v>
      </c>
      <c r="AM415" s="9">
        <f t="shared" si="44"/>
        <v>1</v>
      </c>
      <c r="AN415" s="9" t="str">
        <f t="shared" si="45"/>
        <v>Unique</v>
      </c>
      <c r="AO415" s="9" t="str">
        <f t="shared" si="46"/>
        <v/>
      </c>
      <c r="AP415" s="9">
        <f t="shared" si="47"/>
        <v>0</v>
      </c>
      <c r="AQ415" s="10">
        <f t="shared" si="48"/>
        <v>15345.84</v>
      </c>
      <c r="AR415" s="10">
        <f t="shared" si="49"/>
        <v>4610.51</v>
      </c>
      <c r="AS415" s="11">
        <f t="shared" si="50"/>
        <v>0.30044037993358463</v>
      </c>
      <c r="AT415" s="9">
        <f t="shared" si="51"/>
        <v>8</v>
      </c>
      <c r="AU415" s="9">
        <f t="shared" si="52"/>
        <v>2025</v>
      </c>
      <c r="AV415" s="9" t="b">
        <f t="shared" si="53"/>
        <v>0</v>
      </c>
      <c r="AW415" s="9" t="b">
        <f t="shared" si="54"/>
        <v>0</v>
      </c>
      <c r="AX415" s="9" t="str">
        <f t="shared" si="55"/>
        <v>No</v>
      </c>
      <c r="AY415" s="9" t="str">
        <f t="shared" si="61"/>
        <v>Cancelled order excluded</v>
      </c>
      <c r="AZ415" s="9" t="str">
        <f>IF(OR(G415="Missing date",G415="Invalid date",G415="Ship date before order date",NOT(ISNUMBER(AP415)),AP415&lt;0,AP415&gt;0.5,AV415=TRUE,AW415=TRUE),"Invalid",IF(OR(O415="Unknown",Z415="Unknown",AC415="",AH415&lt;&gt;"Paid",AJ415&lt;&gt;"Completed",AO415&lt;&gt;""),"Warning","Clean"))</f>
        <v>Warning</v>
      </c>
    </row>
    <row r="416" spans="1:52" ht="15.75" customHeight="1">
      <c r="A416" s="6" t="s">
        <v>2133</v>
      </c>
      <c r="B416" s="7" t="s">
        <v>2134</v>
      </c>
      <c r="C416" s="7" t="str">
        <f t="shared" si="60"/>
        <v>2024-08</v>
      </c>
      <c r="D416" s="7" cm="1">
        <f t="array" ref="D416">_xlfn.LET(_xlpm.x,B416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45533</v>
      </c>
      <c r="E416" s="7" t="s">
        <v>2135</v>
      </c>
      <c r="F416" s="7" cm="1">
        <f t="array" ref="F416">_xlfn.LET(_xlpm.x,E416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45534</v>
      </c>
      <c r="G416" s="8" t="str">
        <f t="shared" si="32"/>
        <v>OK</v>
      </c>
      <c r="H416" s="6">
        <f t="shared" si="33"/>
        <v>1</v>
      </c>
      <c r="I416" s="6" t="s">
        <v>2136</v>
      </c>
      <c r="J416" s="6" t="s">
        <v>153</v>
      </c>
      <c r="K416" s="6" t="str">
        <f t="shared" si="34"/>
        <v>Arjun Bose</v>
      </c>
      <c r="L416" s="6" t="s">
        <v>44</v>
      </c>
      <c r="M416" s="8" t="str">
        <f t="shared" si="35"/>
        <v>Home Office</v>
      </c>
      <c r="N416" s="6" t="s">
        <v>8</v>
      </c>
      <c r="O416" s="6" t="str">
        <f t="shared" si="36"/>
        <v>East</v>
      </c>
      <c r="P416" s="6" t="s">
        <v>290</v>
      </c>
      <c r="Q416" s="6" t="str">
        <f t="shared" si="37"/>
        <v>Assam</v>
      </c>
      <c r="R416" s="6" t="s">
        <v>291</v>
      </c>
      <c r="S416" s="6" t="str">
        <f t="shared" si="38"/>
        <v>Guwahati</v>
      </c>
      <c r="T416" s="6" t="s">
        <v>20</v>
      </c>
      <c r="U416" s="8" t="str">
        <f t="shared" si="39"/>
        <v>Office Supplies</v>
      </c>
      <c r="V416" s="6" t="s">
        <v>25</v>
      </c>
      <c r="W416" s="6" t="str">
        <f t="shared" si="40"/>
        <v>Storage</v>
      </c>
      <c r="X416" s="6" t="s">
        <v>2137</v>
      </c>
      <c r="Y416" s="6" t="s">
        <v>35</v>
      </c>
      <c r="Z416" s="6" t="str">
        <f t="shared" si="41"/>
        <v>First Class</v>
      </c>
      <c r="AA416" s="6">
        <v>4</v>
      </c>
      <c r="AB416" s="6">
        <v>2484.08</v>
      </c>
      <c r="AC416" s="6">
        <v>0.05</v>
      </c>
      <c r="AD416" s="6">
        <v>9439.5</v>
      </c>
      <c r="AE416" s="6">
        <v>5519.39</v>
      </c>
      <c r="AF416" s="6">
        <v>3920.11</v>
      </c>
      <c r="AG416" s="6" t="s">
        <v>52</v>
      </c>
      <c r="AH416" s="6" t="str">
        <f t="shared" si="42"/>
        <v>Paid</v>
      </c>
      <c r="AI416" s="6" t="s">
        <v>134</v>
      </c>
      <c r="AJ416" s="6" t="str">
        <f t="shared" si="43"/>
        <v>Completed</v>
      </c>
      <c r="AK416" s="9" t="str">
        <f>_xlfn.TEXTJOIN("|",FALSE,A416,TEXT(B416,"mm-dd-yyyy"),TEXT(E416,"mm-dd-yyyy"),I416,J416,L416,N416,P416,R416,T416,V416,X416,Y416,AA416,AB416,AC416,AD416,AE416,AF416,AG416,AI416)</f>
        <v>ORD-2024-10415|08-29-2024|08-30-2024|CUST-4194|Arjun Bose|Home Office|East|Assam|Guwahati|Office Supplies|Storage|Max Storage 692|First Class|4|2484.08|0.05|9439.5|5519.39|3920.11|Paid|Completed</v>
      </c>
      <c r="AL416" s="27" t="str">
        <f>IF(COUNTIF($AK$2:AK416,AK416)&gt;1,"Remove exact duplicate copy","Keep")</f>
        <v>Keep</v>
      </c>
      <c r="AM416" s="9">
        <f t="shared" si="44"/>
        <v>1</v>
      </c>
      <c r="AN416" s="9" t="str">
        <f t="shared" si="45"/>
        <v>Unique</v>
      </c>
      <c r="AO416" s="9" t="str">
        <f t="shared" si="46"/>
        <v/>
      </c>
      <c r="AP416" s="9">
        <f t="shared" si="47"/>
        <v>0.05</v>
      </c>
      <c r="AQ416" s="10">
        <f t="shared" si="48"/>
        <v>9439.503999999999</v>
      </c>
      <c r="AR416" s="10">
        <f t="shared" si="49"/>
        <v>3920.1139999999987</v>
      </c>
      <c r="AS416" s="11">
        <f t="shared" si="50"/>
        <v>0.41528813378330037</v>
      </c>
      <c r="AT416" s="9">
        <f t="shared" si="51"/>
        <v>8</v>
      </c>
      <c r="AU416" s="9">
        <f t="shared" si="52"/>
        <v>2024</v>
      </c>
      <c r="AV416" s="9" t="b">
        <f t="shared" si="53"/>
        <v>0</v>
      </c>
      <c r="AW416" s="9" t="b">
        <f t="shared" si="54"/>
        <v>0</v>
      </c>
      <c r="AX416" s="9" t="str">
        <f t="shared" si="55"/>
        <v>Yes</v>
      </c>
      <c r="AY416" s="9" t="str">
        <f t="shared" si="61"/>
        <v/>
      </c>
      <c r="AZ416" s="9" t="str">
        <f>IF(OR(G416="Missing date",G416="Invalid date",G416="Ship date before order date",NOT(ISNUMBER(AP416)),AP416&lt;0,AP416&gt;0.5,AV416=TRUE,AW416=TRUE),"Invalid",IF(OR(O416="Unknown",Z416="Unknown",AC416="",AH416&lt;&gt;"Paid",AJ416&lt;&gt;"Completed",AO416&lt;&gt;""),"Warning","Clean"))</f>
        <v>Clean</v>
      </c>
    </row>
    <row r="417" spans="1:52" ht="15.75" customHeight="1">
      <c r="A417" s="6" t="s">
        <v>2138</v>
      </c>
      <c r="B417" s="7" t="s">
        <v>2139</v>
      </c>
      <c r="C417" s="7" t="str">
        <f t="shared" si="60"/>
        <v>2024-01</v>
      </c>
      <c r="D417" s="7" cm="1">
        <f t="array" ref="D417">_xlfn.LET(_xlpm.x,B417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45316</v>
      </c>
      <c r="E417" s="7" t="s">
        <v>2091</v>
      </c>
      <c r="F417" s="7" cm="1">
        <f t="array" ref="F417">_xlfn.LET(_xlpm.x,E417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45318</v>
      </c>
      <c r="G417" s="8" t="str">
        <f t="shared" si="32"/>
        <v>OK</v>
      </c>
      <c r="H417" s="6">
        <f t="shared" si="33"/>
        <v>2</v>
      </c>
      <c r="I417" s="6" t="s">
        <v>2140</v>
      </c>
      <c r="J417" s="6" t="s">
        <v>239</v>
      </c>
      <c r="K417" s="6" t="str">
        <f t="shared" si="34"/>
        <v>Aarav Sharma</v>
      </c>
      <c r="L417" s="6" t="s">
        <v>45</v>
      </c>
      <c r="M417" s="8" t="str">
        <f t="shared" si="35"/>
        <v>Corporate</v>
      </c>
      <c r="N417" s="6" t="s">
        <v>10</v>
      </c>
      <c r="O417" s="6" t="str">
        <f t="shared" si="36"/>
        <v>South</v>
      </c>
      <c r="P417" s="6" t="s">
        <v>303</v>
      </c>
      <c r="Q417" s="6" t="str">
        <f t="shared" si="37"/>
        <v>Karnataka</v>
      </c>
      <c r="R417" s="6" t="s">
        <v>304</v>
      </c>
      <c r="S417" s="6" t="str">
        <f t="shared" si="38"/>
        <v>Bengaluru</v>
      </c>
      <c r="T417" s="6" t="s">
        <v>20</v>
      </c>
      <c r="U417" s="8" t="str">
        <f t="shared" si="39"/>
        <v>Office Supplies</v>
      </c>
      <c r="V417" s="6" t="s">
        <v>25</v>
      </c>
      <c r="W417" s="6" t="str">
        <f t="shared" si="40"/>
        <v>Storage</v>
      </c>
      <c r="X417" s="6" t="s">
        <v>2141</v>
      </c>
      <c r="Y417" s="6" t="s">
        <v>37</v>
      </c>
      <c r="Z417" s="6" t="str">
        <f t="shared" si="41"/>
        <v>Same Day</v>
      </c>
      <c r="AA417" s="6">
        <v>7</v>
      </c>
      <c r="AB417" s="6">
        <v>1727.26</v>
      </c>
      <c r="AC417" s="6">
        <v>0.15</v>
      </c>
      <c r="AD417" s="6">
        <v>10277.200000000001</v>
      </c>
      <c r="AE417" s="6">
        <v>7906.5</v>
      </c>
      <c r="AF417" s="6">
        <v>2370.6999999999998</v>
      </c>
      <c r="AG417" s="6" t="s">
        <v>52</v>
      </c>
      <c r="AH417" s="6" t="str">
        <f t="shared" si="42"/>
        <v>Paid</v>
      </c>
      <c r="AI417" s="6" t="s">
        <v>59</v>
      </c>
      <c r="AJ417" s="6" t="str">
        <f t="shared" si="43"/>
        <v>Returned</v>
      </c>
      <c r="AK417" s="9" t="str">
        <f>_xlfn.TEXTJOIN("|",FALSE,A417,TEXT(B417,"mm-dd-yyyy"),TEXT(E417,"mm-dd-yyyy"),I417,J417,L417,N417,P417,R417,T417,V417,X417,Y417,AA417,AB417,AC417,AD417,AE417,AF417,AG417,AI417)</f>
        <v>ORD-2024-10416|01-25-2024|01-27-2024|CUST-7087|Aarav Sharma|Corporate|South|Karnataka|Bengaluru|Office Supplies|Storage|Basic Storage 684|Same Day|7|1727.26|0.15|10277.2|7906.5|2370.7|Paid|Returned</v>
      </c>
      <c r="AL417" s="27" t="str">
        <f>IF(COUNTIF($AK$2:AK417,AK417)&gt;1,"Remove exact duplicate copy","Keep")</f>
        <v>Keep</v>
      </c>
      <c r="AM417" s="9">
        <f t="shared" si="44"/>
        <v>1</v>
      </c>
      <c r="AN417" s="9" t="str">
        <f t="shared" si="45"/>
        <v>Unique</v>
      </c>
      <c r="AO417" s="9" t="str">
        <f t="shared" si="46"/>
        <v/>
      </c>
      <c r="AP417" s="9">
        <f t="shared" si="47"/>
        <v>0.15</v>
      </c>
      <c r="AQ417" s="10">
        <f t="shared" si="48"/>
        <v>10277.197</v>
      </c>
      <c r="AR417" s="10">
        <f t="shared" si="49"/>
        <v>2370.6970000000001</v>
      </c>
      <c r="AS417" s="11">
        <f t="shared" si="50"/>
        <v>0.23067544584384245</v>
      </c>
      <c r="AT417" s="9">
        <f t="shared" si="51"/>
        <v>1</v>
      </c>
      <c r="AU417" s="9">
        <f t="shared" si="52"/>
        <v>2024</v>
      </c>
      <c r="AV417" s="9" t="b">
        <f t="shared" si="53"/>
        <v>0</v>
      </c>
      <c r="AW417" s="9" t="b">
        <f t="shared" si="54"/>
        <v>0</v>
      </c>
      <c r="AX417" s="9" t="str">
        <f t="shared" si="55"/>
        <v>No</v>
      </c>
      <c r="AY417" s="9" t="str">
        <f t="shared" si="61"/>
        <v>Returned order excluded</v>
      </c>
      <c r="AZ417" s="9" t="str">
        <f>IF(OR(G417="Missing date",G417="Invalid date",G417="Ship date before order date",NOT(ISNUMBER(AP417)),AP417&lt;0,AP417&gt;0.5,AV417=TRUE,AW417=TRUE),"Invalid",IF(OR(O417="Unknown",Z417="Unknown",AC417="",AH417&lt;&gt;"Paid",AJ417&lt;&gt;"Completed",AO417&lt;&gt;""),"Warning","Clean"))</f>
        <v>Warning</v>
      </c>
    </row>
    <row r="418" spans="1:52" ht="15.75" customHeight="1">
      <c r="A418" s="6" t="s">
        <v>2142</v>
      </c>
      <c r="B418" s="7" t="s">
        <v>2143</v>
      </c>
      <c r="C418" s="7" t="str">
        <f t="shared" si="60"/>
        <v>2025-01</v>
      </c>
      <c r="D418" s="7" cm="1">
        <f t="array" ref="D418">_xlfn.LET(_xlpm.x,B418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45665</v>
      </c>
      <c r="E418" s="7" t="s">
        <v>2144</v>
      </c>
      <c r="F418" s="7" cm="1">
        <f t="array" ref="F418">_xlfn.LET(_xlpm.x,E418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45673</v>
      </c>
      <c r="G418" s="8" t="str">
        <f t="shared" si="32"/>
        <v>OK</v>
      </c>
      <c r="H418" s="6">
        <f t="shared" si="33"/>
        <v>8</v>
      </c>
      <c r="I418" s="6" t="s">
        <v>2145</v>
      </c>
      <c r="J418" s="6" t="s">
        <v>177</v>
      </c>
      <c r="K418" s="6" t="str">
        <f t="shared" si="34"/>
        <v>Neha Gupta</v>
      </c>
      <c r="L418" s="6" t="s">
        <v>43</v>
      </c>
      <c r="M418" s="8" t="str">
        <f t="shared" si="35"/>
        <v>Consumer</v>
      </c>
      <c r="N418" s="6" t="s">
        <v>10</v>
      </c>
      <c r="O418" s="6" t="str">
        <f t="shared" si="36"/>
        <v>South</v>
      </c>
      <c r="P418" s="6" t="s">
        <v>154</v>
      </c>
      <c r="Q418" s="6" t="str">
        <f t="shared" si="37"/>
        <v>Telangana</v>
      </c>
      <c r="R418" s="6" t="s">
        <v>155</v>
      </c>
      <c r="S418" s="6" t="str">
        <f t="shared" si="38"/>
        <v>Hyderabad</v>
      </c>
      <c r="T418" s="6" t="s">
        <v>850</v>
      </c>
      <c r="U418" s="8" t="str">
        <f t="shared" si="39"/>
        <v>Furniture</v>
      </c>
      <c r="V418" s="6" t="s">
        <v>17</v>
      </c>
      <c r="W418" s="6" t="str">
        <f t="shared" si="40"/>
        <v>Furnishings</v>
      </c>
      <c r="X418" s="6" t="s">
        <v>2146</v>
      </c>
      <c r="Y418" s="6" t="s">
        <v>35</v>
      </c>
      <c r="Z418" s="6" t="str">
        <f t="shared" si="41"/>
        <v>First Class</v>
      </c>
      <c r="AA418" s="6">
        <v>8</v>
      </c>
      <c r="AB418" s="6">
        <v>638.95000000000005</v>
      </c>
      <c r="AC418" s="6">
        <v>0.25</v>
      </c>
      <c r="AD418" s="6">
        <v>3833.7</v>
      </c>
      <c r="AE418" s="6">
        <v>2886.35</v>
      </c>
      <c r="AF418" s="6">
        <v>947.35</v>
      </c>
      <c r="AG418" s="6" t="s">
        <v>52</v>
      </c>
      <c r="AH418" s="6" t="str">
        <f t="shared" si="42"/>
        <v>Paid</v>
      </c>
      <c r="AI418" s="6" t="s">
        <v>134</v>
      </c>
      <c r="AJ418" s="6" t="str">
        <f t="shared" si="43"/>
        <v>Completed</v>
      </c>
      <c r="AK418" s="9" t="str">
        <f>_xlfn.TEXTJOIN("|",FALSE,A418,TEXT(B418,"mm-dd-yyyy"),TEXT(E418,"mm-dd-yyyy"),I418,J418,L418,N418,P418,R418,T418,V418,X418,Y418,AA418,AB418,AC418,AD418,AE418,AF418,AG418,AI418)</f>
        <v>ORD-2025-10417|01-08-2025|16-01-2025|CUST-7608|Neha Gupta|Consumer|South|Telangana|Hyderabad|Furniture |Furnishings|Smart Furnishings 152|First Class|8|638.95|0.25|3833.7|2886.35|947.35|Paid|Completed</v>
      </c>
      <c r="AL418" s="27" t="str">
        <f>IF(COUNTIF($AK$2:AK418,AK418)&gt;1,"Remove exact duplicate copy","Keep")</f>
        <v>Keep</v>
      </c>
      <c r="AM418" s="9">
        <f t="shared" si="44"/>
        <v>1</v>
      </c>
      <c r="AN418" s="9" t="str">
        <f t="shared" si="45"/>
        <v>Unique</v>
      </c>
      <c r="AO418" s="9" t="str">
        <f t="shared" si="46"/>
        <v/>
      </c>
      <c r="AP418" s="9">
        <f t="shared" si="47"/>
        <v>0.25</v>
      </c>
      <c r="AQ418" s="10">
        <f t="shared" si="48"/>
        <v>3833.7000000000003</v>
      </c>
      <c r="AR418" s="10">
        <f t="shared" si="49"/>
        <v>947.35000000000036</v>
      </c>
      <c r="AS418" s="11">
        <f t="shared" si="50"/>
        <v>0.24711114589039318</v>
      </c>
      <c r="AT418" s="9">
        <f t="shared" si="51"/>
        <v>1</v>
      </c>
      <c r="AU418" s="9">
        <f t="shared" si="52"/>
        <v>2025</v>
      </c>
      <c r="AV418" s="9" t="b">
        <f t="shared" si="53"/>
        <v>0</v>
      </c>
      <c r="AW418" s="9" t="b">
        <f t="shared" si="54"/>
        <v>0</v>
      </c>
      <c r="AX418" s="9" t="str">
        <f t="shared" si="55"/>
        <v>Yes</v>
      </c>
      <c r="AY418" s="9" t="str">
        <f t="shared" si="61"/>
        <v/>
      </c>
      <c r="AZ418" s="9" t="str">
        <f>IF(OR(G418="Missing date",G418="Invalid date",G418="Ship date before order date",NOT(ISNUMBER(AP418)),AP418&lt;0,AP418&gt;0.5,AV418=TRUE,AW418=TRUE),"Invalid",IF(OR(O418="Unknown",Z418="Unknown",AC418="",AH418&lt;&gt;"Paid",AJ418&lt;&gt;"Completed",AO418&lt;&gt;""),"Warning","Clean"))</f>
        <v>Clean</v>
      </c>
    </row>
    <row r="419" spans="1:52" ht="15.75" customHeight="1">
      <c r="A419" s="6" t="s">
        <v>2147</v>
      </c>
      <c r="B419" s="7" t="s">
        <v>1881</v>
      </c>
      <c r="C419" s="7" t="str">
        <f t="shared" si="60"/>
        <v>2025-01</v>
      </c>
      <c r="D419" s="7" cm="1">
        <f t="array" ref="D419">_xlfn.LET(_xlpm.x,B419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45686</v>
      </c>
      <c r="E419" s="7" t="s">
        <v>2148</v>
      </c>
      <c r="F419" s="7" cm="1">
        <f t="array" ref="F419">_xlfn.LET(_xlpm.x,E419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45693</v>
      </c>
      <c r="G419" s="8" t="str">
        <f t="shared" si="32"/>
        <v>OK</v>
      </c>
      <c r="H419" s="6">
        <f t="shared" si="33"/>
        <v>7</v>
      </c>
      <c r="I419" s="6" t="s">
        <v>2149</v>
      </c>
      <c r="J419" s="6" t="s">
        <v>139</v>
      </c>
      <c r="K419" s="6" t="str">
        <f t="shared" si="34"/>
        <v>Mira Das</v>
      </c>
      <c r="L419" s="6" t="s">
        <v>43</v>
      </c>
      <c r="M419" s="8" t="str">
        <f t="shared" si="35"/>
        <v>Consumer</v>
      </c>
      <c r="N419" s="6" t="s">
        <v>9</v>
      </c>
      <c r="O419" s="6" t="str">
        <f t="shared" si="36"/>
        <v>West</v>
      </c>
      <c r="P419" s="6" t="s">
        <v>309</v>
      </c>
      <c r="Q419" s="6" t="str">
        <f t="shared" si="37"/>
        <v>Gujarat</v>
      </c>
      <c r="R419" s="6" t="s">
        <v>310</v>
      </c>
      <c r="S419" s="6" t="str">
        <f t="shared" si="38"/>
        <v>Ahmedabad</v>
      </c>
      <c r="T419" s="6" t="s">
        <v>20</v>
      </c>
      <c r="U419" s="8" t="str">
        <f t="shared" si="39"/>
        <v>Office Supplies</v>
      </c>
      <c r="V419" s="6" t="s">
        <v>21</v>
      </c>
      <c r="W419" s="6" t="str">
        <f t="shared" si="40"/>
        <v>Art</v>
      </c>
      <c r="X419" s="6" t="s">
        <v>2150</v>
      </c>
      <c r="Y419" s="6" t="s">
        <v>35</v>
      </c>
      <c r="Z419" s="6" t="str">
        <f t="shared" si="41"/>
        <v>First Class</v>
      </c>
      <c r="AA419" s="6">
        <v>6</v>
      </c>
      <c r="AB419" s="6">
        <v>3863</v>
      </c>
      <c r="AC419" s="6">
        <v>0.2</v>
      </c>
      <c r="AD419" s="6">
        <v>18542.400000000001</v>
      </c>
      <c r="AE419" s="6">
        <v>11193.75</v>
      </c>
      <c r="AF419" s="6">
        <v>7348.65</v>
      </c>
      <c r="AG419" s="6" t="s">
        <v>52</v>
      </c>
      <c r="AH419" s="6" t="str">
        <f t="shared" si="42"/>
        <v>Paid</v>
      </c>
      <c r="AI419" s="6" t="s">
        <v>134</v>
      </c>
      <c r="AJ419" s="6" t="str">
        <f t="shared" si="43"/>
        <v>Completed</v>
      </c>
      <c r="AK419" s="9" t="str">
        <f>_xlfn.TEXTJOIN("|",FALSE,A419,TEXT(B419,"mm-dd-yyyy"),TEXT(E419,"mm-dd-yyyy"),I419,J419,L419,N419,P419,R419,T419,V419,X419,Y419,AA419,AB419,AC419,AD419,AE419,AF419,AG419,AI419)</f>
        <v>ORD-2025-10418|01-29-2025|02-05-2025|CUST-5269|Mira Das|Consumer|West|Gujarat|Ahmedabad|Office Supplies|Art|Max Art 736|First Class|6|3863|0.2|18542.4|11193.75|7348.65|Paid|Completed</v>
      </c>
      <c r="AL419" s="27" t="str">
        <f>IF(COUNTIF($AK$2:AK419,AK419)&gt;1,"Remove exact duplicate copy","Keep")</f>
        <v>Keep</v>
      </c>
      <c r="AM419" s="9">
        <f t="shared" si="44"/>
        <v>1</v>
      </c>
      <c r="AN419" s="9" t="str">
        <f t="shared" si="45"/>
        <v>Unique</v>
      </c>
      <c r="AO419" s="9" t="str">
        <f t="shared" si="46"/>
        <v/>
      </c>
      <c r="AP419" s="9">
        <f t="shared" si="47"/>
        <v>0.2</v>
      </c>
      <c r="AQ419" s="10">
        <f t="shared" si="48"/>
        <v>18542.400000000001</v>
      </c>
      <c r="AR419" s="10">
        <f t="shared" si="49"/>
        <v>7348.6500000000015</v>
      </c>
      <c r="AS419" s="11">
        <f t="shared" si="50"/>
        <v>0.39631601087237905</v>
      </c>
      <c r="AT419" s="9">
        <f t="shared" si="51"/>
        <v>1</v>
      </c>
      <c r="AU419" s="9">
        <f t="shared" si="52"/>
        <v>2025</v>
      </c>
      <c r="AV419" s="9" t="b">
        <f t="shared" si="53"/>
        <v>0</v>
      </c>
      <c r="AW419" s="9" t="b">
        <f t="shared" si="54"/>
        <v>0</v>
      </c>
      <c r="AX419" s="9" t="str">
        <f t="shared" si="55"/>
        <v>Yes</v>
      </c>
      <c r="AY419" s="9" t="str">
        <f t="shared" si="61"/>
        <v/>
      </c>
      <c r="AZ419" s="9" t="str">
        <f>IF(OR(G419="Missing date",G419="Invalid date",G419="Ship date before order date",NOT(ISNUMBER(AP419)),AP419&lt;0,AP419&gt;0.5,AV419=TRUE,AW419=TRUE),"Invalid",IF(OR(O419="Unknown",Z419="Unknown",AC419="",AH419&lt;&gt;"Paid",AJ419&lt;&gt;"Completed",AO419&lt;&gt;""),"Warning","Clean"))</f>
        <v>Clean</v>
      </c>
    </row>
    <row r="420" spans="1:52" ht="15.75" customHeight="1">
      <c r="A420" s="6" t="s">
        <v>2151</v>
      </c>
      <c r="B420" s="7" t="s">
        <v>2152</v>
      </c>
      <c r="C420" s="7" t="str">
        <f t="shared" si="60"/>
        <v>2024-11</v>
      </c>
      <c r="D420" s="7" cm="1">
        <f t="array" ref="D420">_xlfn.LET(_xlpm.x,B420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45605</v>
      </c>
      <c r="E420" s="7" t="s">
        <v>2153</v>
      </c>
      <c r="F420" s="7" cm="1">
        <f t="array" ref="F420">_xlfn.LET(_xlpm.x,E420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45613</v>
      </c>
      <c r="G420" s="8" t="str">
        <f t="shared" si="32"/>
        <v>OK</v>
      </c>
      <c r="H420" s="6">
        <f t="shared" si="33"/>
        <v>8</v>
      </c>
      <c r="I420" s="6" t="s">
        <v>2154</v>
      </c>
      <c r="J420" s="6" t="s">
        <v>245</v>
      </c>
      <c r="K420" s="6" t="str">
        <f t="shared" si="34"/>
        <v>Sneha Kapoor</v>
      </c>
      <c r="L420" s="6" t="s">
        <v>45</v>
      </c>
      <c r="M420" s="8" t="str">
        <f t="shared" si="35"/>
        <v>Corporate</v>
      </c>
      <c r="N420" s="6" t="s">
        <v>8</v>
      </c>
      <c r="O420" s="6" t="str">
        <f t="shared" si="36"/>
        <v>East</v>
      </c>
      <c r="P420" s="6" t="s">
        <v>140</v>
      </c>
      <c r="Q420" s="6" t="str">
        <f t="shared" si="37"/>
        <v>Odisha</v>
      </c>
      <c r="R420" s="6" t="s">
        <v>141</v>
      </c>
      <c r="S420" s="6" t="str">
        <f t="shared" si="38"/>
        <v>Bhubaneswar</v>
      </c>
      <c r="T420" s="6" t="s">
        <v>27</v>
      </c>
      <c r="U420" s="8" t="str">
        <f t="shared" si="39"/>
        <v>Technology</v>
      </c>
      <c r="V420" s="6" t="s">
        <v>29</v>
      </c>
      <c r="W420" s="6" t="str">
        <f t="shared" si="40"/>
        <v>Copiers</v>
      </c>
      <c r="X420" s="6" t="s">
        <v>2155</v>
      </c>
      <c r="Y420" s="6" t="s">
        <v>34</v>
      </c>
      <c r="Z420" s="6" t="str">
        <f t="shared" si="41"/>
        <v>Standard Class</v>
      </c>
      <c r="AA420" s="6">
        <v>6</v>
      </c>
      <c r="AB420" s="6">
        <v>3660.4</v>
      </c>
      <c r="AC420" s="6">
        <v>0</v>
      </c>
      <c r="AD420" s="6">
        <v>21962.400000000001</v>
      </c>
      <c r="AE420" s="6">
        <v>15331.99</v>
      </c>
      <c r="AF420" s="6">
        <v>6630.41</v>
      </c>
      <c r="AG420" s="6" t="s">
        <v>50</v>
      </c>
      <c r="AH420" s="6" t="str">
        <f t="shared" si="42"/>
        <v>Failed</v>
      </c>
      <c r="AI420" s="6" t="s">
        <v>58</v>
      </c>
      <c r="AJ420" s="6" t="str">
        <f t="shared" si="43"/>
        <v>Cancelled</v>
      </c>
      <c r="AK420" s="9" t="str">
        <f>_xlfn.TEXTJOIN("|",FALSE,A420,TEXT(B420,"mm-dd-yyyy"),TEXT(E420,"mm-dd-yyyy"),I420,J420,L420,N420,P420,R420,T420,V420,X420,Y420,AA420,AB420,AC420,AD420,AE420,AF420,AG420,AI420)</f>
        <v>ORD-2024-10419|11-09-2024|11-17-2024|CUST-7925|Sneha Kapoor|Corporate|East|Odisha|Bhubaneswar|Technology|Copiers|Elite Copiers 971|Standard Class|6|3660.4|0|21962.4|15331.99|6630.41|Failed|Cancelled</v>
      </c>
      <c r="AL420" s="27" t="str">
        <f>IF(COUNTIF($AK$2:AK420,AK420)&gt;1,"Remove exact duplicate copy","Keep")</f>
        <v>Keep</v>
      </c>
      <c r="AM420" s="9">
        <f t="shared" si="44"/>
        <v>1</v>
      </c>
      <c r="AN420" s="9" t="str">
        <f t="shared" si="45"/>
        <v>Unique</v>
      </c>
      <c r="AO420" s="9" t="str">
        <f t="shared" si="46"/>
        <v/>
      </c>
      <c r="AP420" s="9">
        <f t="shared" si="47"/>
        <v>0</v>
      </c>
      <c r="AQ420" s="10">
        <f t="shared" si="48"/>
        <v>21962.400000000001</v>
      </c>
      <c r="AR420" s="10">
        <f t="shared" si="49"/>
        <v>6630.4100000000017</v>
      </c>
      <c r="AS420" s="11">
        <f t="shared" si="50"/>
        <v>0.3018982442720286</v>
      </c>
      <c r="AT420" s="9">
        <f t="shared" si="51"/>
        <v>11</v>
      </c>
      <c r="AU420" s="9">
        <f t="shared" si="52"/>
        <v>2024</v>
      </c>
      <c r="AV420" s="9" t="b">
        <f t="shared" si="53"/>
        <v>0</v>
      </c>
      <c r="AW420" s="9" t="b">
        <f t="shared" si="54"/>
        <v>0</v>
      </c>
      <c r="AX420" s="9" t="str">
        <f t="shared" si="55"/>
        <v>No</v>
      </c>
      <c r="AY420" s="9" t="str">
        <f t="shared" si="61"/>
        <v>Failed payment excluded; Cancelled order excluded</v>
      </c>
      <c r="AZ420" s="9" t="str">
        <f>IF(OR(G420="Missing date",G420="Invalid date",G420="Ship date before order date",NOT(ISNUMBER(AP420)),AP420&lt;0,AP420&gt;0.5,AV420=TRUE,AW420=TRUE),"Invalid",IF(OR(O420="Unknown",Z420="Unknown",AC420="",AH420&lt;&gt;"Paid",AJ420&lt;&gt;"Completed",AO420&lt;&gt;""),"Warning","Clean"))</f>
        <v>Warning</v>
      </c>
    </row>
    <row r="421" spans="1:52" ht="15.75" customHeight="1">
      <c r="A421" s="6" t="s">
        <v>2156</v>
      </c>
      <c r="B421" s="7" t="s">
        <v>2157</v>
      </c>
      <c r="C421" s="7" t="str">
        <f t="shared" si="60"/>
        <v>2025-09</v>
      </c>
      <c r="D421" s="7" cm="1">
        <f t="array" ref="D421">_xlfn.LET(_xlpm.x,B421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45926</v>
      </c>
      <c r="E421" s="7" t="s">
        <v>2158</v>
      </c>
      <c r="F421" s="7" cm="1">
        <f t="array" ref="F421">_xlfn.LET(_xlpm.x,E421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45930</v>
      </c>
      <c r="G421" s="8" t="str">
        <f t="shared" si="32"/>
        <v>OK</v>
      </c>
      <c r="H421" s="6">
        <f t="shared" si="33"/>
        <v>4</v>
      </c>
      <c r="I421" s="6" t="s">
        <v>2159</v>
      </c>
      <c r="J421" s="6" t="s">
        <v>245</v>
      </c>
      <c r="K421" s="6" t="str">
        <f t="shared" si="34"/>
        <v>Sneha Kapoor</v>
      </c>
      <c r="L421" s="6" t="s">
        <v>44</v>
      </c>
      <c r="M421" s="8" t="str">
        <f t="shared" si="35"/>
        <v>Home Office</v>
      </c>
      <c r="N421" s="6" t="s">
        <v>7</v>
      </c>
      <c r="O421" s="6" t="str">
        <f t="shared" si="36"/>
        <v>North</v>
      </c>
      <c r="P421" s="6" t="s">
        <v>397</v>
      </c>
      <c r="Q421" s="6" t="str">
        <f t="shared" si="37"/>
        <v>Haryana</v>
      </c>
      <c r="R421" s="6" t="s">
        <v>398</v>
      </c>
      <c r="S421" s="6" t="str">
        <f t="shared" si="38"/>
        <v>Gurugram</v>
      </c>
      <c r="T421" s="6" t="s">
        <v>27</v>
      </c>
      <c r="U421" s="8" t="str">
        <f t="shared" si="39"/>
        <v>Technology</v>
      </c>
      <c r="V421" s="6" t="s">
        <v>31</v>
      </c>
      <c r="W421" s="6" t="str">
        <f t="shared" si="40"/>
        <v>Phones</v>
      </c>
      <c r="X421" s="6" t="s">
        <v>2160</v>
      </c>
      <c r="Y421" s="6" t="s">
        <v>37</v>
      </c>
      <c r="Z421" s="6" t="str">
        <f t="shared" si="41"/>
        <v>Same Day</v>
      </c>
      <c r="AA421" s="6">
        <v>2</v>
      </c>
      <c r="AB421" s="6">
        <v>688.83</v>
      </c>
      <c r="AC421" s="6">
        <v>0.05</v>
      </c>
      <c r="AD421" s="6">
        <v>1308.78</v>
      </c>
      <c r="AE421" s="6">
        <v>843</v>
      </c>
      <c r="AF421" s="6">
        <v>465.78</v>
      </c>
      <c r="AG421" s="6" t="s">
        <v>52</v>
      </c>
      <c r="AH421" s="6" t="str">
        <f t="shared" si="42"/>
        <v>Paid</v>
      </c>
      <c r="AI421" s="6" t="s">
        <v>134</v>
      </c>
      <c r="AJ421" s="6" t="str">
        <f t="shared" si="43"/>
        <v>Completed</v>
      </c>
      <c r="AK421" s="9" t="str">
        <f>_xlfn.TEXTJOIN("|",FALSE,A421,TEXT(B421,"mm-dd-yyyy"),TEXT(E421,"mm-dd-yyyy"),I421,J421,L421,N421,P421,R421,T421,V421,X421,Y421,AA421,AB421,AC421,AD421,AE421,AF421,AG421,AI421)</f>
        <v>ORD-2025-10420|26-09-2025|09-30-2025|CUST-6552|Sneha Kapoor|Home Office|North|Haryana|Gurugram|Technology|Phones|Classic Phones 940|Same Day|2|688.83|0.05|1308.78|843|465.78|Paid|Completed</v>
      </c>
      <c r="AL421" s="27" t="str">
        <f>IF(COUNTIF($AK$2:AK421,AK421)&gt;1,"Remove exact duplicate copy","Keep")</f>
        <v>Keep</v>
      </c>
      <c r="AM421" s="9">
        <f t="shared" si="44"/>
        <v>1</v>
      </c>
      <c r="AN421" s="9" t="str">
        <f t="shared" si="45"/>
        <v>Unique</v>
      </c>
      <c r="AO421" s="9" t="str">
        <f t="shared" si="46"/>
        <v/>
      </c>
      <c r="AP421" s="9">
        <f t="shared" si="47"/>
        <v>0.05</v>
      </c>
      <c r="AQ421" s="10">
        <f t="shared" si="48"/>
        <v>1308.777</v>
      </c>
      <c r="AR421" s="10">
        <f t="shared" si="49"/>
        <v>465.77700000000004</v>
      </c>
      <c r="AS421" s="11">
        <f t="shared" si="50"/>
        <v>0.35588721378813964</v>
      </c>
      <c r="AT421" s="9">
        <f t="shared" si="51"/>
        <v>9</v>
      </c>
      <c r="AU421" s="9">
        <f t="shared" si="52"/>
        <v>2025</v>
      </c>
      <c r="AV421" s="9" t="b">
        <f t="shared" si="53"/>
        <v>0</v>
      </c>
      <c r="AW421" s="9" t="b">
        <f t="shared" si="54"/>
        <v>0</v>
      </c>
      <c r="AX421" s="9" t="str">
        <f t="shared" si="55"/>
        <v>Yes</v>
      </c>
      <c r="AY421" s="9" t="str">
        <f t="shared" si="61"/>
        <v/>
      </c>
      <c r="AZ421" s="9" t="str">
        <f>IF(OR(G421="Missing date",G421="Invalid date",G421="Ship date before order date",NOT(ISNUMBER(AP421)),AP421&lt;0,AP421&gt;0.5,AV421=TRUE,AW421=TRUE),"Invalid",IF(OR(O421="Unknown",Z421="Unknown",AC421="",AH421&lt;&gt;"Paid",AJ421&lt;&gt;"Completed",AO421&lt;&gt;""),"Warning","Clean"))</f>
        <v>Clean</v>
      </c>
    </row>
    <row r="422" spans="1:52" ht="15.75" customHeight="1">
      <c r="A422" s="6" t="s">
        <v>2161</v>
      </c>
      <c r="B422" s="7" t="s">
        <v>1045</v>
      </c>
      <c r="C422" s="7" t="str">
        <f t="shared" si="60"/>
        <v>2025-03</v>
      </c>
      <c r="D422" s="7" cm="1">
        <f t="array" ref="D422">_xlfn.LET(_xlpm.x,B422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45734</v>
      </c>
      <c r="E422" s="7" t="s">
        <v>2162</v>
      </c>
      <c r="F422" s="7" cm="1">
        <f t="array" ref="F422">_xlfn.LET(_xlpm.x,E422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45735</v>
      </c>
      <c r="G422" s="8" t="str">
        <f t="shared" si="32"/>
        <v>OK</v>
      </c>
      <c r="H422" s="6">
        <f t="shared" si="33"/>
        <v>1</v>
      </c>
      <c r="I422" s="6" t="s">
        <v>2163</v>
      </c>
      <c r="J422" s="6" t="s">
        <v>147</v>
      </c>
      <c r="K422" s="6" t="str">
        <f t="shared" si="34"/>
        <v>Isha Nair</v>
      </c>
      <c r="L422" s="6" t="s">
        <v>45</v>
      </c>
      <c r="M422" s="8" t="str">
        <f t="shared" si="35"/>
        <v>Corporate</v>
      </c>
      <c r="N422" s="6" t="s">
        <v>10</v>
      </c>
      <c r="O422" s="6" t="str">
        <f t="shared" si="36"/>
        <v>South</v>
      </c>
      <c r="P422" s="6" t="s">
        <v>413</v>
      </c>
      <c r="Q422" s="6" t="str">
        <f t="shared" si="37"/>
        <v>Tamil Nadu</v>
      </c>
      <c r="R422" s="6" t="s">
        <v>414</v>
      </c>
      <c r="S422" s="6" t="str">
        <f t="shared" si="38"/>
        <v>Chennai</v>
      </c>
      <c r="T422" s="6" t="s">
        <v>27</v>
      </c>
      <c r="U422" s="8" t="str">
        <f t="shared" si="39"/>
        <v>Technology</v>
      </c>
      <c r="V422" s="6" t="s">
        <v>30</v>
      </c>
      <c r="W422" s="6" t="str">
        <f t="shared" si="40"/>
        <v>Machines</v>
      </c>
      <c r="X422" s="6" t="s">
        <v>2164</v>
      </c>
      <c r="Y422" s="6" t="s">
        <v>34</v>
      </c>
      <c r="Z422" s="6" t="str">
        <f t="shared" si="41"/>
        <v>Standard Class</v>
      </c>
      <c r="AA422" s="6">
        <v>2</v>
      </c>
      <c r="AB422" s="6">
        <v>1209.99</v>
      </c>
      <c r="AC422" s="6">
        <v>0.25</v>
      </c>
      <c r="AD422" s="6">
        <v>1814.99</v>
      </c>
      <c r="AE422" s="6">
        <v>1120.06</v>
      </c>
      <c r="AF422" s="6">
        <v>694.93</v>
      </c>
      <c r="AG422" s="6" t="s">
        <v>54</v>
      </c>
      <c r="AH422" s="6" t="str">
        <f t="shared" si="42"/>
        <v>Pending</v>
      </c>
      <c r="AI422" s="6" t="s">
        <v>58</v>
      </c>
      <c r="AJ422" s="6" t="str">
        <f t="shared" si="43"/>
        <v>Cancelled</v>
      </c>
      <c r="AK422" s="9" t="str">
        <f>_xlfn.TEXTJOIN("|",FALSE,A422,TEXT(B422,"mm-dd-yyyy"),TEXT(E422,"mm-dd-yyyy"),I422,J422,L422,N422,P422,R422,T422,V422,X422,Y422,AA422,AB422,AC422,AD422,AE422,AF422,AG422,AI422)</f>
        <v>ORD-2025-10421|18-03-2025|03-19-2025|CUST-7131|Isha Nair|Corporate|South|Tamil Nadu|Chennai|Technology|Machines|Pro Machines 579|Standard Class|2|1209.99|0.25|1814.99|1120.06|694.93|Pending|Cancelled</v>
      </c>
      <c r="AL422" s="27" t="str">
        <f>IF(COUNTIF($AK$2:AK422,AK422)&gt;1,"Remove exact duplicate copy","Keep")</f>
        <v>Keep</v>
      </c>
      <c r="AM422" s="9">
        <f t="shared" si="44"/>
        <v>1</v>
      </c>
      <c r="AN422" s="9" t="str">
        <f t="shared" si="45"/>
        <v>Unique</v>
      </c>
      <c r="AO422" s="9" t="str">
        <f t="shared" si="46"/>
        <v/>
      </c>
      <c r="AP422" s="9">
        <f t="shared" si="47"/>
        <v>0.25</v>
      </c>
      <c r="AQ422" s="10">
        <f t="shared" si="48"/>
        <v>1814.9850000000001</v>
      </c>
      <c r="AR422" s="10">
        <f t="shared" si="49"/>
        <v>694.92500000000018</v>
      </c>
      <c r="AS422" s="11">
        <f t="shared" si="50"/>
        <v>0.38288195219244242</v>
      </c>
      <c r="AT422" s="9">
        <f t="shared" si="51"/>
        <v>3</v>
      </c>
      <c r="AU422" s="9">
        <f t="shared" si="52"/>
        <v>2025</v>
      </c>
      <c r="AV422" s="9" t="b">
        <f t="shared" si="53"/>
        <v>0</v>
      </c>
      <c r="AW422" s="9" t="b">
        <f t="shared" si="54"/>
        <v>0</v>
      </c>
      <c r="AX422" s="9" t="str">
        <f t="shared" si="55"/>
        <v>No</v>
      </c>
      <c r="AY422" s="9" t="str">
        <f t="shared" si="61"/>
        <v>Cancelled order excluded</v>
      </c>
      <c r="AZ422" s="9" t="str">
        <f>IF(OR(G422="Missing date",G422="Invalid date",G422="Ship date before order date",NOT(ISNUMBER(AP422)),AP422&lt;0,AP422&gt;0.5,AV422=TRUE,AW422=TRUE),"Invalid",IF(OR(O422="Unknown",Z422="Unknown",AC422="",AH422&lt;&gt;"Paid",AJ422&lt;&gt;"Completed",AO422&lt;&gt;""),"Warning","Clean"))</f>
        <v>Warning</v>
      </c>
    </row>
    <row r="423" spans="1:52" ht="15.75" customHeight="1">
      <c r="A423" s="6" t="s">
        <v>2165</v>
      </c>
      <c r="B423" s="7" t="s">
        <v>2166</v>
      </c>
      <c r="C423" s="7" t="str">
        <f t="shared" si="60"/>
        <v>2025-06</v>
      </c>
      <c r="D423" s="7" cm="1">
        <f t="array" ref="D423">_xlfn.LET(_xlpm.x,B423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45822</v>
      </c>
      <c r="E423" s="7" t="s">
        <v>2167</v>
      </c>
      <c r="F423" s="7" cm="1">
        <f t="array" ref="F423">_xlfn.LET(_xlpm.x,E423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45827</v>
      </c>
      <c r="G423" s="8" t="str">
        <f t="shared" si="32"/>
        <v>OK</v>
      </c>
      <c r="H423" s="6">
        <f t="shared" si="33"/>
        <v>5</v>
      </c>
      <c r="I423" s="6" t="s">
        <v>2168</v>
      </c>
      <c r="J423" s="6" t="s">
        <v>257</v>
      </c>
      <c r="K423" s="6" t="str">
        <f t="shared" si="34"/>
        <v>Rohan Mehta</v>
      </c>
      <c r="L423" s="6" t="s">
        <v>46</v>
      </c>
      <c r="M423" s="8" t="str">
        <f t="shared" si="35"/>
        <v>Small Business</v>
      </c>
      <c r="N423" s="6" t="s">
        <v>7</v>
      </c>
      <c r="O423" s="6" t="str">
        <f t="shared" si="36"/>
        <v>North</v>
      </c>
      <c r="P423" s="6" t="s">
        <v>583</v>
      </c>
      <c r="Q423" s="6" t="str">
        <f t="shared" si="37"/>
        <v>Delhi</v>
      </c>
      <c r="R423" s="6" t="s">
        <v>584</v>
      </c>
      <c r="S423" s="6" t="str">
        <f t="shared" si="38"/>
        <v>New Delhi</v>
      </c>
      <c r="T423" s="6" t="s">
        <v>20</v>
      </c>
      <c r="U423" s="8" t="str">
        <f t="shared" si="39"/>
        <v>Office Supplies</v>
      </c>
      <c r="V423" s="6" t="s">
        <v>22</v>
      </c>
      <c r="W423" s="6" t="str">
        <f t="shared" si="40"/>
        <v>Binders</v>
      </c>
      <c r="X423" s="6" t="s">
        <v>2169</v>
      </c>
      <c r="Y423" s="6" t="s">
        <v>37</v>
      </c>
      <c r="Z423" s="6" t="str">
        <f t="shared" si="41"/>
        <v>Same Day</v>
      </c>
      <c r="AA423" s="6">
        <v>3</v>
      </c>
      <c r="AB423" s="6">
        <v>1037.45</v>
      </c>
      <c r="AC423" s="6">
        <v>0.2</v>
      </c>
      <c r="AD423" s="6">
        <v>2489.88</v>
      </c>
      <c r="AE423" s="6">
        <v>1707.52</v>
      </c>
      <c r="AF423" s="6">
        <v>782.36</v>
      </c>
      <c r="AG423" s="6" t="s">
        <v>54</v>
      </c>
      <c r="AH423" s="6" t="str">
        <f t="shared" si="42"/>
        <v>Pending</v>
      </c>
      <c r="AI423" s="6" t="s">
        <v>59</v>
      </c>
      <c r="AJ423" s="6" t="str">
        <f t="shared" si="43"/>
        <v>Returned</v>
      </c>
      <c r="AK423" s="9" t="str">
        <f>_xlfn.TEXTJOIN("|",FALSE,A423,TEXT(B423,"mm-dd-yyyy"),TEXT(E423,"mm-dd-yyyy"),I423,J423,L423,N423,P423,R423,T423,V423,X423,Y423,AA423,AB423,AC423,AD423,AE423,AF423,AG423,AI423)</f>
        <v>ORD-2025-10422|06-14-2025|06-19-2025|CUST-2779|Rohan Mehta|Small Business|North|Delhi|New Delhi|Office Supplies|Binders|Elite Binders 943|Same Day|3|1037.45|0.2|2489.88|1707.52|782.36|Pending|Returned</v>
      </c>
      <c r="AL423" s="27" t="str">
        <f>IF(COUNTIF($AK$2:AK423,AK423)&gt;1,"Remove exact duplicate copy","Keep")</f>
        <v>Keep</v>
      </c>
      <c r="AM423" s="9">
        <f t="shared" si="44"/>
        <v>1</v>
      </c>
      <c r="AN423" s="9" t="str">
        <f t="shared" si="45"/>
        <v>Unique</v>
      </c>
      <c r="AO423" s="9" t="str">
        <f t="shared" si="46"/>
        <v/>
      </c>
      <c r="AP423" s="9">
        <f t="shared" si="47"/>
        <v>0.2</v>
      </c>
      <c r="AQ423" s="10">
        <f t="shared" si="48"/>
        <v>2489.8800000000006</v>
      </c>
      <c r="AR423" s="10">
        <f t="shared" si="49"/>
        <v>782.36000000000058</v>
      </c>
      <c r="AS423" s="11">
        <f t="shared" si="50"/>
        <v>0.31421594615001541</v>
      </c>
      <c r="AT423" s="9">
        <f t="shared" si="51"/>
        <v>6</v>
      </c>
      <c r="AU423" s="9">
        <f t="shared" si="52"/>
        <v>2025</v>
      </c>
      <c r="AV423" s="9" t="b">
        <f t="shared" si="53"/>
        <v>0</v>
      </c>
      <c r="AW423" s="9" t="b">
        <f t="shared" si="54"/>
        <v>0</v>
      </c>
      <c r="AX423" s="9" t="str">
        <f t="shared" si="55"/>
        <v>No</v>
      </c>
      <c r="AY423" s="9" t="str">
        <f t="shared" si="61"/>
        <v>Returned order excluded</v>
      </c>
      <c r="AZ423" s="9" t="str">
        <f>IF(OR(G423="Missing date",G423="Invalid date",G423="Ship date before order date",NOT(ISNUMBER(AP423)),AP423&lt;0,AP423&gt;0.5,AV423=TRUE,AW423=TRUE),"Invalid",IF(OR(O423="Unknown",Z423="Unknown",AC423="",AH423&lt;&gt;"Paid",AJ423&lt;&gt;"Completed",AO423&lt;&gt;""),"Warning","Clean"))</f>
        <v>Warning</v>
      </c>
    </row>
    <row r="424" spans="1:52" ht="15.75" customHeight="1">
      <c r="A424" s="6" t="s">
        <v>2170</v>
      </c>
      <c r="B424" s="7" t="s">
        <v>2171</v>
      </c>
      <c r="C424" s="7" t="str">
        <f t="shared" si="60"/>
        <v>2025-09</v>
      </c>
      <c r="D424" s="7" cm="1">
        <f t="array" ref="D424">_xlfn.LET(_xlpm.x,B424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45903</v>
      </c>
      <c r="E424" s="7" t="s">
        <v>2172</v>
      </c>
      <c r="F424" s="7" cm="1">
        <f t="array" ref="F424">_xlfn.LET(_xlpm.x,E424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45906</v>
      </c>
      <c r="G424" s="8" t="str">
        <f t="shared" si="32"/>
        <v>OK</v>
      </c>
      <c r="H424" s="6">
        <f t="shared" si="33"/>
        <v>3</v>
      </c>
      <c r="I424" s="6" t="s">
        <v>2173</v>
      </c>
      <c r="J424" s="6" t="s">
        <v>442</v>
      </c>
      <c r="K424" s="6" t="str">
        <f t="shared" si="34"/>
        <v>Kabir Singh</v>
      </c>
      <c r="L424" s="6" t="s">
        <v>43</v>
      </c>
      <c r="M424" s="8" t="str">
        <f t="shared" si="35"/>
        <v>Consumer</v>
      </c>
      <c r="N424" s="6" t="s">
        <v>9</v>
      </c>
      <c r="O424" s="6" t="str">
        <f t="shared" si="36"/>
        <v>West</v>
      </c>
      <c r="P424" s="6" t="s">
        <v>170</v>
      </c>
      <c r="Q424" s="6" t="str">
        <f t="shared" si="37"/>
        <v>Madhya Pradesh</v>
      </c>
      <c r="R424" s="6" t="s">
        <v>171</v>
      </c>
      <c r="S424" s="6" t="str">
        <f t="shared" si="38"/>
        <v>Indore</v>
      </c>
      <c r="T424" s="6" t="s">
        <v>27</v>
      </c>
      <c r="U424" s="8" t="str">
        <f t="shared" si="39"/>
        <v>Technology</v>
      </c>
      <c r="V424" s="6" t="s">
        <v>29</v>
      </c>
      <c r="W424" s="6" t="str">
        <f t="shared" si="40"/>
        <v>Copiers</v>
      </c>
      <c r="X424" s="6" t="s">
        <v>2174</v>
      </c>
      <c r="Y424" s="6" t="s">
        <v>37</v>
      </c>
      <c r="Z424" s="6" t="str">
        <f t="shared" si="41"/>
        <v>Same Day</v>
      </c>
      <c r="AA424" s="6">
        <v>7</v>
      </c>
      <c r="AB424" s="6">
        <v>688.85</v>
      </c>
      <c r="AC424" s="6">
        <v>0.15</v>
      </c>
      <c r="AD424" s="6">
        <v>4098.66</v>
      </c>
      <c r="AE424" s="6">
        <v>2678.06</v>
      </c>
      <c r="AF424" s="6">
        <v>1420.6</v>
      </c>
      <c r="AG424" s="6" t="s">
        <v>52</v>
      </c>
      <c r="AH424" s="6" t="str">
        <f t="shared" si="42"/>
        <v>Paid</v>
      </c>
      <c r="AI424" s="6" t="s">
        <v>134</v>
      </c>
      <c r="AJ424" s="6" t="str">
        <f t="shared" si="43"/>
        <v>Completed</v>
      </c>
      <c r="AK424" s="9" t="str">
        <f>_xlfn.TEXTJOIN("|",FALSE,A424,TEXT(B424,"mm-dd-yyyy"),TEXT(E424,"mm-dd-yyyy"),I424,J424,L424,N424,P424,R424,T424,V424,X424,Y424,AA424,AB424,AC424,AD424,AE424,AF424,AG424,AI424)</f>
        <v>ORD-2025-10423|09-03-2025|09-06-2025|CUST-6077|Kabir Singh|Consumer|West|Madhya Pradesh|Indore|Technology|Copiers|Elite Copiers 474|Same Day|7|688.85|0.15|4098.66|2678.06|1420.6|Paid|Completed</v>
      </c>
      <c r="AL424" s="27" t="str">
        <f>IF(COUNTIF($AK$2:AK424,AK424)&gt;1,"Remove exact duplicate copy","Keep")</f>
        <v>Keep</v>
      </c>
      <c r="AM424" s="9">
        <f t="shared" si="44"/>
        <v>1</v>
      </c>
      <c r="AN424" s="9" t="str">
        <f t="shared" si="45"/>
        <v>Unique</v>
      </c>
      <c r="AO424" s="9" t="str">
        <f t="shared" si="46"/>
        <v/>
      </c>
      <c r="AP424" s="9">
        <f t="shared" si="47"/>
        <v>0.15</v>
      </c>
      <c r="AQ424" s="10">
        <f t="shared" si="48"/>
        <v>4098.6574999999993</v>
      </c>
      <c r="AR424" s="10">
        <f t="shared" si="49"/>
        <v>1420.5974999999994</v>
      </c>
      <c r="AS424" s="11">
        <f t="shared" si="50"/>
        <v>0.34660068571233377</v>
      </c>
      <c r="AT424" s="9">
        <f t="shared" si="51"/>
        <v>9</v>
      </c>
      <c r="AU424" s="9">
        <f t="shared" si="52"/>
        <v>2025</v>
      </c>
      <c r="AV424" s="9" t="b">
        <f t="shared" si="53"/>
        <v>0</v>
      </c>
      <c r="AW424" s="9" t="b">
        <f t="shared" si="54"/>
        <v>0</v>
      </c>
      <c r="AX424" s="9" t="str">
        <f t="shared" si="55"/>
        <v>Yes</v>
      </c>
      <c r="AY424" s="9" t="str">
        <f t="shared" si="61"/>
        <v/>
      </c>
      <c r="AZ424" s="9" t="str">
        <f>IF(OR(G424="Missing date",G424="Invalid date",G424="Ship date before order date",NOT(ISNUMBER(AP424)),AP424&lt;0,AP424&gt;0.5,AV424=TRUE,AW424=TRUE),"Invalid",IF(OR(O424="Unknown",Z424="Unknown",AC424="",AH424&lt;&gt;"Paid",AJ424&lt;&gt;"Completed",AO424&lt;&gt;""),"Warning","Clean"))</f>
        <v>Clean</v>
      </c>
    </row>
    <row r="425" spans="1:52" ht="15.75" customHeight="1">
      <c r="A425" s="6" t="s">
        <v>2175</v>
      </c>
      <c r="B425" s="7" t="s">
        <v>2176</v>
      </c>
      <c r="C425" s="7" t="str">
        <f t="shared" si="60"/>
        <v>2024-02</v>
      </c>
      <c r="D425" s="7" cm="1">
        <f t="array" ref="D425">_xlfn.LET(_xlpm.x,B425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45342</v>
      </c>
      <c r="E425" s="7" t="s">
        <v>2177</v>
      </c>
      <c r="F425" s="7" cm="1">
        <f t="array" ref="F425">_xlfn.LET(_xlpm.x,E425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45349</v>
      </c>
      <c r="G425" s="8" t="str">
        <f t="shared" si="32"/>
        <v>OK</v>
      </c>
      <c r="H425" s="6">
        <f t="shared" si="33"/>
        <v>7</v>
      </c>
      <c r="I425" s="6" t="s">
        <v>2178</v>
      </c>
      <c r="J425" s="6" t="s">
        <v>284</v>
      </c>
      <c r="K425" s="6" t="str">
        <f t="shared" si="34"/>
        <v>Diya Patel</v>
      </c>
      <c r="L425" s="6" t="s">
        <v>43</v>
      </c>
      <c r="M425" s="8" t="str">
        <f t="shared" si="35"/>
        <v>Consumer</v>
      </c>
      <c r="N425" s="6" t="s">
        <v>10</v>
      </c>
      <c r="O425" s="6" t="str">
        <f t="shared" si="36"/>
        <v>South</v>
      </c>
      <c r="P425" s="6" t="s">
        <v>316</v>
      </c>
      <c r="Q425" s="6" t="str">
        <f t="shared" si="37"/>
        <v>Kerala</v>
      </c>
      <c r="R425" s="6" t="s">
        <v>317</v>
      </c>
      <c r="S425" s="6" t="str">
        <f t="shared" si="38"/>
        <v>Kochi</v>
      </c>
      <c r="T425" s="6" t="s">
        <v>27</v>
      </c>
      <c r="U425" s="8" t="str">
        <f t="shared" si="39"/>
        <v>Technology</v>
      </c>
      <c r="V425" s="6" t="s">
        <v>28</v>
      </c>
      <c r="W425" s="6" t="str">
        <f t="shared" si="40"/>
        <v>Accessories</v>
      </c>
      <c r="X425" s="6" t="s">
        <v>2179</v>
      </c>
      <c r="Y425" s="6" t="s">
        <v>2180</v>
      </c>
      <c r="Z425" s="6" t="str">
        <f t="shared" si="41"/>
        <v>First Class</v>
      </c>
      <c r="AA425" s="6">
        <v>9</v>
      </c>
      <c r="AB425" s="6">
        <v>3779.31</v>
      </c>
      <c r="AC425" s="6">
        <v>0.2</v>
      </c>
      <c r="AD425" s="6">
        <v>27211.03</v>
      </c>
      <c r="AE425" s="6">
        <v>17940.43</v>
      </c>
      <c r="AF425" s="6">
        <v>9270.6</v>
      </c>
      <c r="AG425" s="6" t="s">
        <v>52</v>
      </c>
      <c r="AH425" s="6" t="str">
        <f t="shared" si="42"/>
        <v>Paid</v>
      </c>
      <c r="AI425" s="6" t="s">
        <v>134</v>
      </c>
      <c r="AJ425" s="6" t="str">
        <f t="shared" si="43"/>
        <v>Completed</v>
      </c>
      <c r="AK425" s="9" t="str">
        <f>_xlfn.TEXTJOIN("|",FALSE,A425,TEXT(B425,"mm-dd-yyyy"),TEXT(E425,"mm-dd-yyyy"),I425,J425,L425,N425,P425,R425,T425,V425,X425,Y425,AA425,AB425,AC425,AD425,AE425,AF425,AG425,AI425)</f>
        <v>ORD-2024-10424|02-20-2024|27-02-2024|CUST-6169|Diya Patel|Consumer|South|Kerala|Kochi|Technology|Accessories|Prime Accessories 236|FIRST CLASS|9|3779.31|0.2|27211.03|17940.43|9270.6|Paid|Completed</v>
      </c>
      <c r="AL425" s="27" t="str">
        <f>IF(COUNTIF($AK$2:AK425,AK425)&gt;1,"Remove exact duplicate copy","Keep")</f>
        <v>Keep</v>
      </c>
      <c r="AM425" s="9">
        <f t="shared" si="44"/>
        <v>2</v>
      </c>
      <c r="AN425" s="9" t="str">
        <f t="shared" si="45"/>
        <v>Duplicate order_id</v>
      </c>
      <c r="AO425" s="9" t="str">
        <f t="shared" si="46"/>
        <v>Review conflicting duplicate</v>
      </c>
      <c r="AP425" s="9">
        <f t="shared" si="47"/>
        <v>0.2</v>
      </c>
      <c r="AQ425" s="10">
        <f t="shared" si="48"/>
        <v>27211.032000000003</v>
      </c>
      <c r="AR425" s="10">
        <f t="shared" si="49"/>
        <v>9270.6020000000026</v>
      </c>
      <c r="AS425" s="11">
        <f t="shared" si="50"/>
        <v>0.34069277490100347</v>
      </c>
      <c r="AT425" s="9">
        <f t="shared" si="51"/>
        <v>2</v>
      </c>
      <c r="AU425" s="9">
        <f t="shared" si="52"/>
        <v>2024</v>
      </c>
      <c r="AV425" s="9" t="b">
        <f t="shared" si="53"/>
        <v>0</v>
      </c>
      <c r="AW425" s="9" t="b">
        <f t="shared" si="54"/>
        <v>0</v>
      </c>
      <c r="AX425" s="9" t="str">
        <f t="shared" si="55"/>
        <v>No</v>
      </c>
      <c r="AY425" s="9" t="str">
        <f t="shared" si="61"/>
        <v>Duplicate order ID conflict</v>
      </c>
      <c r="AZ425" s="9" t="str">
        <f>IF(OR(G425="Missing date",G425="Invalid date",G425="Ship date before order date",NOT(ISNUMBER(AP425)),AP425&lt;0,AP425&gt;0.5,AV425=TRUE,AW425=TRUE),"Invalid",IF(OR(O425="Unknown",Z425="Unknown",AC425="",AH425&lt;&gt;"Paid",AJ425&lt;&gt;"Completed",AO425&lt;&gt;""),"Warning","Clean"))</f>
        <v>Warning</v>
      </c>
    </row>
    <row r="426" spans="1:52" ht="15.75" customHeight="1">
      <c r="A426" s="6" t="s">
        <v>2181</v>
      </c>
      <c r="B426" s="7" t="s">
        <v>2182</v>
      </c>
      <c r="C426" s="7" t="str">
        <f t="shared" si="60"/>
        <v>2024-06</v>
      </c>
      <c r="D426" s="7" cm="1">
        <f t="array" ref="D426">_xlfn.LET(_xlpm.x,B426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45469</v>
      </c>
      <c r="E426" s="7" t="s">
        <v>2183</v>
      </c>
      <c r="F426" s="7" cm="1">
        <f t="array" ref="F426">_xlfn.LET(_xlpm.x,E426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45472</v>
      </c>
      <c r="G426" s="8" t="str">
        <f t="shared" si="32"/>
        <v>OK</v>
      </c>
      <c r="H426" s="6">
        <f t="shared" si="33"/>
        <v>3</v>
      </c>
      <c r="I426" s="6" t="s">
        <v>2184</v>
      </c>
      <c r="J426" s="6" t="s">
        <v>177</v>
      </c>
      <c r="K426" s="6" t="str">
        <f t="shared" si="34"/>
        <v>Neha Gupta</v>
      </c>
      <c r="L426" s="6" t="s">
        <v>45</v>
      </c>
      <c r="M426" s="8" t="str">
        <f t="shared" si="35"/>
        <v>Corporate</v>
      </c>
      <c r="N426" s="6" t="s">
        <v>7</v>
      </c>
      <c r="O426" s="6" t="str">
        <f t="shared" si="36"/>
        <v>North</v>
      </c>
      <c r="P426" s="6" t="s">
        <v>232</v>
      </c>
      <c r="Q426" s="6" t="str">
        <f t="shared" si="37"/>
        <v>Punjab</v>
      </c>
      <c r="R426" s="6" t="s">
        <v>233</v>
      </c>
      <c r="S426" s="6" t="str">
        <f t="shared" si="38"/>
        <v>Ludhiana</v>
      </c>
      <c r="T426" s="6" t="s">
        <v>27</v>
      </c>
      <c r="U426" s="8" t="str">
        <f t="shared" si="39"/>
        <v>Technology</v>
      </c>
      <c r="V426" s="6" t="s">
        <v>31</v>
      </c>
      <c r="W426" s="6" t="str">
        <f t="shared" si="40"/>
        <v>Phones</v>
      </c>
      <c r="X426" s="6" t="s">
        <v>2185</v>
      </c>
      <c r="Y426" s="6" t="s">
        <v>34</v>
      </c>
      <c r="Z426" s="6" t="str">
        <f t="shared" si="41"/>
        <v>Standard Class</v>
      </c>
      <c r="AA426" s="6">
        <v>8</v>
      </c>
      <c r="AB426" s="6">
        <v>804.52</v>
      </c>
      <c r="AC426" s="6">
        <v>0</v>
      </c>
      <c r="AD426" s="6">
        <v>6436.16</v>
      </c>
      <c r="AE426" s="6">
        <v>4263.83</v>
      </c>
      <c r="AF426" s="6">
        <v>2172.33</v>
      </c>
      <c r="AG426" s="6" t="s">
        <v>52</v>
      </c>
      <c r="AH426" s="6" t="str">
        <f t="shared" si="42"/>
        <v>Paid</v>
      </c>
      <c r="AI426" s="6" t="s">
        <v>134</v>
      </c>
      <c r="AJ426" s="6" t="str">
        <f t="shared" si="43"/>
        <v>Completed</v>
      </c>
      <c r="AK426" s="9" t="str">
        <f>_xlfn.TEXTJOIN("|",FALSE,A426,TEXT(B426,"mm-dd-yyyy"),TEXT(E426,"mm-dd-yyyy"),I426,J426,L426,N426,P426,R426,T426,V426,X426,Y426,AA426,AB426,AC426,AD426,AE426,AF426,AG426,AI426)</f>
        <v>ORD-2024-10425|06-26-2024|06-29-2024|CUST-8904|Neha Gupta|Corporate|North|Punjab|Ludhiana|Technology|Phones|Prime Phones 881|Standard Class|8|804.52|0|6436.16|4263.83|2172.33|Paid|Completed</v>
      </c>
      <c r="AL426" s="27" t="str">
        <f>IF(COUNTIF($AK$2:AK426,AK426)&gt;1,"Remove exact duplicate copy","Keep")</f>
        <v>Keep</v>
      </c>
      <c r="AM426" s="9">
        <f t="shared" si="44"/>
        <v>1</v>
      </c>
      <c r="AN426" s="9" t="str">
        <f t="shared" si="45"/>
        <v>Unique</v>
      </c>
      <c r="AO426" s="9" t="str">
        <f t="shared" si="46"/>
        <v/>
      </c>
      <c r="AP426" s="9">
        <f t="shared" si="47"/>
        <v>0</v>
      </c>
      <c r="AQ426" s="10">
        <f t="shared" si="48"/>
        <v>6436.16</v>
      </c>
      <c r="AR426" s="10">
        <f t="shared" si="49"/>
        <v>2172.33</v>
      </c>
      <c r="AS426" s="11">
        <f t="shared" si="50"/>
        <v>0.33751957689056827</v>
      </c>
      <c r="AT426" s="9">
        <f t="shared" si="51"/>
        <v>6</v>
      </c>
      <c r="AU426" s="9">
        <f t="shared" si="52"/>
        <v>2024</v>
      </c>
      <c r="AV426" s="9" t="b">
        <f t="shared" si="53"/>
        <v>0</v>
      </c>
      <c r="AW426" s="9" t="b">
        <f t="shared" si="54"/>
        <v>0</v>
      </c>
      <c r="AX426" s="9" t="str">
        <f t="shared" si="55"/>
        <v>Yes</v>
      </c>
      <c r="AY426" s="9" t="str">
        <f t="shared" si="61"/>
        <v/>
      </c>
      <c r="AZ426" s="9" t="str">
        <f>IF(OR(G426="Missing date",G426="Invalid date",G426="Ship date before order date",NOT(ISNUMBER(AP426)),AP426&lt;0,AP426&gt;0.5,AV426=TRUE,AW426=TRUE),"Invalid",IF(OR(O426="Unknown",Z426="Unknown",AC426="",AH426&lt;&gt;"Paid",AJ426&lt;&gt;"Completed",AO426&lt;&gt;""),"Warning","Clean"))</f>
        <v>Clean</v>
      </c>
    </row>
    <row r="427" spans="1:52" ht="15.75" customHeight="1">
      <c r="A427" s="6" t="s">
        <v>2186</v>
      </c>
      <c r="B427" s="7" t="s">
        <v>2187</v>
      </c>
      <c r="C427" s="7" t="str">
        <f t="shared" si="60"/>
        <v>2024-09</v>
      </c>
      <c r="D427" s="7" cm="1">
        <f t="array" ref="D427">_xlfn.LET(_xlpm.x,B427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45561</v>
      </c>
      <c r="E427" s="7" t="s">
        <v>2188</v>
      </c>
      <c r="F427" s="7" cm="1">
        <f t="array" ref="F427">_xlfn.LET(_xlpm.x,E427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45562</v>
      </c>
      <c r="G427" s="8" t="str">
        <f t="shared" si="32"/>
        <v>OK</v>
      </c>
      <c r="H427" s="6">
        <f t="shared" si="33"/>
        <v>1</v>
      </c>
      <c r="I427" s="6" t="s">
        <v>2189</v>
      </c>
      <c r="J427" s="6" t="s">
        <v>147</v>
      </c>
      <c r="K427" s="6" t="str">
        <f t="shared" si="34"/>
        <v>Isha Nair</v>
      </c>
      <c r="L427" s="6" t="s">
        <v>44</v>
      </c>
      <c r="M427" s="8" t="str">
        <f t="shared" si="35"/>
        <v>Home Office</v>
      </c>
      <c r="N427" s="6" t="s">
        <v>7</v>
      </c>
      <c r="O427" s="6" t="str">
        <f t="shared" si="36"/>
        <v>North</v>
      </c>
      <c r="P427" s="6" t="s">
        <v>583</v>
      </c>
      <c r="Q427" s="6" t="str">
        <f t="shared" si="37"/>
        <v>Delhi</v>
      </c>
      <c r="R427" s="6" t="s">
        <v>584</v>
      </c>
      <c r="S427" s="6" t="str">
        <f t="shared" si="38"/>
        <v>New Delhi</v>
      </c>
      <c r="T427" s="6" t="s">
        <v>20</v>
      </c>
      <c r="U427" s="8" t="str">
        <f t="shared" si="39"/>
        <v>Office Supplies</v>
      </c>
      <c r="V427" s="6" t="s">
        <v>23</v>
      </c>
      <c r="W427" s="6" t="str">
        <f t="shared" si="40"/>
        <v>Labels</v>
      </c>
      <c r="X427" s="6" t="s">
        <v>2190</v>
      </c>
      <c r="Y427" s="6" t="s">
        <v>35</v>
      </c>
      <c r="Z427" s="6" t="str">
        <f t="shared" si="41"/>
        <v>First Class</v>
      </c>
      <c r="AA427" s="6">
        <v>2</v>
      </c>
      <c r="AB427" s="6">
        <v>1065.69</v>
      </c>
      <c r="AC427" s="6">
        <v>0.1</v>
      </c>
      <c r="AD427" s="6">
        <v>1918.24</v>
      </c>
      <c r="AE427" s="6">
        <v>1373.52</v>
      </c>
      <c r="AF427" s="6">
        <v>544.72</v>
      </c>
      <c r="AG427" s="6" t="s">
        <v>56</v>
      </c>
      <c r="AH427" s="6" t="str">
        <f t="shared" si="42"/>
        <v>Refunded</v>
      </c>
      <c r="AI427" s="6" t="s">
        <v>58</v>
      </c>
      <c r="AJ427" s="6" t="str">
        <f t="shared" si="43"/>
        <v>Cancelled</v>
      </c>
      <c r="AK427" s="9" t="str">
        <f>_xlfn.TEXTJOIN("|",FALSE,A427,TEXT(B427,"mm-dd-yyyy"),TEXT(E427,"mm-dd-yyyy"),I427,J427,L427,N427,P427,R427,T427,V427,X427,Y427,AA427,AB427,AC427,AD427,AE427,AF427,AG427,AI427)</f>
        <v>ORD-2024-10426|26-09-2024|09-27-2024|CUST-9586|Isha Nair|Home Office|North|Delhi|New Delhi|Office Supplies|Labels|Pro Labels 903|First Class|2|1065.69|0.1|1918.24|1373.52|544.72|Refunded|Cancelled</v>
      </c>
      <c r="AL427" s="27" t="str">
        <f>IF(COUNTIF($AK$2:AK427,AK427)&gt;1,"Remove exact duplicate copy","Keep")</f>
        <v>Keep</v>
      </c>
      <c r="AM427" s="9">
        <f t="shared" si="44"/>
        <v>1</v>
      </c>
      <c r="AN427" s="9" t="str">
        <f t="shared" si="45"/>
        <v>Unique</v>
      </c>
      <c r="AO427" s="9" t="str">
        <f t="shared" si="46"/>
        <v/>
      </c>
      <c r="AP427" s="9">
        <f t="shared" si="47"/>
        <v>0.1</v>
      </c>
      <c r="AQ427" s="10">
        <f t="shared" si="48"/>
        <v>1918.2420000000002</v>
      </c>
      <c r="AR427" s="10">
        <f t="shared" si="49"/>
        <v>544.72200000000021</v>
      </c>
      <c r="AS427" s="11">
        <f t="shared" si="50"/>
        <v>0.2839693844676533</v>
      </c>
      <c r="AT427" s="9">
        <f t="shared" si="51"/>
        <v>9</v>
      </c>
      <c r="AU427" s="9">
        <f t="shared" si="52"/>
        <v>2024</v>
      </c>
      <c r="AV427" s="9" t="b">
        <f t="shared" si="53"/>
        <v>0</v>
      </c>
      <c r="AW427" s="9" t="b">
        <f t="shared" si="54"/>
        <v>0</v>
      </c>
      <c r="AX427" s="9" t="str">
        <f t="shared" si="55"/>
        <v>No</v>
      </c>
      <c r="AY427" s="9" t="str">
        <f t="shared" si="61"/>
        <v>Refunded order summarized separately; Cancelled order excluded</v>
      </c>
      <c r="AZ427" s="9" t="str">
        <f>IF(OR(G427="Missing date",G427="Invalid date",G427="Ship date before order date",NOT(ISNUMBER(AP427)),AP427&lt;0,AP427&gt;0.5,AV427=TRUE,AW427=TRUE),"Invalid",IF(OR(O427="Unknown",Z427="Unknown",AC427="",AH427&lt;&gt;"Paid",AJ427&lt;&gt;"Completed",AO427&lt;&gt;""),"Warning","Clean"))</f>
        <v>Warning</v>
      </c>
    </row>
    <row r="428" spans="1:52" ht="15.75" customHeight="1">
      <c r="A428" s="6" t="s">
        <v>2191</v>
      </c>
      <c r="B428" s="7" t="s">
        <v>2192</v>
      </c>
      <c r="C428" s="7" t="str">
        <f t="shared" si="60"/>
        <v>2024-06</v>
      </c>
      <c r="D428" s="7" cm="1">
        <f t="array" ref="D428">_xlfn.LET(_xlpm.x,B428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45473</v>
      </c>
      <c r="E428" s="7" t="s">
        <v>2193</v>
      </c>
      <c r="F428" s="7" cm="1">
        <f t="array" ref="F428">_xlfn.LET(_xlpm.x,E428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45474</v>
      </c>
      <c r="G428" s="8" t="str">
        <f t="shared" si="32"/>
        <v>OK</v>
      </c>
      <c r="H428" s="6">
        <f t="shared" si="33"/>
        <v>1</v>
      </c>
      <c r="I428" s="6" t="s">
        <v>2194</v>
      </c>
      <c r="J428" s="6" t="s">
        <v>190</v>
      </c>
      <c r="K428" s="6" t="str">
        <f t="shared" si="34"/>
        <v>Aditi Sen</v>
      </c>
      <c r="L428" s="6" t="s">
        <v>43</v>
      </c>
      <c r="M428" s="8" t="str">
        <f t="shared" si="35"/>
        <v>Consumer</v>
      </c>
      <c r="N428" s="6" t="s">
        <v>7</v>
      </c>
      <c r="O428" s="6" t="str">
        <f t="shared" si="36"/>
        <v>North</v>
      </c>
      <c r="P428" s="6" t="s">
        <v>397</v>
      </c>
      <c r="Q428" s="6" t="str">
        <f t="shared" si="37"/>
        <v>Haryana</v>
      </c>
      <c r="R428" s="6" t="s">
        <v>398</v>
      </c>
      <c r="S428" s="6" t="str">
        <f t="shared" si="38"/>
        <v>Gurugram</v>
      </c>
      <c r="T428" s="6" t="s">
        <v>27</v>
      </c>
      <c r="U428" s="8" t="str">
        <f t="shared" si="39"/>
        <v>Technology</v>
      </c>
      <c r="V428" s="6" t="s">
        <v>29</v>
      </c>
      <c r="W428" s="6" t="str">
        <f t="shared" si="40"/>
        <v>Copiers</v>
      </c>
      <c r="X428" s="6" t="s">
        <v>2195</v>
      </c>
      <c r="Y428" s="6" t="s">
        <v>37</v>
      </c>
      <c r="Z428" s="6" t="str">
        <f t="shared" si="41"/>
        <v>Same Day</v>
      </c>
      <c r="AA428" s="6">
        <v>8</v>
      </c>
      <c r="AB428" s="6">
        <v>3756.66</v>
      </c>
      <c r="AC428" s="6">
        <v>0.1</v>
      </c>
      <c r="AD428" s="6">
        <v>27047.95</v>
      </c>
      <c r="AE428" s="6">
        <v>18431.330000000002</v>
      </c>
      <c r="AF428" s="6">
        <v>8616.6200000000008</v>
      </c>
      <c r="AG428" s="6" t="s">
        <v>52</v>
      </c>
      <c r="AH428" s="6" t="str">
        <f t="shared" si="42"/>
        <v>Paid</v>
      </c>
      <c r="AI428" s="6" t="s">
        <v>134</v>
      </c>
      <c r="AJ428" s="6" t="str">
        <f t="shared" si="43"/>
        <v>Completed</v>
      </c>
      <c r="AK428" s="9" t="str">
        <f>_xlfn.TEXTJOIN("|",FALSE,A428,TEXT(B428,"mm-dd-yyyy"),TEXT(E428,"mm-dd-yyyy"),I428,J428,L428,N428,P428,R428,T428,V428,X428,Y428,AA428,AB428,AC428,AD428,AE428,AF428,AG428,AI428)</f>
        <v>ORD-2024-10427|30-06-2024|01-07-2024|CUST-5431|Aditi Sen|Consumer|North|Haryana|Gurugram|Technology|Copiers|Max Copiers 402|Same Day|8|3756.66|0.1|27047.95|18431.33|8616.62|Paid|Completed</v>
      </c>
      <c r="AL428" s="27" t="str">
        <f>IF(COUNTIF($AK$2:AK428,AK428)&gt;1,"Remove exact duplicate copy","Keep")</f>
        <v>Keep</v>
      </c>
      <c r="AM428" s="9">
        <f t="shared" si="44"/>
        <v>1</v>
      </c>
      <c r="AN428" s="9" t="str">
        <f t="shared" si="45"/>
        <v>Unique</v>
      </c>
      <c r="AO428" s="9" t="str">
        <f t="shared" si="46"/>
        <v/>
      </c>
      <c r="AP428" s="9">
        <f t="shared" si="47"/>
        <v>0.1</v>
      </c>
      <c r="AQ428" s="10">
        <f t="shared" si="48"/>
        <v>27047.952000000001</v>
      </c>
      <c r="AR428" s="10">
        <f t="shared" si="49"/>
        <v>8616.6219999999994</v>
      </c>
      <c r="AS428" s="11">
        <f t="shared" si="50"/>
        <v>0.31856837072174626</v>
      </c>
      <c r="AT428" s="9">
        <f t="shared" si="51"/>
        <v>6</v>
      </c>
      <c r="AU428" s="9">
        <f t="shared" si="52"/>
        <v>2024</v>
      </c>
      <c r="AV428" s="9" t="b">
        <f t="shared" si="53"/>
        <v>0</v>
      </c>
      <c r="AW428" s="9" t="b">
        <f t="shared" si="54"/>
        <v>0</v>
      </c>
      <c r="AX428" s="9" t="str">
        <f t="shared" si="55"/>
        <v>Yes</v>
      </c>
      <c r="AY428" s="9" t="str">
        <f t="shared" si="61"/>
        <v/>
      </c>
      <c r="AZ428" s="9" t="str">
        <f>IF(OR(G428="Missing date",G428="Invalid date",G428="Ship date before order date",NOT(ISNUMBER(AP428)),AP428&lt;0,AP428&gt;0.5,AV428=TRUE,AW428=TRUE),"Invalid",IF(OR(O428="Unknown",Z428="Unknown",AC428="",AH428&lt;&gt;"Paid",AJ428&lt;&gt;"Completed",AO428&lt;&gt;""),"Warning","Clean"))</f>
        <v>Clean</v>
      </c>
    </row>
    <row r="429" spans="1:52" ht="15.75" customHeight="1">
      <c r="A429" s="6" t="s">
        <v>2196</v>
      </c>
      <c r="B429" s="7" t="s">
        <v>2197</v>
      </c>
      <c r="C429" s="7" t="str">
        <f t="shared" si="60"/>
        <v>2025-04</v>
      </c>
      <c r="D429" s="7" cm="1">
        <f t="array" ref="D429">_xlfn.LET(_xlpm.x,B429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45769</v>
      </c>
      <c r="E429" s="7" t="s">
        <v>2198</v>
      </c>
      <c r="F429" s="7" cm="1">
        <f t="array" ref="F429">_xlfn.LET(_xlpm.x,E429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45771</v>
      </c>
      <c r="G429" s="8" t="str">
        <f t="shared" si="32"/>
        <v>OK</v>
      </c>
      <c r="H429" s="6">
        <f t="shared" si="33"/>
        <v>2</v>
      </c>
      <c r="I429" s="6" t="s">
        <v>2199</v>
      </c>
      <c r="J429" s="6" t="s">
        <v>147</v>
      </c>
      <c r="K429" s="6" t="str">
        <f t="shared" si="34"/>
        <v>Isha Nair</v>
      </c>
      <c r="L429" s="6" t="s">
        <v>45</v>
      </c>
      <c r="M429" s="8" t="str">
        <f t="shared" si="35"/>
        <v>Corporate</v>
      </c>
      <c r="N429" s="6"/>
      <c r="O429" s="6" t="str">
        <f t="shared" si="36"/>
        <v>Unknown</v>
      </c>
      <c r="P429" s="6" t="s">
        <v>385</v>
      </c>
      <c r="Q429" s="6" t="str">
        <f t="shared" si="37"/>
        <v>Jharkhand</v>
      </c>
      <c r="R429" s="6" t="s">
        <v>386</v>
      </c>
      <c r="S429" s="6" t="str">
        <f t="shared" si="38"/>
        <v>Ranchi</v>
      </c>
      <c r="T429" s="6" t="s">
        <v>27</v>
      </c>
      <c r="U429" s="8" t="str">
        <f t="shared" si="39"/>
        <v>Technology</v>
      </c>
      <c r="V429" s="6" t="s">
        <v>28</v>
      </c>
      <c r="W429" s="6" t="str">
        <f t="shared" si="40"/>
        <v>Accessories</v>
      </c>
      <c r="X429" s="6" t="s">
        <v>2200</v>
      </c>
      <c r="Y429" s="6" t="s">
        <v>360</v>
      </c>
      <c r="Z429" s="6" t="str">
        <f t="shared" si="41"/>
        <v>Standard Class</v>
      </c>
      <c r="AA429" s="6">
        <v>9</v>
      </c>
      <c r="AB429" s="6">
        <v>2939.44</v>
      </c>
      <c r="AC429" s="6">
        <v>0</v>
      </c>
      <c r="AD429" s="6">
        <v>26454.959999999999</v>
      </c>
      <c r="AE429" s="6">
        <v>17630.25</v>
      </c>
      <c r="AF429" s="6">
        <v>8824.7099999999991</v>
      </c>
      <c r="AG429" s="6" t="s">
        <v>52</v>
      </c>
      <c r="AH429" s="6" t="str">
        <f t="shared" si="42"/>
        <v>Paid</v>
      </c>
      <c r="AI429" s="6" t="s">
        <v>134</v>
      </c>
      <c r="AJ429" s="6" t="str">
        <f t="shared" si="43"/>
        <v>Completed</v>
      </c>
      <c r="AK429" s="9" t="str">
        <f>_xlfn.TEXTJOIN("|",FALSE,A429,TEXT(B429,"mm-dd-yyyy"),TEXT(E429,"mm-dd-yyyy"),I429,J429,L429,N429,P429,R429,T429,V429,X429,Y429,AA429,AB429,AC429,AD429,AE429,AF429,AG429,AI429)</f>
        <v>ORD-2025-10428|04-22-2025|24-04-2025|CUST-8843|Isha Nair|Corporate||Jharkhand|Ranchi|Technology|Accessories|Prime Accessories 419|STANDARD CLASS|9|2939.44|0|26454.96|17630.25|8824.71|Paid|Completed</v>
      </c>
      <c r="AL429" s="27" t="str">
        <f>IF(COUNTIF($AK$2:AK429,AK429)&gt;1,"Remove exact duplicate copy","Keep")</f>
        <v>Keep</v>
      </c>
      <c r="AM429" s="9">
        <f t="shared" si="44"/>
        <v>1</v>
      </c>
      <c r="AN429" s="9" t="str">
        <f t="shared" si="45"/>
        <v>Unique</v>
      </c>
      <c r="AO429" s="9" t="str">
        <f t="shared" si="46"/>
        <v/>
      </c>
      <c r="AP429" s="9">
        <f t="shared" si="47"/>
        <v>0</v>
      </c>
      <c r="AQ429" s="10">
        <f t="shared" si="48"/>
        <v>26454.959999999999</v>
      </c>
      <c r="AR429" s="10">
        <f t="shared" si="49"/>
        <v>8824.7099999999991</v>
      </c>
      <c r="AS429" s="11">
        <f t="shared" si="50"/>
        <v>0.33357487594008833</v>
      </c>
      <c r="AT429" s="9">
        <f t="shared" si="51"/>
        <v>4</v>
      </c>
      <c r="AU429" s="9">
        <f t="shared" si="52"/>
        <v>2025</v>
      </c>
      <c r="AV429" s="9" t="b">
        <f t="shared" si="53"/>
        <v>0</v>
      </c>
      <c r="AW429" s="9" t="b">
        <f t="shared" si="54"/>
        <v>0</v>
      </c>
      <c r="AX429" s="9" t="str">
        <f t="shared" si="55"/>
        <v>Yes</v>
      </c>
      <c r="AY429" s="9" t="str">
        <f t="shared" si="61"/>
        <v>Missing region filled as Unknown</v>
      </c>
      <c r="AZ429" s="9" t="str">
        <f>IF(OR(G429="Missing date",G429="Invalid date",G429="Ship date before order date",NOT(ISNUMBER(AP429)),AP429&lt;0,AP429&gt;0.5,AV429=TRUE,AW429=TRUE),"Invalid",IF(OR(O429="Unknown",Z429="Unknown",AC429="",AH429&lt;&gt;"Paid",AJ429&lt;&gt;"Completed",AO429&lt;&gt;""),"Warning","Clean"))</f>
        <v>Warning</v>
      </c>
    </row>
    <row r="430" spans="1:52" ht="15.75" customHeight="1">
      <c r="A430" s="6" t="s">
        <v>2201</v>
      </c>
      <c r="B430" s="7" t="s">
        <v>2202</v>
      </c>
      <c r="C430" s="7" t="str">
        <f t="shared" si="60"/>
        <v>2025-03</v>
      </c>
      <c r="D430" s="7" cm="1">
        <f t="array" ref="D430">_xlfn.LET(_xlpm.x,B430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45731</v>
      </c>
      <c r="E430" s="7" t="s">
        <v>2203</v>
      </c>
      <c r="F430" s="7" cm="1">
        <f t="array" ref="F430">_xlfn.LET(_xlpm.x,E430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45738</v>
      </c>
      <c r="G430" s="8" t="str">
        <f t="shared" si="32"/>
        <v>OK</v>
      </c>
      <c r="H430" s="6">
        <f t="shared" si="33"/>
        <v>7</v>
      </c>
      <c r="I430" s="6" t="s">
        <v>2204</v>
      </c>
      <c r="J430" s="6" t="s">
        <v>129</v>
      </c>
      <c r="K430" s="6" t="str">
        <f t="shared" si="34"/>
        <v>Karan Malhotra</v>
      </c>
      <c r="L430" s="6" t="s">
        <v>46</v>
      </c>
      <c r="M430" s="8" t="str">
        <f t="shared" si="35"/>
        <v>Small Business</v>
      </c>
      <c r="N430" s="6" t="s">
        <v>8</v>
      </c>
      <c r="O430" s="6" t="str">
        <f t="shared" si="36"/>
        <v>East</v>
      </c>
      <c r="P430" s="6" t="s">
        <v>201</v>
      </c>
      <c r="Q430" s="6" t="str">
        <f t="shared" si="37"/>
        <v>West Bengal</v>
      </c>
      <c r="R430" s="6" t="s">
        <v>202</v>
      </c>
      <c r="S430" s="6" t="str">
        <f t="shared" si="38"/>
        <v>Kolkata</v>
      </c>
      <c r="T430" s="6" t="s">
        <v>27</v>
      </c>
      <c r="U430" s="8" t="str">
        <f t="shared" si="39"/>
        <v>Technology</v>
      </c>
      <c r="V430" s="6" t="s">
        <v>31</v>
      </c>
      <c r="W430" s="6" t="str">
        <f t="shared" si="40"/>
        <v>Phones</v>
      </c>
      <c r="X430" s="6" t="s">
        <v>2205</v>
      </c>
      <c r="Y430" s="6" t="s">
        <v>37</v>
      </c>
      <c r="Z430" s="6" t="str">
        <f t="shared" si="41"/>
        <v>Same Day</v>
      </c>
      <c r="AA430" s="6">
        <v>2</v>
      </c>
      <c r="AB430" s="6">
        <v>1235.93</v>
      </c>
      <c r="AC430" s="6">
        <v>0.25</v>
      </c>
      <c r="AD430" s="6">
        <v>1853.89</v>
      </c>
      <c r="AE430" s="6">
        <v>1101.23</v>
      </c>
      <c r="AF430" s="6">
        <v>752.66</v>
      </c>
      <c r="AG430" s="6" t="s">
        <v>54</v>
      </c>
      <c r="AH430" s="6" t="str">
        <f t="shared" si="42"/>
        <v>Pending</v>
      </c>
      <c r="AI430" s="6" t="s">
        <v>58</v>
      </c>
      <c r="AJ430" s="6" t="str">
        <f t="shared" si="43"/>
        <v>Cancelled</v>
      </c>
      <c r="AK430" s="9" t="str">
        <f>_xlfn.TEXTJOIN("|",FALSE,A430,TEXT(B430,"mm-dd-yyyy"),TEXT(E430,"mm-dd-yyyy"),I430,J430,L430,N430,P430,R430,T430,V430,X430,Y430,AA430,AB430,AC430,AD430,AE430,AF430,AG430,AI430)</f>
        <v>ORD-2025-10429|03-15-2025|03-22-2025|CUST-7626|Karan Malhotra|Small Business|East|West Bengal|Kolkata|Technology|Phones|Elite Phones 488|Same Day|2|1235.93|0.25|1853.89|1101.23|752.66|Pending|Cancelled</v>
      </c>
      <c r="AL430" s="27" t="str">
        <f>IF(COUNTIF($AK$2:AK430,AK430)&gt;1,"Remove exact duplicate copy","Keep")</f>
        <v>Keep</v>
      </c>
      <c r="AM430" s="9">
        <f t="shared" si="44"/>
        <v>1</v>
      </c>
      <c r="AN430" s="9" t="str">
        <f t="shared" si="45"/>
        <v>Unique</v>
      </c>
      <c r="AO430" s="9" t="str">
        <f t="shared" si="46"/>
        <v/>
      </c>
      <c r="AP430" s="9">
        <f t="shared" si="47"/>
        <v>0.25</v>
      </c>
      <c r="AQ430" s="10">
        <f t="shared" si="48"/>
        <v>1853.895</v>
      </c>
      <c r="AR430" s="10">
        <f t="shared" si="49"/>
        <v>752.66499999999996</v>
      </c>
      <c r="AS430" s="11">
        <f t="shared" si="50"/>
        <v>0.40599116994220275</v>
      </c>
      <c r="AT430" s="9">
        <f t="shared" si="51"/>
        <v>3</v>
      </c>
      <c r="AU430" s="9">
        <f t="shared" si="52"/>
        <v>2025</v>
      </c>
      <c r="AV430" s="9" t="b">
        <f t="shared" si="53"/>
        <v>0</v>
      </c>
      <c r="AW430" s="9" t="b">
        <f t="shared" si="54"/>
        <v>0</v>
      </c>
      <c r="AX430" s="9" t="str">
        <f t="shared" si="55"/>
        <v>No</v>
      </c>
      <c r="AY430" s="9" t="str">
        <f t="shared" si="61"/>
        <v>Cancelled order excluded</v>
      </c>
      <c r="AZ430" s="9" t="str">
        <f>IF(OR(G430="Missing date",G430="Invalid date",G430="Ship date before order date",NOT(ISNUMBER(AP430)),AP430&lt;0,AP430&gt;0.5,AV430=TRUE,AW430=TRUE),"Invalid",IF(OR(O430="Unknown",Z430="Unknown",AC430="",AH430&lt;&gt;"Paid",AJ430&lt;&gt;"Completed",AO430&lt;&gt;""),"Warning","Clean"))</f>
        <v>Warning</v>
      </c>
    </row>
    <row r="431" spans="1:52" ht="15.75" customHeight="1">
      <c r="A431" s="6" t="s">
        <v>2206</v>
      </c>
      <c r="B431" s="7" t="s">
        <v>2207</v>
      </c>
      <c r="C431" s="7" t="str">
        <f t="shared" si="60"/>
        <v>2025-03</v>
      </c>
      <c r="D431" s="7" cm="1">
        <f t="array" ref="D431">_xlfn.LET(_xlpm.x,B431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45717</v>
      </c>
      <c r="E431" s="7" t="s">
        <v>2208</v>
      </c>
      <c r="F431" s="7" cm="1">
        <f t="array" ref="F431">_xlfn.LET(_xlpm.x,E431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45724</v>
      </c>
      <c r="G431" s="8" t="str">
        <f t="shared" si="32"/>
        <v>OK</v>
      </c>
      <c r="H431" s="6">
        <f t="shared" si="33"/>
        <v>7</v>
      </c>
      <c r="I431" s="6" t="s">
        <v>2209</v>
      </c>
      <c r="J431" s="6" t="s">
        <v>177</v>
      </c>
      <c r="K431" s="6" t="str">
        <f t="shared" si="34"/>
        <v>Neha Gupta</v>
      </c>
      <c r="L431" s="6" t="s">
        <v>44</v>
      </c>
      <c r="M431" s="8" t="str">
        <f t="shared" si="35"/>
        <v>Home Office</v>
      </c>
      <c r="N431" s="6" t="s">
        <v>7</v>
      </c>
      <c r="O431" s="6" t="str">
        <f t="shared" si="36"/>
        <v>North</v>
      </c>
      <c r="P431" s="6" t="s">
        <v>131</v>
      </c>
      <c r="Q431" s="6" t="str">
        <f t="shared" si="37"/>
        <v>Rajasthan</v>
      </c>
      <c r="R431" s="6" t="s">
        <v>132</v>
      </c>
      <c r="S431" s="6" t="str">
        <f t="shared" si="38"/>
        <v>Jaipur</v>
      </c>
      <c r="T431" s="6" t="s">
        <v>27</v>
      </c>
      <c r="U431" s="8" t="str">
        <f t="shared" si="39"/>
        <v>Technology</v>
      </c>
      <c r="V431" s="6" t="s">
        <v>29</v>
      </c>
      <c r="W431" s="6" t="str">
        <f t="shared" si="40"/>
        <v>Copiers</v>
      </c>
      <c r="X431" s="6" t="s">
        <v>2210</v>
      </c>
      <c r="Y431" s="6" t="s">
        <v>37</v>
      </c>
      <c r="Z431" s="6" t="str">
        <f t="shared" si="41"/>
        <v>Same Day</v>
      </c>
      <c r="AA431" s="6">
        <v>8</v>
      </c>
      <c r="AB431" s="6">
        <v>2943.1</v>
      </c>
      <c r="AC431" s="6">
        <v>0.25</v>
      </c>
      <c r="AD431" s="6">
        <v>17658.599999999999</v>
      </c>
      <c r="AE431" s="6">
        <v>13842.48</v>
      </c>
      <c r="AF431" s="6">
        <v>3816.12</v>
      </c>
      <c r="AG431" s="6" t="s">
        <v>52</v>
      </c>
      <c r="AH431" s="6" t="str">
        <f t="shared" si="42"/>
        <v>Paid</v>
      </c>
      <c r="AI431" s="6" t="s">
        <v>134</v>
      </c>
      <c r="AJ431" s="6" t="str">
        <f t="shared" si="43"/>
        <v>Completed</v>
      </c>
      <c r="AK431" s="9" t="str">
        <f>_xlfn.TEXTJOIN("|",FALSE,A431,TEXT(B431,"mm-dd-yyyy"),TEXT(E431,"mm-dd-yyyy"),I431,J431,L431,N431,P431,R431,T431,V431,X431,Y431,AA431,AB431,AC431,AD431,AE431,AF431,AG431,AI431)</f>
        <v>ORD-2025-10430|03-01-2025|08-03-2025|CUST-8562|Neha Gupta|Home Office|North|Rajasthan|Jaipur|Technology|Copiers|Prime Copiers 109|Same Day|8|2943.1|0.25|17658.6|13842.48|3816.12|Paid|Completed</v>
      </c>
      <c r="AL431" s="27" t="str">
        <f>IF(COUNTIF($AK$2:AK431,AK431)&gt;1,"Remove exact duplicate copy","Keep")</f>
        <v>Keep</v>
      </c>
      <c r="AM431" s="9">
        <f t="shared" si="44"/>
        <v>1</v>
      </c>
      <c r="AN431" s="9" t="str">
        <f t="shared" si="45"/>
        <v>Unique</v>
      </c>
      <c r="AO431" s="9" t="str">
        <f t="shared" si="46"/>
        <v/>
      </c>
      <c r="AP431" s="9">
        <f t="shared" si="47"/>
        <v>0.25</v>
      </c>
      <c r="AQ431" s="10">
        <f t="shared" si="48"/>
        <v>17658.599999999999</v>
      </c>
      <c r="AR431" s="10">
        <f t="shared" si="49"/>
        <v>3816.119999999999</v>
      </c>
      <c r="AS431" s="11">
        <f t="shared" si="50"/>
        <v>0.2161054670245659</v>
      </c>
      <c r="AT431" s="9">
        <f t="shared" si="51"/>
        <v>3</v>
      </c>
      <c r="AU431" s="9">
        <f t="shared" si="52"/>
        <v>2025</v>
      </c>
      <c r="AV431" s="9" t="b">
        <f t="shared" si="53"/>
        <v>0</v>
      </c>
      <c r="AW431" s="9" t="b">
        <f t="shared" si="54"/>
        <v>0</v>
      </c>
      <c r="AX431" s="9" t="str">
        <f t="shared" si="55"/>
        <v>Yes</v>
      </c>
      <c r="AY431" s="9" t="str">
        <f t="shared" si="61"/>
        <v/>
      </c>
      <c r="AZ431" s="9" t="str">
        <f>IF(OR(G431="Missing date",G431="Invalid date",G431="Ship date before order date",NOT(ISNUMBER(AP431)),AP431&lt;0,AP431&gt;0.5,AV431=TRUE,AW431=TRUE),"Invalid",IF(OR(O431="Unknown",Z431="Unknown",AC431="",AH431&lt;&gt;"Paid",AJ431&lt;&gt;"Completed",AO431&lt;&gt;""),"Warning","Clean"))</f>
        <v>Clean</v>
      </c>
    </row>
    <row r="432" spans="1:52" ht="15.75" customHeight="1">
      <c r="A432" s="6" t="s">
        <v>2211</v>
      </c>
      <c r="B432" s="7" t="s">
        <v>2212</v>
      </c>
      <c r="C432" s="7" t="str">
        <f t="shared" si="60"/>
        <v>2024-08</v>
      </c>
      <c r="D432" s="7" cm="1">
        <f t="array" ref="D432">_xlfn.LET(_xlpm.x,B432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45534</v>
      </c>
      <c r="E432" s="7" t="s">
        <v>2213</v>
      </c>
      <c r="F432" s="7" cm="1">
        <f t="array" ref="F432">_xlfn.LET(_xlpm.x,E432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45537</v>
      </c>
      <c r="G432" s="8" t="str">
        <f t="shared" si="32"/>
        <v>OK</v>
      </c>
      <c r="H432" s="6">
        <f t="shared" si="33"/>
        <v>3</v>
      </c>
      <c r="I432" s="6" t="s">
        <v>2214</v>
      </c>
      <c r="J432" s="6" t="s">
        <v>177</v>
      </c>
      <c r="K432" s="6" t="str">
        <f t="shared" si="34"/>
        <v>Neha Gupta</v>
      </c>
      <c r="L432" s="6" t="s">
        <v>46</v>
      </c>
      <c r="M432" s="8" t="str">
        <f t="shared" si="35"/>
        <v>Small Business</v>
      </c>
      <c r="N432" s="6" t="s">
        <v>7</v>
      </c>
      <c r="O432" s="6" t="str">
        <f t="shared" si="36"/>
        <v>North</v>
      </c>
      <c r="P432" s="6" t="s">
        <v>397</v>
      </c>
      <c r="Q432" s="6" t="str">
        <f t="shared" si="37"/>
        <v>Haryana</v>
      </c>
      <c r="R432" s="6" t="s">
        <v>398</v>
      </c>
      <c r="S432" s="6" t="str">
        <f t="shared" si="38"/>
        <v>Gurugram</v>
      </c>
      <c r="T432" s="6" t="s">
        <v>2215</v>
      </c>
      <c r="U432" s="8" t="str">
        <f t="shared" si="39"/>
        <v>Office Supplies</v>
      </c>
      <c r="V432" s="6" t="s">
        <v>24</v>
      </c>
      <c r="W432" s="6" t="str">
        <f t="shared" si="40"/>
        <v>Paper</v>
      </c>
      <c r="X432" s="6" t="s">
        <v>2216</v>
      </c>
      <c r="Y432" s="6" t="s">
        <v>36</v>
      </c>
      <c r="Z432" s="6" t="str">
        <f t="shared" si="41"/>
        <v>Second Class</v>
      </c>
      <c r="AA432" s="6">
        <v>1</v>
      </c>
      <c r="AB432" s="6">
        <v>4320.84</v>
      </c>
      <c r="AC432" s="6">
        <v>0.15</v>
      </c>
      <c r="AD432" s="6">
        <v>3672.71</v>
      </c>
      <c r="AE432" s="6">
        <v>2714.23</v>
      </c>
      <c r="AF432" s="6">
        <v>763.38</v>
      </c>
      <c r="AG432" s="6" t="s">
        <v>52</v>
      </c>
      <c r="AH432" s="6" t="str">
        <f t="shared" si="42"/>
        <v>Paid</v>
      </c>
      <c r="AI432" s="6" t="s">
        <v>134</v>
      </c>
      <c r="AJ432" s="6" t="str">
        <f t="shared" si="43"/>
        <v>Completed</v>
      </c>
      <c r="AK432" s="9" t="str">
        <f>_xlfn.TEXTJOIN("|",FALSE,A432,TEXT(B432,"mm-dd-yyyy"),TEXT(E432,"mm-dd-yyyy"),I432,J432,L432,N432,P432,R432,T432,V432,X432,Y432,AA432,AB432,AC432,AD432,AE432,AF432,AG432,AI432)</f>
        <v>ORD-2024-10431|08-30-2024|02-09-2024|CUST-2732|Neha Gupta|Small Business|North|Haryana|Gurugram|Office Supplies |Paper|Max Paper 576|Second Class|1|4320.84|0.15|3672.71|2714.23|763.38|Paid|Completed</v>
      </c>
      <c r="AL432" s="27" t="str">
        <f>IF(COUNTIF($AK$2:AK432,AK432)&gt;1,"Remove exact duplicate copy","Keep")</f>
        <v>Keep</v>
      </c>
      <c r="AM432" s="9">
        <f t="shared" si="44"/>
        <v>1</v>
      </c>
      <c r="AN432" s="9" t="str">
        <f t="shared" si="45"/>
        <v>Unique</v>
      </c>
      <c r="AO432" s="9" t="str">
        <f t="shared" si="46"/>
        <v/>
      </c>
      <c r="AP432" s="9">
        <f t="shared" si="47"/>
        <v>0.15</v>
      </c>
      <c r="AQ432" s="10">
        <f t="shared" si="48"/>
        <v>3672.7139999999999</v>
      </c>
      <c r="AR432" s="10">
        <f t="shared" si="49"/>
        <v>958.48399999999992</v>
      </c>
      <c r="AS432" s="11">
        <f t="shared" si="50"/>
        <v>0.26097430946161337</v>
      </c>
      <c r="AT432" s="9">
        <f t="shared" si="51"/>
        <v>8</v>
      </c>
      <c r="AU432" s="9">
        <f t="shared" si="52"/>
        <v>2024</v>
      </c>
      <c r="AV432" s="9" t="b">
        <f t="shared" si="53"/>
        <v>0</v>
      </c>
      <c r="AW432" s="9" t="b">
        <f t="shared" si="54"/>
        <v>1</v>
      </c>
      <c r="AX432" s="9" t="str">
        <f t="shared" si="55"/>
        <v>No</v>
      </c>
      <c r="AY432" s="9" t="str">
        <f t="shared" si="61"/>
        <v>Profit mismatch</v>
      </c>
      <c r="AZ432" s="9" t="str">
        <f>IF(OR(G432="Missing date",G432="Invalid date",G432="Ship date before order date",NOT(ISNUMBER(AP432)),AP432&lt;0,AP432&gt;0.5,AV432=TRUE,AW432=TRUE),"Invalid",IF(OR(O432="Unknown",Z432="Unknown",AC432="",AH432&lt;&gt;"Paid",AJ432&lt;&gt;"Completed",AO432&lt;&gt;""),"Warning","Clean"))</f>
        <v>Invalid</v>
      </c>
    </row>
    <row r="433" spans="1:52" ht="15.75" customHeight="1">
      <c r="A433" s="6" t="s">
        <v>2217</v>
      </c>
      <c r="B433" s="7" t="s">
        <v>2218</v>
      </c>
      <c r="C433" s="7" t="str">
        <f t="shared" si="60"/>
        <v>2024-02</v>
      </c>
      <c r="D433" s="7" cm="1">
        <f t="array" ref="D433">_xlfn.LET(_xlpm.x,B433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45332</v>
      </c>
      <c r="E433" s="7" t="s">
        <v>2219</v>
      </c>
      <c r="F433" s="7" cm="1">
        <f t="array" ref="F433">_xlfn.LET(_xlpm.x,E433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45335</v>
      </c>
      <c r="G433" s="8" t="str">
        <f t="shared" si="32"/>
        <v>OK</v>
      </c>
      <c r="H433" s="6">
        <f t="shared" si="33"/>
        <v>3</v>
      </c>
      <c r="I433" s="6" t="s">
        <v>2220</v>
      </c>
      <c r="J433" s="6" t="s">
        <v>129</v>
      </c>
      <c r="K433" s="6" t="str">
        <f t="shared" si="34"/>
        <v>Karan Malhotra</v>
      </c>
      <c r="L433" s="6" t="s">
        <v>44</v>
      </c>
      <c r="M433" s="8" t="str">
        <f t="shared" si="35"/>
        <v>Home Office</v>
      </c>
      <c r="N433" s="6" t="s">
        <v>9</v>
      </c>
      <c r="O433" s="6" t="str">
        <f t="shared" si="36"/>
        <v>West</v>
      </c>
      <c r="P433" s="6" t="s">
        <v>323</v>
      </c>
      <c r="Q433" s="6" t="str">
        <f t="shared" si="37"/>
        <v>Goa</v>
      </c>
      <c r="R433" s="6" t="s">
        <v>324</v>
      </c>
      <c r="S433" s="6" t="str">
        <f t="shared" si="38"/>
        <v>Panaji</v>
      </c>
      <c r="T433" s="6" t="s">
        <v>27</v>
      </c>
      <c r="U433" s="8" t="str">
        <f t="shared" si="39"/>
        <v>Technology</v>
      </c>
      <c r="V433" s="6" t="s">
        <v>30</v>
      </c>
      <c r="W433" s="6" t="str">
        <f t="shared" si="40"/>
        <v>Machines</v>
      </c>
      <c r="X433" s="6" t="s">
        <v>2221</v>
      </c>
      <c r="Y433" s="6" t="s">
        <v>37</v>
      </c>
      <c r="Z433" s="6" t="str">
        <f t="shared" si="41"/>
        <v>Same Day</v>
      </c>
      <c r="AA433" s="6">
        <v>2</v>
      </c>
      <c r="AB433" s="6">
        <v>4118.45</v>
      </c>
      <c r="AC433" s="6">
        <v>0.25</v>
      </c>
      <c r="AD433" s="6">
        <v>6177.67</v>
      </c>
      <c r="AE433" s="6">
        <v>4520.75</v>
      </c>
      <c r="AF433" s="6">
        <v>1656.92</v>
      </c>
      <c r="AG433" s="6" t="s">
        <v>52</v>
      </c>
      <c r="AH433" s="6" t="str">
        <f t="shared" si="42"/>
        <v>Paid</v>
      </c>
      <c r="AI433" s="6" t="s">
        <v>134</v>
      </c>
      <c r="AJ433" s="6" t="str">
        <f t="shared" si="43"/>
        <v>Completed</v>
      </c>
      <c r="AK433" s="9" t="str">
        <f>_xlfn.TEXTJOIN("|",FALSE,A433,TEXT(B433,"mm-dd-yyyy"),TEXT(E433,"mm-dd-yyyy"),I433,J433,L433,N433,P433,R433,T433,V433,X433,Y433,AA433,AB433,AC433,AD433,AE433,AF433,AG433,AI433)</f>
        <v>ORD-2024-10432|02-10-2024|02-13-2024|CUST-3989|Karan Malhotra|Home Office|West|Goa|Panaji|Technology|Machines|Max Machines 412|Same Day|2|4118.45|0.25|6177.67|4520.75|1656.92|Paid|Completed</v>
      </c>
      <c r="AL433" s="27" t="str">
        <f>IF(COUNTIF($AK$2:AK433,AK433)&gt;1,"Remove exact duplicate copy","Keep")</f>
        <v>Keep</v>
      </c>
      <c r="AM433" s="9">
        <f t="shared" si="44"/>
        <v>1</v>
      </c>
      <c r="AN433" s="9" t="str">
        <f t="shared" si="45"/>
        <v>Unique</v>
      </c>
      <c r="AO433" s="9" t="str">
        <f t="shared" si="46"/>
        <v/>
      </c>
      <c r="AP433" s="9">
        <f t="shared" si="47"/>
        <v>0.25</v>
      </c>
      <c r="AQ433" s="10">
        <f t="shared" si="48"/>
        <v>6177.6749999999993</v>
      </c>
      <c r="AR433" s="10">
        <f t="shared" si="49"/>
        <v>1656.9249999999993</v>
      </c>
      <c r="AS433" s="11">
        <f t="shared" si="50"/>
        <v>0.26821174632851347</v>
      </c>
      <c r="AT433" s="9">
        <f t="shared" si="51"/>
        <v>2</v>
      </c>
      <c r="AU433" s="9">
        <f t="shared" si="52"/>
        <v>2024</v>
      </c>
      <c r="AV433" s="9" t="b">
        <f t="shared" si="53"/>
        <v>0</v>
      </c>
      <c r="AW433" s="9" t="b">
        <f t="shared" si="54"/>
        <v>0</v>
      </c>
      <c r="AX433" s="9" t="str">
        <f t="shared" si="55"/>
        <v>Yes</v>
      </c>
      <c r="AY433" s="9" t="str">
        <f t="shared" si="61"/>
        <v/>
      </c>
      <c r="AZ433" s="9" t="str">
        <f>IF(OR(G433="Missing date",G433="Invalid date",G433="Ship date before order date",NOT(ISNUMBER(AP433)),AP433&lt;0,AP433&gt;0.5,AV433=TRUE,AW433=TRUE),"Invalid",IF(OR(O433="Unknown",Z433="Unknown",AC433="",AH433&lt;&gt;"Paid",AJ433&lt;&gt;"Completed",AO433&lt;&gt;""),"Warning","Clean"))</f>
        <v>Clean</v>
      </c>
    </row>
    <row r="434" spans="1:52" ht="15.75" customHeight="1">
      <c r="A434" s="6" t="s">
        <v>2222</v>
      </c>
      <c r="B434" s="7" t="s">
        <v>2037</v>
      </c>
      <c r="C434" s="7" t="str">
        <f t="shared" si="60"/>
        <v>2024-08</v>
      </c>
      <c r="D434" s="7" cm="1">
        <f t="array" ref="D434">_xlfn.LET(_xlpm.x,B434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45533</v>
      </c>
      <c r="E434" s="7" t="s">
        <v>2213</v>
      </c>
      <c r="F434" s="7" cm="1">
        <f t="array" ref="F434">_xlfn.LET(_xlpm.x,E434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45537</v>
      </c>
      <c r="G434" s="8" t="str">
        <f t="shared" si="32"/>
        <v>OK</v>
      </c>
      <c r="H434" s="6">
        <f t="shared" si="33"/>
        <v>4</v>
      </c>
      <c r="I434" s="6" t="s">
        <v>2223</v>
      </c>
      <c r="J434" s="6" t="s">
        <v>220</v>
      </c>
      <c r="K434" s="6" t="str">
        <f t="shared" si="34"/>
        <v>Priya Menon</v>
      </c>
      <c r="L434" s="6" t="s">
        <v>46</v>
      </c>
      <c r="M434" s="8" t="str">
        <f t="shared" si="35"/>
        <v>Small Business</v>
      </c>
      <c r="N434" s="6" t="s">
        <v>9</v>
      </c>
      <c r="O434" s="6" t="str">
        <f t="shared" si="36"/>
        <v>West</v>
      </c>
      <c r="P434" s="6" t="s">
        <v>162</v>
      </c>
      <c r="Q434" s="6" t="str">
        <f t="shared" si="37"/>
        <v>Maharashtra</v>
      </c>
      <c r="R434" s="6" t="s">
        <v>163</v>
      </c>
      <c r="S434" s="6" t="str">
        <f t="shared" si="38"/>
        <v>Mumbai</v>
      </c>
      <c r="T434" s="6" t="s">
        <v>14</v>
      </c>
      <c r="U434" s="8" t="str">
        <f t="shared" si="39"/>
        <v>Furniture</v>
      </c>
      <c r="V434" s="6" t="s">
        <v>15</v>
      </c>
      <c r="W434" s="6" t="str">
        <f t="shared" si="40"/>
        <v>Bookcases</v>
      </c>
      <c r="X434" s="6" t="s">
        <v>2224</v>
      </c>
      <c r="Y434" s="6" t="s">
        <v>34</v>
      </c>
      <c r="Z434" s="6" t="str">
        <f t="shared" si="41"/>
        <v>Standard Class</v>
      </c>
      <c r="AA434" s="6">
        <v>6</v>
      </c>
      <c r="AB434" s="6">
        <v>172.82</v>
      </c>
      <c r="AC434" s="6">
        <v>0.05</v>
      </c>
      <c r="AD434" s="6">
        <v>985.07</v>
      </c>
      <c r="AE434" s="6">
        <v>844.48</v>
      </c>
      <c r="AF434" s="6">
        <v>140.59</v>
      </c>
      <c r="AG434" s="6" t="s">
        <v>52</v>
      </c>
      <c r="AH434" s="6" t="str">
        <f t="shared" si="42"/>
        <v>Paid</v>
      </c>
      <c r="AI434" s="6" t="s">
        <v>134</v>
      </c>
      <c r="AJ434" s="6" t="str">
        <f t="shared" si="43"/>
        <v>Completed</v>
      </c>
      <c r="AK434" s="9" t="str">
        <f>_xlfn.TEXTJOIN("|",FALSE,A434,TEXT(B434,"mm-dd-yyyy"),TEXT(E434,"mm-dd-yyyy"),I434,J434,L434,N434,P434,R434,T434,V434,X434,Y434,AA434,AB434,AC434,AD434,AE434,AF434,AG434,AI434)</f>
        <v>ORD-2024-10433|08-29-2024|02-09-2024|CUST-3522|Priya Menon|Small Business|West|Maharashtra|Mumbai|Furniture|Bookcases|Classic Bookcases 291|Standard Class|6|172.82|0.05|985.07|844.48|140.59|Paid|Completed</v>
      </c>
      <c r="AL434" s="27" t="str">
        <f>IF(COUNTIF($AK$2:AK434,AK434)&gt;1,"Remove exact duplicate copy","Keep")</f>
        <v>Keep</v>
      </c>
      <c r="AM434" s="9">
        <f t="shared" si="44"/>
        <v>1</v>
      </c>
      <c r="AN434" s="9" t="str">
        <f t="shared" si="45"/>
        <v>Unique</v>
      </c>
      <c r="AO434" s="9" t="str">
        <f t="shared" si="46"/>
        <v/>
      </c>
      <c r="AP434" s="9">
        <f t="shared" si="47"/>
        <v>0.05</v>
      </c>
      <c r="AQ434" s="10">
        <f t="shared" si="48"/>
        <v>985.07400000000007</v>
      </c>
      <c r="AR434" s="10">
        <f t="shared" si="49"/>
        <v>140.59400000000005</v>
      </c>
      <c r="AS434" s="11">
        <f t="shared" si="50"/>
        <v>0.14272430294576857</v>
      </c>
      <c r="AT434" s="9">
        <f t="shared" si="51"/>
        <v>8</v>
      </c>
      <c r="AU434" s="9">
        <f t="shared" si="52"/>
        <v>2024</v>
      </c>
      <c r="AV434" s="9" t="b">
        <f t="shared" si="53"/>
        <v>0</v>
      </c>
      <c r="AW434" s="9" t="b">
        <f t="shared" si="54"/>
        <v>0</v>
      </c>
      <c r="AX434" s="9" t="str">
        <f t="shared" si="55"/>
        <v>Yes</v>
      </c>
      <c r="AY434" s="9" t="str">
        <f t="shared" si="61"/>
        <v/>
      </c>
      <c r="AZ434" s="9" t="str">
        <f>IF(OR(G434="Missing date",G434="Invalid date",G434="Ship date before order date",NOT(ISNUMBER(AP434)),AP434&lt;0,AP434&gt;0.5,AV434=TRUE,AW434=TRUE),"Invalid",IF(OR(O434="Unknown",Z434="Unknown",AC434="",AH434&lt;&gt;"Paid",AJ434&lt;&gt;"Completed",AO434&lt;&gt;""),"Warning","Clean"))</f>
        <v>Clean</v>
      </c>
    </row>
    <row r="435" spans="1:52" ht="15.75" customHeight="1">
      <c r="A435" s="6" t="s">
        <v>2225</v>
      </c>
      <c r="B435" s="7" t="s">
        <v>2226</v>
      </c>
      <c r="C435" s="7" t="str">
        <f t="shared" si="60"/>
        <v>2024-04</v>
      </c>
      <c r="D435" s="7" cm="1">
        <f t="array" ref="D435">_xlfn.LET(_xlpm.x,B435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45401</v>
      </c>
      <c r="E435" s="7" t="s">
        <v>2227</v>
      </c>
      <c r="F435" s="7" cm="1">
        <f t="array" ref="F435">_xlfn.LET(_xlpm.x,E435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45402</v>
      </c>
      <c r="G435" s="8" t="str">
        <f t="shared" si="32"/>
        <v>OK</v>
      </c>
      <c r="H435" s="6">
        <f t="shared" si="33"/>
        <v>1</v>
      </c>
      <c r="I435" s="6" t="s">
        <v>2228</v>
      </c>
      <c r="J435" s="6" t="s">
        <v>220</v>
      </c>
      <c r="K435" s="6" t="str">
        <f t="shared" si="34"/>
        <v>Priya Menon</v>
      </c>
      <c r="L435" s="6" t="s">
        <v>45</v>
      </c>
      <c r="M435" s="8" t="str">
        <f t="shared" si="35"/>
        <v>Corporate</v>
      </c>
      <c r="N435" s="6" t="s">
        <v>10</v>
      </c>
      <c r="O435" s="6" t="str">
        <f t="shared" si="36"/>
        <v>South</v>
      </c>
      <c r="P435" s="6" t="s">
        <v>316</v>
      </c>
      <c r="Q435" s="6" t="str">
        <f t="shared" si="37"/>
        <v>Kerala</v>
      </c>
      <c r="R435" s="6" t="s">
        <v>317</v>
      </c>
      <c r="S435" s="6" t="str">
        <f t="shared" si="38"/>
        <v>Kochi</v>
      </c>
      <c r="T435" s="6" t="s">
        <v>20</v>
      </c>
      <c r="U435" s="8" t="str">
        <f t="shared" si="39"/>
        <v>Office Supplies</v>
      </c>
      <c r="V435" s="6" t="s">
        <v>21</v>
      </c>
      <c r="W435" s="6" t="str">
        <f t="shared" si="40"/>
        <v>Art</v>
      </c>
      <c r="X435" s="6" t="s">
        <v>2229</v>
      </c>
      <c r="Y435" s="6" t="s">
        <v>36</v>
      </c>
      <c r="Z435" s="6" t="str">
        <f t="shared" si="41"/>
        <v>Second Class</v>
      </c>
      <c r="AA435" s="6">
        <v>4</v>
      </c>
      <c r="AB435" s="6">
        <v>1540.22</v>
      </c>
      <c r="AC435" s="6">
        <v>0</v>
      </c>
      <c r="AD435" s="6">
        <v>6160.88</v>
      </c>
      <c r="AE435" s="6">
        <v>4938.7</v>
      </c>
      <c r="AF435" s="6">
        <v>1222.18</v>
      </c>
      <c r="AG435" s="6" t="s">
        <v>56</v>
      </c>
      <c r="AH435" s="6" t="str">
        <f t="shared" si="42"/>
        <v>Refunded</v>
      </c>
      <c r="AI435" s="6" t="s">
        <v>59</v>
      </c>
      <c r="AJ435" s="6" t="str">
        <f t="shared" si="43"/>
        <v>Returned</v>
      </c>
      <c r="AK435" s="9" t="str">
        <f>_xlfn.TEXTJOIN("|",FALSE,A435,TEXT(B435,"mm-dd-yyyy"),TEXT(E435,"mm-dd-yyyy"),I435,J435,L435,N435,P435,R435,T435,V435,X435,Y435,AA435,AB435,AC435,AD435,AE435,AF435,AG435,AI435)</f>
        <v>ORD-2024-10434|04-19-2024|20-04-2024|CUST-7066|Priya Menon|Corporate|South|Kerala|Kochi|Office Supplies|Art|Elite Art 946|Second Class|4|1540.22|0|6160.88|4938.7|1222.18|Refunded|Returned</v>
      </c>
      <c r="AL435" s="27" t="str">
        <f>IF(COUNTIF($AK$2:AK435,AK435)&gt;1,"Remove exact duplicate copy","Keep")</f>
        <v>Keep</v>
      </c>
      <c r="AM435" s="9">
        <f t="shared" si="44"/>
        <v>1</v>
      </c>
      <c r="AN435" s="9" t="str">
        <f t="shared" si="45"/>
        <v>Unique</v>
      </c>
      <c r="AO435" s="9" t="str">
        <f t="shared" si="46"/>
        <v/>
      </c>
      <c r="AP435" s="9">
        <f t="shared" si="47"/>
        <v>0</v>
      </c>
      <c r="AQ435" s="10">
        <f t="shared" si="48"/>
        <v>6160.88</v>
      </c>
      <c r="AR435" s="10">
        <f t="shared" si="49"/>
        <v>1222.1800000000003</v>
      </c>
      <c r="AS435" s="11">
        <f t="shared" si="50"/>
        <v>0.19837750451234243</v>
      </c>
      <c r="AT435" s="9">
        <f t="shared" si="51"/>
        <v>4</v>
      </c>
      <c r="AU435" s="9">
        <f t="shared" si="52"/>
        <v>2024</v>
      </c>
      <c r="AV435" s="9" t="b">
        <f t="shared" si="53"/>
        <v>0</v>
      </c>
      <c r="AW435" s="9" t="b">
        <f t="shared" si="54"/>
        <v>0</v>
      </c>
      <c r="AX435" s="9" t="str">
        <f t="shared" si="55"/>
        <v>No</v>
      </c>
      <c r="AY435" s="9" t="str">
        <f t="shared" si="61"/>
        <v>Refunded order summarized separately; Returned order excluded</v>
      </c>
      <c r="AZ435" s="9" t="str">
        <f>IF(OR(G435="Missing date",G435="Invalid date",G435="Ship date before order date",NOT(ISNUMBER(AP435)),AP435&lt;0,AP435&gt;0.5,AV435=TRUE,AW435=TRUE),"Invalid",IF(OR(O435="Unknown",Z435="Unknown",AC435="",AH435&lt;&gt;"Paid",AJ435&lt;&gt;"Completed",AO435&lt;&gt;""),"Warning","Clean"))</f>
        <v>Warning</v>
      </c>
    </row>
    <row r="436" spans="1:52" ht="15.75" customHeight="1">
      <c r="A436" s="6" t="s">
        <v>2230</v>
      </c>
      <c r="B436" s="7" t="s">
        <v>2231</v>
      </c>
      <c r="C436" s="7" t="str">
        <f t="shared" si="60"/>
        <v>2025-04</v>
      </c>
      <c r="D436" s="7" cm="1">
        <f t="array" ref="D436">_xlfn.LET(_xlpm.x,B436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45758</v>
      </c>
      <c r="E436" s="7" t="s">
        <v>2232</v>
      </c>
      <c r="F436" s="7" cm="1">
        <f t="array" ref="F436">_xlfn.LET(_xlpm.x,E436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45762</v>
      </c>
      <c r="G436" s="8" t="str">
        <f t="shared" si="32"/>
        <v>OK</v>
      </c>
      <c r="H436" s="6">
        <f t="shared" si="33"/>
        <v>4</v>
      </c>
      <c r="I436" s="6" t="s">
        <v>2233</v>
      </c>
      <c r="J436" s="6" t="s">
        <v>139</v>
      </c>
      <c r="K436" s="6" t="str">
        <f t="shared" si="34"/>
        <v>Mira Das</v>
      </c>
      <c r="L436" s="6" t="s">
        <v>44</v>
      </c>
      <c r="M436" s="8" t="str">
        <f t="shared" si="35"/>
        <v>Home Office</v>
      </c>
      <c r="N436" s="6" t="s">
        <v>7</v>
      </c>
      <c r="O436" s="6" t="str">
        <f t="shared" si="36"/>
        <v>North</v>
      </c>
      <c r="P436" s="6" t="s">
        <v>251</v>
      </c>
      <c r="Q436" s="6" t="str">
        <f t="shared" si="37"/>
        <v>Uttar Pradesh</v>
      </c>
      <c r="R436" s="6" t="s">
        <v>252</v>
      </c>
      <c r="S436" s="6" t="str">
        <f t="shared" si="38"/>
        <v>Noida</v>
      </c>
      <c r="T436" s="6" t="s">
        <v>27</v>
      </c>
      <c r="U436" s="8" t="str">
        <f t="shared" si="39"/>
        <v>Technology</v>
      </c>
      <c r="V436" s="6" t="s">
        <v>28</v>
      </c>
      <c r="W436" s="6" t="str">
        <f t="shared" si="40"/>
        <v>Accessories</v>
      </c>
      <c r="X436" s="6" t="s">
        <v>2234</v>
      </c>
      <c r="Y436" s="6" t="s">
        <v>36</v>
      </c>
      <c r="Z436" s="6" t="str">
        <f t="shared" si="41"/>
        <v>Second Class</v>
      </c>
      <c r="AA436" s="6">
        <v>5</v>
      </c>
      <c r="AB436" s="6">
        <v>652.78</v>
      </c>
      <c r="AC436" s="6">
        <v>0</v>
      </c>
      <c r="AD436" s="6">
        <v>3263.9</v>
      </c>
      <c r="AE436" s="6">
        <v>2068.44</v>
      </c>
      <c r="AF436" s="6">
        <v>1195.46</v>
      </c>
      <c r="AG436" s="6" t="s">
        <v>52</v>
      </c>
      <c r="AH436" s="6" t="str">
        <f t="shared" si="42"/>
        <v>Paid</v>
      </c>
      <c r="AI436" s="6" t="s">
        <v>134</v>
      </c>
      <c r="AJ436" s="6" t="str">
        <f t="shared" si="43"/>
        <v>Completed</v>
      </c>
      <c r="AK436" s="9" t="str">
        <f>_xlfn.TEXTJOIN("|",FALSE,A436,TEXT(B436,"mm-dd-yyyy"),TEXT(E436,"mm-dd-yyyy"),I436,J436,L436,N436,P436,R436,T436,V436,X436,Y436,AA436,AB436,AC436,AD436,AE436,AF436,AG436,AI436)</f>
        <v>ORD-2025-10435|04-11-2025|04-15-2025|CUST-2351|Mira Das|Home Office|North|Uttar Pradesh|Noida|Technology|Accessories|Eco Accessories 705|Second Class|5|652.78|0|3263.9|2068.44|1195.46|Paid|Completed</v>
      </c>
      <c r="AL436" s="27" t="str">
        <f>IF(COUNTIF($AK$2:AK436,AK436)&gt;1,"Remove exact duplicate copy","Keep")</f>
        <v>Keep</v>
      </c>
      <c r="AM436" s="9">
        <f t="shared" si="44"/>
        <v>1</v>
      </c>
      <c r="AN436" s="9" t="str">
        <f t="shared" si="45"/>
        <v>Unique</v>
      </c>
      <c r="AO436" s="9" t="str">
        <f t="shared" si="46"/>
        <v/>
      </c>
      <c r="AP436" s="9">
        <f t="shared" si="47"/>
        <v>0</v>
      </c>
      <c r="AQ436" s="10">
        <f t="shared" si="48"/>
        <v>3263.8999999999996</v>
      </c>
      <c r="AR436" s="10">
        <f t="shared" si="49"/>
        <v>1195.4599999999996</v>
      </c>
      <c r="AS436" s="11">
        <f t="shared" si="50"/>
        <v>0.3662673488771101</v>
      </c>
      <c r="AT436" s="9">
        <f t="shared" si="51"/>
        <v>4</v>
      </c>
      <c r="AU436" s="9">
        <f t="shared" si="52"/>
        <v>2025</v>
      </c>
      <c r="AV436" s="9" t="b">
        <f t="shared" si="53"/>
        <v>0</v>
      </c>
      <c r="AW436" s="9" t="b">
        <f t="shared" si="54"/>
        <v>0</v>
      </c>
      <c r="AX436" s="9" t="str">
        <f t="shared" si="55"/>
        <v>Yes</v>
      </c>
      <c r="AY436" s="9" t="str">
        <f t="shared" si="61"/>
        <v/>
      </c>
      <c r="AZ436" s="9" t="str">
        <f>IF(OR(G436="Missing date",G436="Invalid date",G436="Ship date before order date",NOT(ISNUMBER(AP436)),AP436&lt;0,AP436&gt;0.5,AV436=TRUE,AW436=TRUE),"Invalid",IF(OR(O436="Unknown",Z436="Unknown",AC436="",AH436&lt;&gt;"Paid",AJ436&lt;&gt;"Completed",AO436&lt;&gt;""),"Warning","Clean"))</f>
        <v>Clean</v>
      </c>
    </row>
    <row r="437" spans="1:52" ht="15.75" customHeight="1">
      <c r="A437" s="6" t="s">
        <v>2235</v>
      </c>
      <c r="B437" s="7" t="s">
        <v>2236</v>
      </c>
      <c r="C437" s="7" t="str">
        <f t="shared" si="60"/>
        <v>2025-04</v>
      </c>
      <c r="D437" s="7" cm="1">
        <f t="array" ref="D437">_xlfn.LET(_xlpm.x,B437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45759</v>
      </c>
      <c r="E437" s="7" t="s">
        <v>1110</v>
      </c>
      <c r="F437" s="7" cm="1">
        <f t="array" ref="F437">_xlfn.LET(_xlpm.x,E437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45767</v>
      </c>
      <c r="G437" s="8" t="str">
        <f t="shared" si="32"/>
        <v>OK</v>
      </c>
      <c r="H437" s="6">
        <f t="shared" si="33"/>
        <v>8</v>
      </c>
      <c r="I437" s="6" t="s">
        <v>2237</v>
      </c>
      <c r="J437" s="6" t="s">
        <v>442</v>
      </c>
      <c r="K437" s="6" t="str">
        <f t="shared" si="34"/>
        <v>Kabir Singh</v>
      </c>
      <c r="L437" s="6" t="s">
        <v>44</v>
      </c>
      <c r="M437" s="8" t="str">
        <f t="shared" si="35"/>
        <v>Home Office</v>
      </c>
      <c r="N437" s="6" t="s">
        <v>7</v>
      </c>
      <c r="O437" s="6" t="str">
        <f t="shared" si="36"/>
        <v>North</v>
      </c>
      <c r="P437" s="6" t="s">
        <v>583</v>
      </c>
      <c r="Q437" s="6" t="str">
        <f t="shared" si="37"/>
        <v>Delhi</v>
      </c>
      <c r="R437" s="6" t="s">
        <v>584</v>
      </c>
      <c r="S437" s="6" t="str">
        <f t="shared" si="38"/>
        <v>New Delhi</v>
      </c>
      <c r="T437" s="6" t="s">
        <v>27</v>
      </c>
      <c r="U437" s="8" t="str">
        <f t="shared" si="39"/>
        <v>Technology</v>
      </c>
      <c r="V437" s="6" t="s">
        <v>30</v>
      </c>
      <c r="W437" s="6" t="str">
        <f t="shared" si="40"/>
        <v>Machines</v>
      </c>
      <c r="X437" s="6" t="s">
        <v>2238</v>
      </c>
      <c r="Y437" s="6" t="s">
        <v>34</v>
      </c>
      <c r="Z437" s="6" t="str">
        <f t="shared" si="41"/>
        <v>Standard Class</v>
      </c>
      <c r="AA437" s="6">
        <v>1</v>
      </c>
      <c r="AB437" s="6">
        <v>2737.71</v>
      </c>
      <c r="AC437" s="6">
        <v>0.15</v>
      </c>
      <c r="AD437" s="6">
        <v>2327.0500000000002</v>
      </c>
      <c r="AE437" s="6">
        <v>1919.42</v>
      </c>
      <c r="AF437" s="6">
        <v>407.63</v>
      </c>
      <c r="AG437" s="6" t="s">
        <v>52</v>
      </c>
      <c r="AH437" s="6" t="str">
        <f t="shared" si="42"/>
        <v>Paid</v>
      </c>
      <c r="AI437" s="6" t="s">
        <v>58</v>
      </c>
      <c r="AJ437" s="6" t="str">
        <f t="shared" si="43"/>
        <v>Cancelled</v>
      </c>
      <c r="AK437" s="9" t="str">
        <f>_xlfn.TEXTJOIN("|",FALSE,A437,TEXT(B437,"mm-dd-yyyy"),TEXT(E437,"mm-dd-yyyy"),I437,J437,L437,N437,P437,R437,T437,V437,X437,Y437,AA437,AB437,AC437,AD437,AE437,AF437,AG437,AI437)</f>
        <v>ORD-2025-10436|04-12-2025|20-04-2025|CUST-7291|Kabir Singh|Home Office|North|Delhi|New Delhi|Technology|Machines|Max Machines 151|Standard Class|1|2737.71|0.15|2327.05|1919.42|407.63|Paid|Cancelled</v>
      </c>
      <c r="AL437" s="27" t="str">
        <f>IF(COUNTIF($AK$2:AK437,AK437)&gt;1,"Remove exact duplicate copy","Keep")</f>
        <v>Keep</v>
      </c>
      <c r="AM437" s="9">
        <f t="shared" si="44"/>
        <v>1</v>
      </c>
      <c r="AN437" s="9" t="str">
        <f t="shared" si="45"/>
        <v>Unique</v>
      </c>
      <c r="AO437" s="9" t="str">
        <f t="shared" si="46"/>
        <v/>
      </c>
      <c r="AP437" s="9">
        <f t="shared" si="47"/>
        <v>0.15</v>
      </c>
      <c r="AQ437" s="10">
        <f t="shared" si="48"/>
        <v>2327.0535</v>
      </c>
      <c r="AR437" s="10">
        <f t="shared" si="49"/>
        <v>407.63349999999991</v>
      </c>
      <c r="AS437" s="11">
        <f t="shared" si="50"/>
        <v>0.17517152055163318</v>
      </c>
      <c r="AT437" s="9">
        <f t="shared" si="51"/>
        <v>4</v>
      </c>
      <c r="AU437" s="9">
        <f t="shared" si="52"/>
        <v>2025</v>
      </c>
      <c r="AV437" s="9" t="b">
        <f t="shared" si="53"/>
        <v>0</v>
      </c>
      <c r="AW437" s="9" t="b">
        <f t="shared" si="54"/>
        <v>0</v>
      </c>
      <c r="AX437" s="9" t="str">
        <f t="shared" si="55"/>
        <v>No</v>
      </c>
      <c r="AY437" s="9" t="str">
        <f t="shared" si="61"/>
        <v>Cancelled order excluded</v>
      </c>
      <c r="AZ437" s="9" t="str">
        <f>IF(OR(G437="Missing date",G437="Invalid date",G437="Ship date before order date",NOT(ISNUMBER(AP437)),AP437&lt;0,AP437&gt;0.5,AV437=TRUE,AW437=TRUE),"Invalid",IF(OR(O437="Unknown",Z437="Unknown",AC437="",AH437&lt;&gt;"Paid",AJ437&lt;&gt;"Completed",AO437&lt;&gt;""),"Warning","Clean"))</f>
        <v>Warning</v>
      </c>
    </row>
    <row r="438" spans="1:52" ht="15.75" customHeight="1">
      <c r="A438" s="6" t="s">
        <v>2239</v>
      </c>
      <c r="B438" s="7" t="s">
        <v>2240</v>
      </c>
      <c r="C438" s="7" t="str">
        <f t="shared" si="60"/>
        <v>2024-06</v>
      </c>
      <c r="D438" s="7" cm="1">
        <f t="array" ref="D438">_xlfn.LET(_xlpm.x,B438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45459</v>
      </c>
      <c r="E438" s="7" t="s">
        <v>2241</v>
      </c>
      <c r="F438" s="7" cm="1">
        <f t="array" ref="F438">_xlfn.LET(_xlpm.x,E438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45464</v>
      </c>
      <c r="G438" s="8" t="str">
        <f t="shared" si="32"/>
        <v>OK</v>
      </c>
      <c r="H438" s="6">
        <f t="shared" si="33"/>
        <v>5</v>
      </c>
      <c r="I438" s="6" t="s">
        <v>2242</v>
      </c>
      <c r="J438" s="6" t="s">
        <v>177</v>
      </c>
      <c r="K438" s="6" t="str">
        <f t="shared" si="34"/>
        <v>Neha Gupta</v>
      </c>
      <c r="L438" s="6" t="s">
        <v>43</v>
      </c>
      <c r="M438" s="8" t="str">
        <f t="shared" si="35"/>
        <v>Consumer</v>
      </c>
      <c r="N438" s="6" t="s">
        <v>10</v>
      </c>
      <c r="O438" s="6" t="str">
        <f t="shared" si="36"/>
        <v>South</v>
      </c>
      <c r="P438" s="6" t="s">
        <v>316</v>
      </c>
      <c r="Q438" s="6" t="str">
        <f t="shared" si="37"/>
        <v>Kerala</v>
      </c>
      <c r="R438" s="6" t="s">
        <v>317</v>
      </c>
      <c r="S438" s="6" t="str">
        <f t="shared" si="38"/>
        <v>Kochi</v>
      </c>
      <c r="T438" s="6" t="s">
        <v>14</v>
      </c>
      <c r="U438" s="8" t="str">
        <f t="shared" si="39"/>
        <v>Furniture</v>
      </c>
      <c r="V438" s="6" t="s">
        <v>17</v>
      </c>
      <c r="W438" s="6" t="str">
        <f t="shared" si="40"/>
        <v>Furnishings</v>
      </c>
      <c r="X438" s="6" t="s">
        <v>2243</v>
      </c>
      <c r="Y438" s="6" t="s">
        <v>37</v>
      </c>
      <c r="Z438" s="6" t="str">
        <f t="shared" si="41"/>
        <v>Same Day</v>
      </c>
      <c r="AA438" s="6">
        <v>6</v>
      </c>
      <c r="AB438" s="6">
        <v>1156.78</v>
      </c>
      <c r="AC438" s="6">
        <v>0.05</v>
      </c>
      <c r="AD438" s="6">
        <v>6593.65</v>
      </c>
      <c r="AE438" s="6">
        <v>4359.3900000000003</v>
      </c>
      <c r="AF438" s="6">
        <v>2234.2600000000002</v>
      </c>
      <c r="AG438" s="6" t="s">
        <v>52</v>
      </c>
      <c r="AH438" s="6" t="str">
        <f t="shared" si="42"/>
        <v>Paid</v>
      </c>
      <c r="AI438" s="6" t="s">
        <v>59</v>
      </c>
      <c r="AJ438" s="6" t="str">
        <f t="shared" si="43"/>
        <v>Returned</v>
      </c>
      <c r="AK438" s="9" t="str">
        <f>_xlfn.TEXTJOIN("|",FALSE,A438,TEXT(B438,"mm-dd-yyyy"),TEXT(E438,"mm-dd-yyyy"),I438,J438,L438,N438,P438,R438,T438,V438,X438,Y438,AA438,AB438,AC438,AD438,AE438,AF438,AG438,AI438)</f>
        <v>ORD-2024-10437|06-16-2024|06-21-2024|CUST-4492|Neha Gupta|Consumer|South|Kerala|Kochi|Furniture|Furnishings|Max Furnishings 803|Same Day|6|1156.78|0.05|6593.65|4359.39|2234.26|Paid|Returned</v>
      </c>
      <c r="AL438" s="27" t="str">
        <f>IF(COUNTIF($AK$2:AK438,AK438)&gt;1,"Remove exact duplicate copy","Keep")</f>
        <v>Keep</v>
      </c>
      <c r="AM438" s="9">
        <f t="shared" si="44"/>
        <v>1</v>
      </c>
      <c r="AN438" s="9" t="str">
        <f t="shared" si="45"/>
        <v>Unique</v>
      </c>
      <c r="AO438" s="9" t="str">
        <f t="shared" si="46"/>
        <v/>
      </c>
      <c r="AP438" s="9">
        <f t="shared" si="47"/>
        <v>0.05</v>
      </c>
      <c r="AQ438" s="10">
        <f t="shared" si="48"/>
        <v>6593.6459999999997</v>
      </c>
      <c r="AR438" s="10">
        <f t="shared" si="49"/>
        <v>2234.2559999999994</v>
      </c>
      <c r="AS438" s="11">
        <f t="shared" si="50"/>
        <v>0.33884985636171544</v>
      </c>
      <c r="AT438" s="9">
        <f t="shared" si="51"/>
        <v>6</v>
      </c>
      <c r="AU438" s="9">
        <f t="shared" si="52"/>
        <v>2024</v>
      </c>
      <c r="AV438" s="9" t="b">
        <f t="shared" si="53"/>
        <v>0</v>
      </c>
      <c r="AW438" s="9" t="b">
        <f t="shared" si="54"/>
        <v>0</v>
      </c>
      <c r="AX438" s="9" t="str">
        <f t="shared" si="55"/>
        <v>No</v>
      </c>
      <c r="AY438" s="9" t="str">
        <f t="shared" si="61"/>
        <v>Returned order excluded</v>
      </c>
      <c r="AZ438" s="9" t="str">
        <f>IF(OR(G438="Missing date",G438="Invalid date",G438="Ship date before order date",NOT(ISNUMBER(AP438)),AP438&lt;0,AP438&gt;0.5,AV438=TRUE,AW438=TRUE),"Invalid",IF(OR(O438="Unknown",Z438="Unknown",AC438="",AH438&lt;&gt;"Paid",AJ438&lt;&gt;"Completed",AO438&lt;&gt;""),"Warning","Clean"))</f>
        <v>Warning</v>
      </c>
    </row>
    <row r="439" spans="1:52" ht="15.75" customHeight="1">
      <c r="A439" s="6" t="s">
        <v>2244</v>
      </c>
      <c r="B439" s="7" t="s">
        <v>2245</v>
      </c>
      <c r="C439" s="7" t="str">
        <f t="shared" si="60"/>
        <v>2024-02</v>
      </c>
      <c r="D439" s="7" cm="1">
        <f t="array" ref="D439">_xlfn.LET(_xlpm.x,B439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45337</v>
      </c>
      <c r="E439" s="7" t="s">
        <v>2246</v>
      </c>
      <c r="F439" s="7" cm="1">
        <f t="array" ref="F439">_xlfn.LET(_xlpm.x,E439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45340</v>
      </c>
      <c r="G439" s="8" t="str">
        <f t="shared" si="32"/>
        <v>OK</v>
      </c>
      <c r="H439" s="6">
        <f t="shared" si="33"/>
        <v>3</v>
      </c>
      <c r="I439" s="6" t="s">
        <v>2247</v>
      </c>
      <c r="J439" s="6" t="s">
        <v>190</v>
      </c>
      <c r="K439" s="6" t="str">
        <f t="shared" si="34"/>
        <v>Aditi Sen</v>
      </c>
      <c r="L439" s="6" t="s">
        <v>46</v>
      </c>
      <c r="M439" s="8" t="str">
        <f t="shared" si="35"/>
        <v>Small Business</v>
      </c>
      <c r="N439" s="6" t="s">
        <v>10</v>
      </c>
      <c r="O439" s="6" t="str">
        <f t="shared" si="36"/>
        <v>South</v>
      </c>
      <c r="P439" s="6" t="s">
        <v>316</v>
      </c>
      <c r="Q439" s="6" t="str">
        <f t="shared" si="37"/>
        <v>Kerala</v>
      </c>
      <c r="R439" s="6" t="s">
        <v>317</v>
      </c>
      <c r="S439" s="6" t="str">
        <f t="shared" si="38"/>
        <v>Kochi</v>
      </c>
      <c r="T439" s="6" t="s">
        <v>27</v>
      </c>
      <c r="U439" s="8" t="str">
        <f t="shared" si="39"/>
        <v>Technology</v>
      </c>
      <c r="V439" s="6" t="s">
        <v>2248</v>
      </c>
      <c r="W439" s="6" t="str">
        <f t="shared" si="40"/>
        <v>Accessories</v>
      </c>
      <c r="X439" s="6" t="s">
        <v>2249</v>
      </c>
      <c r="Y439" s="6" t="s">
        <v>37</v>
      </c>
      <c r="Z439" s="6" t="str">
        <f t="shared" si="41"/>
        <v>Same Day</v>
      </c>
      <c r="AA439" s="6">
        <v>8</v>
      </c>
      <c r="AB439" s="6">
        <v>379.82</v>
      </c>
      <c r="AC439" s="6">
        <v>0.05</v>
      </c>
      <c r="AD439" s="6">
        <v>2886.63</v>
      </c>
      <c r="AE439" s="6">
        <v>1588.23</v>
      </c>
      <c r="AF439" s="6">
        <v>1298.4000000000001</v>
      </c>
      <c r="AG439" s="6" t="s">
        <v>50</v>
      </c>
      <c r="AH439" s="6" t="str">
        <f t="shared" si="42"/>
        <v>Failed</v>
      </c>
      <c r="AI439" s="6" t="s">
        <v>59</v>
      </c>
      <c r="AJ439" s="6" t="str">
        <f t="shared" si="43"/>
        <v>Returned</v>
      </c>
      <c r="AK439" s="9" t="str">
        <f>_xlfn.TEXTJOIN("|",FALSE,A439,TEXT(B439,"mm-dd-yyyy"),TEXT(E439,"mm-dd-yyyy"),I439,J439,L439,N439,P439,R439,T439,V439,X439,Y439,AA439,AB439,AC439,AD439,AE439,AF439,AG439,AI439)</f>
        <v>ORD-2024-10438|15-02-2024|02-18-2024|CUST-5029|Aditi Sen|Small Business|South|Kerala|Kochi|Technology|  Accessories |Max Accessories 423|Same Day|8|379.82|0.05|2886.63|1588.23|1298.4|Failed|Returned</v>
      </c>
      <c r="AL439" s="27" t="str">
        <f>IF(COUNTIF($AK$2:AK439,AK439)&gt;1,"Remove exact duplicate copy","Keep")</f>
        <v>Keep</v>
      </c>
      <c r="AM439" s="9">
        <f t="shared" si="44"/>
        <v>1</v>
      </c>
      <c r="AN439" s="9" t="str">
        <f t="shared" si="45"/>
        <v>Unique</v>
      </c>
      <c r="AO439" s="9" t="str">
        <f t="shared" si="46"/>
        <v/>
      </c>
      <c r="AP439" s="9">
        <f t="shared" si="47"/>
        <v>0.05</v>
      </c>
      <c r="AQ439" s="10">
        <f t="shared" si="48"/>
        <v>2886.6319999999996</v>
      </c>
      <c r="AR439" s="10">
        <f t="shared" si="49"/>
        <v>1298.4019999999996</v>
      </c>
      <c r="AS439" s="11">
        <f t="shared" si="50"/>
        <v>0.44979824238073984</v>
      </c>
      <c r="AT439" s="9">
        <f t="shared" si="51"/>
        <v>2</v>
      </c>
      <c r="AU439" s="9">
        <f t="shared" si="52"/>
        <v>2024</v>
      </c>
      <c r="AV439" s="9" t="b">
        <f t="shared" si="53"/>
        <v>0</v>
      </c>
      <c r="AW439" s="9" t="b">
        <f t="shared" si="54"/>
        <v>0</v>
      </c>
      <c r="AX439" s="9" t="str">
        <f t="shared" si="55"/>
        <v>No</v>
      </c>
      <c r="AY439" s="9" t="str">
        <f t="shared" si="61"/>
        <v>Failed payment excluded; Returned order excluded</v>
      </c>
      <c r="AZ439" s="9" t="str">
        <f>IF(OR(G439="Missing date",G439="Invalid date",G439="Ship date before order date",NOT(ISNUMBER(AP439)),AP439&lt;0,AP439&gt;0.5,AV439=TRUE,AW439=TRUE),"Invalid",IF(OR(O439="Unknown",Z439="Unknown",AC439="",AH439&lt;&gt;"Paid",AJ439&lt;&gt;"Completed",AO439&lt;&gt;""),"Warning","Clean"))</f>
        <v>Warning</v>
      </c>
    </row>
    <row r="440" spans="1:52" ht="15.75" customHeight="1">
      <c r="A440" s="6" t="s">
        <v>2250</v>
      </c>
      <c r="B440" s="7" t="s">
        <v>1105</v>
      </c>
      <c r="C440" s="7" t="str">
        <f t="shared" si="60"/>
        <v>2025-05</v>
      </c>
      <c r="D440" s="7" cm="1">
        <f t="array" ref="D440">_xlfn.LET(_xlpm.x,B440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45784</v>
      </c>
      <c r="E440" s="7" t="s">
        <v>2251</v>
      </c>
      <c r="F440" s="7" cm="1">
        <f t="array" ref="F440">_xlfn.LET(_xlpm.x,E440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45782</v>
      </c>
      <c r="G440" s="8" t="str">
        <f t="shared" si="32"/>
        <v>Ship date before order date</v>
      </c>
      <c r="H440" s="6">
        <f t="shared" si="33"/>
        <v>-2</v>
      </c>
      <c r="I440" s="6" t="s">
        <v>2252</v>
      </c>
      <c r="J440" s="6" t="s">
        <v>177</v>
      </c>
      <c r="K440" s="6" t="str">
        <f t="shared" si="34"/>
        <v>Neha Gupta</v>
      </c>
      <c r="L440" s="6" t="s">
        <v>45</v>
      </c>
      <c r="M440" s="8" t="str">
        <f t="shared" si="35"/>
        <v>Corporate</v>
      </c>
      <c r="N440" s="6" t="s">
        <v>8</v>
      </c>
      <c r="O440" s="6" t="str">
        <f t="shared" si="36"/>
        <v>East</v>
      </c>
      <c r="P440" s="6" t="s">
        <v>385</v>
      </c>
      <c r="Q440" s="6" t="str">
        <f t="shared" si="37"/>
        <v>Jharkhand</v>
      </c>
      <c r="R440" s="6" t="s">
        <v>386</v>
      </c>
      <c r="S440" s="6" t="str">
        <f t="shared" si="38"/>
        <v>Ranchi</v>
      </c>
      <c r="T440" s="6" t="s">
        <v>27</v>
      </c>
      <c r="U440" s="8" t="str">
        <f t="shared" si="39"/>
        <v>Technology</v>
      </c>
      <c r="V440" s="6" t="s">
        <v>31</v>
      </c>
      <c r="W440" s="6" t="str">
        <f t="shared" si="40"/>
        <v>Phones</v>
      </c>
      <c r="X440" s="6" t="s">
        <v>2253</v>
      </c>
      <c r="Y440" s="6" t="s">
        <v>34</v>
      </c>
      <c r="Z440" s="6" t="str">
        <f t="shared" si="41"/>
        <v>Standard Class</v>
      </c>
      <c r="AA440" s="6">
        <v>1</v>
      </c>
      <c r="AB440" s="6">
        <v>2266.4699999999998</v>
      </c>
      <c r="AC440" s="6">
        <v>0.2</v>
      </c>
      <c r="AD440" s="6">
        <v>1813.18</v>
      </c>
      <c r="AE440" s="6">
        <v>1363.64</v>
      </c>
      <c r="AF440" s="6">
        <v>449.54</v>
      </c>
      <c r="AG440" s="6" t="s">
        <v>52</v>
      </c>
      <c r="AH440" s="6" t="str">
        <f t="shared" si="42"/>
        <v>Paid</v>
      </c>
      <c r="AI440" s="6" t="s">
        <v>134</v>
      </c>
      <c r="AJ440" s="6" t="str">
        <f t="shared" si="43"/>
        <v>Completed</v>
      </c>
      <c r="AK440" s="9" t="str">
        <f>_xlfn.TEXTJOIN("|",FALSE,A440,TEXT(B440,"mm-dd-yyyy"),TEXT(E440,"mm-dd-yyyy"),I440,J440,L440,N440,P440,R440,T440,V440,X440,Y440,AA440,AB440,AC440,AD440,AE440,AF440,AG440,AI440)</f>
        <v>ORD-2025-10439|05-07-2025|05-05-2025|CUST-7252|Neha Gupta|Corporate|East|Jharkhand|Ranchi|Technology|Phones|Elite Phones 276|Standard Class|1|2266.47|0.2|1813.18|1363.64|449.54|Paid|Completed</v>
      </c>
      <c r="AL440" s="27" t="str">
        <f>IF(COUNTIF($AK$2:AK440,AK440)&gt;1,"Remove exact duplicate copy","Keep")</f>
        <v>Keep</v>
      </c>
      <c r="AM440" s="9">
        <f t="shared" si="44"/>
        <v>1</v>
      </c>
      <c r="AN440" s="9" t="str">
        <f t="shared" si="45"/>
        <v>Unique</v>
      </c>
      <c r="AO440" s="9" t="str">
        <f t="shared" si="46"/>
        <v/>
      </c>
      <c r="AP440" s="9">
        <f t="shared" si="47"/>
        <v>0.2</v>
      </c>
      <c r="AQ440" s="10">
        <f t="shared" si="48"/>
        <v>1813.1759999999999</v>
      </c>
      <c r="AR440" s="10">
        <f t="shared" si="49"/>
        <v>449.53599999999983</v>
      </c>
      <c r="AS440" s="11">
        <f t="shared" si="50"/>
        <v>0.24792739370033567</v>
      </c>
      <c r="AT440" s="9">
        <f t="shared" si="51"/>
        <v>5</v>
      </c>
      <c r="AU440" s="9">
        <f t="shared" si="52"/>
        <v>2025</v>
      </c>
      <c r="AV440" s="9" t="b">
        <f t="shared" si="53"/>
        <v>0</v>
      </c>
      <c r="AW440" s="9" t="b">
        <f t="shared" si="54"/>
        <v>0</v>
      </c>
      <c r="AX440" s="9" t="str">
        <f t="shared" si="55"/>
        <v>No</v>
      </c>
      <c r="AY440" s="9" t="str">
        <f t="shared" si="61"/>
        <v>Ship date before order date</v>
      </c>
      <c r="AZ440" s="9" t="str">
        <f>IF(OR(G440="Missing date",G440="Invalid date",G440="Ship date before order date",NOT(ISNUMBER(AP440)),AP440&lt;0,AP440&gt;0.5,AV440=TRUE,AW440=TRUE),"Invalid",IF(OR(O440="Unknown",Z440="Unknown",AC440="",AH440&lt;&gt;"Paid",AJ440&lt;&gt;"Completed",AO440&lt;&gt;""),"Warning","Clean"))</f>
        <v>Invalid</v>
      </c>
    </row>
    <row r="441" spans="1:52" ht="15.75" customHeight="1">
      <c r="A441" s="6" t="s">
        <v>2254</v>
      </c>
      <c r="B441" s="7" t="s">
        <v>2255</v>
      </c>
      <c r="C441" s="7" t="str">
        <f t="shared" si="60"/>
        <v>2025-06</v>
      </c>
      <c r="D441" s="7" cm="1">
        <f t="array" ref="D441">_xlfn.LET(_xlpm.x,B441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45838</v>
      </c>
      <c r="E441" s="7" t="s">
        <v>2256</v>
      </c>
      <c r="F441" s="7" cm="1">
        <f t="array" ref="F441">_xlfn.LET(_xlpm.x,E441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45841</v>
      </c>
      <c r="G441" s="8" t="str">
        <f t="shared" si="32"/>
        <v>OK</v>
      </c>
      <c r="H441" s="6">
        <f t="shared" si="33"/>
        <v>3</v>
      </c>
      <c r="I441" s="6" t="s">
        <v>2257</v>
      </c>
      <c r="J441" s="6" t="s">
        <v>239</v>
      </c>
      <c r="K441" s="6" t="str">
        <f t="shared" si="34"/>
        <v>Aarav Sharma</v>
      </c>
      <c r="L441" s="6" t="s">
        <v>44</v>
      </c>
      <c r="M441" s="8" t="str">
        <f t="shared" si="35"/>
        <v>Home Office</v>
      </c>
      <c r="N441" s="6" t="s">
        <v>9</v>
      </c>
      <c r="O441" s="6" t="str">
        <f t="shared" si="36"/>
        <v>West</v>
      </c>
      <c r="P441" s="6" t="s">
        <v>323</v>
      </c>
      <c r="Q441" s="6" t="str">
        <f t="shared" si="37"/>
        <v>Goa</v>
      </c>
      <c r="R441" s="6" t="s">
        <v>324</v>
      </c>
      <c r="S441" s="6" t="str">
        <f t="shared" si="38"/>
        <v>Panaji</v>
      </c>
      <c r="T441" s="6" t="s">
        <v>20</v>
      </c>
      <c r="U441" s="8" t="str">
        <f t="shared" si="39"/>
        <v>Office Supplies</v>
      </c>
      <c r="V441" s="6" t="s">
        <v>25</v>
      </c>
      <c r="W441" s="6" t="str">
        <f t="shared" si="40"/>
        <v>Storage</v>
      </c>
      <c r="X441" s="6" t="s">
        <v>2258</v>
      </c>
      <c r="Y441" s="6" t="s">
        <v>37</v>
      </c>
      <c r="Z441" s="6" t="str">
        <f t="shared" si="41"/>
        <v>Same Day</v>
      </c>
      <c r="AA441" s="6">
        <v>5</v>
      </c>
      <c r="AB441" s="6">
        <v>665.25</v>
      </c>
      <c r="AC441" s="6">
        <v>0</v>
      </c>
      <c r="AD441" s="6">
        <v>3326.25</v>
      </c>
      <c r="AE441" s="6">
        <v>2689.36</v>
      </c>
      <c r="AF441" s="6">
        <v>636.89</v>
      </c>
      <c r="AG441" s="6" t="s">
        <v>56</v>
      </c>
      <c r="AH441" s="6" t="str">
        <f t="shared" si="42"/>
        <v>Refunded</v>
      </c>
      <c r="AI441" s="6" t="s">
        <v>59</v>
      </c>
      <c r="AJ441" s="6" t="str">
        <f t="shared" si="43"/>
        <v>Returned</v>
      </c>
      <c r="AK441" s="9" t="str">
        <f>_xlfn.TEXTJOIN("|",FALSE,A441,TEXT(B441,"mm-dd-yyyy"),TEXT(E441,"mm-dd-yyyy"),I441,J441,L441,N441,P441,R441,T441,V441,X441,Y441,AA441,AB441,AC441,AD441,AE441,AF441,AG441,AI441)</f>
        <v>ORD-2025-10440|30-06-2025|07-03-2025|CUST-7346|Aarav Sharma|Home Office|West|Goa|Panaji|Office Supplies|Storage|Smart Storage 287|Same Day|5|665.25|0|3326.25|2689.36|636.89|Refunded|Returned</v>
      </c>
      <c r="AL441" s="27" t="str">
        <f>IF(COUNTIF($AK$2:AK441,AK441)&gt;1,"Remove exact duplicate copy","Keep")</f>
        <v>Keep</v>
      </c>
      <c r="AM441" s="9">
        <f t="shared" si="44"/>
        <v>1</v>
      </c>
      <c r="AN441" s="9" t="str">
        <f t="shared" si="45"/>
        <v>Unique</v>
      </c>
      <c r="AO441" s="9" t="str">
        <f t="shared" si="46"/>
        <v/>
      </c>
      <c r="AP441" s="9">
        <f t="shared" si="47"/>
        <v>0</v>
      </c>
      <c r="AQ441" s="10">
        <f t="shared" si="48"/>
        <v>3326.25</v>
      </c>
      <c r="AR441" s="10">
        <f t="shared" si="49"/>
        <v>636.88999999999987</v>
      </c>
      <c r="AS441" s="11">
        <f t="shared" si="50"/>
        <v>0.19147388199924836</v>
      </c>
      <c r="AT441" s="9">
        <f t="shared" si="51"/>
        <v>6</v>
      </c>
      <c r="AU441" s="9">
        <f t="shared" si="52"/>
        <v>2025</v>
      </c>
      <c r="AV441" s="9" t="b">
        <f t="shared" si="53"/>
        <v>0</v>
      </c>
      <c r="AW441" s="9" t="b">
        <f t="shared" si="54"/>
        <v>0</v>
      </c>
      <c r="AX441" s="9" t="str">
        <f t="shared" si="55"/>
        <v>No</v>
      </c>
      <c r="AY441" s="9" t="str">
        <f t="shared" si="61"/>
        <v>Refunded order summarized separately; Returned order excluded</v>
      </c>
      <c r="AZ441" s="9" t="str">
        <f>IF(OR(G441="Missing date",G441="Invalid date",G441="Ship date before order date",NOT(ISNUMBER(AP441)),AP441&lt;0,AP441&gt;0.5,AV441=TRUE,AW441=TRUE),"Invalid",IF(OR(O441="Unknown",Z441="Unknown",AC441="",AH441&lt;&gt;"Paid",AJ441&lt;&gt;"Completed",AO441&lt;&gt;""),"Warning","Clean"))</f>
        <v>Warning</v>
      </c>
    </row>
    <row r="442" spans="1:52" ht="15.75" customHeight="1">
      <c r="A442" s="6" t="s">
        <v>2259</v>
      </c>
      <c r="B442" s="7" t="s">
        <v>2260</v>
      </c>
      <c r="C442" s="7" t="str">
        <f t="shared" si="60"/>
        <v>2024-04</v>
      </c>
      <c r="D442" s="7" cm="1">
        <f t="array" ref="D442">_xlfn.LET(_xlpm.x,B442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45384</v>
      </c>
      <c r="E442" s="7" t="s">
        <v>2261</v>
      </c>
      <c r="F442" s="7" cm="1">
        <f t="array" ref="F442">_xlfn.LET(_xlpm.x,E442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45390</v>
      </c>
      <c r="G442" s="8" t="str">
        <f t="shared" si="32"/>
        <v>OK</v>
      </c>
      <c r="H442" s="6">
        <f t="shared" si="33"/>
        <v>6</v>
      </c>
      <c r="I442" s="6" t="s">
        <v>452</v>
      </c>
      <c r="J442" s="6" t="s">
        <v>169</v>
      </c>
      <c r="K442" s="6" t="str">
        <f t="shared" si="34"/>
        <v>Vikram Iyer</v>
      </c>
      <c r="L442" s="6" t="s">
        <v>45</v>
      </c>
      <c r="M442" s="8" t="str">
        <f t="shared" si="35"/>
        <v>Corporate</v>
      </c>
      <c r="N442" s="6" t="s">
        <v>8</v>
      </c>
      <c r="O442" s="6" t="str">
        <f t="shared" si="36"/>
        <v>East</v>
      </c>
      <c r="P442" s="6" t="s">
        <v>140</v>
      </c>
      <c r="Q442" s="6" t="str">
        <f t="shared" si="37"/>
        <v>Odisha</v>
      </c>
      <c r="R442" s="6" t="s">
        <v>141</v>
      </c>
      <c r="S442" s="6" t="str">
        <f t="shared" si="38"/>
        <v>Bhubaneswar</v>
      </c>
      <c r="T442" s="6" t="s">
        <v>27</v>
      </c>
      <c r="U442" s="8" t="str">
        <f t="shared" si="39"/>
        <v>Technology</v>
      </c>
      <c r="V442" s="6" t="s">
        <v>30</v>
      </c>
      <c r="W442" s="6" t="str">
        <f t="shared" si="40"/>
        <v>Machines</v>
      </c>
      <c r="X442" s="6" t="s">
        <v>2262</v>
      </c>
      <c r="Y442" s="6" t="s">
        <v>36</v>
      </c>
      <c r="Z442" s="6" t="str">
        <f t="shared" si="41"/>
        <v>Second Class</v>
      </c>
      <c r="AA442" s="6">
        <v>6</v>
      </c>
      <c r="AB442" s="6">
        <v>3722.84</v>
      </c>
      <c r="AC442" s="6">
        <v>0.2</v>
      </c>
      <c r="AD442" s="6">
        <v>17869.63</v>
      </c>
      <c r="AE442" s="6">
        <v>12163.8</v>
      </c>
      <c r="AF442" s="6">
        <v>5705.83</v>
      </c>
      <c r="AG442" s="6" t="s">
        <v>52</v>
      </c>
      <c r="AH442" s="6" t="str">
        <f t="shared" si="42"/>
        <v>Paid</v>
      </c>
      <c r="AI442" s="6" t="s">
        <v>134</v>
      </c>
      <c r="AJ442" s="6" t="str">
        <f t="shared" si="43"/>
        <v>Completed</v>
      </c>
      <c r="AK442" s="9" t="str">
        <f>_xlfn.TEXTJOIN("|",FALSE,A442,TEXT(B442,"mm-dd-yyyy"),TEXT(E442,"mm-dd-yyyy"),I442,J442,L442,N442,P442,R442,T442,V442,X442,Y442,AA442,AB442,AC442,AD442,AE442,AF442,AG442,AI442)</f>
        <v>ORD-2024-10441|04-02-2024|04-08-2024|CUST-9039|Vikram Iyer|Corporate|East|Odisha|Bhubaneswar|Technology|Machines|Basic Machines 610|Second Class|6|3722.84|0.2|17869.63|12163.8|5705.83|Paid|Completed</v>
      </c>
      <c r="AL442" s="27" t="str">
        <f>IF(COUNTIF($AK$2:AK442,AK442)&gt;1,"Remove exact duplicate copy","Keep")</f>
        <v>Keep</v>
      </c>
      <c r="AM442" s="9">
        <f t="shared" si="44"/>
        <v>1</v>
      </c>
      <c r="AN442" s="9" t="str">
        <f t="shared" si="45"/>
        <v>Unique</v>
      </c>
      <c r="AO442" s="9" t="str">
        <f t="shared" si="46"/>
        <v/>
      </c>
      <c r="AP442" s="9">
        <f t="shared" si="47"/>
        <v>0.2</v>
      </c>
      <c r="AQ442" s="10">
        <f t="shared" si="48"/>
        <v>17869.632000000001</v>
      </c>
      <c r="AR442" s="10">
        <f t="shared" si="49"/>
        <v>5705.8320000000022</v>
      </c>
      <c r="AS442" s="11">
        <f t="shared" si="50"/>
        <v>0.31930327384469931</v>
      </c>
      <c r="AT442" s="9">
        <f t="shared" si="51"/>
        <v>4</v>
      </c>
      <c r="AU442" s="9">
        <f t="shared" si="52"/>
        <v>2024</v>
      </c>
      <c r="AV442" s="9" t="b">
        <f t="shared" si="53"/>
        <v>0</v>
      </c>
      <c r="AW442" s="9" t="b">
        <f t="shared" si="54"/>
        <v>0</v>
      </c>
      <c r="AX442" s="9" t="str">
        <f t="shared" si="55"/>
        <v>Yes</v>
      </c>
      <c r="AY442" s="9" t="str">
        <f t="shared" si="61"/>
        <v/>
      </c>
      <c r="AZ442" s="9" t="str">
        <f>IF(OR(G442="Missing date",G442="Invalid date",G442="Ship date before order date",NOT(ISNUMBER(AP442)),AP442&lt;0,AP442&gt;0.5,AV442=TRUE,AW442=TRUE),"Invalid",IF(OR(O442="Unknown",Z442="Unknown",AC442="",AH442&lt;&gt;"Paid",AJ442&lt;&gt;"Completed",AO442&lt;&gt;""),"Warning","Clean"))</f>
        <v>Clean</v>
      </c>
    </row>
    <row r="443" spans="1:52" ht="15.75" customHeight="1">
      <c r="A443" s="6" t="s">
        <v>2263</v>
      </c>
      <c r="B443" s="7" t="s">
        <v>2264</v>
      </c>
      <c r="C443" s="7" t="str">
        <f t="shared" si="60"/>
        <v>2024-10</v>
      </c>
      <c r="D443" s="7" cm="1">
        <f t="array" ref="D443">_xlfn.LET(_xlpm.x,B443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45568</v>
      </c>
      <c r="E443" s="7" t="s">
        <v>602</v>
      </c>
      <c r="F443" s="7" cm="1">
        <f t="array" ref="F443">_xlfn.LET(_xlpm.x,E443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45568</v>
      </c>
      <c r="G443" s="8" t="str">
        <f t="shared" si="32"/>
        <v>OK</v>
      </c>
      <c r="H443" s="6">
        <f t="shared" si="33"/>
        <v>0</v>
      </c>
      <c r="I443" s="6" t="s">
        <v>2265</v>
      </c>
      <c r="J443" s="6" t="s">
        <v>129</v>
      </c>
      <c r="K443" s="6" t="str">
        <f t="shared" si="34"/>
        <v>Karan Malhotra</v>
      </c>
      <c r="L443" s="6" t="s">
        <v>43</v>
      </c>
      <c r="M443" s="8" t="str">
        <f t="shared" si="35"/>
        <v>Consumer</v>
      </c>
      <c r="N443" s="6" t="s">
        <v>8</v>
      </c>
      <c r="O443" s="6" t="str">
        <f t="shared" si="36"/>
        <v>East</v>
      </c>
      <c r="P443" s="6" t="s">
        <v>263</v>
      </c>
      <c r="Q443" s="6" t="str">
        <f t="shared" si="37"/>
        <v>Bihar</v>
      </c>
      <c r="R443" s="6" t="s">
        <v>264</v>
      </c>
      <c r="S443" s="6" t="str">
        <f t="shared" si="38"/>
        <v>Patna</v>
      </c>
      <c r="T443" s="6" t="s">
        <v>14</v>
      </c>
      <c r="U443" s="8" t="str">
        <f t="shared" si="39"/>
        <v>Furniture</v>
      </c>
      <c r="V443" s="6" t="s">
        <v>15</v>
      </c>
      <c r="W443" s="6" t="str">
        <f t="shared" si="40"/>
        <v>Bookcases</v>
      </c>
      <c r="X443" s="6" t="s">
        <v>2266</v>
      </c>
      <c r="Y443" s="6" t="s">
        <v>34</v>
      </c>
      <c r="Z443" s="6" t="str">
        <f t="shared" si="41"/>
        <v>Standard Class</v>
      </c>
      <c r="AA443" s="6">
        <v>6</v>
      </c>
      <c r="AB443" s="6">
        <v>4217.49</v>
      </c>
      <c r="AC443" s="6">
        <v>0</v>
      </c>
      <c r="AD443" s="6">
        <v>25304.94</v>
      </c>
      <c r="AE443" s="6">
        <v>20771.95</v>
      </c>
      <c r="AF443" s="6">
        <v>4532.99</v>
      </c>
      <c r="AG443" s="6" t="s">
        <v>52</v>
      </c>
      <c r="AH443" s="6" t="str">
        <f t="shared" si="42"/>
        <v>Paid</v>
      </c>
      <c r="AI443" s="6" t="s">
        <v>58</v>
      </c>
      <c r="AJ443" s="6" t="str">
        <f t="shared" si="43"/>
        <v>Cancelled</v>
      </c>
      <c r="AK443" s="9" t="str">
        <f>_xlfn.TEXTJOIN("|",FALSE,A443,TEXT(B443,"mm-dd-yyyy"),TEXT(E443,"mm-dd-yyyy"),I443,J443,L443,N443,P443,R443,T443,V443,X443,Y443,AA443,AB443,AC443,AD443,AE443,AF443,AG443,AI443)</f>
        <v>ORD-2024-10442|03-10-2024|10-03-2024|CUST-3975|Karan Malhotra|Consumer|East|Bihar|Patna|Furniture|Bookcases|Elite Bookcases 393|Standard Class|6|4217.49|0|25304.94|20771.95|4532.99|Paid|Cancelled</v>
      </c>
      <c r="AL443" s="27" t="str">
        <f>IF(COUNTIF($AK$2:AK443,AK443)&gt;1,"Remove exact duplicate copy","Keep")</f>
        <v>Keep</v>
      </c>
      <c r="AM443" s="9">
        <f t="shared" si="44"/>
        <v>1</v>
      </c>
      <c r="AN443" s="9" t="str">
        <f t="shared" si="45"/>
        <v>Unique</v>
      </c>
      <c r="AO443" s="9" t="str">
        <f t="shared" si="46"/>
        <v/>
      </c>
      <c r="AP443" s="9">
        <f t="shared" si="47"/>
        <v>0</v>
      </c>
      <c r="AQ443" s="10">
        <f t="shared" si="48"/>
        <v>25304.94</v>
      </c>
      <c r="AR443" s="10">
        <f t="shared" si="49"/>
        <v>4532.989999999998</v>
      </c>
      <c r="AS443" s="11">
        <f t="shared" si="50"/>
        <v>0.17913458795002077</v>
      </c>
      <c r="AT443" s="9">
        <f t="shared" si="51"/>
        <v>10</v>
      </c>
      <c r="AU443" s="9">
        <f t="shared" si="52"/>
        <v>2024</v>
      </c>
      <c r="AV443" s="9" t="b">
        <f t="shared" si="53"/>
        <v>0</v>
      </c>
      <c r="AW443" s="9" t="b">
        <f t="shared" si="54"/>
        <v>0</v>
      </c>
      <c r="AX443" s="9" t="str">
        <f t="shared" si="55"/>
        <v>No</v>
      </c>
      <c r="AY443" s="9" t="str">
        <f t="shared" si="61"/>
        <v>Cancelled order excluded</v>
      </c>
      <c r="AZ443" s="9" t="str">
        <f>IF(OR(G443="Missing date",G443="Invalid date",G443="Ship date before order date",NOT(ISNUMBER(AP443)),AP443&lt;0,AP443&gt;0.5,AV443=TRUE,AW443=TRUE),"Invalid",IF(OR(O443="Unknown",Z443="Unknown",AC443="",AH443&lt;&gt;"Paid",AJ443&lt;&gt;"Completed",AO443&lt;&gt;""),"Warning","Clean"))</f>
        <v>Warning</v>
      </c>
    </row>
    <row r="444" spans="1:52" ht="15.75" customHeight="1">
      <c r="A444" s="6" t="s">
        <v>2267</v>
      </c>
      <c r="B444" s="7" t="s">
        <v>2268</v>
      </c>
      <c r="C444" s="7" t="str">
        <f t="shared" si="60"/>
        <v>2025-01</v>
      </c>
      <c r="D444" s="7" cm="1">
        <f t="array" ref="D444">_xlfn.LET(_xlpm.x,B444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45669</v>
      </c>
      <c r="E444" s="7" t="s">
        <v>2269</v>
      </c>
      <c r="F444" s="7" cm="1">
        <f t="array" ref="F444">_xlfn.LET(_xlpm.x,E444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45676</v>
      </c>
      <c r="G444" s="8" t="str">
        <f t="shared" si="32"/>
        <v>OK</v>
      </c>
      <c r="H444" s="6">
        <f t="shared" si="33"/>
        <v>7</v>
      </c>
      <c r="I444" s="6" t="s">
        <v>2270</v>
      </c>
      <c r="J444" s="6" t="s">
        <v>239</v>
      </c>
      <c r="K444" s="6" t="str">
        <f t="shared" si="34"/>
        <v>Aarav Sharma</v>
      </c>
      <c r="L444" s="6" t="s">
        <v>43</v>
      </c>
      <c r="M444" s="8" t="str">
        <f t="shared" si="35"/>
        <v>Consumer</v>
      </c>
      <c r="N444" s="6" t="s">
        <v>8</v>
      </c>
      <c r="O444" s="6" t="str">
        <f t="shared" si="36"/>
        <v>East</v>
      </c>
      <c r="P444" s="6" t="s">
        <v>385</v>
      </c>
      <c r="Q444" s="6" t="str">
        <f t="shared" si="37"/>
        <v>Jharkhand</v>
      </c>
      <c r="R444" s="6" t="s">
        <v>386</v>
      </c>
      <c r="S444" s="6" t="str">
        <f t="shared" si="38"/>
        <v>Ranchi</v>
      </c>
      <c r="T444" s="6" t="s">
        <v>14</v>
      </c>
      <c r="U444" s="8" t="str">
        <f t="shared" si="39"/>
        <v>Furniture</v>
      </c>
      <c r="V444" s="6" t="s">
        <v>18</v>
      </c>
      <c r="W444" s="6" t="str">
        <f t="shared" si="40"/>
        <v>Tables</v>
      </c>
      <c r="X444" s="6" t="s">
        <v>2271</v>
      </c>
      <c r="Y444" s="6" t="s">
        <v>35</v>
      </c>
      <c r="Z444" s="6" t="str">
        <f t="shared" si="41"/>
        <v>First Class</v>
      </c>
      <c r="AA444" s="6">
        <v>1</v>
      </c>
      <c r="AB444" s="6">
        <v>1842.31</v>
      </c>
      <c r="AC444" s="6">
        <v>0</v>
      </c>
      <c r="AD444" s="6">
        <v>1842.31</v>
      </c>
      <c r="AE444" s="6">
        <v>1019.17</v>
      </c>
      <c r="AF444" s="6">
        <v>823.14</v>
      </c>
      <c r="AG444" s="6" t="s">
        <v>52</v>
      </c>
      <c r="AH444" s="6" t="str">
        <f t="shared" si="42"/>
        <v>Paid</v>
      </c>
      <c r="AI444" s="6" t="s">
        <v>134</v>
      </c>
      <c r="AJ444" s="6" t="str">
        <f t="shared" si="43"/>
        <v>Completed</v>
      </c>
      <c r="AK444" s="9" t="str">
        <f>_xlfn.TEXTJOIN("|",FALSE,A444,TEXT(B444,"mm-dd-yyyy"),TEXT(E444,"mm-dd-yyyy"),I444,J444,L444,N444,P444,R444,T444,V444,X444,Y444,AA444,AB444,AC444,AD444,AE444,AF444,AG444,AI444)</f>
        <v>ORD-2025-10443|01-12-2025|01-19-2025|CUST-6588|Aarav Sharma|Consumer|East|Jharkhand|Ranchi|Furniture|Tables|Prime Tables 242|First Class|1|1842.31|0|1842.31|1019.17|823.14|Paid|Completed</v>
      </c>
      <c r="AL444" s="27" t="str">
        <f>IF(COUNTIF($AK$2:AK444,AK444)&gt;1,"Remove exact duplicate copy","Keep")</f>
        <v>Keep</v>
      </c>
      <c r="AM444" s="9">
        <f t="shared" si="44"/>
        <v>1</v>
      </c>
      <c r="AN444" s="9" t="str">
        <f t="shared" si="45"/>
        <v>Unique</v>
      </c>
      <c r="AO444" s="9" t="str">
        <f t="shared" si="46"/>
        <v/>
      </c>
      <c r="AP444" s="9">
        <f t="shared" si="47"/>
        <v>0</v>
      </c>
      <c r="AQ444" s="10">
        <f t="shared" si="48"/>
        <v>1842.31</v>
      </c>
      <c r="AR444" s="10">
        <f t="shared" si="49"/>
        <v>823.14</v>
      </c>
      <c r="AS444" s="11">
        <f t="shared" si="50"/>
        <v>0.44679777019068451</v>
      </c>
      <c r="AT444" s="9">
        <f t="shared" si="51"/>
        <v>1</v>
      </c>
      <c r="AU444" s="9">
        <f t="shared" si="52"/>
        <v>2025</v>
      </c>
      <c r="AV444" s="9" t="b">
        <f t="shared" si="53"/>
        <v>0</v>
      </c>
      <c r="AW444" s="9" t="b">
        <f t="shared" si="54"/>
        <v>0</v>
      </c>
      <c r="AX444" s="9" t="str">
        <f t="shared" si="55"/>
        <v>Yes</v>
      </c>
      <c r="AY444" s="9" t="str">
        <f t="shared" si="61"/>
        <v/>
      </c>
      <c r="AZ444" s="9" t="str">
        <f>IF(OR(G444="Missing date",G444="Invalid date",G444="Ship date before order date",NOT(ISNUMBER(AP444)),AP444&lt;0,AP444&gt;0.5,AV444=TRUE,AW444=TRUE),"Invalid",IF(OR(O444="Unknown",Z444="Unknown",AC444="",AH444&lt;&gt;"Paid",AJ444&lt;&gt;"Completed",AO444&lt;&gt;""),"Warning","Clean"))</f>
        <v>Clean</v>
      </c>
    </row>
    <row r="445" spans="1:52" ht="15.75" customHeight="1">
      <c r="A445" s="6" t="s">
        <v>2272</v>
      </c>
      <c r="B445" s="7" t="s">
        <v>2273</v>
      </c>
      <c r="C445" s="7" t="str">
        <f t="shared" si="60"/>
        <v>2024-04</v>
      </c>
      <c r="D445" s="7" cm="1">
        <f t="array" ref="D445">_xlfn.LET(_xlpm.x,B445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45386</v>
      </c>
      <c r="E445" s="7" t="s">
        <v>1981</v>
      </c>
      <c r="F445" s="7" cm="1">
        <f t="array" ref="F445">_xlfn.LET(_xlpm.x,E445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45389</v>
      </c>
      <c r="G445" s="8" t="str">
        <f t="shared" si="32"/>
        <v>OK</v>
      </c>
      <c r="H445" s="6">
        <f t="shared" si="33"/>
        <v>3</v>
      </c>
      <c r="I445" s="6" t="s">
        <v>2274</v>
      </c>
      <c r="J445" s="6" t="s">
        <v>257</v>
      </c>
      <c r="K445" s="6" t="str">
        <f t="shared" si="34"/>
        <v>Rohan Mehta</v>
      </c>
      <c r="L445" s="6" t="s">
        <v>44</v>
      </c>
      <c r="M445" s="8" t="str">
        <f t="shared" si="35"/>
        <v>Home Office</v>
      </c>
      <c r="N445" s="6" t="s">
        <v>8</v>
      </c>
      <c r="O445" s="6" t="str">
        <f t="shared" si="36"/>
        <v>East</v>
      </c>
      <c r="P445" s="6" t="s">
        <v>140</v>
      </c>
      <c r="Q445" s="6" t="str">
        <f t="shared" si="37"/>
        <v>Odisha</v>
      </c>
      <c r="R445" s="6" t="s">
        <v>141</v>
      </c>
      <c r="S445" s="6" t="str">
        <f t="shared" si="38"/>
        <v>Bhubaneswar</v>
      </c>
      <c r="T445" s="6" t="s">
        <v>14</v>
      </c>
      <c r="U445" s="8" t="str">
        <f t="shared" si="39"/>
        <v>Furniture</v>
      </c>
      <c r="V445" s="6" t="s">
        <v>17</v>
      </c>
      <c r="W445" s="6" t="str">
        <f t="shared" si="40"/>
        <v>Furnishings</v>
      </c>
      <c r="X445" s="6" t="s">
        <v>2275</v>
      </c>
      <c r="Y445" s="6" t="s">
        <v>35</v>
      </c>
      <c r="Z445" s="6" t="str">
        <f t="shared" si="41"/>
        <v>First Class</v>
      </c>
      <c r="AA445" s="6">
        <v>1</v>
      </c>
      <c r="AB445" s="6">
        <v>3683.75</v>
      </c>
      <c r="AC445" s="6">
        <v>0.1</v>
      </c>
      <c r="AD445" s="6">
        <v>3315.38</v>
      </c>
      <c r="AE445" s="6">
        <v>2347.6799999999998</v>
      </c>
      <c r="AF445" s="6">
        <v>967.7</v>
      </c>
      <c r="AG445" s="6" t="s">
        <v>52</v>
      </c>
      <c r="AH445" s="6" t="str">
        <f t="shared" si="42"/>
        <v>Paid</v>
      </c>
      <c r="AI445" s="6" t="s">
        <v>134</v>
      </c>
      <c r="AJ445" s="6" t="str">
        <f t="shared" si="43"/>
        <v>Completed</v>
      </c>
      <c r="AK445" s="9" t="str">
        <f>_xlfn.TEXTJOIN("|",FALSE,A445,TEXT(B445,"mm-dd-yyyy"),TEXT(E445,"mm-dd-yyyy"),I445,J445,L445,N445,P445,R445,T445,V445,X445,Y445,AA445,AB445,AC445,AD445,AE445,AF445,AG445,AI445)</f>
        <v>ORD-2024-10444|04-04-2024|04-07-2024|CUST-2207|Rohan Mehta|Home Office|East|Odisha|Bhubaneswar|Furniture|Furnishings|Basic Furnishings 563|First Class|1|3683.75|0.1|3315.38|2347.68|967.7|Paid|Completed</v>
      </c>
      <c r="AL445" s="27" t="str">
        <f>IF(COUNTIF($AK$2:AK445,AK445)&gt;1,"Remove exact duplicate copy","Keep")</f>
        <v>Keep</v>
      </c>
      <c r="AM445" s="9">
        <f t="shared" si="44"/>
        <v>1</v>
      </c>
      <c r="AN445" s="9" t="str">
        <f t="shared" si="45"/>
        <v>Unique</v>
      </c>
      <c r="AO445" s="9" t="str">
        <f t="shared" si="46"/>
        <v/>
      </c>
      <c r="AP445" s="9">
        <f t="shared" si="47"/>
        <v>0.1</v>
      </c>
      <c r="AQ445" s="10">
        <f t="shared" si="48"/>
        <v>3315.375</v>
      </c>
      <c r="AR445" s="10">
        <f t="shared" si="49"/>
        <v>967.69500000000016</v>
      </c>
      <c r="AS445" s="11">
        <f t="shared" si="50"/>
        <v>0.29188100893564084</v>
      </c>
      <c r="AT445" s="9">
        <f t="shared" si="51"/>
        <v>4</v>
      </c>
      <c r="AU445" s="9">
        <f t="shared" si="52"/>
        <v>2024</v>
      </c>
      <c r="AV445" s="9" t="b">
        <f t="shared" si="53"/>
        <v>0</v>
      </c>
      <c r="AW445" s="9" t="b">
        <f t="shared" si="54"/>
        <v>0</v>
      </c>
      <c r="AX445" s="9" t="str">
        <f t="shared" si="55"/>
        <v>Yes</v>
      </c>
      <c r="AY445" s="9" t="str">
        <f t="shared" si="61"/>
        <v/>
      </c>
      <c r="AZ445" s="9" t="str">
        <f>IF(OR(G445="Missing date",G445="Invalid date",G445="Ship date before order date",NOT(ISNUMBER(AP445)),AP445&lt;0,AP445&gt;0.5,AV445=TRUE,AW445=TRUE),"Invalid",IF(OR(O445="Unknown",Z445="Unknown",AC445="",AH445&lt;&gt;"Paid",AJ445&lt;&gt;"Completed",AO445&lt;&gt;""),"Warning","Clean"))</f>
        <v>Clean</v>
      </c>
    </row>
    <row r="446" spans="1:52" ht="15.75" customHeight="1">
      <c r="A446" s="6" t="s">
        <v>2276</v>
      </c>
      <c r="B446" s="7" t="s">
        <v>2277</v>
      </c>
      <c r="C446" s="7" t="str">
        <f t="shared" si="60"/>
        <v>2025-08</v>
      </c>
      <c r="D446" s="7" cm="1">
        <f t="array" ref="D446">_xlfn.LET(_xlpm.x,B446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45881</v>
      </c>
      <c r="E446" s="7" t="s">
        <v>1946</v>
      </c>
      <c r="F446" s="7" cm="1">
        <f t="array" ref="F446">_xlfn.LET(_xlpm.x,E446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45885</v>
      </c>
      <c r="G446" s="8" t="str">
        <f t="shared" si="32"/>
        <v>OK</v>
      </c>
      <c r="H446" s="6">
        <f t="shared" si="33"/>
        <v>4</v>
      </c>
      <c r="I446" s="6" t="s">
        <v>2278</v>
      </c>
      <c r="J446" s="6" t="s">
        <v>161</v>
      </c>
      <c r="K446" s="6" t="str">
        <f t="shared" si="34"/>
        <v>Ananya Rao</v>
      </c>
      <c r="L446" s="6" t="s">
        <v>43</v>
      </c>
      <c r="M446" s="8" t="str">
        <f t="shared" si="35"/>
        <v>Consumer</v>
      </c>
      <c r="N446" s="6" t="s">
        <v>8</v>
      </c>
      <c r="O446" s="6" t="str">
        <f t="shared" si="36"/>
        <v>East</v>
      </c>
      <c r="P446" s="6" t="s">
        <v>290</v>
      </c>
      <c r="Q446" s="6" t="str">
        <f t="shared" si="37"/>
        <v>Assam</v>
      </c>
      <c r="R446" s="6" t="s">
        <v>291</v>
      </c>
      <c r="S446" s="6" t="str">
        <f t="shared" si="38"/>
        <v>Guwahati</v>
      </c>
      <c r="T446" s="6" t="s">
        <v>27</v>
      </c>
      <c r="U446" s="8" t="str">
        <f t="shared" si="39"/>
        <v>Technology</v>
      </c>
      <c r="V446" s="6" t="s">
        <v>28</v>
      </c>
      <c r="W446" s="6" t="str">
        <f t="shared" si="40"/>
        <v>Accessories</v>
      </c>
      <c r="X446" s="6" t="s">
        <v>2279</v>
      </c>
      <c r="Y446" s="6" t="s">
        <v>37</v>
      </c>
      <c r="Z446" s="6" t="str">
        <f t="shared" si="41"/>
        <v>Same Day</v>
      </c>
      <c r="AA446" s="6">
        <v>9</v>
      </c>
      <c r="AB446" s="6">
        <v>2379.2399999999998</v>
      </c>
      <c r="AC446" s="6">
        <v>0.05</v>
      </c>
      <c r="AD446" s="6">
        <v>20342.5</v>
      </c>
      <c r="AE446" s="6">
        <v>12407.51</v>
      </c>
      <c r="AF446" s="6">
        <v>7934.99</v>
      </c>
      <c r="AG446" s="6" t="s">
        <v>52</v>
      </c>
      <c r="AH446" s="6" t="str">
        <f t="shared" si="42"/>
        <v>Paid</v>
      </c>
      <c r="AI446" s="6" t="s">
        <v>134</v>
      </c>
      <c r="AJ446" s="6" t="str">
        <f t="shared" si="43"/>
        <v>Completed</v>
      </c>
      <c r="AK446" s="9" t="str">
        <f>_xlfn.TEXTJOIN("|",FALSE,A446,TEXT(B446,"mm-dd-yyyy"),TEXT(E446,"mm-dd-yyyy"),I446,J446,L446,N446,P446,R446,T446,V446,X446,Y446,AA446,AB446,AC446,AD446,AE446,AF446,AG446,AI446)</f>
        <v>ORD-2025-10445|08-12-2025|08-16-2025|CUST-4475|Ananya Rao|Consumer|East|Assam|Guwahati|Technology|Accessories|Prime Accessories 482|Same Day|9|2379.24|0.05|20342.5|12407.51|7934.99|Paid|Completed</v>
      </c>
      <c r="AL446" s="27" t="str">
        <f>IF(COUNTIF($AK$2:AK446,AK446)&gt;1,"Remove exact duplicate copy","Keep")</f>
        <v>Keep</v>
      </c>
      <c r="AM446" s="9">
        <f t="shared" si="44"/>
        <v>1</v>
      </c>
      <c r="AN446" s="9" t="str">
        <f t="shared" si="45"/>
        <v>Unique</v>
      </c>
      <c r="AO446" s="9" t="str">
        <f t="shared" si="46"/>
        <v/>
      </c>
      <c r="AP446" s="9">
        <f t="shared" si="47"/>
        <v>0.05</v>
      </c>
      <c r="AQ446" s="10">
        <f t="shared" si="48"/>
        <v>20342.501999999997</v>
      </c>
      <c r="AR446" s="10">
        <f t="shared" si="49"/>
        <v>7934.9919999999966</v>
      </c>
      <c r="AS446" s="11">
        <f t="shared" si="50"/>
        <v>0.39006961877157481</v>
      </c>
      <c r="AT446" s="9">
        <f t="shared" si="51"/>
        <v>8</v>
      </c>
      <c r="AU446" s="9">
        <f t="shared" si="52"/>
        <v>2025</v>
      </c>
      <c r="AV446" s="9" t="b">
        <f t="shared" si="53"/>
        <v>0</v>
      </c>
      <c r="AW446" s="9" t="b">
        <f t="shared" si="54"/>
        <v>0</v>
      </c>
      <c r="AX446" s="9" t="str">
        <f t="shared" si="55"/>
        <v>Yes</v>
      </c>
      <c r="AY446" s="9" t="str">
        <f t="shared" si="61"/>
        <v/>
      </c>
      <c r="AZ446" s="9" t="str">
        <f>IF(OR(G446="Missing date",G446="Invalid date",G446="Ship date before order date",NOT(ISNUMBER(AP446)),AP446&lt;0,AP446&gt;0.5,AV446=TRUE,AW446=TRUE),"Invalid",IF(OR(O446="Unknown",Z446="Unknown",AC446="",AH446&lt;&gt;"Paid",AJ446&lt;&gt;"Completed",AO446&lt;&gt;""),"Warning","Clean"))</f>
        <v>Clean</v>
      </c>
    </row>
    <row r="447" spans="1:52" ht="15.75" customHeight="1">
      <c r="A447" s="6" t="s">
        <v>2280</v>
      </c>
      <c r="B447" s="7" t="s">
        <v>2281</v>
      </c>
      <c r="C447" s="7" t="str">
        <f t="shared" si="60"/>
        <v>2024-05</v>
      </c>
      <c r="D447" s="7" cm="1">
        <f t="array" ref="D447">_xlfn.LET(_xlpm.x,B447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45421</v>
      </c>
      <c r="E447" s="7" t="s">
        <v>2282</v>
      </c>
      <c r="F447" s="7" cm="1">
        <f t="array" ref="F447">_xlfn.LET(_xlpm.x,E447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45417</v>
      </c>
      <c r="G447" s="8" t="str">
        <f t="shared" si="32"/>
        <v>Ship date before order date</v>
      </c>
      <c r="H447" s="6">
        <f t="shared" si="33"/>
        <v>-4</v>
      </c>
      <c r="I447" s="6" t="s">
        <v>2283</v>
      </c>
      <c r="J447" s="6" t="s">
        <v>153</v>
      </c>
      <c r="K447" s="6" t="str">
        <f t="shared" si="34"/>
        <v>Arjun Bose</v>
      </c>
      <c r="L447" s="6" t="s">
        <v>43</v>
      </c>
      <c r="M447" s="8" t="str">
        <f t="shared" si="35"/>
        <v>Consumer</v>
      </c>
      <c r="N447" s="6" t="s">
        <v>8</v>
      </c>
      <c r="O447" s="6" t="str">
        <f t="shared" si="36"/>
        <v>East</v>
      </c>
      <c r="P447" s="6" t="s">
        <v>290</v>
      </c>
      <c r="Q447" s="6" t="str">
        <f t="shared" si="37"/>
        <v>Assam</v>
      </c>
      <c r="R447" s="6" t="s">
        <v>291</v>
      </c>
      <c r="S447" s="6" t="str">
        <f t="shared" si="38"/>
        <v>Guwahati</v>
      </c>
      <c r="T447" s="6" t="s">
        <v>14</v>
      </c>
      <c r="U447" s="8" t="str">
        <f t="shared" si="39"/>
        <v>Furniture</v>
      </c>
      <c r="V447" s="6" t="s">
        <v>15</v>
      </c>
      <c r="W447" s="6" t="str">
        <f t="shared" si="40"/>
        <v>Bookcases</v>
      </c>
      <c r="X447" s="6" t="s">
        <v>2284</v>
      </c>
      <c r="Y447" s="6" t="s">
        <v>37</v>
      </c>
      <c r="Z447" s="6" t="str">
        <f t="shared" si="41"/>
        <v>Same Day</v>
      </c>
      <c r="AA447" s="6">
        <v>2</v>
      </c>
      <c r="AB447" s="6">
        <v>2111.23</v>
      </c>
      <c r="AC447" s="6">
        <v>0.2</v>
      </c>
      <c r="AD447" s="6">
        <v>3377.97</v>
      </c>
      <c r="AE447" s="6">
        <v>2496.29</v>
      </c>
      <c r="AF447" s="6">
        <v>881.68</v>
      </c>
      <c r="AG447" s="6" t="s">
        <v>52</v>
      </c>
      <c r="AH447" s="6" t="str">
        <f t="shared" si="42"/>
        <v>Paid</v>
      </c>
      <c r="AI447" s="6" t="s">
        <v>134</v>
      </c>
      <c r="AJ447" s="6" t="str">
        <f t="shared" si="43"/>
        <v>Completed</v>
      </c>
      <c r="AK447" s="9" t="str">
        <f>_xlfn.TEXTJOIN("|",FALSE,A447,TEXT(B447,"mm-dd-yyyy"),TEXT(E447,"mm-dd-yyyy"),I447,J447,L447,N447,P447,R447,T447,V447,X447,Y447,AA447,AB447,AC447,AD447,AE447,AF447,AG447,AI447)</f>
        <v>ORD-2024-10446|05-09-2024|05-05-2024|CUST-1351|Arjun Bose|Consumer|East|Assam|Guwahati|Furniture|Bookcases|Eco Bookcases 215|Same Day|2|2111.23|0.2|3377.97|2496.29|881.68|Paid|Completed</v>
      </c>
      <c r="AL447" s="27" t="str">
        <f>IF(COUNTIF($AK$2:AK447,AK447)&gt;1,"Remove exact duplicate copy","Keep")</f>
        <v>Keep</v>
      </c>
      <c r="AM447" s="9">
        <f t="shared" si="44"/>
        <v>1</v>
      </c>
      <c r="AN447" s="9" t="str">
        <f t="shared" si="45"/>
        <v>Unique</v>
      </c>
      <c r="AO447" s="9" t="str">
        <f t="shared" si="46"/>
        <v/>
      </c>
      <c r="AP447" s="9">
        <f t="shared" si="47"/>
        <v>0.2</v>
      </c>
      <c r="AQ447" s="10">
        <f t="shared" si="48"/>
        <v>3377.9680000000003</v>
      </c>
      <c r="AR447" s="10">
        <f t="shared" si="49"/>
        <v>881.67800000000034</v>
      </c>
      <c r="AS447" s="11">
        <f t="shared" si="50"/>
        <v>0.26100839321154029</v>
      </c>
      <c r="AT447" s="9">
        <f t="shared" si="51"/>
        <v>5</v>
      </c>
      <c r="AU447" s="9">
        <f t="shared" si="52"/>
        <v>2024</v>
      </c>
      <c r="AV447" s="9" t="b">
        <f t="shared" si="53"/>
        <v>0</v>
      </c>
      <c r="AW447" s="9" t="b">
        <f t="shared" si="54"/>
        <v>0</v>
      </c>
      <c r="AX447" s="9" t="str">
        <f t="shared" si="55"/>
        <v>No</v>
      </c>
      <c r="AY447" s="9" t="str">
        <f t="shared" si="61"/>
        <v>Ship date before order date</v>
      </c>
      <c r="AZ447" s="9" t="str">
        <f>IF(OR(G447="Missing date",G447="Invalid date",G447="Ship date before order date",NOT(ISNUMBER(AP447)),AP447&lt;0,AP447&gt;0.5,AV447=TRUE,AW447=TRUE),"Invalid",IF(OR(O447="Unknown",Z447="Unknown",AC447="",AH447&lt;&gt;"Paid",AJ447&lt;&gt;"Completed",AO447&lt;&gt;""),"Warning","Clean"))</f>
        <v>Invalid</v>
      </c>
    </row>
    <row r="448" spans="1:52" ht="15.75" customHeight="1">
      <c r="A448" s="6" t="s">
        <v>2285</v>
      </c>
      <c r="B448" s="7" t="s">
        <v>2286</v>
      </c>
      <c r="C448" s="7" t="str">
        <f t="shared" si="60"/>
        <v>2025-09</v>
      </c>
      <c r="D448" s="7" cm="1">
        <f t="array" ref="D448">_xlfn.LET(_xlpm.x,B448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45918</v>
      </c>
      <c r="E448" s="7" t="s">
        <v>2287</v>
      </c>
      <c r="F448" s="7" cm="1">
        <f t="array" ref="F448">_xlfn.LET(_xlpm.x,E448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45919</v>
      </c>
      <c r="G448" s="8" t="str">
        <f t="shared" si="32"/>
        <v>OK</v>
      </c>
      <c r="H448" s="6">
        <f t="shared" si="33"/>
        <v>1</v>
      </c>
      <c r="I448" s="6" t="s">
        <v>2288</v>
      </c>
      <c r="J448" s="6" t="s">
        <v>245</v>
      </c>
      <c r="K448" s="6" t="str">
        <f t="shared" si="34"/>
        <v>Sneha Kapoor</v>
      </c>
      <c r="L448" s="6" t="s">
        <v>44</v>
      </c>
      <c r="M448" s="8" t="str">
        <f t="shared" si="35"/>
        <v>Home Office</v>
      </c>
      <c r="N448" s="6" t="s">
        <v>10</v>
      </c>
      <c r="O448" s="6" t="str">
        <f t="shared" si="36"/>
        <v>South</v>
      </c>
      <c r="P448" s="6" t="s">
        <v>183</v>
      </c>
      <c r="Q448" s="6" t="str">
        <f t="shared" si="37"/>
        <v>Andhra Pradesh</v>
      </c>
      <c r="R448" s="6" t="s">
        <v>184</v>
      </c>
      <c r="S448" s="6" t="str">
        <f t="shared" si="38"/>
        <v>Vijayawada</v>
      </c>
      <c r="T448" s="6" t="s">
        <v>20</v>
      </c>
      <c r="U448" s="8" t="str">
        <f t="shared" si="39"/>
        <v>Office Supplies</v>
      </c>
      <c r="V448" s="6" t="s">
        <v>25</v>
      </c>
      <c r="W448" s="6" t="str">
        <f t="shared" si="40"/>
        <v>Storage</v>
      </c>
      <c r="X448" s="6" t="s">
        <v>2289</v>
      </c>
      <c r="Y448" s="6" t="s">
        <v>37</v>
      </c>
      <c r="Z448" s="6" t="str">
        <f t="shared" si="41"/>
        <v>Same Day</v>
      </c>
      <c r="AA448" s="6">
        <v>8</v>
      </c>
      <c r="AB448" s="6">
        <v>4242.51</v>
      </c>
      <c r="AC448" s="6">
        <v>0</v>
      </c>
      <c r="AD448" s="6">
        <v>33940.080000000002</v>
      </c>
      <c r="AE448" s="6">
        <v>23754.19</v>
      </c>
      <c r="AF448" s="6">
        <v>10185.89</v>
      </c>
      <c r="AG448" s="6" t="s">
        <v>52</v>
      </c>
      <c r="AH448" s="6" t="str">
        <f t="shared" si="42"/>
        <v>Paid</v>
      </c>
      <c r="AI448" s="6" t="s">
        <v>134</v>
      </c>
      <c r="AJ448" s="6" t="str">
        <f t="shared" si="43"/>
        <v>Completed</v>
      </c>
      <c r="AK448" s="9" t="str">
        <f>_xlfn.TEXTJOIN("|",FALSE,A448,TEXT(B448,"mm-dd-yyyy"),TEXT(E448,"mm-dd-yyyy"),I448,J448,L448,N448,P448,R448,T448,V448,X448,Y448,AA448,AB448,AC448,AD448,AE448,AF448,AG448,AI448)</f>
        <v>ORD-2025-10447|18-09-2025|19-09-2025|CUST-9295|Sneha Kapoor|Home Office|South|Andhra Pradesh|Vijayawada|Office Supplies|Storage|Eco Storage 793|Same Day|8|4242.51|0|33940.08|23754.19|10185.89|Paid|Completed</v>
      </c>
      <c r="AL448" s="27" t="str">
        <f>IF(COUNTIF($AK$2:AK448,AK448)&gt;1,"Remove exact duplicate copy","Keep")</f>
        <v>Keep</v>
      </c>
      <c r="AM448" s="9">
        <f t="shared" si="44"/>
        <v>1</v>
      </c>
      <c r="AN448" s="9" t="str">
        <f t="shared" si="45"/>
        <v>Unique</v>
      </c>
      <c r="AO448" s="9" t="str">
        <f t="shared" si="46"/>
        <v/>
      </c>
      <c r="AP448" s="9">
        <f t="shared" si="47"/>
        <v>0</v>
      </c>
      <c r="AQ448" s="10">
        <f t="shared" si="48"/>
        <v>33940.080000000002</v>
      </c>
      <c r="AR448" s="10">
        <f t="shared" si="49"/>
        <v>10185.890000000003</v>
      </c>
      <c r="AS448" s="11">
        <f t="shared" si="50"/>
        <v>0.30011390662603044</v>
      </c>
      <c r="AT448" s="9">
        <f t="shared" si="51"/>
        <v>9</v>
      </c>
      <c r="AU448" s="9">
        <f t="shared" si="52"/>
        <v>2025</v>
      </c>
      <c r="AV448" s="9" t="b">
        <f t="shared" si="53"/>
        <v>0</v>
      </c>
      <c r="AW448" s="9" t="b">
        <f t="shared" si="54"/>
        <v>0</v>
      </c>
      <c r="AX448" s="9" t="str">
        <f t="shared" si="55"/>
        <v>Yes</v>
      </c>
      <c r="AY448" s="9" t="str">
        <f t="shared" si="61"/>
        <v/>
      </c>
      <c r="AZ448" s="9" t="str">
        <f>IF(OR(G448="Missing date",G448="Invalid date",G448="Ship date before order date",NOT(ISNUMBER(AP448)),AP448&lt;0,AP448&gt;0.5,AV448=TRUE,AW448=TRUE),"Invalid",IF(OR(O448="Unknown",Z448="Unknown",AC448="",AH448&lt;&gt;"Paid",AJ448&lt;&gt;"Completed",AO448&lt;&gt;""),"Warning","Clean"))</f>
        <v>Clean</v>
      </c>
    </row>
    <row r="449" spans="1:52" ht="15.75" customHeight="1">
      <c r="A449" s="6" t="s">
        <v>2290</v>
      </c>
      <c r="B449" s="7" t="s">
        <v>1026</v>
      </c>
      <c r="C449" s="7" t="str">
        <f t="shared" si="60"/>
        <v>2025-08</v>
      </c>
      <c r="D449" s="7" cm="1">
        <f t="array" ref="D449">_xlfn.LET(_xlpm.x,B449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45879</v>
      </c>
      <c r="E449" s="7" t="s">
        <v>2291</v>
      </c>
      <c r="F449" s="7" cm="1">
        <f t="array" ref="F449">_xlfn.LET(_xlpm.x,E449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45879</v>
      </c>
      <c r="G449" s="8" t="str">
        <f t="shared" si="32"/>
        <v>OK</v>
      </c>
      <c r="H449" s="6">
        <f t="shared" si="33"/>
        <v>0</v>
      </c>
      <c r="I449" s="6" t="s">
        <v>2292</v>
      </c>
      <c r="J449" s="6" t="s">
        <v>257</v>
      </c>
      <c r="K449" s="6" t="str">
        <f t="shared" si="34"/>
        <v>Rohan Mehta</v>
      </c>
      <c r="L449" s="6" t="s">
        <v>44</v>
      </c>
      <c r="M449" s="8" t="str">
        <f t="shared" si="35"/>
        <v>Home Office</v>
      </c>
      <c r="N449" s="6" t="s">
        <v>10</v>
      </c>
      <c r="O449" s="6" t="str">
        <f t="shared" si="36"/>
        <v>South</v>
      </c>
      <c r="P449" s="6" t="s">
        <v>154</v>
      </c>
      <c r="Q449" s="6" t="str">
        <f t="shared" si="37"/>
        <v>Telangana</v>
      </c>
      <c r="R449" s="6" t="s">
        <v>155</v>
      </c>
      <c r="S449" s="6" t="str">
        <f t="shared" si="38"/>
        <v>Hyderabad</v>
      </c>
      <c r="T449" s="6" t="s">
        <v>14</v>
      </c>
      <c r="U449" s="8" t="str">
        <f t="shared" si="39"/>
        <v>Furniture</v>
      </c>
      <c r="V449" s="6" t="s">
        <v>15</v>
      </c>
      <c r="W449" s="6" t="str">
        <f t="shared" si="40"/>
        <v>Bookcases</v>
      </c>
      <c r="X449" s="6" t="s">
        <v>2293</v>
      </c>
      <c r="Y449" s="6" t="s">
        <v>34</v>
      </c>
      <c r="Z449" s="6" t="str">
        <f t="shared" si="41"/>
        <v>Standard Class</v>
      </c>
      <c r="AA449" s="6">
        <v>6</v>
      </c>
      <c r="AB449" s="6">
        <v>4288.7</v>
      </c>
      <c r="AC449" s="6">
        <v>0.15</v>
      </c>
      <c r="AD449" s="6">
        <v>21872.37</v>
      </c>
      <c r="AE449" s="6">
        <v>13829.5</v>
      </c>
      <c r="AF449" s="6">
        <v>8042.87</v>
      </c>
      <c r="AG449" s="6" t="s">
        <v>54</v>
      </c>
      <c r="AH449" s="6" t="str">
        <f t="shared" si="42"/>
        <v>Pending</v>
      </c>
      <c r="AI449" s="6" t="s">
        <v>59</v>
      </c>
      <c r="AJ449" s="6" t="str">
        <f t="shared" si="43"/>
        <v>Returned</v>
      </c>
      <c r="AK449" s="9" t="str">
        <f>_xlfn.TEXTJOIN("|",FALSE,A449,TEXT(B449,"mm-dd-yyyy"),TEXT(E449,"mm-dd-yyyy"),I449,J449,L449,N449,P449,R449,T449,V449,X449,Y449,AA449,AB449,AC449,AD449,AE449,AF449,AG449,AI449)</f>
        <v>ORD-2025-10448|10-08-2025|08-10-2025|CUST-3614|Rohan Mehta|Home Office|South|Telangana|Hyderabad|Furniture|Bookcases|Basic Bookcases 182|Standard Class|6|4288.7|0.15|21872.37|13829.5|8042.87|Pending|Returned</v>
      </c>
      <c r="AL449" s="27" t="str">
        <f>IF(COUNTIF($AK$2:AK449,AK449)&gt;1,"Remove exact duplicate copy","Keep")</f>
        <v>Keep</v>
      </c>
      <c r="AM449" s="9">
        <f t="shared" si="44"/>
        <v>1</v>
      </c>
      <c r="AN449" s="9" t="str">
        <f t="shared" si="45"/>
        <v>Unique</v>
      </c>
      <c r="AO449" s="9" t="str">
        <f t="shared" si="46"/>
        <v/>
      </c>
      <c r="AP449" s="9">
        <f t="shared" si="47"/>
        <v>0.15</v>
      </c>
      <c r="AQ449" s="10">
        <f t="shared" si="48"/>
        <v>21872.369999999995</v>
      </c>
      <c r="AR449" s="10">
        <f t="shared" si="49"/>
        <v>8042.8699999999953</v>
      </c>
      <c r="AS449" s="11">
        <f t="shared" si="50"/>
        <v>0.36771826738483288</v>
      </c>
      <c r="AT449" s="9">
        <f t="shared" si="51"/>
        <v>8</v>
      </c>
      <c r="AU449" s="9">
        <f t="shared" si="52"/>
        <v>2025</v>
      </c>
      <c r="AV449" s="9" t="b">
        <f t="shared" si="53"/>
        <v>0</v>
      </c>
      <c r="AW449" s="9" t="b">
        <f t="shared" si="54"/>
        <v>0</v>
      </c>
      <c r="AX449" s="9" t="str">
        <f t="shared" si="55"/>
        <v>No</v>
      </c>
      <c r="AY449" s="9" t="str">
        <f t="shared" si="61"/>
        <v>Returned order excluded</v>
      </c>
      <c r="AZ449" s="9" t="str">
        <f>IF(OR(G449="Missing date",G449="Invalid date",G449="Ship date before order date",NOT(ISNUMBER(AP449)),AP449&lt;0,AP449&gt;0.5,AV449=TRUE,AW449=TRUE),"Invalid",IF(OR(O449="Unknown",Z449="Unknown",AC449="",AH449&lt;&gt;"Paid",AJ449&lt;&gt;"Completed",AO449&lt;&gt;""),"Warning","Clean"))</f>
        <v>Warning</v>
      </c>
    </row>
    <row r="450" spans="1:52" ht="15.75" customHeight="1">
      <c r="A450" s="6" t="s">
        <v>2294</v>
      </c>
      <c r="B450" s="7" t="s">
        <v>2295</v>
      </c>
      <c r="C450" s="7" t="str">
        <f t="shared" ref="C450:C513" si="62">TEXT(D450, "yyyy-mm")</f>
        <v>2024-01</v>
      </c>
      <c r="D450" s="7" cm="1">
        <f t="array" ref="D450">_xlfn.LET(_xlpm.x,B450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45306</v>
      </c>
      <c r="E450" s="7" t="s">
        <v>401</v>
      </c>
      <c r="F450" s="7" cm="1">
        <f t="array" ref="F450">_xlfn.LET(_xlpm.x,E450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45309</v>
      </c>
      <c r="G450" s="8" t="str">
        <f t="shared" si="32"/>
        <v>OK</v>
      </c>
      <c r="H450" s="6">
        <f t="shared" si="33"/>
        <v>3</v>
      </c>
      <c r="I450" s="6" t="s">
        <v>2296</v>
      </c>
      <c r="J450" s="6" t="s">
        <v>139</v>
      </c>
      <c r="K450" s="6" t="str">
        <f t="shared" si="34"/>
        <v>Mira Das</v>
      </c>
      <c r="L450" s="6" t="s">
        <v>46</v>
      </c>
      <c r="M450" s="8" t="str">
        <f t="shared" si="35"/>
        <v>Small Business</v>
      </c>
      <c r="N450" s="6" t="s">
        <v>10</v>
      </c>
      <c r="O450" s="6" t="str">
        <f t="shared" si="36"/>
        <v>South</v>
      </c>
      <c r="P450" s="6" t="s">
        <v>183</v>
      </c>
      <c r="Q450" s="6" t="str">
        <f t="shared" si="37"/>
        <v>Andhra Pradesh</v>
      </c>
      <c r="R450" s="6" t="s">
        <v>184</v>
      </c>
      <c r="S450" s="6" t="str">
        <f t="shared" si="38"/>
        <v>Vijayawada</v>
      </c>
      <c r="T450" s="6" t="s">
        <v>14</v>
      </c>
      <c r="U450" s="8" t="str">
        <f t="shared" si="39"/>
        <v>Furniture</v>
      </c>
      <c r="V450" s="6" t="s">
        <v>16</v>
      </c>
      <c r="W450" s="6" t="str">
        <f t="shared" si="40"/>
        <v>Chairs</v>
      </c>
      <c r="X450" s="6" t="s">
        <v>2297</v>
      </c>
      <c r="Y450" s="6" t="s">
        <v>35</v>
      </c>
      <c r="Z450" s="6" t="str">
        <f t="shared" si="41"/>
        <v>First Class</v>
      </c>
      <c r="AA450" s="6">
        <v>2</v>
      </c>
      <c r="AB450" s="6">
        <v>201.21</v>
      </c>
      <c r="AC450" s="6">
        <v>0.15</v>
      </c>
      <c r="AD450" s="6">
        <v>342.06</v>
      </c>
      <c r="AE450" s="6">
        <v>244.57</v>
      </c>
      <c r="AF450" s="6">
        <v>97.49</v>
      </c>
      <c r="AG450" s="6" t="s">
        <v>52</v>
      </c>
      <c r="AH450" s="6" t="str">
        <f t="shared" si="42"/>
        <v>Paid</v>
      </c>
      <c r="AI450" s="6" t="s">
        <v>134</v>
      </c>
      <c r="AJ450" s="6" t="str">
        <f t="shared" si="43"/>
        <v>Completed</v>
      </c>
      <c r="AK450" s="9" t="str">
        <f>_xlfn.TEXTJOIN("|",FALSE,A450,TEXT(B450,"mm-dd-yyyy"),TEXT(E450,"mm-dd-yyyy"),I450,J450,L450,N450,P450,R450,T450,V450,X450,Y450,AA450,AB450,AC450,AD450,AE450,AF450,AG450,AI450)</f>
        <v>ORD-2024-10449|01-15-2024|01-18-2024|CUST-1932|Mira Das|Small Business|South|Andhra Pradesh|Vijayawada|Furniture|Chairs|Prime Chairs 631|First Class|2|201.21|0.15|342.06|244.57|97.49|Paid|Completed</v>
      </c>
      <c r="AL450" s="27" t="str">
        <f>IF(COUNTIF($AK$2:AK450,AK450)&gt;1,"Remove exact duplicate copy","Keep")</f>
        <v>Keep</v>
      </c>
      <c r="AM450" s="9">
        <f t="shared" si="44"/>
        <v>1</v>
      </c>
      <c r="AN450" s="9" t="str">
        <f t="shared" si="45"/>
        <v>Unique</v>
      </c>
      <c r="AO450" s="9" t="str">
        <f t="shared" si="46"/>
        <v/>
      </c>
      <c r="AP450" s="9">
        <f t="shared" si="47"/>
        <v>0.15</v>
      </c>
      <c r="AQ450" s="10">
        <f t="shared" si="48"/>
        <v>342.05700000000002</v>
      </c>
      <c r="AR450" s="10">
        <f t="shared" si="49"/>
        <v>97.487000000000023</v>
      </c>
      <c r="AS450" s="11">
        <f t="shared" si="50"/>
        <v>0.28500220723446684</v>
      </c>
      <c r="AT450" s="9">
        <f t="shared" si="51"/>
        <v>1</v>
      </c>
      <c r="AU450" s="9">
        <f t="shared" si="52"/>
        <v>2024</v>
      </c>
      <c r="AV450" s="9" t="b">
        <f t="shared" si="53"/>
        <v>0</v>
      </c>
      <c r="AW450" s="9" t="b">
        <f t="shared" si="54"/>
        <v>0</v>
      </c>
      <c r="AX450" s="9" t="str">
        <f t="shared" si="55"/>
        <v>Yes</v>
      </c>
      <c r="AY450" s="9" t="str">
        <f t="shared" si="61"/>
        <v/>
      </c>
      <c r="AZ450" s="9" t="str">
        <f>IF(OR(G450="Missing date",G450="Invalid date",G450="Ship date before order date",NOT(ISNUMBER(AP450)),AP450&lt;0,AP450&gt;0.5,AV450=TRUE,AW450=TRUE),"Invalid",IF(OR(O450="Unknown",Z450="Unknown",AC450="",AH450&lt;&gt;"Paid",AJ450&lt;&gt;"Completed",AO450&lt;&gt;""),"Warning","Clean"))</f>
        <v>Clean</v>
      </c>
    </row>
    <row r="451" spans="1:52" ht="15.75" customHeight="1">
      <c r="A451" s="6" t="s">
        <v>2298</v>
      </c>
      <c r="B451" s="7" t="s">
        <v>2299</v>
      </c>
      <c r="C451" s="7" t="str">
        <f t="shared" si="62"/>
        <v>2024-06</v>
      </c>
      <c r="D451" s="7" cm="1">
        <f t="array" ref="D451">_xlfn.LET(_xlpm.x,B451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45449</v>
      </c>
      <c r="E451" s="7" t="s">
        <v>2300</v>
      </c>
      <c r="F451" s="7" cm="1">
        <f t="array" ref="F451">_xlfn.LET(_xlpm.x,E451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45456</v>
      </c>
      <c r="G451" s="8" t="str">
        <f t="shared" si="32"/>
        <v>OK</v>
      </c>
      <c r="H451" s="6">
        <f t="shared" si="33"/>
        <v>7</v>
      </c>
      <c r="I451" s="6" t="s">
        <v>2131</v>
      </c>
      <c r="J451" s="6" t="s">
        <v>190</v>
      </c>
      <c r="K451" s="6" t="str">
        <f t="shared" si="34"/>
        <v>Aditi Sen</v>
      </c>
      <c r="L451" s="6" t="s">
        <v>45</v>
      </c>
      <c r="M451" s="8" t="str">
        <f t="shared" si="35"/>
        <v>Corporate</v>
      </c>
      <c r="N451" s="6" t="s">
        <v>8</v>
      </c>
      <c r="O451" s="6" t="str">
        <f t="shared" si="36"/>
        <v>East</v>
      </c>
      <c r="P451" s="6" t="s">
        <v>290</v>
      </c>
      <c r="Q451" s="6" t="str">
        <f t="shared" si="37"/>
        <v>Assam</v>
      </c>
      <c r="R451" s="6" t="s">
        <v>291</v>
      </c>
      <c r="S451" s="6" t="str">
        <f t="shared" si="38"/>
        <v>Guwahati</v>
      </c>
      <c r="T451" s="6" t="s">
        <v>27</v>
      </c>
      <c r="U451" s="8" t="str">
        <f t="shared" si="39"/>
        <v>Technology</v>
      </c>
      <c r="V451" s="6" t="s">
        <v>30</v>
      </c>
      <c r="W451" s="6" t="str">
        <f t="shared" si="40"/>
        <v>Machines</v>
      </c>
      <c r="X451" s="6" t="s">
        <v>2301</v>
      </c>
      <c r="Y451" s="6" t="s">
        <v>36</v>
      </c>
      <c r="Z451" s="6" t="str">
        <f t="shared" si="41"/>
        <v>Second Class</v>
      </c>
      <c r="AA451" s="6">
        <v>6</v>
      </c>
      <c r="AB451" s="6">
        <v>3270.36</v>
      </c>
      <c r="AC451" s="6">
        <v>0</v>
      </c>
      <c r="AD451" s="6">
        <v>19622.16</v>
      </c>
      <c r="AE451" s="6">
        <v>14271.27</v>
      </c>
      <c r="AF451" s="6">
        <v>5350.89</v>
      </c>
      <c r="AG451" s="6" t="s">
        <v>52</v>
      </c>
      <c r="AH451" s="6" t="str">
        <f t="shared" si="42"/>
        <v>Paid</v>
      </c>
      <c r="AI451" s="6" t="s">
        <v>134</v>
      </c>
      <c r="AJ451" s="6" t="str">
        <f t="shared" si="43"/>
        <v>Completed</v>
      </c>
      <c r="AK451" s="9" t="str">
        <f>_xlfn.TEXTJOIN("|",FALSE,A451,TEXT(B451,"mm-dd-yyyy"),TEXT(E451,"mm-dd-yyyy"),I451,J451,L451,N451,P451,R451,T451,V451,X451,Y451,AA451,AB451,AC451,AD451,AE451,AF451,AG451,AI451)</f>
        <v>ORD-2024-10450|06-06-2024|06-13-2024|CUST-5094|Aditi Sen|Corporate|East|Assam|Guwahati|Technology|Machines|Basic Machines 808|Second Class|6|3270.36|0|19622.16|14271.27|5350.89|Paid|Completed</v>
      </c>
      <c r="AL451" s="27" t="str">
        <f>IF(COUNTIF($AK$2:AK451,AK451)&gt;1,"Remove exact duplicate copy","Keep")</f>
        <v>Keep</v>
      </c>
      <c r="AM451" s="9">
        <f t="shared" si="44"/>
        <v>1</v>
      </c>
      <c r="AN451" s="9" t="str">
        <f t="shared" si="45"/>
        <v>Unique</v>
      </c>
      <c r="AO451" s="9" t="str">
        <f t="shared" si="46"/>
        <v/>
      </c>
      <c r="AP451" s="9">
        <f t="shared" si="47"/>
        <v>0</v>
      </c>
      <c r="AQ451" s="10">
        <f t="shared" si="48"/>
        <v>19622.16</v>
      </c>
      <c r="AR451" s="10">
        <f t="shared" si="49"/>
        <v>5350.8899999999994</v>
      </c>
      <c r="AS451" s="11">
        <f t="shared" si="50"/>
        <v>0.27269627808559299</v>
      </c>
      <c r="AT451" s="9">
        <f t="shared" si="51"/>
        <v>6</v>
      </c>
      <c r="AU451" s="9">
        <f t="shared" si="52"/>
        <v>2024</v>
      </c>
      <c r="AV451" s="9" t="b">
        <f t="shared" si="53"/>
        <v>0</v>
      </c>
      <c r="AW451" s="9" t="b">
        <f t="shared" si="54"/>
        <v>0</v>
      </c>
      <c r="AX451" s="9" t="str">
        <f t="shared" si="55"/>
        <v>Yes</v>
      </c>
      <c r="AY451" s="9" t="str">
        <f t="shared" ref="AY451:AY514" si="63">_xlfn.TEXTJOIN("; ",TRUE,IF(O451="Unknown","Missing region filled as Unknown",""),IF(Z451="Unknown","Missing ship mode filled as Unknown",""),IF(AND(AC451="",AP451=0),"Missing discount treated as 0",""),IF(AP451&lt;0,"Negative discount",""),IF(AP451&gt;0.5,"Discount above 50%",""),IF(G451="Ship date before order date","Ship date before order date",""),IF(AH451="Failed","Failed payment excluded",""),IF(AH451="Refunded","Refunded order summarized separately",""),IF(AJ451="Cancelled","Cancelled order excluded",""),IF(AJ451="Returned","Returned order excluded",""),IF(AO451&lt;&gt;"","Duplicate order ID conflict",""),IF(AV451=TRUE,"Sales mismatch",""),IF(AW451=TRUE,"Profit mismatch",""))</f>
        <v/>
      </c>
      <c r="AZ451" s="9" t="str">
        <f>IF(OR(G451="Missing date",G451="Invalid date",G451="Ship date before order date",NOT(ISNUMBER(AP451)),AP451&lt;0,AP451&gt;0.5,AV451=TRUE,AW451=TRUE),"Invalid",IF(OR(O451="Unknown",Z451="Unknown",AC451="",AH451&lt;&gt;"Paid",AJ451&lt;&gt;"Completed",AO451&lt;&gt;""),"Warning","Clean"))</f>
        <v>Clean</v>
      </c>
    </row>
    <row r="452" spans="1:52" ht="15.75" customHeight="1">
      <c r="A452" s="6" t="s">
        <v>2302</v>
      </c>
      <c r="B452" s="7" t="s">
        <v>2303</v>
      </c>
      <c r="C452" s="7" t="str">
        <f t="shared" si="62"/>
        <v>2025-06</v>
      </c>
      <c r="D452" s="7" cm="1">
        <f t="array" ref="D452">_xlfn.LET(_xlpm.x,B452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45820</v>
      </c>
      <c r="E452" s="7" t="s">
        <v>1664</v>
      </c>
      <c r="F452" s="7" cm="1">
        <f t="array" ref="F452">_xlfn.LET(_xlpm.x,E452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45827</v>
      </c>
      <c r="G452" s="8" t="str">
        <f t="shared" si="32"/>
        <v>OK</v>
      </c>
      <c r="H452" s="6">
        <f t="shared" si="33"/>
        <v>7</v>
      </c>
      <c r="I452" s="6" t="s">
        <v>2304</v>
      </c>
      <c r="J452" s="6" t="s">
        <v>161</v>
      </c>
      <c r="K452" s="6" t="str">
        <f t="shared" si="34"/>
        <v>Ananya Rao</v>
      </c>
      <c r="L452" s="6" t="s">
        <v>45</v>
      </c>
      <c r="M452" s="8" t="str">
        <f t="shared" si="35"/>
        <v>Corporate</v>
      </c>
      <c r="N452" s="6" t="s">
        <v>7</v>
      </c>
      <c r="O452" s="6" t="str">
        <f t="shared" si="36"/>
        <v>North</v>
      </c>
      <c r="P452" s="6" t="s">
        <v>583</v>
      </c>
      <c r="Q452" s="6" t="str">
        <f t="shared" si="37"/>
        <v>Delhi</v>
      </c>
      <c r="R452" s="6" t="s">
        <v>584</v>
      </c>
      <c r="S452" s="6" t="str">
        <f t="shared" si="38"/>
        <v>New Delhi</v>
      </c>
      <c r="T452" s="6" t="s">
        <v>14</v>
      </c>
      <c r="U452" s="8" t="str">
        <f t="shared" si="39"/>
        <v>Furniture</v>
      </c>
      <c r="V452" s="6" t="s">
        <v>16</v>
      </c>
      <c r="W452" s="6" t="str">
        <f t="shared" si="40"/>
        <v>Chairs</v>
      </c>
      <c r="X452" s="6" t="s">
        <v>2305</v>
      </c>
      <c r="Y452" s="6" t="s">
        <v>34</v>
      </c>
      <c r="Z452" s="6" t="str">
        <f t="shared" si="41"/>
        <v>Standard Class</v>
      </c>
      <c r="AA452" s="6">
        <v>9</v>
      </c>
      <c r="AB452" s="6">
        <v>2278.5700000000002</v>
      </c>
      <c r="AC452" s="6">
        <v>0.25</v>
      </c>
      <c r="AD452" s="6">
        <v>15380.35</v>
      </c>
      <c r="AE452" s="6">
        <v>9907.3700000000008</v>
      </c>
      <c r="AF452" s="6">
        <v>5472.98</v>
      </c>
      <c r="AG452" s="6" t="s">
        <v>52</v>
      </c>
      <c r="AH452" s="6" t="str">
        <f t="shared" si="42"/>
        <v>Paid</v>
      </c>
      <c r="AI452" s="6" t="s">
        <v>134</v>
      </c>
      <c r="AJ452" s="6" t="str">
        <f t="shared" si="43"/>
        <v>Completed</v>
      </c>
      <c r="AK452" s="9" t="str">
        <f>_xlfn.TEXTJOIN("|",FALSE,A452,TEXT(B452,"mm-dd-yyyy"),TEXT(E452,"mm-dd-yyyy"),I452,J452,L452,N452,P452,R452,T452,V452,X452,Y452,AA452,AB452,AC452,AD452,AE452,AF452,AG452,AI452)</f>
        <v>ORD-2025-10451|06-12-2025|06-19-2025|CUST-8672|Ananya Rao|Corporate|North|Delhi|New Delhi|Furniture|Chairs|Pro Chairs 302|Standard Class|9|2278.57|0.25|15380.35|9907.37|5472.98|Paid|Completed</v>
      </c>
      <c r="AL452" s="27" t="str">
        <f>IF(COUNTIF($AK$2:AK452,AK452)&gt;1,"Remove exact duplicate copy","Keep")</f>
        <v>Keep</v>
      </c>
      <c r="AM452" s="9">
        <f t="shared" si="44"/>
        <v>1</v>
      </c>
      <c r="AN452" s="9" t="str">
        <f t="shared" si="45"/>
        <v>Unique</v>
      </c>
      <c r="AO452" s="9" t="str">
        <f t="shared" si="46"/>
        <v/>
      </c>
      <c r="AP452" s="9">
        <f t="shared" si="47"/>
        <v>0.25</v>
      </c>
      <c r="AQ452" s="10">
        <f t="shared" si="48"/>
        <v>15380.3475</v>
      </c>
      <c r="AR452" s="10">
        <f t="shared" si="49"/>
        <v>5472.9774999999991</v>
      </c>
      <c r="AS452" s="11">
        <f t="shared" si="50"/>
        <v>0.35584225258889624</v>
      </c>
      <c r="AT452" s="9">
        <f t="shared" si="51"/>
        <v>6</v>
      </c>
      <c r="AU452" s="9">
        <f t="shared" si="52"/>
        <v>2025</v>
      </c>
      <c r="AV452" s="9" t="b">
        <f t="shared" si="53"/>
        <v>0</v>
      </c>
      <c r="AW452" s="9" t="b">
        <f t="shared" si="54"/>
        <v>0</v>
      </c>
      <c r="AX452" s="9" t="str">
        <f t="shared" si="55"/>
        <v>Yes</v>
      </c>
      <c r="AY452" s="9" t="str">
        <f t="shared" si="63"/>
        <v/>
      </c>
      <c r="AZ452" s="9" t="str">
        <f>IF(OR(G452="Missing date",G452="Invalid date",G452="Ship date before order date",NOT(ISNUMBER(AP452)),AP452&lt;0,AP452&gt;0.5,AV452=TRUE,AW452=TRUE),"Invalid",IF(OR(O452="Unknown",Z452="Unknown",AC452="",AH452&lt;&gt;"Paid",AJ452&lt;&gt;"Completed",AO452&lt;&gt;""),"Warning","Clean"))</f>
        <v>Clean</v>
      </c>
    </row>
    <row r="453" spans="1:52" ht="15.75" customHeight="1">
      <c r="A453" s="6" t="s">
        <v>2306</v>
      </c>
      <c r="B453" s="7" t="s">
        <v>2307</v>
      </c>
      <c r="C453" s="7" t="str">
        <f t="shared" si="62"/>
        <v>2024-03</v>
      </c>
      <c r="D453" s="7" cm="1">
        <f t="array" ref="D453">_xlfn.LET(_xlpm.x,B453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45375</v>
      </c>
      <c r="E453" s="7" t="s">
        <v>2308</v>
      </c>
      <c r="F453" s="7" cm="1">
        <f t="array" ref="F453">_xlfn.LET(_xlpm.x,E453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45377</v>
      </c>
      <c r="G453" s="8" t="str">
        <f t="shared" si="32"/>
        <v>OK</v>
      </c>
      <c r="H453" s="6">
        <f t="shared" si="33"/>
        <v>2</v>
      </c>
      <c r="I453" s="6" t="s">
        <v>2309</v>
      </c>
      <c r="J453" s="6" t="s">
        <v>257</v>
      </c>
      <c r="K453" s="6" t="str">
        <f t="shared" si="34"/>
        <v>Rohan Mehta</v>
      </c>
      <c r="L453" s="6" t="s">
        <v>46</v>
      </c>
      <c r="M453" s="8" t="str">
        <f t="shared" si="35"/>
        <v>Small Business</v>
      </c>
      <c r="N453" s="6" t="s">
        <v>7</v>
      </c>
      <c r="O453" s="6" t="str">
        <f t="shared" si="36"/>
        <v>North</v>
      </c>
      <c r="P453" s="6" t="s">
        <v>397</v>
      </c>
      <c r="Q453" s="6" t="str">
        <f t="shared" si="37"/>
        <v>Haryana</v>
      </c>
      <c r="R453" s="6" t="s">
        <v>398</v>
      </c>
      <c r="S453" s="6" t="str">
        <f t="shared" si="38"/>
        <v>Gurugram</v>
      </c>
      <c r="T453" s="6" t="s">
        <v>20</v>
      </c>
      <c r="U453" s="8" t="str">
        <f t="shared" si="39"/>
        <v>Office Supplies</v>
      </c>
      <c r="V453" s="6" t="s">
        <v>24</v>
      </c>
      <c r="W453" s="6" t="str">
        <f t="shared" si="40"/>
        <v>Paper</v>
      </c>
      <c r="X453" s="6" t="s">
        <v>2310</v>
      </c>
      <c r="Y453" s="6" t="s">
        <v>36</v>
      </c>
      <c r="Z453" s="6" t="str">
        <f t="shared" si="41"/>
        <v>Second Class</v>
      </c>
      <c r="AA453" s="6">
        <v>8</v>
      </c>
      <c r="AB453" s="6">
        <v>1917.64</v>
      </c>
      <c r="AC453" s="6">
        <v>0.15</v>
      </c>
      <c r="AD453" s="6">
        <v>13039.95</v>
      </c>
      <c r="AE453" s="6">
        <v>11127.82</v>
      </c>
      <c r="AF453" s="6">
        <v>1912.13</v>
      </c>
      <c r="AG453" s="6" t="s">
        <v>52</v>
      </c>
      <c r="AH453" s="6" t="str">
        <f t="shared" si="42"/>
        <v>Paid</v>
      </c>
      <c r="AI453" s="6" t="s">
        <v>58</v>
      </c>
      <c r="AJ453" s="6" t="str">
        <f t="shared" si="43"/>
        <v>Cancelled</v>
      </c>
      <c r="AK453" s="9" t="str">
        <f>_xlfn.TEXTJOIN("|",FALSE,A453,TEXT(B453,"mm-dd-yyyy"),TEXT(E453,"mm-dd-yyyy"),I453,J453,L453,N453,P453,R453,T453,V453,X453,Y453,AA453,AB453,AC453,AD453,AE453,AF453,AG453,AI453)</f>
        <v>ORD-2024-10452|24-03-2024|26-03-2024|CUST-3907|Rohan Mehta|Small Business|North|Haryana|Gurugram|Office Supplies|Paper|Classic Paper 272|Second Class|8|1917.64|0.15|13039.95|11127.82|1912.13|Paid|Cancelled</v>
      </c>
      <c r="AL453" s="27" t="str">
        <f>IF(COUNTIF($AK$2:AK453,AK453)&gt;1,"Remove exact duplicate copy","Keep")</f>
        <v>Keep</v>
      </c>
      <c r="AM453" s="9">
        <f t="shared" si="44"/>
        <v>1</v>
      </c>
      <c r="AN453" s="9" t="str">
        <f t="shared" si="45"/>
        <v>Unique</v>
      </c>
      <c r="AO453" s="9" t="str">
        <f t="shared" si="46"/>
        <v/>
      </c>
      <c r="AP453" s="9">
        <f t="shared" si="47"/>
        <v>0.15</v>
      </c>
      <c r="AQ453" s="10">
        <f t="shared" si="48"/>
        <v>13039.952000000001</v>
      </c>
      <c r="AR453" s="10">
        <f t="shared" si="49"/>
        <v>1912.1320000000014</v>
      </c>
      <c r="AS453" s="11">
        <f t="shared" si="50"/>
        <v>0.1466364293365498</v>
      </c>
      <c r="AT453" s="9">
        <f t="shared" si="51"/>
        <v>3</v>
      </c>
      <c r="AU453" s="9">
        <f t="shared" si="52"/>
        <v>2024</v>
      </c>
      <c r="AV453" s="9" t="b">
        <f t="shared" si="53"/>
        <v>0</v>
      </c>
      <c r="AW453" s="9" t="b">
        <f t="shared" si="54"/>
        <v>0</v>
      </c>
      <c r="AX453" s="9" t="str">
        <f t="shared" si="55"/>
        <v>No</v>
      </c>
      <c r="AY453" s="9" t="str">
        <f t="shared" si="63"/>
        <v>Cancelled order excluded</v>
      </c>
      <c r="AZ453" s="9" t="str">
        <f>IF(OR(G453="Missing date",G453="Invalid date",G453="Ship date before order date",NOT(ISNUMBER(AP453)),AP453&lt;0,AP453&gt;0.5,AV453=TRUE,AW453=TRUE),"Invalid",IF(OR(O453="Unknown",Z453="Unknown",AC453="",AH453&lt;&gt;"Paid",AJ453&lt;&gt;"Completed",AO453&lt;&gt;""),"Warning","Clean"))</f>
        <v>Warning</v>
      </c>
    </row>
    <row r="454" spans="1:52" ht="15.75" customHeight="1">
      <c r="A454" s="6" t="s">
        <v>2311</v>
      </c>
      <c r="B454" s="7" t="s">
        <v>2312</v>
      </c>
      <c r="C454" s="7" t="str">
        <f t="shared" si="62"/>
        <v>2024-05</v>
      </c>
      <c r="D454" s="7" cm="1">
        <f t="array" ref="D454">_xlfn.LET(_xlpm.x,B454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45422</v>
      </c>
      <c r="E454" s="7" t="s">
        <v>1460</v>
      </c>
      <c r="F454" s="7" cm="1">
        <f t="array" ref="F454">_xlfn.LET(_xlpm.x,E454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45428</v>
      </c>
      <c r="G454" s="8" t="str">
        <f t="shared" si="32"/>
        <v>OK</v>
      </c>
      <c r="H454" s="6">
        <f t="shared" si="33"/>
        <v>6</v>
      </c>
      <c r="I454" s="6" t="s">
        <v>2313</v>
      </c>
      <c r="J454" s="6" t="s">
        <v>284</v>
      </c>
      <c r="K454" s="6" t="str">
        <f t="shared" si="34"/>
        <v>Diya Patel</v>
      </c>
      <c r="L454" s="6" t="s">
        <v>44</v>
      </c>
      <c r="M454" s="8" t="str">
        <f t="shared" si="35"/>
        <v>Home Office</v>
      </c>
      <c r="N454" s="6" t="s">
        <v>8</v>
      </c>
      <c r="O454" s="6" t="str">
        <f t="shared" si="36"/>
        <v>East</v>
      </c>
      <c r="P454" s="6" t="s">
        <v>385</v>
      </c>
      <c r="Q454" s="6" t="str">
        <f t="shared" si="37"/>
        <v>Jharkhand</v>
      </c>
      <c r="R454" s="6" t="s">
        <v>386</v>
      </c>
      <c r="S454" s="6" t="str">
        <f t="shared" si="38"/>
        <v>Ranchi</v>
      </c>
      <c r="T454" s="6" t="s">
        <v>27</v>
      </c>
      <c r="U454" s="8" t="str">
        <f t="shared" si="39"/>
        <v>Technology</v>
      </c>
      <c r="V454" s="6" t="s">
        <v>28</v>
      </c>
      <c r="W454" s="6" t="str">
        <f t="shared" si="40"/>
        <v>Accessories</v>
      </c>
      <c r="X454" s="6" t="s">
        <v>2314</v>
      </c>
      <c r="Y454" s="6" t="s">
        <v>36</v>
      </c>
      <c r="Z454" s="6" t="str">
        <f t="shared" si="41"/>
        <v>Second Class</v>
      </c>
      <c r="AA454" s="6">
        <v>6</v>
      </c>
      <c r="AB454" s="6">
        <v>2013.33</v>
      </c>
      <c r="AC454" s="6">
        <v>0.2</v>
      </c>
      <c r="AD454" s="6">
        <v>9663.98</v>
      </c>
      <c r="AE454" s="6">
        <v>5628.93</v>
      </c>
      <c r="AF454" s="6">
        <v>4035.05</v>
      </c>
      <c r="AG454" s="6" t="s">
        <v>52</v>
      </c>
      <c r="AH454" s="6" t="str">
        <f t="shared" si="42"/>
        <v>Paid</v>
      </c>
      <c r="AI454" s="6" t="s">
        <v>134</v>
      </c>
      <c r="AJ454" s="6" t="str">
        <f t="shared" si="43"/>
        <v>Completed</v>
      </c>
      <c r="AK454" s="9" t="str">
        <f>_xlfn.TEXTJOIN("|",FALSE,A454,TEXT(B454,"mm-dd-yyyy"),TEXT(E454,"mm-dd-yyyy"),I454,J454,L454,N454,P454,R454,T454,V454,X454,Y454,AA454,AB454,AC454,AD454,AE454,AF454,AG454,AI454)</f>
        <v>ORD-2024-10453|10-05-2024|16-05-2024|CUST-8796|Diya Patel|Home Office|East|Jharkhand|Ranchi|Technology|Accessories|Smart Accessories 149|Second Class|6|2013.33|0.2|9663.98|5628.93|4035.05|Paid|Completed</v>
      </c>
      <c r="AL454" s="27" t="str">
        <f>IF(COUNTIF($AK$2:AK454,AK454)&gt;1,"Remove exact duplicate copy","Keep")</f>
        <v>Keep</v>
      </c>
      <c r="AM454" s="9">
        <f t="shared" si="44"/>
        <v>1</v>
      </c>
      <c r="AN454" s="9" t="str">
        <f t="shared" si="45"/>
        <v>Unique</v>
      </c>
      <c r="AO454" s="9" t="str">
        <f t="shared" si="46"/>
        <v/>
      </c>
      <c r="AP454" s="9">
        <f t="shared" si="47"/>
        <v>0.2</v>
      </c>
      <c r="AQ454" s="10">
        <f t="shared" si="48"/>
        <v>9663.9840000000004</v>
      </c>
      <c r="AR454" s="10">
        <f t="shared" si="49"/>
        <v>4035.0540000000001</v>
      </c>
      <c r="AS454" s="11">
        <f t="shared" si="50"/>
        <v>0.41753525254180884</v>
      </c>
      <c r="AT454" s="9">
        <f t="shared" si="51"/>
        <v>5</v>
      </c>
      <c r="AU454" s="9">
        <f t="shared" si="52"/>
        <v>2024</v>
      </c>
      <c r="AV454" s="9" t="b">
        <f t="shared" si="53"/>
        <v>0</v>
      </c>
      <c r="AW454" s="9" t="b">
        <f t="shared" si="54"/>
        <v>0</v>
      </c>
      <c r="AX454" s="9" t="str">
        <f t="shared" si="55"/>
        <v>Yes</v>
      </c>
      <c r="AY454" s="9" t="str">
        <f t="shared" si="63"/>
        <v/>
      </c>
      <c r="AZ454" s="9" t="str">
        <f>IF(OR(G454="Missing date",G454="Invalid date",G454="Ship date before order date",NOT(ISNUMBER(AP454)),AP454&lt;0,AP454&gt;0.5,AV454=TRUE,AW454=TRUE),"Invalid",IF(OR(O454="Unknown",Z454="Unknown",AC454="",AH454&lt;&gt;"Paid",AJ454&lt;&gt;"Completed",AO454&lt;&gt;""),"Warning","Clean"))</f>
        <v>Clean</v>
      </c>
    </row>
    <row r="455" spans="1:52" ht="15.75" customHeight="1">
      <c r="A455" s="6" t="s">
        <v>2315</v>
      </c>
      <c r="B455" s="7" t="s">
        <v>2316</v>
      </c>
      <c r="C455" s="7" t="str">
        <f t="shared" si="62"/>
        <v>2025-05</v>
      </c>
      <c r="D455" s="7" cm="1">
        <f t="array" ref="D455">_xlfn.LET(_xlpm.x,B455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45780</v>
      </c>
      <c r="E455" s="7" t="s">
        <v>2317</v>
      </c>
      <c r="F455" s="7" cm="1">
        <f t="array" ref="F455">_xlfn.LET(_xlpm.x,E455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45788</v>
      </c>
      <c r="G455" s="8" t="str">
        <f t="shared" si="32"/>
        <v>OK</v>
      </c>
      <c r="H455" s="6">
        <f t="shared" si="33"/>
        <v>8</v>
      </c>
      <c r="I455" s="6" t="s">
        <v>2318</v>
      </c>
      <c r="J455" s="6" t="s">
        <v>257</v>
      </c>
      <c r="K455" s="6" t="str">
        <f t="shared" si="34"/>
        <v>Rohan Mehta</v>
      </c>
      <c r="L455" s="6" t="s">
        <v>536</v>
      </c>
      <c r="M455" s="8" t="str">
        <f t="shared" si="35"/>
        <v>Small Business</v>
      </c>
      <c r="N455" s="6" t="s">
        <v>9</v>
      </c>
      <c r="O455" s="6" t="str">
        <f t="shared" si="36"/>
        <v>West</v>
      </c>
      <c r="P455" s="6" t="s">
        <v>170</v>
      </c>
      <c r="Q455" s="6" t="str">
        <f t="shared" si="37"/>
        <v>Madhya Pradesh</v>
      </c>
      <c r="R455" s="6" t="s">
        <v>171</v>
      </c>
      <c r="S455" s="6" t="str">
        <f t="shared" si="38"/>
        <v>Indore</v>
      </c>
      <c r="T455" s="6" t="s">
        <v>20</v>
      </c>
      <c r="U455" s="8" t="str">
        <f t="shared" si="39"/>
        <v>Office Supplies</v>
      </c>
      <c r="V455" s="6" t="s">
        <v>23</v>
      </c>
      <c r="W455" s="6" t="str">
        <f t="shared" si="40"/>
        <v>Labels</v>
      </c>
      <c r="X455" s="6" t="s">
        <v>2319</v>
      </c>
      <c r="Y455" s="6" t="s">
        <v>37</v>
      </c>
      <c r="Z455" s="6" t="str">
        <f t="shared" si="41"/>
        <v>Same Day</v>
      </c>
      <c r="AA455" s="6">
        <v>5</v>
      </c>
      <c r="AB455" s="6">
        <v>1483.52</v>
      </c>
      <c r="AC455" s="6">
        <v>0</v>
      </c>
      <c r="AD455" s="6">
        <v>7417.6</v>
      </c>
      <c r="AE455" s="6">
        <v>4955.8599999999997</v>
      </c>
      <c r="AF455" s="6">
        <v>2461.7399999999998</v>
      </c>
      <c r="AG455" s="6" t="s">
        <v>52</v>
      </c>
      <c r="AH455" s="6" t="str">
        <f t="shared" si="42"/>
        <v>Paid</v>
      </c>
      <c r="AI455" s="6" t="s">
        <v>134</v>
      </c>
      <c r="AJ455" s="6" t="str">
        <f t="shared" si="43"/>
        <v>Completed</v>
      </c>
      <c r="AK455" s="9" t="str">
        <f>_xlfn.TEXTJOIN("|",FALSE,A455,TEXT(B455,"mm-dd-yyyy"),TEXT(E455,"mm-dd-yyyy"),I455,J455,L455,N455,P455,R455,T455,V455,X455,Y455,AA455,AB455,AC455,AD455,AE455,AF455,AG455,AI455)</f>
        <v>ORD-2025-10454|05-03-2025|05-11-2025|CUST-2317|Rohan Mehta|  Small Business |West|Madhya Pradesh|Indore|Office Supplies|Labels|Elite Labels 322|Same Day|5|1483.52|0|7417.6|4955.86|2461.74|Paid|Completed</v>
      </c>
      <c r="AL455" s="27" t="str">
        <f>IF(COUNTIF($AK$2:AK455,AK455)&gt;1,"Remove exact duplicate copy","Keep")</f>
        <v>Keep</v>
      </c>
      <c r="AM455" s="9">
        <f t="shared" si="44"/>
        <v>1</v>
      </c>
      <c r="AN455" s="9" t="str">
        <f t="shared" si="45"/>
        <v>Unique</v>
      </c>
      <c r="AO455" s="9" t="str">
        <f t="shared" si="46"/>
        <v/>
      </c>
      <c r="AP455" s="9">
        <f t="shared" si="47"/>
        <v>0</v>
      </c>
      <c r="AQ455" s="10">
        <f t="shared" si="48"/>
        <v>7417.6</v>
      </c>
      <c r="AR455" s="10">
        <f t="shared" si="49"/>
        <v>2461.7400000000007</v>
      </c>
      <c r="AS455" s="11">
        <f t="shared" si="50"/>
        <v>0.3318782355478862</v>
      </c>
      <c r="AT455" s="9">
        <f t="shared" si="51"/>
        <v>5</v>
      </c>
      <c r="AU455" s="9">
        <f t="shared" si="52"/>
        <v>2025</v>
      </c>
      <c r="AV455" s="9" t="b">
        <f t="shared" si="53"/>
        <v>0</v>
      </c>
      <c r="AW455" s="9" t="b">
        <f t="shared" si="54"/>
        <v>0</v>
      </c>
      <c r="AX455" s="9" t="str">
        <f t="shared" si="55"/>
        <v>Yes</v>
      </c>
      <c r="AY455" s="9" t="str">
        <f t="shared" si="63"/>
        <v/>
      </c>
      <c r="AZ455" s="9" t="str">
        <f>IF(OR(G455="Missing date",G455="Invalid date",G455="Ship date before order date",NOT(ISNUMBER(AP455)),AP455&lt;0,AP455&gt;0.5,AV455=TRUE,AW455=TRUE),"Invalid",IF(OR(O455="Unknown",Z455="Unknown",AC455="",AH455&lt;&gt;"Paid",AJ455&lt;&gt;"Completed",AO455&lt;&gt;""),"Warning","Clean"))</f>
        <v>Clean</v>
      </c>
    </row>
    <row r="456" spans="1:52" ht="15.75" customHeight="1">
      <c r="A456" s="6" t="s">
        <v>2320</v>
      </c>
      <c r="B456" s="7" t="s">
        <v>2321</v>
      </c>
      <c r="C456" s="7" t="str">
        <f t="shared" si="62"/>
        <v>2025-03</v>
      </c>
      <c r="D456" s="7" cm="1">
        <f t="array" ref="D456">_xlfn.LET(_xlpm.x,B456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45739</v>
      </c>
      <c r="E456" s="7" t="s">
        <v>2322</v>
      </c>
      <c r="F456" s="7" cm="1">
        <f t="array" ref="F456">_xlfn.LET(_xlpm.x,E456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45744</v>
      </c>
      <c r="G456" s="8" t="str">
        <f t="shared" si="32"/>
        <v>OK</v>
      </c>
      <c r="H456" s="6">
        <f t="shared" si="33"/>
        <v>5</v>
      </c>
      <c r="I456" s="6" t="s">
        <v>2323</v>
      </c>
      <c r="J456" s="6" t="s">
        <v>169</v>
      </c>
      <c r="K456" s="6" t="str">
        <f t="shared" si="34"/>
        <v>Vikram Iyer</v>
      </c>
      <c r="L456" s="6" t="s">
        <v>46</v>
      </c>
      <c r="M456" s="8" t="str">
        <f t="shared" si="35"/>
        <v>Small Business</v>
      </c>
      <c r="N456" s="6" t="s">
        <v>7</v>
      </c>
      <c r="O456" s="6" t="str">
        <f t="shared" si="36"/>
        <v>North</v>
      </c>
      <c r="P456" s="6" t="s">
        <v>131</v>
      </c>
      <c r="Q456" s="6" t="str">
        <f t="shared" si="37"/>
        <v>Rajasthan</v>
      </c>
      <c r="R456" s="6" t="s">
        <v>132</v>
      </c>
      <c r="S456" s="6" t="str">
        <f t="shared" si="38"/>
        <v>Jaipur</v>
      </c>
      <c r="T456" s="6" t="s">
        <v>14</v>
      </c>
      <c r="U456" s="8" t="str">
        <f t="shared" si="39"/>
        <v>Furniture</v>
      </c>
      <c r="V456" s="6" t="s">
        <v>17</v>
      </c>
      <c r="W456" s="6" t="str">
        <f t="shared" si="40"/>
        <v>Furnishings</v>
      </c>
      <c r="X456" s="6" t="s">
        <v>2324</v>
      </c>
      <c r="Y456" s="6" t="s">
        <v>34</v>
      </c>
      <c r="Z456" s="6" t="str">
        <f t="shared" si="41"/>
        <v>Standard Class</v>
      </c>
      <c r="AA456" s="6">
        <v>9</v>
      </c>
      <c r="AB456" s="6">
        <v>3298</v>
      </c>
      <c r="AC456" s="6">
        <v>0.15</v>
      </c>
      <c r="AD456" s="6">
        <v>25229.7</v>
      </c>
      <c r="AE456" s="6">
        <v>20170.43</v>
      </c>
      <c r="AF456" s="6">
        <v>5059.2700000000004</v>
      </c>
      <c r="AG456" s="6" t="s">
        <v>52</v>
      </c>
      <c r="AH456" s="6" t="str">
        <f t="shared" si="42"/>
        <v>Paid</v>
      </c>
      <c r="AI456" s="6" t="s">
        <v>134</v>
      </c>
      <c r="AJ456" s="6" t="str">
        <f t="shared" si="43"/>
        <v>Completed</v>
      </c>
      <c r="AK456" s="9" t="str">
        <f>_xlfn.TEXTJOIN("|",FALSE,A456,TEXT(B456,"mm-dd-yyyy"),TEXT(E456,"mm-dd-yyyy"),I456,J456,L456,N456,P456,R456,T456,V456,X456,Y456,AA456,AB456,AC456,AD456,AE456,AF456,AG456,AI456)</f>
        <v>ORD-2025-10455|03-23-2025|28-03-2025|CUST-8643|Vikram Iyer|Small Business|North|Rajasthan|Jaipur|Furniture|Furnishings|Max Furnishings 821|Standard Class|9|3298|0.15|25229.7|20170.43|5059.27|Paid|Completed</v>
      </c>
      <c r="AL456" s="27" t="str">
        <f>IF(COUNTIF($AK$2:AK456,AK456)&gt;1,"Remove exact duplicate copy","Keep")</f>
        <v>Keep</v>
      </c>
      <c r="AM456" s="9">
        <f t="shared" si="44"/>
        <v>1</v>
      </c>
      <c r="AN456" s="9" t="str">
        <f t="shared" si="45"/>
        <v>Unique</v>
      </c>
      <c r="AO456" s="9" t="str">
        <f t="shared" si="46"/>
        <v/>
      </c>
      <c r="AP456" s="9">
        <f t="shared" si="47"/>
        <v>0.15</v>
      </c>
      <c r="AQ456" s="10">
        <f t="shared" si="48"/>
        <v>25229.7</v>
      </c>
      <c r="AR456" s="10">
        <f t="shared" si="49"/>
        <v>5059.2700000000004</v>
      </c>
      <c r="AS456" s="11">
        <f t="shared" si="50"/>
        <v>0.20052834556098567</v>
      </c>
      <c r="AT456" s="9">
        <f t="shared" si="51"/>
        <v>3</v>
      </c>
      <c r="AU456" s="9">
        <f t="shared" si="52"/>
        <v>2025</v>
      </c>
      <c r="AV456" s="9" t="b">
        <f t="shared" si="53"/>
        <v>0</v>
      </c>
      <c r="AW456" s="9" t="b">
        <f t="shared" si="54"/>
        <v>0</v>
      </c>
      <c r="AX456" s="9" t="str">
        <f t="shared" si="55"/>
        <v>Yes</v>
      </c>
      <c r="AY456" s="9" t="str">
        <f t="shared" si="63"/>
        <v/>
      </c>
      <c r="AZ456" s="9" t="str">
        <f>IF(OR(G456="Missing date",G456="Invalid date",G456="Ship date before order date",NOT(ISNUMBER(AP456)),AP456&lt;0,AP456&gt;0.5,AV456=TRUE,AW456=TRUE),"Invalid",IF(OR(O456="Unknown",Z456="Unknown",AC456="",AH456&lt;&gt;"Paid",AJ456&lt;&gt;"Completed",AO456&lt;&gt;""),"Warning","Clean"))</f>
        <v>Clean</v>
      </c>
    </row>
    <row r="457" spans="1:52" ht="15.75" customHeight="1">
      <c r="A457" s="6" t="s">
        <v>2325</v>
      </c>
      <c r="B457" s="7" t="s">
        <v>2326</v>
      </c>
      <c r="C457" s="7" t="str">
        <f t="shared" si="62"/>
        <v>2024-07</v>
      </c>
      <c r="D457" s="7" cm="1">
        <f t="array" ref="D457">_xlfn.LET(_xlpm.x,B457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45491</v>
      </c>
      <c r="E457" s="7" t="s">
        <v>2327</v>
      </c>
      <c r="F457" s="7" cm="1">
        <f t="array" ref="F457">_xlfn.LET(_xlpm.x,E457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45495</v>
      </c>
      <c r="G457" s="8" t="str">
        <f t="shared" si="32"/>
        <v>OK</v>
      </c>
      <c r="H457" s="6">
        <f t="shared" si="33"/>
        <v>4</v>
      </c>
      <c r="I457" s="6" t="s">
        <v>2328</v>
      </c>
      <c r="J457" s="6" t="s">
        <v>177</v>
      </c>
      <c r="K457" s="6" t="str">
        <f t="shared" si="34"/>
        <v>Neha Gupta</v>
      </c>
      <c r="L457" s="6" t="s">
        <v>46</v>
      </c>
      <c r="M457" s="8" t="str">
        <f t="shared" si="35"/>
        <v>Small Business</v>
      </c>
      <c r="N457" s="6" t="s">
        <v>10</v>
      </c>
      <c r="O457" s="6" t="str">
        <f t="shared" si="36"/>
        <v>South</v>
      </c>
      <c r="P457" s="6" t="s">
        <v>154</v>
      </c>
      <c r="Q457" s="6" t="str">
        <f t="shared" si="37"/>
        <v>Telangana</v>
      </c>
      <c r="R457" s="6" t="s">
        <v>155</v>
      </c>
      <c r="S457" s="6" t="str">
        <f t="shared" si="38"/>
        <v>Hyderabad</v>
      </c>
      <c r="T457" s="6" t="s">
        <v>20</v>
      </c>
      <c r="U457" s="8" t="str">
        <f t="shared" si="39"/>
        <v>Office Supplies</v>
      </c>
      <c r="V457" s="6" t="s">
        <v>21</v>
      </c>
      <c r="W457" s="6" t="str">
        <f t="shared" si="40"/>
        <v>Art</v>
      </c>
      <c r="X457" s="6" t="s">
        <v>2329</v>
      </c>
      <c r="Y457" s="6" t="s">
        <v>34</v>
      </c>
      <c r="Z457" s="6" t="str">
        <f t="shared" si="41"/>
        <v>Standard Class</v>
      </c>
      <c r="AA457" s="6">
        <v>4</v>
      </c>
      <c r="AB457" s="6">
        <v>808.77</v>
      </c>
      <c r="AC457" s="6">
        <v>0</v>
      </c>
      <c r="AD457" s="6">
        <v>3235.08</v>
      </c>
      <c r="AE457" s="6">
        <v>1848.6</v>
      </c>
      <c r="AF457" s="6">
        <v>1386.48</v>
      </c>
      <c r="AG457" s="6" t="s">
        <v>52</v>
      </c>
      <c r="AH457" s="6" t="str">
        <f t="shared" si="42"/>
        <v>Paid</v>
      </c>
      <c r="AI457" s="6" t="s">
        <v>134</v>
      </c>
      <c r="AJ457" s="6" t="str">
        <f t="shared" si="43"/>
        <v>Completed</v>
      </c>
      <c r="AK457" s="9" t="str">
        <f>_xlfn.TEXTJOIN("|",FALSE,A457,TEXT(B457,"mm-dd-yyyy"),TEXT(E457,"mm-dd-yyyy"),I457,J457,L457,N457,P457,R457,T457,V457,X457,Y457,AA457,AB457,AC457,AD457,AE457,AF457,AG457,AI457)</f>
        <v>ORD-2024-10456|07-18-2024|22-07-2024|CUST-1800|Neha Gupta|Small Business|South|Telangana|Hyderabad|Office Supplies|Art|Basic Art 556|Standard Class|4|808.77|0|3235.08|1848.6|1386.48|Paid|Completed</v>
      </c>
      <c r="AL457" s="27" t="str">
        <f>IF(COUNTIF($AK$2:AK457,AK457)&gt;1,"Remove exact duplicate copy","Keep")</f>
        <v>Keep</v>
      </c>
      <c r="AM457" s="9">
        <f t="shared" si="44"/>
        <v>1</v>
      </c>
      <c r="AN457" s="9" t="str">
        <f t="shared" si="45"/>
        <v>Unique</v>
      </c>
      <c r="AO457" s="9" t="str">
        <f t="shared" si="46"/>
        <v/>
      </c>
      <c r="AP457" s="9">
        <f t="shared" si="47"/>
        <v>0</v>
      </c>
      <c r="AQ457" s="10">
        <f t="shared" si="48"/>
        <v>3235.08</v>
      </c>
      <c r="AR457" s="10">
        <f t="shared" si="49"/>
        <v>1386.48</v>
      </c>
      <c r="AS457" s="11">
        <f t="shared" si="50"/>
        <v>0.42857672762342819</v>
      </c>
      <c r="AT457" s="9">
        <f t="shared" si="51"/>
        <v>7</v>
      </c>
      <c r="AU457" s="9">
        <f t="shared" si="52"/>
        <v>2024</v>
      </c>
      <c r="AV457" s="9" t="b">
        <f t="shared" si="53"/>
        <v>0</v>
      </c>
      <c r="AW457" s="9" t="b">
        <f t="shared" si="54"/>
        <v>0</v>
      </c>
      <c r="AX457" s="9" t="str">
        <f t="shared" si="55"/>
        <v>Yes</v>
      </c>
      <c r="AY457" s="9" t="str">
        <f t="shared" si="63"/>
        <v/>
      </c>
      <c r="AZ457" s="9" t="str">
        <f>IF(OR(G457="Missing date",G457="Invalid date",G457="Ship date before order date",NOT(ISNUMBER(AP457)),AP457&lt;0,AP457&gt;0.5,AV457=TRUE,AW457=TRUE),"Invalid",IF(OR(O457="Unknown",Z457="Unknown",AC457="",AH457&lt;&gt;"Paid",AJ457&lt;&gt;"Completed",AO457&lt;&gt;""),"Warning","Clean"))</f>
        <v>Clean</v>
      </c>
    </row>
    <row r="458" spans="1:52" ht="15.75" customHeight="1">
      <c r="A458" s="6" t="s">
        <v>2330</v>
      </c>
      <c r="B458" s="7" t="s">
        <v>2176</v>
      </c>
      <c r="C458" s="7" t="str">
        <f t="shared" si="62"/>
        <v>2024-02</v>
      </c>
      <c r="D458" s="7" cm="1">
        <f t="array" ref="D458">_xlfn.LET(_xlpm.x,B458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45342</v>
      </c>
      <c r="E458" s="7" t="s">
        <v>2176</v>
      </c>
      <c r="F458" s="7" cm="1">
        <f t="array" ref="F458">_xlfn.LET(_xlpm.x,E458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45342</v>
      </c>
      <c r="G458" s="8" t="str">
        <f t="shared" si="32"/>
        <v>OK</v>
      </c>
      <c r="H458" s="6">
        <f t="shared" si="33"/>
        <v>0</v>
      </c>
      <c r="I458" s="6" t="s">
        <v>2331</v>
      </c>
      <c r="J458" s="6" t="s">
        <v>177</v>
      </c>
      <c r="K458" s="6" t="str">
        <f t="shared" si="34"/>
        <v>Neha Gupta</v>
      </c>
      <c r="L458" s="6" t="s">
        <v>45</v>
      </c>
      <c r="M458" s="8" t="str">
        <f t="shared" si="35"/>
        <v>Corporate</v>
      </c>
      <c r="N458" s="6" t="s">
        <v>7</v>
      </c>
      <c r="O458" s="6" t="str">
        <f t="shared" si="36"/>
        <v>North</v>
      </c>
      <c r="P458" s="6" t="s">
        <v>251</v>
      </c>
      <c r="Q458" s="6" t="str">
        <f t="shared" si="37"/>
        <v>Uttar Pradesh</v>
      </c>
      <c r="R458" s="6" t="s">
        <v>252</v>
      </c>
      <c r="S458" s="6" t="str">
        <f t="shared" si="38"/>
        <v>Noida</v>
      </c>
      <c r="T458" s="6" t="s">
        <v>27</v>
      </c>
      <c r="U458" s="8" t="str">
        <f t="shared" si="39"/>
        <v>Technology</v>
      </c>
      <c r="V458" s="6" t="s">
        <v>28</v>
      </c>
      <c r="W458" s="6" t="str">
        <f t="shared" si="40"/>
        <v>Accessories</v>
      </c>
      <c r="X458" s="6" t="s">
        <v>2332</v>
      </c>
      <c r="Y458" s="6" t="s">
        <v>37</v>
      </c>
      <c r="Z458" s="6" t="str">
        <f t="shared" si="41"/>
        <v>Same Day</v>
      </c>
      <c r="AA458" s="6">
        <v>5</v>
      </c>
      <c r="AB458" s="6">
        <v>2604.91</v>
      </c>
      <c r="AC458" s="6">
        <v>0.15</v>
      </c>
      <c r="AD458" s="6">
        <v>11070.87</v>
      </c>
      <c r="AE458" s="6">
        <v>6623.61</v>
      </c>
      <c r="AF458" s="6">
        <v>4447.26</v>
      </c>
      <c r="AG458" s="6" t="s">
        <v>52</v>
      </c>
      <c r="AH458" s="6" t="str">
        <f t="shared" si="42"/>
        <v>Paid</v>
      </c>
      <c r="AI458" s="6" t="s">
        <v>59</v>
      </c>
      <c r="AJ458" s="6" t="str">
        <f t="shared" si="43"/>
        <v>Returned</v>
      </c>
      <c r="AK458" s="9" t="str">
        <f>_xlfn.TEXTJOIN("|",FALSE,A458,TEXT(B458,"mm-dd-yyyy"),TEXT(E458,"mm-dd-yyyy"),I458,J458,L458,N458,P458,R458,T458,V458,X458,Y458,AA458,AB458,AC458,AD458,AE458,AF458,AG458,AI458)</f>
        <v>ORD-2024-10457|02-20-2024|02-20-2024|CUST-7688|Neha Gupta|Corporate|North|Uttar Pradesh|Noida|Technology|Accessories|Smart Accessories 265|Same Day|5|2604.91|0.15|11070.87|6623.61|4447.26|Paid|Returned</v>
      </c>
      <c r="AL458" s="27" t="str">
        <f>IF(COUNTIF($AK$2:AK458,AK458)&gt;1,"Remove exact duplicate copy","Keep")</f>
        <v>Keep</v>
      </c>
      <c r="AM458" s="9">
        <f t="shared" si="44"/>
        <v>1</v>
      </c>
      <c r="AN458" s="9" t="str">
        <f t="shared" si="45"/>
        <v>Unique</v>
      </c>
      <c r="AO458" s="9" t="str">
        <f t="shared" si="46"/>
        <v/>
      </c>
      <c r="AP458" s="9">
        <f t="shared" si="47"/>
        <v>0.15</v>
      </c>
      <c r="AQ458" s="10">
        <f t="shared" si="48"/>
        <v>11070.867499999998</v>
      </c>
      <c r="AR458" s="10">
        <f t="shared" si="49"/>
        <v>4447.2574999999988</v>
      </c>
      <c r="AS458" s="11">
        <f t="shared" si="50"/>
        <v>0.40170813172499803</v>
      </c>
      <c r="AT458" s="9">
        <f t="shared" si="51"/>
        <v>2</v>
      </c>
      <c r="AU458" s="9">
        <f t="shared" si="52"/>
        <v>2024</v>
      </c>
      <c r="AV458" s="9" t="b">
        <f t="shared" si="53"/>
        <v>0</v>
      </c>
      <c r="AW458" s="9" t="b">
        <f t="shared" si="54"/>
        <v>0</v>
      </c>
      <c r="AX458" s="9" t="str">
        <f t="shared" si="55"/>
        <v>No</v>
      </c>
      <c r="AY458" s="9" t="str">
        <f t="shared" si="63"/>
        <v>Returned order excluded</v>
      </c>
      <c r="AZ458" s="9" t="str">
        <f>IF(OR(G458="Missing date",G458="Invalid date",G458="Ship date before order date",NOT(ISNUMBER(AP458)),AP458&lt;0,AP458&gt;0.5,AV458=TRUE,AW458=TRUE),"Invalid",IF(OR(O458="Unknown",Z458="Unknown",AC458="",AH458&lt;&gt;"Paid",AJ458&lt;&gt;"Completed",AO458&lt;&gt;""),"Warning","Clean"))</f>
        <v>Warning</v>
      </c>
    </row>
    <row r="459" spans="1:52" ht="15.75" customHeight="1">
      <c r="A459" s="6" t="s">
        <v>2333</v>
      </c>
      <c r="B459" s="7" t="s">
        <v>2334</v>
      </c>
      <c r="C459" s="7" t="str">
        <f t="shared" si="62"/>
        <v>2024-05</v>
      </c>
      <c r="D459" s="7" cm="1">
        <f t="array" ref="D459">_xlfn.LET(_xlpm.x,B459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45416</v>
      </c>
      <c r="E459" s="7" t="s">
        <v>2335</v>
      </c>
      <c r="F459" s="7" cm="1">
        <f t="array" ref="F459">_xlfn.LET(_xlpm.x,E459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45416</v>
      </c>
      <c r="G459" s="8" t="str">
        <f t="shared" si="32"/>
        <v>OK</v>
      </c>
      <c r="H459" s="6">
        <f t="shared" si="33"/>
        <v>0</v>
      </c>
      <c r="I459" s="6" t="s">
        <v>2336</v>
      </c>
      <c r="J459" s="6" t="s">
        <v>139</v>
      </c>
      <c r="K459" s="6" t="str">
        <f t="shared" si="34"/>
        <v>Mira Das</v>
      </c>
      <c r="L459" s="6" t="s">
        <v>46</v>
      </c>
      <c r="M459" s="8" t="str">
        <f t="shared" si="35"/>
        <v>Small Business</v>
      </c>
      <c r="N459" s="6" t="s">
        <v>9</v>
      </c>
      <c r="O459" s="6" t="str">
        <f t="shared" si="36"/>
        <v>West</v>
      </c>
      <c r="P459" s="6" t="s">
        <v>323</v>
      </c>
      <c r="Q459" s="6" t="str">
        <f t="shared" si="37"/>
        <v>Goa</v>
      </c>
      <c r="R459" s="6" t="s">
        <v>324</v>
      </c>
      <c r="S459" s="6" t="str">
        <f t="shared" si="38"/>
        <v>Panaji</v>
      </c>
      <c r="T459" s="6" t="s">
        <v>14</v>
      </c>
      <c r="U459" s="8" t="str">
        <f t="shared" si="39"/>
        <v>Furniture</v>
      </c>
      <c r="V459" s="6" t="s">
        <v>18</v>
      </c>
      <c r="W459" s="6" t="str">
        <f t="shared" si="40"/>
        <v>Tables</v>
      </c>
      <c r="X459" s="6" t="s">
        <v>2337</v>
      </c>
      <c r="Y459" s="6" t="s">
        <v>34</v>
      </c>
      <c r="Z459" s="6" t="str">
        <f t="shared" si="41"/>
        <v>Standard Class</v>
      </c>
      <c r="AA459" s="6">
        <v>7</v>
      </c>
      <c r="AB459" s="6">
        <v>2851.51</v>
      </c>
      <c r="AC459" s="6">
        <v>0</v>
      </c>
      <c r="AD459" s="6">
        <v>19960.57</v>
      </c>
      <c r="AE459" s="6">
        <v>16603.599999999999</v>
      </c>
      <c r="AF459" s="6">
        <v>3356.97</v>
      </c>
      <c r="AG459" s="6" t="s">
        <v>52</v>
      </c>
      <c r="AH459" s="6" t="str">
        <f t="shared" si="42"/>
        <v>Paid</v>
      </c>
      <c r="AI459" s="6" t="s">
        <v>134</v>
      </c>
      <c r="AJ459" s="6" t="str">
        <f t="shared" si="43"/>
        <v>Completed</v>
      </c>
      <c r="AK459" s="9" t="str">
        <f>_xlfn.TEXTJOIN("|",FALSE,A459,TEXT(B459,"mm-dd-yyyy"),TEXT(E459,"mm-dd-yyyy"),I459,J459,L459,N459,P459,R459,T459,V459,X459,Y459,AA459,AB459,AC459,AD459,AE459,AF459,AG459,AI459)</f>
        <v>ORD-2024-10458|05-04-2024|05-04-2024|CUST-4957|Mira Das|Small Business|West|Goa|Panaji|Furniture|Tables|Elite Tables 418|Standard Class|7|2851.51|0|19960.57|16603.6|3356.97|Paid|Completed</v>
      </c>
      <c r="AL459" s="27" t="str">
        <f>IF(COUNTIF($AK$2:AK459,AK459)&gt;1,"Remove exact duplicate copy","Keep")</f>
        <v>Keep</v>
      </c>
      <c r="AM459" s="9">
        <f t="shared" si="44"/>
        <v>1</v>
      </c>
      <c r="AN459" s="9" t="str">
        <f t="shared" si="45"/>
        <v>Unique</v>
      </c>
      <c r="AO459" s="9" t="str">
        <f t="shared" si="46"/>
        <v/>
      </c>
      <c r="AP459" s="9">
        <f t="shared" si="47"/>
        <v>0</v>
      </c>
      <c r="AQ459" s="10">
        <f t="shared" si="48"/>
        <v>19960.57</v>
      </c>
      <c r="AR459" s="10">
        <f t="shared" si="49"/>
        <v>3356.9700000000012</v>
      </c>
      <c r="AS459" s="11">
        <f t="shared" si="50"/>
        <v>0.1681800670020947</v>
      </c>
      <c r="AT459" s="9">
        <f t="shared" si="51"/>
        <v>5</v>
      </c>
      <c r="AU459" s="9">
        <f t="shared" si="52"/>
        <v>2024</v>
      </c>
      <c r="AV459" s="9" t="b">
        <f t="shared" si="53"/>
        <v>0</v>
      </c>
      <c r="AW459" s="9" t="b">
        <f t="shared" si="54"/>
        <v>0</v>
      </c>
      <c r="AX459" s="9" t="str">
        <f t="shared" si="55"/>
        <v>Yes</v>
      </c>
      <c r="AY459" s="9" t="str">
        <f t="shared" si="63"/>
        <v/>
      </c>
      <c r="AZ459" s="9" t="str">
        <f>IF(OR(G459="Missing date",G459="Invalid date",G459="Ship date before order date",NOT(ISNUMBER(AP459)),AP459&lt;0,AP459&gt;0.5,AV459=TRUE,AW459=TRUE),"Invalid",IF(OR(O459="Unknown",Z459="Unknown",AC459="",AH459&lt;&gt;"Paid",AJ459&lt;&gt;"Completed",AO459&lt;&gt;""),"Warning","Clean"))</f>
        <v>Clean</v>
      </c>
    </row>
    <row r="460" spans="1:52" ht="15.75" customHeight="1">
      <c r="A460" s="6" t="s">
        <v>2338</v>
      </c>
      <c r="B460" s="7" t="s">
        <v>2339</v>
      </c>
      <c r="C460" s="7" t="str">
        <f t="shared" si="62"/>
        <v>2024-02</v>
      </c>
      <c r="D460" s="7" cm="1">
        <f t="array" ref="D460">_xlfn.LET(_xlpm.x,B460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45332</v>
      </c>
      <c r="E460" s="7" t="s">
        <v>943</v>
      </c>
      <c r="F460" s="7" cm="1">
        <f t="array" ref="F460">_xlfn.LET(_xlpm.x,E460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45333</v>
      </c>
      <c r="G460" s="8" t="str">
        <f t="shared" si="32"/>
        <v>OK</v>
      </c>
      <c r="H460" s="6">
        <f t="shared" si="33"/>
        <v>1</v>
      </c>
      <c r="I460" s="6" t="s">
        <v>2340</v>
      </c>
      <c r="J460" s="6" t="s">
        <v>129</v>
      </c>
      <c r="K460" s="6" t="str">
        <f t="shared" si="34"/>
        <v>Karan Malhotra</v>
      </c>
      <c r="L460" s="6" t="s">
        <v>45</v>
      </c>
      <c r="M460" s="8" t="str">
        <f t="shared" si="35"/>
        <v>Corporate</v>
      </c>
      <c r="N460" s="6" t="s">
        <v>7</v>
      </c>
      <c r="O460" s="6" t="str">
        <f t="shared" si="36"/>
        <v>North</v>
      </c>
      <c r="P460" s="6" t="s">
        <v>131</v>
      </c>
      <c r="Q460" s="6" t="str">
        <f t="shared" si="37"/>
        <v>Rajasthan</v>
      </c>
      <c r="R460" s="6" t="s">
        <v>132</v>
      </c>
      <c r="S460" s="6" t="str">
        <f t="shared" si="38"/>
        <v>Jaipur</v>
      </c>
      <c r="T460" s="6" t="s">
        <v>27</v>
      </c>
      <c r="U460" s="8" t="str">
        <f t="shared" si="39"/>
        <v>Technology</v>
      </c>
      <c r="V460" s="6" t="s">
        <v>31</v>
      </c>
      <c r="W460" s="6" t="str">
        <f t="shared" si="40"/>
        <v>Phones</v>
      </c>
      <c r="X460" s="6" t="s">
        <v>2341</v>
      </c>
      <c r="Y460" s="6" t="s">
        <v>36</v>
      </c>
      <c r="Z460" s="6" t="str">
        <f t="shared" si="41"/>
        <v>Second Class</v>
      </c>
      <c r="AA460" s="6">
        <v>3</v>
      </c>
      <c r="AB460" s="6">
        <v>3183.72</v>
      </c>
      <c r="AC460" s="6">
        <v>0.1</v>
      </c>
      <c r="AD460" s="6">
        <v>8596.0400000000009</v>
      </c>
      <c r="AE460" s="6">
        <v>5378.16</v>
      </c>
      <c r="AF460" s="6">
        <v>3217.88</v>
      </c>
      <c r="AG460" s="6" t="s">
        <v>52</v>
      </c>
      <c r="AH460" s="6" t="str">
        <f t="shared" si="42"/>
        <v>Paid</v>
      </c>
      <c r="AI460" s="6" t="s">
        <v>134</v>
      </c>
      <c r="AJ460" s="6" t="str">
        <f t="shared" si="43"/>
        <v>Completed</v>
      </c>
      <c r="AK460" s="9" t="str">
        <f>_xlfn.TEXTJOIN("|",FALSE,A460,TEXT(B460,"mm-dd-yyyy"),TEXT(E460,"mm-dd-yyyy"),I460,J460,L460,N460,P460,R460,T460,V460,X460,Y460,AA460,AB460,AC460,AD460,AE460,AF460,AG460,AI460)</f>
        <v>ORD-2024-10459|02-10-2024|02-11-2024|CUST-1263|Karan Malhotra|Corporate|North|Rajasthan|Jaipur|Technology|Phones|Pro Phones 907|Second Class|3|3183.72|0.1|8596.04|5378.16|3217.88|Paid|Completed</v>
      </c>
      <c r="AL460" s="27" t="str">
        <f>IF(COUNTIF($AK$2:AK460,AK460)&gt;1,"Remove exact duplicate copy","Keep")</f>
        <v>Keep</v>
      </c>
      <c r="AM460" s="9">
        <f t="shared" si="44"/>
        <v>1</v>
      </c>
      <c r="AN460" s="9" t="str">
        <f t="shared" si="45"/>
        <v>Unique</v>
      </c>
      <c r="AO460" s="9" t="str">
        <f t="shared" si="46"/>
        <v/>
      </c>
      <c r="AP460" s="9">
        <f t="shared" si="47"/>
        <v>0.1</v>
      </c>
      <c r="AQ460" s="10">
        <f t="shared" si="48"/>
        <v>8596.0439999999999</v>
      </c>
      <c r="AR460" s="10">
        <f t="shared" si="49"/>
        <v>3217.884</v>
      </c>
      <c r="AS460" s="11">
        <f t="shared" si="50"/>
        <v>0.37434475672762962</v>
      </c>
      <c r="AT460" s="9">
        <f t="shared" si="51"/>
        <v>2</v>
      </c>
      <c r="AU460" s="9">
        <f t="shared" si="52"/>
        <v>2024</v>
      </c>
      <c r="AV460" s="9" t="b">
        <f t="shared" si="53"/>
        <v>0</v>
      </c>
      <c r="AW460" s="9" t="b">
        <f t="shared" si="54"/>
        <v>0</v>
      </c>
      <c r="AX460" s="9" t="str">
        <f t="shared" si="55"/>
        <v>Yes</v>
      </c>
      <c r="AY460" s="9" t="str">
        <f t="shared" si="63"/>
        <v/>
      </c>
      <c r="AZ460" s="9" t="str">
        <f>IF(OR(G460="Missing date",G460="Invalid date",G460="Ship date before order date",NOT(ISNUMBER(AP460)),AP460&lt;0,AP460&gt;0.5,AV460=TRUE,AW460=TRUE),"Invalid",IF(OR(O460="Unknown",Z460="Unknown",AC460="",AH460&lt;&gt;"Paid",AJ460&lt;&gt;"Completed",AO460&lt;&gt;""),"Warning","Clean"))</f>
        <v>Clean</v>
      </c>
    </row>
    <row r="461" spans="1:52" ht="15.75" customHeight="1">
      <c r="A461" s="6" t="s">
        <v>2342</v>
      </c>
      <c r="B461" s="7" t="s">
        <v>2343</v>
      </c>
      <c r="C461" s="7" t="str">
        <f t="shared" si="62"/>
        <v>2024-03</v>
      </c>
      <c r="D461" s="7" cm="1">
        <f t="array" ref="D461">_xlfn.LET(_xlpm.x,B461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45379</v>
      </c>
      <c r="E461" s="7" t="s">
        <v>2273</v>
      </c>
      <c r="F461" s="7" cm="1">
        <f t="array" ref="F461">_xlfn.LET(_xlpm.x,E461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45386</v>
      </c>
      <c r="G461" s="8" t="str">
        <f t="shared" si="32"/>
        <v>OK</v>
      </c>
      <c r="H461" s="6">
        <f t="shared" si="33"/>
        <v>7</v>
      </c>
      <c r="I461" s="6" t="s">
        <v>2344</v>
      </c>
      <c r="J461" s="6" t="s">
        <v>161</v>
      </c>
      <c r="K461" s="6" t="str">
        <f t="shared" si="34"/>
        <v>Ananya Rao</v>
      </c>
      <c r="L461" s="6" t="s">
        <v>44</v>
      </c>
      <c r="M461" s="8" t="str">
        <f t="shared" si="35"/>
        <v>Home Office</v>
      </c>
      <c r="N461" s="6" t="s">
        <v>9</v>
      </c>
      <c r="O461" s="6" t="str">
        <f t="shared" si="36"/>
        <v>West</v>
      </c>
      <c r="P461" s="6" t="s">
        <v>323</v>
      </c>
      <c r="Q461" s="6" t="str">
        <f t="shared" si="37"/>
        <v>Goa</v>
      </c>
      <c r="R461" s="6" t="s">
        <v>324</v>
      </c>
      <c r="S461" s="6" t="str">
        <f t="shared" si="38"/>
        <v>Panaji</v>
      </c>
      <c r="T461" s="6" t="s">
        <v>20</v>
      </c>
      <c r="U461" s="8" t="str">
        <f t="shared" si="39"/>
        <v>Office Supplies</v>
      </c>
      <c r="V461" s="6" t="s">
        <v>24</v>
      </c>
      <c r="W461" s="6" t="str">
        <f t="shared" si="40"/>
        <v>Paper</v>
      </c>
      <c r="X461" s="6" t="s">
        <v>2345</v>
      </c>
      <c r="Y461" s="6" t="s">
        <v>35</v>
      </c>
      <c r="Z461" s="6" t="str">
        <f t="shared" si="41"/>
        <v>First Class</v>
      </c>
      <c r="AA461" s="6">
        <v>3</v>
      </c>
      <c r="AB461" s="6">
        <v>1150.92</v>
      </c>
      <c r="AC461" s="6">
        <v>0</v>
      </c>
      <c r="AD461" s="6">
        <v>3452.76</v>
      </c>
      <c r="AE461" s="6">
        <v>2077.96</v>
      </c>
      <c r="AF461" s="6">
        <v>1374.8</v>
      </c>
      <c r="AG461" s="6" t="s">
        <v>52</v>
      </c>
      <c r="AH461" s="6" t="str">
        <f t="shared" si="42"/>
        <v>Paid</v>
      </c>
      <c r="AI461" s="6" t="s">
        <v>134</v>
      </c>
      <c r="AJ461" s="6" t="str">
        <f t="shared" si="43"/>
        <v>Completed</v>
      </c>
      <c r="AK461" s="9" t="str">
        <f>_xlfn.TEXTJOIN("|",FALSE,A461,TEXT(B461,"mm-dd-yyyy"),TEXT(E461,"mm-dd-yyyy"),I461,J461,L461,N461,P461,R461,T461,V461,X461,Y461,AA461,AB461,AC461,AD461,AE461,AF461,AG461,AI461)</f>
        <v>ORD-2024-10460|03-28-2024|04-04-2024|CUST-4745|Ananya Rao|Home Office|West|Goa|Panaji|Office Supplies|Paper|Basic Paper 233|First Class|3|1150.92|0|3452.76|2077.96|1374.8|Paid|Completed</v>
      </c>
      <c r="AL461" s="27" t="str">
        <f>IF(COUNTIF($AK$2:AK461,AK461)&gt;1,"Remove exact duplicate copy","Keep")</f>
        <v>Keep</v>
      </c>
      <c r="AM461" s="9">
        <f t="shared" si="44"/>
        <v>1</v>
      </c>
      <c r="AN461" s="9" t="str">
        <f t="shared" si="45"/>
        <v>Unique</v>
      </c>
      <c r="AO461" s="9" t="str">
        <f t="shared" si="46"/>
        <v/>
      </c>
      <c r="AP461" s="9">
        <f t="shared" si="47"/>
        <v>0</v>
      </c>
      <c r="AQ461" s="10">
        <f t="shared" si="48"/>
        <v>3452.76</v>
      </c>
      <c r="AR461" s="10">
        <f t="shared" si="49"/>
        <v>1374.8000000000002</v>
      </c>
      <c r="AS461" s="11">
        <f t="shared" si="50"/>
        <v>0.39817421425178701</v>
      </c>
      <c r="AT461" s="9">
        <f t="shared" si="51"/>
        <v>3</v>
      </c>
      <c r="AU461" s="9">
        <f t="shared" si="52"/>
        <v>2024</v>
      </c>
      <c r="AV461" s="9" t="b">
        <f t="shared" si="53"/>
        <v>0</v>
      </c>
      <c r="AW461" s="9" t="b">
        <f t="shared" si="54"/>
        <v>0</v>
      </c>
      <c r="AX461" s="9" t="str">
        <f t="shared" si="55"/>
        <v>Yes</v>
      </c>
      <c r="AY461" s="9" t="str">
        <f t="shared" si="63"/>
        <v/>
      </c>
      <c r="AZ461" s="9" t="str">
        <f>IF(OR(G461="Missing date",G461="Invalid date",G461="Ship date before order date",NOT(ISNUMBER(AP461)),AP461&lt;0,AP461&gt;0.5,AV461=TRUE,AW461=TRUE),"Invalid",IF(OR(O461="Unknown",Z461="Unknown",AC461="",AH461&lt;&gt;"Paid",AJ461&lt;&gt;"Completed",AO461&lt;&gt;""),"Warning","Clean"))</f>
        <v>Clean</v>
      </c>
    </row>
    <row r="462" spans="1:52" ht="15.75" customHeight="1">
      <c r="A462" s="6" t="s">
        <v>2346</v>
      </c>
      <c r="B462" s="7" t="s">
        <v>2347</v>
      </c>
      <c r="C462" s="7" t="str">
        <f t="shared" si="62"/>
        <v>2025-09</v>
      </c>
      <c r="D462" s="7" cm="1">
        <f t="array" ref="D462">_xlfn.LET(_xlpm.x,B462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45930</v>
      </c>
      <c r="E462" s="7" t="s">
        <v>2348</v>
      </c>
      <c r="F462" s="7" cm="1">
        <f t="array" ref="F462">_xlfn.LET(_xlpm.x,E462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45936</v>
      </c>
      <c r="G462" s="8" t="str">
        <f t="shared" si="32"/>
        <v>OK</v>
      </c>
      <c r="H462" s="6">
        <f t="shared" si="33"/>
        <v>6</v>
      </c>
      <c r="I462" s="6" t="s">
        <v>2349</v>
      </c>
      <c r="J462" s="6" t="s">
        <v>239</v>
      </c>
      <c r="K462" s="6" t="str">
        <f t="shared" si="34"/>
        <v>Aarav Sharma</v>
      </c>
      <c r="L462" s="6" t="s">
        <v>45</v>
      </c>
      <c r="M462" s="8" t="str">
        <f t="shared" si="35"/>
        <v>Corporate</v>
      </c>
      <c r="N462" s="6"/>
      <c r="O462" s="6" t="str">
        <f t="shared" si="36"/>
        <v>Unknown</v>
      </c>
      <c r="P462" s="6" t="s">
        <v>131</v>
      </c>
      <c r="Q462" s="6" t="str">
        <f t="shared" si="37"/>
        <v>Rajasthan</v>
      </c>
      <c r="R462" s="6" t="s">
        <v>132</v>
      </c>
      <c r="S462" s="6" t="str">
        <f t="shared" si="38"/>
        <v>Jaipur</v>
      </c>
      <c r="T462" s="6" t="s">
        <v>27</v>
      </c>
      <c r="U462" s="8" t="str">
        <f t="shared" si="39"/>
        <v>Technology</v>
      </c>
      <c r="V462" s="6" t="s">
        <v>29</v>
      </c>
      <c r="W462" s="6" t="str">
        <f t="shared" si="40"/>
        <v>Copiers</v>
      </c>
      <c r="X462" s="6" t="s">
        <v>2350</v>
      </c>
      <c r="Y462" s="6" t="s">
        <v>36</v>
      </c>
      <c r="Z462" s="6" t="str">
        <f t="shared" si="41"/>
        <v>Second Class</v>
      </c>
      <c r="AA462" s="6">
        <v>9</v>
      </c>
      <c r="AB462" s="6">
        <v>1359.88</v>
      </c>
      <c r="AC462" s="6">
        <v>0.05</v>
      </c>
      <c r="AD462" s="6">
        <v>11626.97</v>
      </c>
      <c r="AE462" s="6">
        <v>7394.07</v>
      </c>
      <c r="AF462" s="6">
        <v>4232.8999999999996</v>
      </c>
      <c r="AG462" s="6" t="s">
        <v>52</v>
      </c>
      <c r="AH462" s="6" t="str">
        <f t="shared" si="42"/>
        <v>Paid</v>
      </c>
      <c r="AI462" s="6" t="s">
        <v>134</v>
      </c>
      <c r="AJ462" s="6" t="str">
        <f t="shared" si="43"/>
        <v>Completed</v>
      </c>
      <c r="AK462" s="9" t="str">
        <f>_xlfn.TEXTJOIN("|",FALSE,A462,TEXT(B462,"mm-dd-yyyy"),TEXT(E462,"mm-dd-yyyy"),I462,J462,L462,N462,P462,R462,T462,V462,X462,Y462,AA462,AB462,AC462,AD462,AE462,AF462,AG462,AI462)</f>
        <v>ORD-2025-10461|09-30-2025|10-06-2025|CUST-5551|Aarav Sharma|Corporate||Rajasthan|Jaipur|Technology|Copiers|Eco Copiers 603|Second Class|9|1359.88|0.05|11626.97|7394.07|4232.9|Paid|Completed</v>
      </c>
      <c r="AL462" s="27" t="str">
        <f>IF(COUNTIF($AK$2:AK462,AK462)&gt;1,"Remove exact duplicate copy","Keep")</f>
        <v>Keep</v>
      </c>
      <c r="AM462" s="9">
        <f t="shared" si="44"/>
        <v>1</v>
      </c>
      <c r="AN462" s="9" t="str">
        <f t="shared" si="45"/>
        <v>Unique</v>
      </c>
      <c r="AO462" s="9" t="str">
        <f t="shared" si="46"/>
        <v/>
      </c>
      <c r="AP462" s="9">
        <f t="shared" si="47"/>
        <v>0.05</v>
      </c>
      <c r="AQ462" s="10">
        <f t="shared" si="48"/>
        <v>11626.974000000002</v>
      </c>
      <c r="AR462" s="10">
        <f t="shared" si="49"/>
        <v>4232.9040000000023</v>
      </c>
      <c r="AS462" s="11">
        <f t="shared" si="50"/>
        <v>0.36405895463428417</v>
      </c>
      <c r="AT462" s="9">
        <f t="shared" si="51"/>
        <v>9</v>
      </c>
      <c r="AU462" s="9">
        <f t="shared" si="52"/>
        <v>2025</v>
      </c>
      <c r="AV462" s="9" t="b">
        <f t="shared" si="53"/>
        <v>0</v>
      </c>
      <c r="AW462" s="9" t="b">
        <f t="shared" si="54"/>
        <v>0</v>
      </c>
      <c r="AX462" s="9" t="str">
        <f t="shared" si="55"/>
        <v>Yes</v>
      </c>
      <c r="AY462" s="9" t="str">
        <f t="shared" si="63"/>
        <v>Missing region filled as Unknown</v>
      </c>
      <c r="AZ462" s="9" t="str">
        <f>IF(OR(G462="Missing date",G462="Invalid date",G462="Ship date before order date",NOT(ISNUMBER(AP462)),AP462&lt;0,AP462&gt;0.5,AV462=TRUE,AW462=TRUE),"Invalid",IF(OR(O462="Unknown",Z462="Unknown",AC462="",AH462&lt;&gt;"Paid",AJ462&lt;&gt;"Completed",AO462&lt;&gt;""),"Warning","Clean"))</f>
        <v>Warning</v>
      </c>
    </row>
    <row r="463" spans="1:52" ht="15.75" customHeight="1">
      <c r="A463" s="6" t="s">
        <v>2351</v>
      </c>
      <c r="B463" s="7" t="s">
        <v>2352</v>
      </c>
      <c r="C463" s="7" t="str">
        <f t="shared" si="62"/>
        <v>2025-05</v>
      </c>
      <c r="D463" s="7" cm="1">
        <f t="array" ref="D463">_xlfn.LET(_xlpm.x,B463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45802</v>
      </c>
      <c r="E463" s="7" t="s">
        <v>1609</v>
      </c>
      <c r="F463" s="7" cm="1">
        <f t="array" ref="F463">_xlfn.LET(_xlpm.x,E463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45803</v>
      </c>
      <c r="G463" s="8" t="str">
        <f t="shared" si="32"/>
        <v>OK</v>
      </c>
      <c r="H463" s="6">
        <f t="shared" si="33"/>
        <v>1</v>
      </c>
      <c r="I463" s="6" t="s">
        <v>2353</v>
      </c>
      <c r="J463" s="6" t="s">
        <v>177</v>
      </c>
      <c r="K463" s="6" t="str">
        <f t="shared" si="34"/>
        <v>Neha Gupta</v>
      </c>
      <c r="L463" s="6" t="s">
        <v>45</v>
      </c>
      <c r="M463" s="8" t="str">
        <f t="shared" si="35"/>
        <v>Corporate</v>
      </c>
      <c r="N463" s="6" t="s">
        <v>10</v>
      </c>
      <c r="O463" s="6" t="str">
        <f t="shared" si="36"/>
        <v>South</v>
      </c>
      <c r="P463" s="6" t="s">
        <v>183</v>
      </c>
      <c r="Q463" s="6" t="str">
        <f t="shared" si="37"/>
        <v>Andhra Pradesh</v>
      </c>
      <c r="R463" s="6" t="s">
        <v>184</v>
      </c>
      <c r="S463" s="6" t="str">
        <f t="shared" si="38"/>
        <v>Vijayawada</v>
      </c>
      <c r="T463" s="6" t="s">
        <v>20</v>
      </c>
      <c r="U463" s="8" t="str">
        <f t="shared" si="39"/>
        <v>Office Supplies</v>
      </c>
      <c r="V463" s="6" t="s">
        <v>24</v>
      </c>
      <c r="W463" s="6" t="str">
        <f t="shared" si="40"/>
        <v>Paper</v>
      </c>
      <c r="X463" s="6" t="s">
        <v>2354</v>
      </c>
      <c r="Y463" s="6" t="s">
        <v>34</v>
      </c>
      <c r="Z463" s="6" t="str">
        <f t="shared" si="41"/>
        <v>Standard Class</v>
      </c>
      <c r="AA463" s="6">
        <v>3</v>
      </c>
      <c r="AB463" s="6">
        <v>3378.15</v>
      </c>
      <c r="AC463" s="6">
        <v>0.15</v>
      </c>
      <c r="AD463" s="6">
        <v>8614.2800000000007</v>
      </c>
      <c r="AE463" s="6">
        <v>7052.08</v>
      </c>
      <c r="AF463" s="6">
        <v>1562.2</v>
      </c>
      <c r="AG463" s="6" t="s">
        <v>52</v>
      </c>
      <c r="AH463" s="6" t="str">
        <f t="shared" si="42"/>
        <v>Paid</v>
      </c>
      <c r="AI463" s="6" t="s">
        <v>134</v>
      </c>
      <c r="AJ463" s="6" t="str">
        <f t="shared" si="43"/>
        <v>Completed</v>
      </c>
      <c r="AK463" s="9" t="str">
        <f>_xlfn.TEXTJOIN("|",FALSE,A463,TEXT(B463,"mm-dd-yyyy"),TEXT(E463,"mm-dd-yyyy"),I463,J463,L463,N463,P463,R463,T463,V463,X463,Y463,AA463,AB463,AC463,AD463,AE463,AF463,AG463,AI463)</f>
        <v>ORD-2025-10462|05-25-2025|05-26-2025|CUST-3659|Neha Gupta|Corporate|South|Andhra Pradesh|Vijayawada|Office Supplies|Paper|Max Paper 700|Standard Class|3|3378.15|0.15|8614.28|7052.08|1562.2|Paid|Completed</v>
      </c>
      <c r="AL463" s="27" t="str">
        <f>IF(COUNTIF($AK$2:AK463,AK463)&gt;1,"Remove exact duplicate copy","Keep")</f>
        <v>Keep</v>
      </c>
      <c r="AM463" s="9">
        <f t="shared" si="44"/>
        <v>1</v>
      </c>
      <c r="AN463" s="9" t="str">
        <f t="shared" si="45"/>
        <v>Unique</v>
      </c>
      <c r="AO463" s="9" t="str">
        <f t="shared" si="46"/>
        <v/>
      </c>
      <c r="AP463" s="9">
        <f t="shared" si="47"/>
        <v>0.15</v>
      </c>
      <c r="AQ463" s="10">
        <f t="shared" si="48"/>
        <v>8614.2825000000012</v>
      </c>
      <c r="AR463" s="10">
        <f t="shared" si="49"/>
        <v>1562.2025000000012</v>
      </c>
      <c r="AS463" s="11">
        <f t="shared" si="50"/>
        <v>0.18135027496486225</v>
      </c>
      <c r="AT463" s="9">
        <f t="shared" si="51"/>
        <v>5</v>
      </c>
      <c r="AU463" s="9">
        <f t="shared" si="52"/>
        <v>2025</v>
      </c>
      <c r="AV463" s="9" t="b">
        <f t="shared" si="53"/>
        <v>0</v>
      </c>
      <c r="AW463" s="9" t="b">
        <f t="shared" si="54"/>
        <v>0</v>
      </c>
      <c r="AX463" s="9" t="str">
        <f t="shared" si="55"/>
        <v>Yes</v>
      </c>
      <c r="AY463" s="9" t="str">
        <f t="shared" si="63"/>
        <v/>
      </c>
      <c r="AZ463" s="9" t="str">
        <f>IF(OR(G463="Missing date",G463="Invalid date",G463="Ship date before order date",NOT(ISNUMBER(AP463)),AP463&lt;0,AP463&gt;0.5,AV463=TRUE,AW463=TRUE),"Invalid",IF(OR(O463="Unknown",Z463="Unknown",AC463="",AH463&lt;&gt;"Paid",AJ463&lt;&gt;"Completed",AO463&lt;&gt;""),"Warning","Clean"))</f>
        <v>Clean</v>
      </c>
    </row>
    <row r="464" spans="1:52" ht="15.75" customHeight="1">
      <c r="A464" s="6" t="s">
        <v>2355</v>
      </c>
      <c r="B464" s="7" t="s">
        <v>2096</v>
      </c>
      <c r="C464" s="7" t="str">
        <f t="shared" si="62"/>
        <v>2024-09</v>
      </c>
      <c r="D464" s="7" cm="1">
        <f t="array" ref="D464">_xlfn.LET(_xlpm.x,B464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45558</v>
      </c>
      <c r="E464" s="7" t="s">
        <v>2356</v>
      </c>
      <c r="F464" s="7" cm="1">
        <f t="array" ref="F464">_xlfn.LET(_xlpm.x,E464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45560</v>
      </c>
      <c r="G464" s="8" t="str">
        <f t="shared" si="32"/>
        <v>OK</v>
      </c>
      <c r="H464" s="6">
        <f t="shared" si="33"/>
        <v>2</v>
      </c>
      <c r="I464" s="6" t="s">
        <v>2357</v>
      </c>
      <c r="J464" s="6" t="s">
        <v>239</v>
      </c>
      <c r="K464" s="6" t="str">
        <f t="shared" si="34"/>
        <v>Aarav Sharma</v>
      </c>
      <c r="L464" s="6" t="s">
        <v>44</v>
      </c>
      <c r="M464" s="8" t="str">
        <f t="shared" si="35"/>
        <v>Home Office</v>
      </c>
      <c r="N464" s="6" t="s">
        <v>7</v>
      </c>
      <c r="O464" s="6" t="str">
        <f t="shared" si="36"/>
        <v>North</v>
      </c>
      <c r="P464" s="6" t="s">
        <v>583</v>
      </c>
      <c r="Q464" s="6" t="str">
        <f t="shared" si="37"/>
        <v>Delhi</v>
      </c>
      <c r="R464" s="6" t="s">
        <v>584</v>
      </c>
      <c r="S464" s="6" t="str">
        <f t="shared" si="38"/>
        <v>New Delhi</v>
      </c>
      <c r="T464" s="6" t="s">
        <v>20</v>
      </c>
      <c r="U464" s="8" t="str">
        <f t="shared" si="39"/>
        <v>Office Supplies</v>
      </c>
      <c r="V464" s="6" t="s">
        <v>22</v>
      </c>
      <c r="W464" s="6" t="str">
        <f t="shared" si="40"/>
        <v>Binders</v>
      </c>
      <c r="X464" s="6" t="s">
        <v>2358</v>
      </c>
      <c r="Y464" s="6" t="s">
        <v>35</v>
      </c>
      <c r="Z464" s="6" t="str">
        <f t="shared" si="41"/>
        <v>First Class</v>
      </c>
      <c r="AA464" s="6">
        <v>2</v>
      </c>
      <c r="AB464" s="6">
        <v>1275.1400000000001</v>
      </c>
      <c r="AC464" s="6">
        <v>0.2</v>
      </c>
      <c r="AD464" s="6">
        <v>2040.22</v>
      </c>
      <c r="AE464" s="6">
        <v>1395.71</v>
      </c>
      <c r="AF464" s="6">
        <v>644.51</v>
      </c>
      <c r="AG464" s="6" t="s">
        <v>52</v>
      </c>
      <c r="AH464" s="6" t="str">
        <f t="shared" si="42"/>
        <v>Paid</v>
      </c>
      <c r="AI464" s="6" t="s">
        <v>134</v>
      </c>
      <c r="AJ464" s="6" t="str">
        <f t="shared" si="43"/>
        <v>Completed</v>
      </c>
      <c r="AK464" s="9" t="str">
        <f>_xlfn.TEXTJOIN("|",FALSE,A464,TEXT(B464,"mm-dd-yyyy"),TEXT(E464,"mm-dd-yyyy"),I464,J464,L464,N464,P464,R464,T464,V464,X464,Y464,AA464,AB464,AC464,AD464,AE464,AF464,AG464,AI464)</f>
        <v>ORD-2024-10463|09-23-2024|25-09-2024|CUST-6594|Aarav Sharma|Home Office|North|Delhi|New Delhi|Office Supplies|Binders|Pro Binders 404|First Class|2|1275.14|0.2|2040.22|1395.71|644.51|Paid|Completed</v>
      </c>
      <c r="AL464" s="27" t="str">
        <f>IF(COUNTIF($AK$2:AK464,AK464)&gt;1,"Remove exact duplicate copy","Keep")</f>
        <v>Keep</v>
      </c>
      <c r="AM464" s="9">
        <f t="shared" si="44"/>
        <v>1</v>
      </c>
      <c r="AN464" s="9" t="str">
        <f t="shared" si="45"/>
        <v>Unique</v>
      </c>
      <c r="AO464" s="9" t="str">
        <f t="shared" si="46"/>
        <v/>
      </c>
      <c r="AP464" s="9">
        <f t="shared" si="47"/>
        <v>0.2</v>
      </c>
      <c r="AQ464" s="10">
        <f t="shared" si="48"/>
        <v>2040.2240000000002</v>
      </c>
      <c r="AR464" s="10">
        <f t="shared" si="49"/>
        <v>644.51400000000012</v>
      </c>
      <c r="AS464" s="11">
        <f t="shared" si="50"/>
        <v>0.31590354784572677</v>
      </c>
      <c r="AT464" s="9">
        <f t="shared" si="51"/>
        <v>9</v>
      </c>
      <c r="AU464" s="9">
        <f t="shared" si="52"/>
        <v>2024</v>
      </c>
      <c r="AV464" s="9" t="b">
        <f t="shared" si="53"/>
        <v>0</v>
      </c>
      <c r="AW464" s="9" t="b">
        <f t="shared" si="54"/>
        <v>0</v>
      </c>
      <c r="AX464" s="9" t="str">
        <f t="shared" si="55"/>
        <v>Yes</v>
      </c>
      <c r="AY464" s="9" t="str">
        <f t="shared" si="63"/>
        <v/>
      </c>
      <c r="AZ464" s="9" t="str">
        <f>IF(OR(G464="Missing date",G464="Invalid date",G464="Ship date before order date",NOT(ISNUMBER(AP464)),AP464&lt;0,AP464&gt;0.5,AV464=TRUE,AW464=TRUE),"Invalid",IF(OR(O464="Unknown",Z464="Unknown",AC464="",AH464&lt;&gt;"Paid",AJ464&lt;&gt;"Completed",AO464&lt;&gt;""),"Warning","Clean"))</f>
        <v>Clean</v>
      </c>
    </row>
    <row r="465" spans="1:52" ht="15.75" customHeight="1">
      <c r="A465" s="6" t="s">
        <v>2359</v>
      </c>
      <c r="B465" s="7" t="s">
        <v>516</v>
      </c>
      <c r="C465" s="7" t="str">
        <f t="shared" si="62"/>
        <v>2025-02</v>
      </c>
      <c r="D465" s="7" cm="1">
        <f t="array" ref="D465">_xlfn.LET(_xlpm.x,B465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45695</v>
      </c>
      <c r="E465" s="7" t="s">
        <v>2360</v>
      </c>
      <c r="F465" s="7" cm="1">
        <f t="array" ref="F465">_xlfn.LET(_xlpm.x,E465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45696</v>
      </c>
      <c r="G465" s="8" t="str">
        <f t="shared" si="32"/>
        <v>OK</v>
      </c>
      <c r="H465" s="6">
        <f t="shared" si="33"/>
        <v>1</v>
      </c>
      <c r="I465" s="6" t="s">
        <v>2361</v>
      </c>
      <c r="J465" s="6" t="s">
        <v>153</v>
      </c>
      <c r="K465" s="6" t="str">
        <f t="shared" si="34"/>
        <v>Arjun Bose</v>
      </c>
      <c r="L465" s="6" t="s">
        <v>45</v>
      </c>
      <c r="M465" s="8" t="str">
        <f t="shared" si="35"/>
        <v>Corporate</v>
      </c>
      <c r="N465" s="6" t="s">
        <v>9</v>
      </c>
      <c r="O465" s="6" t="str">
        <f t="shared" si="36"/>
        <v>West</v>
      </c>
      <c r="P465" s="6" t="s">
        <v>170</v>
      </c>
      <c r="Q465" s="6" t="str">
        <f t="shared" si="37"/>
        <v>Madhya Pradesh</v>
      </c>
      <c r="R465" s="6" t="s">
        <v>171</v>
      </c>
      <c r="S465" s="6" t="str">
        <f t="shared" si="38"/>
        <v>Indore</v>
      </c>
      <c r="T465" s="6" t="s">
        <v>27</v>
      </c>
      <c r="U465" s="8" t="str">
        <f t="shared" si="39"/>
        <v>Technology</v>
      </c>
      <c r="V465" s="6" t="s">
        <v>31</v>
      </c>
      <c r="W465" s="6" t="str">
        <f t="shared" si="40"/>
        <v>Phones</v>
      </c>
      <c r="X465" s="6" t="s">
        <v>2362</v>
      </c>
      <c r="Y465" s="6" t="s">
        <v>34</v>
      </c>
      <c r="Z465" s="6" t="str">
        <f t="shared" si="41"/>
        <v>Standard Class</v>
      </c>
      <c r="AA465" s="6">
        <v>4</v>
      </c>
      <c r="AB465" s="6">
        <v>889.5</v>
      </c>
      <c r="AC465" s="6">
        <v>0.2</v>
      </c>
      <c r="AD465" s="6">
        <v>2846.4</v>
      </c>
      <c r="AE465" s="6">
        <v>2132.37</v>
      </c>
      <c r="AF465" s="6">
        <v>714.03</v>
      </c>
      <c r="AG465" s="6" t="s">
        <v>52</v>
      </c>
      <c r="AH465" s="6" t="str">
        <f t="shared" si="42"/>
        <v>Paid</v>
      </c>
      <c r="AI465" s="6" t="s">
        <v>134</v>
      </c>
      <c r="AJ465" s="6" t="str">
        <f t="shared" si="43"/>
        <v>Completed</v>
      </c>
      <c r="AK465" s="9" t="str">
        <f>_xlfn.TEXTJOIN("|",FALSE,A465,TEXT(B465,"mm-dd-yyyy"),TEXT(E465,"mm-dd-yyyy"),I465,J465,L465,N465,P465,R465,T465,V465,X465,Y465,AA465,AB465,AC465,AD465,AE465,AF465,AG465,AI465)</f>
        <v>ORD-2025-10464|07-02-2025|02-08-2025|CUST-2626|Arjun Bose|Corporate|West|Madhya Pradesh|Indore|Technology|Phones|Eco Phones 208|Standard Class|4|889.5|0.2|2846.4|2132.37|714.03|Paid|Completed</v>
      </c>
      <c r="AL465" s="27" t="str">
        <f>IF(COUNTIF($AK$2:AK465,AK465)&gt;1,"Remove exact duplicate copy","Keep")</f>
        <v>Keep</v>
      </c>
      <c r="AM465" s="9">
        <f t="shared" si="44"/>
        <v>1</v>
      </c>
      <c r="AN465" s="9" t="str">
        <f t="shared" si="45"/>
        <v>Unique</v>
      </c>
      <c r="AO465" s="9" t="str">
        <f t="shared" si="46"/>
        <v/>
      </c>
      <c r="AP465" s="9">
        <f t="shared" si="47"/>
        <v>0.2</v>
      </c>
      <c r="AQ465" s="10">
        <f t="shared" si="48"/>
        <v>2846.4</v>
      </c>
      <c r="AR465" s="10">
        <f t="shared" si="49"/>
        <v>714.0300000000002</v>
      </c>
      <c r="AS465" s="11">
        <f t="shared" si="50"/>
        <v>0.25085370994940986</v>
      </c>
      <c r="AT465" s="9">
        <f t="shared" si="51"/>
        <v>2</v>
      </c>
      <c r="AU465" s="9">
        <f t="shared" si="52"/>
        <v>2025</v>
      </c>
      <c r="AV465" s="9" t="b">
        <f t="shared" si="53"/>
        <v>0</v>
      </c>
      <c r="AW465" s="9" t="b">
        <f t="shared" si="54"/>
        <v>0</v>
      </c>
      <c r="AX465" s="9" t="str">
        <f t="shared" si="55"/>
        <v>Yes</v>
      </c>
      <c r="AY465" s="9" t="str">
        <f t="shared" si="63"/>
        <v/>
      </c>
      <c r="AZ465" s="9" t="str">
        <f>IF(OR(G465="Missing date",G465="Invalid date",G465="Ship date before order date",NOT(ISNUMBER(AP465)),AP465&lt;0,AP465&gt;0.5,AV465=TRUE,AW465=TRUE),"Invalid",IF(OR(O465="Unknown",Z465="Unknown",AC465="",AH465&lt;&gt;"Paid",AJ465&lt;&gt;"Completed",AO465&lt;&gt;""),"Warning","Clean"))</f>
        <v>Clean</v>
      </c>
    </row>
    <row r="466" spans="1:52" ht="15.75" customHeight="1">
      <c r="A466" s="6" t="s">
        <v>2363</v>
      </c>
      <c r="B466" s="7" t="s">
        <v>2364</v>
      </c>
      <c r="C466" s="7" t="str">
        <f t="shared" si="62"/>
        <v>2025-03</v>
      </c>
      <c r="D466" s="7" cm="1">
        <f t="array" ref="D466">_xlfn.LET(_xlpm.x,B466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45727</v>
      </c>
      <c r="E466" s="7" t="s">
        <v>2365</v>
      </c>
      <c r="F466" s="7" cm="1">
        <f t="array" ref="F466">_xlfn.LET(_xlpm.x,E466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45731</v>
      </c>
      <c r="G466" s="8" t="str">
        <f t="shared" si="32"/>
        <v>OK</v>
      </c>
      <c r="H466" s="6">
        <f t="shared" si="33"/>
        <v>4</v>
      </c>
      <c r="I466" s="6" t="s">
        <v>2366</v>
      </c>
      <c r="J466" s="6" t="s">
        <v>153</v>
      </c>
      <c r="K466" s="6" t="str">
        <f t="shared" si="34"/>
        <v>Arjun Bose</v>
      </c>
      <c r="L466" s="6" t="s">
        <v>45</v>
      </c>
      <c r="M466" s="8" t="str">
        <f t="shared" si="35"/>
        <v>Corporate</v>
      </c>
      <c r="N466" s="6" t="s">
        <v>8</v>
      </c>
      <c r="O466" s="6" t="str">
        <f t="shared" si="36"/>
        <v>East</v>
      </c>
      <c r="P466" s="6" t="s">
        <v>263</v>
      </c>
      <c r="Q466" s="6" t="str">
        <f t="shared" si="37"/>
        <v>Bihar</v>
      </c>
      <c r="R466" s="6" t="s">
        <v>264</v>
      </c>
      <c r="S466" s="6" t="str">
        <f t="shared" si="38"/>
        <v>Patna</v>
      </c>
      <c r="T466" s="6" t="s">
        <v>20</v>
      </c>
      <c r="U466" s="8" t="str">
        <f t="shared" si="39"/>
        <v>Office Supplies</v>
      </c>
      <c r="V466" s="6" t="s">
        <v>24</v>
      </c>
      <c r="W466" s="6" t="str">
        <f t="shared" si="40"/>
        <v>Paper</v>
      </c>
      <c r="X466" s="6" t="s">
        <v>2367</v>
      </c>
      <c r="Y466" s="6" t="s">
        <v>37</v>
      </c>
      <c r="Z466" s="6" t="str">
        <f t="shared" si="41"/>
        <v>Same Day</v>
      </c>
      <c r="AA466" s="6">
        <v>3</v>
      </c>
      <c r="AB466" s="6">
        <v>3625.08</v>
      </c>
      <c r="AC466" s="6">
        <v>0.05</v>
      </c>
      <c r="AD466" s="6">
        <v>10331.48</v>
      </c>
      <c r="AE466" s="6">
        <v>7131.91</v>
      </c>
      <c r="AF466" s="6">
        <v>3199.57</v>
      </c>
      <c r="AG466" s="6" t="s">
        <v>54</v>
      </c>
      <c r="AH466" s="6" t="str">
        <f t="shared" si="42"/>
        <v>Pending</v>
      </c>
      <c r="AI466" s="6" t="s">
        <v>58</v>
      </c>
      <c r="AJ466" s="6" t="str">
        <f t="shared" si="43"/>
        <v>Cancelled</v>
      </c>
      <c r="AK466" s="9" t="str">
        <f>_xlfn.TEXTJOIN("|",FALSE,A466,TEXT(B466,"mm-dd-yyyy"),TEXT(E466,"mm-dd-yyyy"),I466,J466,L466,N466,P466,R466,T466,V466,X466,Y466,AA466,AB466,AC466,AD466,AE466,AF466,AG466,AI466)</f>
        <v>ORD-2025-10465|11-03-2025|03-15-2025|CUST-7362|Arjun Bose|Corporate|East|Bihar|Patna|Office Supplies|Paper|Elite Paper 106|Same Day|3|3625.08|0.05|10331.48|7131.91|3199.57|Pending|Cancelled</v>
      </c>
      <c r="AL466" s="27" t="str">
        <f>IF(COUNTIF($AK$2:AK466,AK466)&gt;1,"Remove exact duplicate copy","Keep")</f>
        <v>Keep</v>
      </c>
      <c r="AM466" s="9">
        <f t="shared" si="44"/>
        <v>1</v>
      </c>
      <c r="AN466" s="9" t="str">
        <f t="shared" si="45"/>
        <v>Unique</v>
      </c>
      <c r="AO466" s="9" t="str">
        <f t="shared" si="46"/>
        <v/>
      </c>
      <c r="AP466" s="9">
        <f t="shared" si="47"/>
        <v>0.05</v>
      </c>
      <c r="AQ466" s="10">
        <f t="shared" si="48"/>
        <v>10331.477999999999</v>
      </c>
      <c r="AR466" s="10">
        <f t="shared" si="49"/>
        <v>3199.5679999999993</v>
      </c>
      <c r="AS466" s="11">
        <f t="shared" si="50"/>
        <v>0.30969121746181905</v>
      </c>
      <c r="AT466" s="9">
        <f t="shared" si="51"/>
        <v>3</v>
      </c>
      <c r="AU466" s="9">
        <f t="shared" si="52"/>
        <v>2025</v>
      </c>
      <c r="AV466" s="9" t="b">
        <f t="shared" si="53"/>
        <v>0</v>
      </c>
      <c r="AW466" s="9" t="b">
        <f t="shared" si="54"/>
        <v>0</v>
      </c>
      <c r="AX466" s="9" t="str">
        <f t="shared" si="55"/>
        <v>No</v>
      </c>
      <c r="AY466" s="9" t="str">
        <f t="shared" si="63"/>
        <v>Cancelled order excluded</v>
      </c>
      <c r="AZ466" s="9" t="str">
        <f>IF(OR(G466="Missing date",G466="Invalid date",G466="Ship date before order date",NOT(ISNUMBER(AP466)),AP466&lt;0,AP466&gt;0.5,AV466=TRUE,AW466=TRUE),"Invalid",IF(OR(O466="Unknown",Z466="Unknown",AC466="",AH466&lt;&gt;"Paid",AJ466&lt;&gt;"Completed",AO466&lt;&gt;""),"Warning","Clean"))</f>
        <v>Warning</v>
      </c>
    </row>
    <row r="467" spans="1:52" ht="15.75" customHeight="1">
      <c r="A467" s="6" t="s">
        <v>2368</v>
      </c>
      <c r="B467" s="7" t="s">
        <v>2369</v>
      </c>
      <c r="C467" s="7" t="str">
        <f t="shared" si="62"/>
        <v>2024-01</v>
      </c>
      <c r="D467" s="7" cm="1">
        <f t="array" ref="D467">_xlfn.LET(_xlpm.x,B467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45320</v>
      </c>
      <c r="E467" s="7" t="s">
        <v>2370</v>
      </c>
      <c r="F467" s="7" cm="1">
        <f t="array" ref="F467">_xlfn.LET(_xlpm.x,E467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45328</v>
      </c>
      <c r="G467" s="8" t="str">
        <f t="shared" si="32"/>
        <v>OK</v>
      </c>
      <c r="H467" s="6">
        <f t="shared" si="33"/>
        <v>8</v>
      </c>
      <c r="I467" s="6" t="s">
        <v>2371</v>
      </c>
      <c r="J467" s="6" t="s">
        <v>239</v>
      </c>
      <c r="K467" s="6" t="str">
        <f t="shared" si="34"/>
        <v>Aarav Sharma</v>
      </c>
      <c r="L467" s="6" t="s">
        <v>46</v>
      </c>
      <c r="M467" s="8" t="str">
        <f t="shared" si="35"/>
        <v>Small Business</v>
      </c>
      <c r="N467" s="6" t="s">
        <v>9</v>
      </c>
      <c r="O467" s="6" t="str">
        <f t="shared" si="36"/>
        <v>West</v>
      </c>
      <c r="P467" s="6" t="s">
        <v>170</v>
      </c>
      <c r="Q467" s="6" t="str">
        <f t="shared" si="37"/>
        <v>Madhya Pradesh</v>
      </c>
      <c r="R467" s="6" t="s">
        <v>171</v>
      </c>
      <c r="S467" s="6" t="str">
        <f t="shared" si="38"/>
        <v>Indore</v>
      </c>
      <c r="T467" s="6" t="s">
        <v>20</v>
      </c>
      <c r="U467" s="8" t="str">
        <f t="shared" si="39"/>
        <v>Office Supplies</v>
      </c>
      <c r="V467" s="6" t="s">
        <v>23</v>
      </c>
      <c r="W467" s="6" t="str">
        <f t="shared" si="40"/>
        <v>Labels</v>
      </c>
      <c r="X467" s="6" t="s">
        <v>2372</v>
      </c>
      <c r="Y467" s="6" t="s">
        <v>34</v>
      </c>
      <c r="Z467" s="6" t="str">
        <f t="shared" si="41"/>
        <v>Standard Class</v>
      </c>
      <c r="AA467" s="6">
        <v>2</v>
      </c>
      <c r="AB467" s="6">
        <v>1258.9000000000001</v>
      </c>
      <c r="AC467" s="6">
        <v>0</v>
      </c>
      <c r="AD467" s="6">
        <v>2517.8000000000002</v>
      </c>
      <c r="AE467" s="6">
        <v>1478.54</v>
      </c>
      <c r="AF467" s="6">
        <v>1039.26</v>
      </c>
      <c r="AG467" s="6" t="s">
        <v>52</v>
      </c>
      <c r="AH467" s="6" t="str">
        <f t="shared" si="42"/>
        <v>Paid</v>
      </c>
      <c r="AI467" s="6" t="s">
        <v>134</v>
      </c>
      <c r="AJ467" s="6" t="str">
        <f t="shared" si="43"/>
        <v>Completed</v>
      </c>
      <c r="AK467" s="9" t="str">
        <f>_xlfn.TEXTJOIN("|",FALSE,A467,TEXT(B467,"mm-dd-yyyy"),TEXT(E467,"mm-dd-yyyy"),I467,J467,L467,N467,P467,R467,T467,V467,X467,Y467,AA467,AB467,AC467,AD467,AE467,AF467,AG467,AI467)</f>
        <v>ORD-2024-10466|29-01-2024|02-06-2024|CUST-1748|Aarav Sharma|Small Business|West|Madhya Pradesh|Indore|Office Supplies|Labels|Eco Labels 914|Standard Class|2|1258.9|0|2517.8|1478.54|1039.26|Paid|Completed</v>
      </c>
      <c r="AL467" s="27" t="str">
        <f>IF(COUNTIF($AK$2:AK467,AK467)&gt;1,"Remove exact duplicate copy","Keep")</f>
        <v>Keep</v>
      </c>
      <c r="AM467" s="9">
        <f t="shared" si="44"/>
        <v>1</v>
      </c>
      <c r="AN467" s="9" t="str">
        <f t="shared" si="45"/>
        <v>Unique</v>
      </c>
      <c r="AO467" s="9" t="str">
        <f t="shared" si="46"/>
        <v/>
      </c>
      <c r="AP467" s="9">
        <f t="shared" si="47"/>
        <v>0</v>
      </c>
      <c r="AQ467" s="10">
        <f t="shared" si="48"/>
        <v>2517.8000000000002</v>
      </c>
      <c r="AR467" s="10">
        <f t="shared" si="49"/>
        <v>1039.2600000000002</v>
      </c>
      <c r="AS467" s="11">
        <f t="shared" si="50"/>
        <v>0.41276511239971408</v>
      </c>
      <c r="AT467" s="9">
        <f t="shared" si="51"/>
        <v>1</v>
      </c>
      <c r="AU467" s="9">
        <f t="shared" si="52"/>
        <v>2024</v>
      </c>
      <c r="AV467" s="9" t="b">
        <f t="shared" si="53"/>
        <v>0</v>
      </c>
      <c r="AW467" s="9" t="b">
        <f t="shared" si="54"/>
        <v>0</v>
      </c>
      <c r="AX467" s="9" t="str">
        <f t="shared" si="55"/>
        <v>Yes</v>
      </c>
      <c r="AY467" s="9" t="str">
        <f t="shared" si="63"/>
        <v/>
      </c>
      <c r="AZ467" s="9" t="str">
        <f>IF(OR(G467="Missing date",G467="Invalid date",G467="Ship date before order date",NOT(ISNUMBER(AP467)),AP467&lt;0,AP467&gt;0.5,AV467=TRUE,AW467=TRUE),"Invalid",IF(OR(O467="Unknown",Z467="Unknown",AC467="",AH467&lt;&gt;"Paid",AJ467&lt;&gt;"Completed",AO467&lt;&gt;""),"Warning","Clean"))</f>
        <v>Clean</v>
      </c>
    </row>
    <row r="468" spans="1:52" ht="15.75" customHeight="1">
      <c r="A468" s="6" t="s">
        <v>2373</v>
      </c>
      <c r="B468" s="7" t="s">
        <v>2374</v>
      </c>
      <c r="C468" s="7" t="str">
        <f t="shared" si="62"/>
        <v>2024-01</v>
      </c>
      <c r="D468" s="7" cm="1">
        <f t="array" ref="D468">_xlfn.LET(_xlpm.x,B468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45295</v>
      </c>
      <c r="E468" s="7" t="s">
        <v>2375</v>
      </c>
      <c r="F468" s="7" cm="1">
        <f t="array" ref="F468">_xlfn.LET(_xlpm.x,E468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45299</v>
      </c>
      <c r="G468" s="8" t="str">
        <f t="shared" si="32"/>
        <v>OK</v>
      </c>
      <c r="H468" s="6">
        <f t="shared" si="33"/>
        <v>4</v>
      </c>
      <c r="I468" s="6" t="s">
        <v>2376</v>
      </c>
      <c r="J468" s="6" t="s">
        <v>139</v>
      </c>
      <c r="K468" s="6" t="str">
        <f t="shared" si="34"/>
        <v>Mira Das</v>
      </c>
      <c r="L468" s="6" t="s">
        <v>46</v>
      </c>
      <c r="M468" s="8" t="str">
        <f t="shared" si="35"/>
        <v>Small Business</v>
      </c>
      <c r="N468" s="6" t="s">
        <v>8</v>
      </c>
      <c r="O468" s="6" t="str">
        <f t="shared" si="36"/>
        <v>East</v>
      </c>
      <c r="P468" s="6" t="s">
        <v>263</v>
      </c>
      <c r="Q468" s="6" t="str">
        <f t="shared" si="37"/>
        <v>Bihar</v>
      </c>
      <c r="R468" s="6" t="s">
        <v>264</v>
      </c>
      <c r="S468" s="6" t="str">
        <f t="shared" si="38"/>
        <v>Patna</v>
      </c>
      <c r="T468" s="6" t="s">
        <v>27</v>
      </c>
      <c r="U468" s="8" t="str">
        <f t="shared" si="39"/>
        <v>Technology</v>
      </c>
      <c r="V468" s="6" t="s">
        <v>28</v>
      </c>
      <c r="W468" s="6" t="str">
        <f t="shared" si="40"/>
        <v>Accessories</v>
      </c>
      <c r="X468" s="6" t="s">
        <v>2377</v>
      </c>
      <c r="Y468" s="6" t="s">
        <v>37</v>
      </c>
      <c r="Z468" s="6" t="str">
        <f t="shared" si="41"/>
        <v>Same Day</v>
      </c>
      <c r="AA468" s="6">
        <v>9</v>
      </c>
      <c r="AB468" s="6">
        <v>1591.96</v>
      </c>
      <c r="AC468" s="6">
        <v>0.2</v>
      </c>
      <c r="AD468" s="6">
        <v>11462.11</v>
      </c>
      <c r="AE468" s="6">
        <v>7105.48</v>
      </c>
      <c r="AF468" s="6">
        <v>4356.63</v>
      </c>
      <c r="AG468" s="6" t="s">
        <v>52</v>
      </c>
      <c r="AH468" s="6" t="str">
        <f t="shared" si="42"/>
        <v>Paid</v>
      </c>
      <c r="AI468" s="6" t="s">
        <v>134</v>
      </c>
      <c r="AJ468" s="6" t="str">
        <f t="shared" si="43"/>
        <v>Completed</v>
      </c>
      <c r="AK468" s="9" t="str">
        <f>_xlfn.TEXTJOIN("|",FALSE,A468,TEXT(B468,"mm-dd-yyyy"),TEXT(E468,"mm-dd-yyyy"),I468,J468,L468,N468,P468,R468,T468,V468,X468,Y468,AA468,AB468,AC468,AD468,AE468,AF468,AG468,AI468)</f>
        <v>ORD-2024-10467|04-01-2024|01-08-2024|CUST-2725|Mira Das|Small Business|East|Bihar|Patna|Technology|Accessories|Max Accessories 486|Same Day|9|1591.96|0.2|11462.11|7105.48|4356.63|Paid|Completed</v>
      </c>
      <c r="AL468" s="27" t="str">
        <f>IF(COUNTIF($AK$2:AK468,AK468)&gt;1,"Remove exact duplicate copy","Keep")</f>
        <v>Keep</v>
      </c>
      <c r="AM468" s="9">
        <f t="shared" si="44"/>
        <v>1</v>
      </c>
      <c r="AN468" s="9" t="str">
        <f t="shared" si="45"/>
        <v>Unique</v>
      </c>
      <c r="AO468" s="9" t="str">
        <f t="shared" si="46"/>
        <v/>
      </c>
      <c r="AP468" s="9">
        <f t="shared" si="47"/>
        <v>0.2</v>
      </c>
      <c r="AQ468" s="10">
        <f t="shared" si="48"/>
        <v>11462.112000000001</v>
      </c>
      <c r="AR468" s="10">
        <f t="shared" si="49"/>
        <v>4356.6320000000014</v>
      </c>
      <c r="AS468" s="11">
        <f t="shared" si="50"/>
        <v>0.38008981241851425</v>
      </c>
      <c r="AT468" s="9">
        <f t="shared" si="51"/>
        <v>1</v>
      </c>
      <c r="AU468" s="9">
        <f t="shared" si="52"/>
        <v>2024</v>
      </c>
      <c r="AV468" s="9" t="b">
        <f t="shared" si="53"/>
        <v>0</v>
      </c>
      <c r="AW468" s="9" t="b">
        <f t="shared" si="54"/>
        <v>0</v>
      </c>
      <c r="AX468" s="9" t="str">
        <f t="shared" si="55"/>
        <v>Yes</v>
      </c>
      <c r="AY468" s="9" t="str">
        <f t="shared" si="63"/>
        <v/>
      </c>
      <c r="AZ468" s="9" t="str">
        <f>IF(OR(G468="Missing date",G468="Invalid date",G468="Ship date before order date",NOT(ISNUMBER(AP468)),AP468&lt;0,AP468&gt;0.5,AV468=TRUE,AW468=TRUE),"Invalid",IF(OR(O468="Unknown",Z468="Unknown",AC468="",AH468&lt;&gt;"Paid",AJ468&lt;&gt;"Completed",AO468&lt;&gt;""),"Warning","Clean"))</f>
        <v>Clean</v>
      </c>
    </row>
    <row r="469" spans="1:52" ht="15.75" customHeight="1">
      <c r="A469" s="6" t="s">
        <v>2378</v>
      </c>
      <c r="B469" s="7" t="s">
        <v>2379</v>
      </c>
      <c r="C469" s="7" t="str">
        <f t="shared" si="62"/>
        <v>2024-08</v>
      </c>
      <c r="D469" s="7" cm="1">
        <f t="array" ref="D469">_xlfn.LET(_xlpm.x,B469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45524</v>
      </c>
      <c r="E469" s="7" t="s">
        <v>1713</v>
      </c>
      <c r="F469" s="7" cm="1">
        <f t="array" ref="F469">_xlfn.LET(_xlpm.x,E469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45525</v>
      </c>
      <c r="G469" s="8" t="str">
        <f t="shared" si="32"/>
        <v>OK</v>
      </c>
      <c r="H469" s="6">
        <f t="shared" si="33"/>
        <v>1</v>
      </c>
      <c r="I469" s="6" t="s">
        <v>2380</v>
      </c>
      <c r="J469" s="6" t="s">
        <v>190</v>
      </c>
      <c r="K469" s="6" t="str">
        <f t="shared" si="34"/>
        <v>Aditi Sen</v>
      </c>
      <c r="L469" s="6" t="s">
        <v>45</v>
      </c>
      <c r="M469" s="8" t="str">
        <f t="shared" si="35"/>
        <v>Corporate</v>
      </c>
      <c r="N469" s="6" t="s">
        <v>8</v>
      </c>
      <c r="O469" s="6" t="str">
        <f t="shared" si="36"/>
        <v>East</v>
      </c>
      <c r="P469" s="6" t="s">
        <v>140</v>
      </c>
      <c r="Q469" s="6" t="str">
        <f t="shared" si="37"/>
        <v>Odisha</v>
      </c>
      <c r="R469" s="6" t="s">
        <v>141</v>
      </c>
      <c r="S469" s="6" t="str">
        <f t="shared" si="38"/>
        <v>Bhubaneswar</v>
      </c>
      <c r="T469" s="6" t="s">
        <v>27</v>
      </c>
      <c r="U469" s="8" t="str">
        <f t="shared" si="39"/>
        <v>Technology</v>
      </c>
      <c r="V469" s="6" t="s">
        <v>29</v>
      </c>
      <c r="W469" s="6" t="str">
        <f t="shared" si="40"/>
        <v>Copiers</v>
      </c>
      <c r="X469" s="6" t="s">
        <v>2381</v>
      </c>
      <c r="Y469" s="6" t="s">
        <v>35</v>
      </c>
      <c r="Z469" s="6" t="str">
        <f t="shared" si="41"/>
        <v>First Class</v>
      </c>
      <c r="AA469" s="6">
        <v>5</v>
      </c>
      <c r="AB469" s="6">
        <v>4288.33</v>
      </c>
      <c r="AC469" s="6">
        <v>0.1</v>
      </c>
      <c r="AD469" s="6">
        <v>19297.490000000002</v>
      </c>
      <c r="AE469" s="6">
        <v>15451.66</v>
      </c>
      <c r="AF469" s="6">
        <v>3845.83</v>
      </c>
      <c r="AG469" s="6" t="s">
        <v>56</v>
      </c>
      <c r="AH469" s="6" t="str">
        <f t="shared" si="42"/>
        <v>Refunded</v>
      </c>
      <c r="AI469" s="6" t="s">
        <v>58</v>
      </c>
      <c r="AJ469" s="6" t="str">
        <f t="shared" si="43"/>
        <v>Cancelled</v>
      </c>
      <c r="AK469" s="9" t="str">
        <f>_xlfn.TEXTJOIN("|",FALSE,A469,TEXT(B469,"mm-dd-yyyy"),TEXT(E469,"mm-dd-yyyy"),I469,J469,L469,N469,P469,R469,T469,V469,X469,Y469,AA469,AB469,AC469,AD469,AE469,AF469,AG469,AI469)</f>
        <v>ORD-2024-10468|20-08-2024|08-21-2024|CUST-9470|Aditi Sen|Corporate|East|Odisha|Bhubaneswar|Technology|Copiers|Max Copiers 867|First Class|5|4288.33|0.1|19297.49|15451.66|3845.83|Refunded|Cancelled</v>
      </c>
      <c r="AL469" s="27" t="str">
        <f>IF(COUNTIF($AK$2:AK469,AK469)&gt;1,"Remove exact duplicate copy","Keep")</f>
        <v>Keep</v>
      </c>
      <c r="AM469" s="9">
        <f t="shared" si="44"/>
        <v>1</v>
      </c>
      <c r="AN469" s="9" t="str">
        <f t="shared" si="45"/>
        <v>Unique</v>
      </c>
      <c r="AO469" s="9" t="str">
        <f t="shared" si="46"/>
        <v/>
      </c>
      <c r="AP469" s="9">
        <f t="shared" si="47"/>
        <v>0.1</v>
      </c>
      <c r="AQ469" s="10">
        <f t="shared" si="48"/>
        <v>19297.485000000001</v>
      </c>
      <c r="AR469" s="10">
        <f t="shared" si="49"/>
        <v>3845.8250000000007</v>
      </c>
      <c r="AS469" s="11">
        <f t="shared" si="50"/>
        <v>0.1992915138941681</v>
      </c>
      <c r="AT469" s="9">
        <f t="shared" si="51"/>
        <v>8</v>
      </c>
      <c r="AU469" s="9">
        <f t="shared" si="52"/>
        <v>2024</v>
      </c>
      <c r="AV469" s="9" t="b">
        <f t="shared" si="53"/>
        <v>0</v>
      </c>
      <c r="AW469" s="9" t="b">
        <f t="shared" si="54"/>
        <v>0</v>
      </c>
      <c r="AX469" s="9" t="str">
        <f t="shared" si="55"/>
        <v>No</v>
      </c>
      <c r="AY469" s="9" t="str">
        <f t="shared" si="63"/>
        <v>Refunded order summarized separately; Cancelled order excluded</v>
      </c>
      <c r="AZ469" s="9" t="str">
        <f>IF(OR(G469="Missing date",G469="Invalid date",G469="Ship date before order date",NOT(ISNUMBER(AP469)),AP469&lt;0,AP469&gt;0.5,AV469=TRUE,AW469=TRUE),"Invalid",IF(OR(O469="Unknown",Z469="Unknown",AC469="",AH469&lt;&gt;"Paid",AJ469&lt;&gt;"Completed",AO469&lt;&gt;""),"Warning","Clean"))</f>
        <v>Warning</v>
      </c>
    </row>
    <row r="470" spans="1:52" ht="15.75" customHeight="1">
      <c r="A470" s="6" t="s">
        <v>2382</v>
      </c>
      <c r="B470" s="7" t="s">
        <v>2383</v>
      </c>
      <c r="C470" s="7" t="str">
        <f t="shared" si="62"/>
        <v>2025-01</v>
      </c>
      <c r="D470" s="7" cm="1">
        <f t="array" ref="D470">_xlfn.LET(_xlpm.x,B470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45666</v>
      </c>
      <c r="E470" s="7" t="s">
        <v>2384</v>
      </c>
      <c r="F470" s="7" cm="1">
        <f t="array" ref="F470">_xlfn.LET(_xlpm.x,E470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45664</v>
      </c>
      <c r="G470" s="8" t="str">
        <f t="shared" si="32"/>
        <v>Ship date before order date</v>
      </c>
      <c r="H470" s="6">
        <f t="shared" si="33"/>
        <v>-2</v>
      </c>
      <c r="I470" s="6" t="s">
        <v>2385</v>
      </c>
      <c r="J470" s="6" t="s">
        <v>239</v>
      </c>
      <c r="K470" s="6" t="str">
        <f t="shared" si="34"/>
        <v>Aarav Sharma</v>
      </c>
      <c r="L470" s="6" t="s">
        <v>44</v>
      </c>
      <c r="M470" s="8" t="str">
        <f t="shared" si="35"/>
        <v>Home Office</v>
      </c>
      <c r="N470" s="6" t="s">
        <v>8</v>
      </c>
      <c r="O470" s="6" t="str">
        <f t="shared" si="36"/>
        <v>East</v>
      </c>
      <c r="P470" s="6" t="s">
        <v>201</v>
      </c>
      <c r="Q470" s="6" t="str">
        <f t="shared" si="37"/>
        <v>West Bengal</v>
      </c>
      <c r="R470" s="6" t="s">
        <v>202</v>
      </c>
      <c r="S470" s="6" t="str">
        <f t="shared" si="38"/>
        <v>Kolkata</v>
      </c>
      <c r="T470" s="6" t="s">
        <v>20</v>
      </c>
      <c r="U470" s="8" t="str">
        <f t="shared" si="39"/>
        <v>Office Supplies</v>
      </c>
      <c r="V470" s="6" t="s">
        <v>22</v>
      </c>
      <c r="W470" s="6" t="str">
        <f t="shared" si="40"/>
        <v>Binders</v>
      </c>
      <c r="X470" s="6" t="s">
        <v>2386</v>
      </c>
      <c r="Y470" s="6" t="s">
        <v>36</v>
      </c>
      <c r="Z470" s="6" t="str">
        <f t="shared" si="41"/>
        <v>Second Class</v>
      </c>
      <c r="AA470" s="6">
        <v>3</v>
      </c>
      <c r="AB470" s="6">
        <v>2188.33</v>
      </c>
      <c r="AC470" s="6">
        <v>0</v>
      </c>
      <c r="AD470" s="6">
        <v>6564.99</v>
      </c>
      <c r="AE470" s="6">
        <v>5407.24</v>
      </c>
      <c r="AF470" s="6">
        <v>1157.75</v>
      </c>
      <c r="AG470" s="6" t="s">
        <v>52</v>
      </c>
      <c r="AH470" s="6" t="str">
        <f t="shared" si="42"/>
        <v>Paid</v>
      </c>
      <c r="AI470" s="6" t="s">
        <v>134</v>
      </c>
      <c r="AJ470" s="6" t="str">
        <f t="shared" si="43"/>
        <v>Completed</v>
      </c>
      <c r="AK470" s="9" t="str">
        <f>_xlfn.TEXTJOIN("|",FALSE,A470,TEXT(B470,"mm-dd-yyyy"),TEXT(E470,"mm-dd-yyyy"),I470,J470,L470,N470,P470,R470,T470,V470,X470,Y470,AA470,AB470,AC470,AD470,AE470,AF470,AG470,AI470)</f>
        <v>ORD-2025-10469|01-09-2025|01-07-2025|CUST-4176|Aarav Sharma|Home Office|East|West Bengal|Kolkata|Office Supplies|Binders|Pro Binders 555|Second Class|3|2188.33|0|6564.99|5407.24|1157.75|Paid|Completed</v>
      </c>
      <c r="AL470" s="27" t="str">
        <f>IF(COUNTIF($AK$2:AK470,AK470)&gt;1,"Remove exact duplicate copy","Keep")</f>
        <v>Keep</v>
      </c>
      <c r="AM470" s="9">
        <f t="shared" si="44"/>
        <v>1</v>
      </c>
      <c r="AN470" s="9" t="str">
        <f t="shared" si="45"/>
        <v>Unique</v>
      </c>
      <c r="AO470" s="9" t="str">
        <f t="shared" si="46"/>
        <v/>
      </c>
      <c r="AP470" s="9">
        <f t="shared" si="47"/>
        <v>0</v>
      </c>
      <c r="AQ470" s="10">
        <f t="shared" si="48"/>
        <v>6564.99</v>
      </c>
      <c r="AR470" s="10">
        <f t="shared" si="49"/>
        <v>1157.75</v>
      </c>
      <c r="AS470" s="11">
        <f t="shared" si="50"/>
        <v>0.17635213458055535</v>
      </c>
      <c r="AT470" s="9">
        <f t="shared" si="51"/>
        <v>1</v>
      </c>
      <c r="AU470" s="9">
        <f t="shared" si="52"/>
        <v>2025</v>
      </c>
      <c r="AV470" s="9" t="b">
        <f t="shared" si="53"/>
        <v>0</v>
      </c>
      <c r="AW470" s="9" t="b">
        <f t="shared" si="54"/>
        <v>0</v>
      </c>
      <c r="AX470" s="9" t="str">
        <f t="shared" si="55"/>
        <v>No</v>
      </c>
      <c r="AY470" s="9" t="str">
        <f t="shared" si="63"/>
        <v>Ship date before order date</v>
      </c>
      <c r="AZ470" s="9" t="str">
        <f>IF(OR(G470="Missing date",G470="Invalid date",G470="Ship date before order date",NOT(ISNUMBER(AP470)),AP470&lt;0,AP470&gt;0.5,AV470=TRUE,AW470=TRUE),"Invalid",IF(OR(O470="Unknown",Z470="Unknown",AC470="",AH470&lt;&gt;"Paid",AJ470&lt;&gt;"Completed",AO470&lt;&gt;""),"Warning","Clean"))</f>
        <v>Invalid</v>
      </c>
    </row>
    <row r="471" spans="1:52" ht="15.75" customHeight="1">
      <c r="A471" s="6" t="s">
        <v>2387</v>
      </c>
      <c r="B471" s="7" t="s">
        <v>2388</v>
      </c>
      <c r="C471" s="7" t="str">
        <f t="shared" si="62"/>
        <v>2024-01</v>
      </c>
      <c r="D471" s="7" cm="1">
        <f t="array" ref="D471">_xlfn.LET(_xlpm.x,B471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45310</v>
      </c>
      <c r="E471" s="7" t="s">
        <v>2139</v>
      </c>
      <c r="F471" s="7" cm="1">
        <f t="array" ref="F471">_xlfn.LET(_xlpm.x,E471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45316</v>
      </c>
      <c r="G471" s="8" t="str">
        <f t="shared" si="32"/>
        <v>OK</v>
      </c>
      <c r="H471" s="6">
        <f t="shared" si="33"/>
        <v>6</v>
      </c>
      <c r="I471" s="6" t="s">
        <v>2389</v>
      </c>
      <c r="J471" s="6" t="s">
        <v>190</v>
      </c>
      <c r="K471" s="6" t="str">
        <f t="shared" si="34"/>
        <v>Aditi Sen</v>
      </c>
      <c r="L471" s="6" t="s">
        <v>45</v>
      </c>
      <c r="M471" s="8" t="str">
        <f t="shared" si="35"/>
        <v>Corporate</v>
      </c>
      <c r="N471" s="6" t="s">
        <v>9</v>
      </c>
      <c r="O471" s="6" t="str">
        <f t="shared" si="36"/>
        <v>West</v>
      </c>
      <c r="P471" s="6" t="s">
        <v>323</v>
      </c>
      <c r="Q471" s="6" t="str">
        <f t="shared" si="37"/>
        <v>Goa</v>
      </c>
      <c r="R471" s="6" t="s">
        <v>324</v>
      </c>
      <c r="S471" s="6" t="str">
        <f t="shared" si="38"/>
        <v>Panaji</v>
      </c>
      <c r="T471" s="6" t="s">
        <v>27</v>
      </c>
      <c r="U471" s="8" t="str">
        <f t="shared" si="39"/>
        <v>Technology</v>
      </c>
      <c r="V471" s="6" t="s">
        <v>29</v>
      </c>
      <c r="W471" s="6" t="str">
        <f t="shared" si="40"/>
        <v>Copiers</v>
      </c>
      <c r="X471" s="6" t="s">
        <v>2390</v>
      </c>
      <c r="Y471" s="6" t="s">
        <v>35</v>
      </c>
      <c r="Z471" s="6" t="str">
        <f t="shared" si="41"/>
        <v>First Class</v>
      </c>
      <c r="AA471" s="6">
        <v>3</v>
      </c>
      <c r="AB471" s="6">
        <v>1041.6600000000001</v>
      </c>
      <c r="AC471" s="6">
        <v>0.1</v>
      </c>
      <c r="AD471" s="6">
        <v>2812.48</v>
      </c>
      <c r="AE471" s="6">
        <v>2282.12</v>
      </c>
      <c r="AF471" s="6">
        <v>530.36</v>
      </c>
      <c r="AG471" s="6" t="s">
        <v>52</v>
      </c>
      <c r="AH471" s="6" t="str">
        <f t="shared" si="42"/>
        <v>Paid</v>
      </c>
      <c r="AI471" s="6" t="s">
        <v>134</v>
      </c>
      <c r="AJ471" s="6" t="str">
        <f t="shared" si="43"/>
        <v>Completed</v>
      </c>
      <c r="AK471" s="9" t="str">
        <f>_xlfn.TEXTJOIN("|",FALSE,A471,TEXT(B471,"mm-dd-yyyy"),TEXT(E471,"mm-dd-yyyy"),I471,J471,L471,N471,P471,R471,T471,V471,X471,Y471,AA471,AB471,AC471,AD471,AE471,AF471,AG471,AI471)</f>
        <v>ORD-2024-10470|01-19-2024|01-25-2024|CUST-3448|Aditi Sen|Corporate|West|Goa|Panaji|Technology|Copiers|Pro Copiers 971|First Class|3|1041.66|0.1|2812.48|2282.12|530.36|Paid|Completed</v>
      </c>
      <c r="AL471" s="27" t="str">
        <f>IF(COUNTIF($AK$2:AK471,AK471)&gt;1,"Remove exact duplicate copy","Keep")</f>
        <v>Keep</v>
      </c>
      <c r="AM471" s="9">
        <f t="shared" si="44"/>
        <v>1</v>
      </c>
      <c r="AN471" s="9" t="str">
        <f t="shared" si="45"/>
        <v>Unique</v>
      </c>
      <c r="AO471" s="9" t="str">
        <f t="shared" si="46"/>
        <v/>
      </c>
      <c r="AP471" s="9">
        <f t="shared" si="47"/>
        <v>0.1</v>
      </c>
      <c r="AQ471" s="10">
        <f t="shared" si="48"/>
        <v>2812.4820000000004</v>
      </c>
      <c r="AR471" s="10">
        <f t="shared" si="49"/>
        <v>530.36200000000053</v>
      </c>
      <c r="AS471" s="11">
        <f t="shared" si="50"/>
        <v>0.18857436243147527</v>
      </c>
      <c r="AT471" s="9">
        <f t="shared" si="51"/>
        <v>1</v>
      </c>
      <c r="AU471" s="9">
        <f t="shared" si="52"/>
        <v>2024</v>
      </c>
      <c r="AV471" s="9" t="b">
        <f t="shared" si="53"/>
        <v>0</v>
      </c>
      <c r="AW471" s="9" t="b">
        <f t="shared" si="54"/>
        <v>0</v>
      </c>
      <c r="AX471" s="9" t="str">
        <f t="shared" si="55"/>
        <v>Yes</v>
      </c>
      <c r="AY471" s="9" t="str">
        <f t="shared" si="63"/>
        <v/>
      </c>
      <c r="AZ471" s="9" t="str">
        <f>IF(OR(G471="Missing date",G471="Invalid date",G471="Ship date before order date",NOT(ISNUMBER(AP471)),AP471&lt;0,AP471&gt;0.5,AV471=TRUE,AW471=TRUE),"Invalid",IF(OR(O471="Unknown",Z471="Unknown",AC471="",AH471&lt;&gt;"Paid",AJ471&lt;&gt;"Completed",AO471&lt;&gt;""),"Warning","Clean"))</f>
        <v>Clean</v>
      </c>
    </row>
    <row r="472" spans="1:52" ht="15.75" customHeight="1">
      <c r="A472" s="6" t="s">
        <v>2391</v>
      </c>
      <c r="B472" s="7" t="s">
        <v>2392</v>
      </c>
      <c r="C472" s="7" t="str">
        <f t="shared" si="62"/>
        <v>2024-07</v>
      </c>
      <c r="D472" s="7" cm="1">
        <f t="array" ref="D472">_xlfn.LET(_xlpm.x,B472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45501</v>
      </c>
      <c r="E472" s="7" t="s">
        <v>1681</v>
      </c>
      <c r="F472" s="7" cm="1">
        <f t="array" ref="F472">_xlfn.LET(_xlpm.x,E472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45504</v>
      </c>
      <c r="G472" s="8" t="str">
        <f t="shared" si="32"/>
        <v>OK</v>
      </c>
      <c r="H472" s="6">
        <f t="shared" si="33"/>
        <v>3</v>
      </c>
      <c r="I472" s="6" t="s">
        <v>2393</v>
      </c>
      <c r="J472" s="6" t="s">
        <v>190</v>
      </c>
      <c r="K472" s="6" t="str">
        <f t="shared" si="34"/>
        <v>Aditi Sen</v>
      </c>
      <c r="L472" s="6" t="s">
        <v>43</v>
      </c>
      <c r="M472" s="8" t="str">
        <f t="shared" si="35"/>
        <v>Consumer</v>
      </c>
      <c r="N472" s="6" t="s">
        <v>7</v>
      </c>
      <c r="O472" s="6" t="str">
        <f t="shared" si="36"/>
        <v>North</v>
      </c>
      <c r="P472" s="6" t="s">
        <v>131</v>
      </c>
      <c r="Q472" s="6" t="str">
        <f t="shared" si="37"/>
        <v>Rajasthan</v>
      </c>
      <c r="R472" s="6" t="s">
        <v>132</v>
      </c>
      <c r="S472" s="6" t="str">
        <f t="shared" si="38"/>
        <v>Jaipur</v>
      </c>
      <c r="T472" s="6" t="s">
        <v>14</v>
      </c>
      <c r="U472" s="8" t="str">
        <f t="shared" si="39"/>
        <v>Furniture</v>
      </c>
      <c r="V472" s="6" t="s">
        <v>18</v>
      </c>
      <c r="W472" s="6" t="str">
        <f t="shared" si="40"/>
        <v>Tables</v>
      </c>
      <c r="X472" s="6" t="s">
        <v>2394</v>
      </c>
      <c r="Y472" s="6" t="s">
        <v>37</v>
      </c>
      <c r="Z472" s="6" t="str">
        <f t="shared" si="41"/>
        <v>Same Day</v>
      </c>
      <c r="AA472" s="6">
        <v>2</v>
      </c>
      <c r="AB472" s="6">
        <v>4424.78</v>
      </c>
      <c r="AC472" s="6">
        <v>0.2</v>
      </c>
      <c r="AD472" s="6">
        <v>7079.65</v>
      </c>
      <c r="AE472" s="6">
        <v>4465.91</v>
      </c>
      <c r="AF472" s="6">
        <v>2613.7399999999998</v>
      </c>
      <c r="AG472" s="6" t="s">
        <v>52</v>
      </c>
      <c r="AH472" s="6" t="str">
        <f t="shared" si="42"/>
        <v>Paid</v>
      </c>
      <c r="AI472" s="6" t="s">
        <v>134</v>
      </c>
      <c r="AJ472" s="6" t="str">
        <f t="shared" si="43"/>
        <v>Completed</v>
      </c>
      <c r="AK472" s="9" t="str">
        <f>_xlfn.TEXTJOIN("|",FALSE,A472,TEXT(B472,"mm-dd-yyyy"),TEXT(E472,"mm-dd-yyyy"),I472,J472,L472,N472,P472,R472,T472,V472,X472,Y472,AA472,AB472,AC472,AD472,AE472,AF472,AG472,AI472)</f>
        <v>ORD-2024-10471|28-07-2024|07-31-2024|CUST-4970|Aditi Sen|Consumer|North|Rajasthan|Jaipur|Furniture|Tables|Pro Tables 833|Same Day|2|4424.78|0.2|7079.65|4465.91|2613.74|Paid|Completed</v>
      </c>
      <c r="AL472" s="27" t="str">
        <f>IF(COUNTIF($AK$2:AK472,AK472)&gt;1,"Remove exact duplicate copy","Keep")</f>
        <v>Keep</v>
      </c>
      <c r="AM472" s="9">
        <f t="shared" si="44"/>
        <v>1</v>
      </c>
      <c r="AN472" s="9" t="str">
        <f t="shared" si="45"/>
        <v>Unique</v>
      </c>
      <c r="AO472" s="9" t="str">
        <f t="shared" si="46"/>
        <v/>
      </c>
      <c r="AP472" s="9">
        <f t="shared" si="47"/>
        <v>0.2</v>
      </c>
      <c r="AQ472" s="10">
        <f t="shared" si="48"/>
        <v>7079.6480000000001</v>
      </c>
      <c r="AR472" s="10">
        <f t="shared" si="49"/>
        <v>2613.7380000000003</v>
      </c>
      <c r="AS472" s="11">
        <f t="shared" si="50"/>
        <v>0.36919038912669105</v>
      </c>
      <c r="AT472" s="9">
        <f t="shared" si="51"/>
        <v>7</v>
      </c>
      <c r="AU472" s="9">
        <f t="shared" si="52"/>
        <v>2024</v>
      </c>
      <c r="AV472" s="9" t="b">
        <f t="shared" si="53"/>
        <v>0</v>
      </c>
      <c r="AW472" s="9" t="b">
        <f t="shared" si="54"/>
        <v>0</v>
      </c>
      <c r="AX472" s="9" t="str">
        <f t="shared" si="55"/>
        <v>Yes</v>
      </c>
      <c r="AY472" s="9" t="str">
        <f t="shared" si="63"/>
        <v/>
      </c>
      <c r="AZ472" s="9" t="str">
        <f>IF(OR(G472="Missing date",G472="Invalid date",G472="Ship date before order date",NOT(ISNUMBER(AP472)),AP472&lt;0,AP472&gt;0.5,AV472=TRUE,AW472=TRUE),"Invalid",IF(OR(O472="Unknown",Z472="Unknown",AC472="",AH472&lt;&gt;"Paid",AJ472&lt;&gt;"Completed",AO472&lt;&gt;""),"Warning","Clean"))</f>
        <v>Clean</v>
      </c>
    </row>
    <row r="473" spans="1:52" ht="15.75" customHeight="1">
      <c r="A473" s="6" t="s">
        <v>2395</v>
      </c>
      <c r="B473" s="7" t="s">
        <v>2396</v>
      </c>
      <c r="C473" s="7" t="str">
        <f t="shared" si="62"/>
        <v>2024-02</v>
      </c>
      <c r="D473" s="7" cm="1">
        <f t="array" ref="D473">_xlfn.LET(_xlpm.x,B473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45333</v>
      </c>
      <c r="E473" s="7" t="s">
        <v>2397</v>
      </c>
      <c r="F473" s="7" cm="1">
        <f t="array" ref="F473">_xlfn.LET(_xlpm.x,E473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45337</v>
      </c>
      <c r="G473" s="8" t="str">
        <f t="shared" si="32"/>
        <v>OK</v>
      </c>
      <c r="H473" s="6">
        <f t="shared" si="33"/>
        <v>4</v>
      </c>
      <c r="I473" s="6" t="s">
        <v>2398</v>
      </c>
      <c r="J473" s="6" t="s">
        <v>442</v>
      </c>
      <c r="K473" s="6" t="str">
        <f t="shared" si="34"/>
        <v>Kabir Singh</v>
      </c>
      <c r="L473" s="6" t="s">
        <v>43</v>
      </c>
      <c r="M473" s="8" t="str">
        <f t="shared" si="35"/>
        <v>Consumer</v>
      </c>
      <c r="N473" s="6" t="s">
        <v>10</v>
      </c>
      <c r="O473" s="6" t="str">
        <f t="shared" si="36"/>
        <v>South</v>
      </c>
      <c r="P473" s="6" t="s">
        <v>154</v>
      </c>
      <c r="Q473" s="6" t="str">
        <f t="shared" si="37"/>
        <v>Telangana</v>
      </c>
      <c r="R473" s="6" t="s">
        <v>155</v>
      </c>
      <c r="S473" s="6" t="str">
        <f t="shared" si="38"/>
        <v>Hyderabad</v>
      </c>
      <c r="T473" s="6" t="s">
        <v>20</v>
      </c>
      <c r="U473" s="8" t="str">
        <f t="shared" si="39"/>
        <v>Office Supplies</v>
      </c>
      <c r="V473" s="6" t="s">
        <v>22</v>
      </c>
      <c r="W473" s="6" t="str">
        <f t="shared" si="40"/>
        <v>Binders</v>
      </c>
      <c r="X473" s="6" t="s">
        <v>2399</v>
      </c>
      <c r="Y473" s="6" t="s">
        <v>34</v>
      </c>
      <c r="Z473" s="6" t="str">
        <f t="shared" si="41"/>
        <v>Standard Class</v>
      </c>
      <c r="AA473" s="6">
        <v>3</v>
      </c>
      <c r="AB473" s="6">
        <v>3019.14</v>
      </c>
      <c r="AC473" s="6">
        <v>0.25</v>
      </c>
      <c r="AD473" s="6">
        <v>6793.07</v>
      </c>
      <c r="AE473" s="6">
        <v>4985.22</v>
      </c>
      <c r="AF473" s="6">
        <v>1807.85</v>
      </c>
      <c r="AG473" s="6" t="s">
        <v>52</v>
      </c>
      <c r="AH473" s="6" t="str">
        <f t="shared" si="42"/>
        <v>Paid</v>
      </c>
      <c r="AI473" s="6" t="s">
        <v>134</v>
      </c>
      <c r="AJ473" s="6" t="str">
        <f t="shared" si="43"/>
        <v>Completed</v>
      </c>
      <c r="AK473" s="9" t="str">
        <f>_xlfn.TEXTJOIN("|",FALSE,A473,TEXT(B473,"mm-dd-yyyy"),TEXT(E473,"mm-dd-yyyy"),I473,J473,L473,N473,P473,R473,T473,V473,X473,Y473,AA473,AB473,AC473,AD473,AE473,AF473,AG473,AI473)</f>
        <v>ORD-2024-10472|11-02-2024|02-15-2024|CUST-6147|Kabir Singh|Consumer|South|Telangana|Hyderabad|Office Supplies|Binders|Prime Binders 497|Standard Class|3|3019.14|0.25|6793.07|4985.22|1807.85|Paid|Completed</v>
      </c>
      <c r="AL473" s="27" t="str">
        <f>IF(COUNTIF($AK$2:AK473,AK473)&gt;1,"Remove exact duplicate copy","Keep")</f>
        <v>Keep</v>
      </c>
      <c r="AM473" s="9">
        <f t="shared" si="44"/>
        <v>1</v>
      </c>
      <c r="AN473" s="9" t="str">
        <f t="shared" si="45"/>
        <v>Unique</v>
      </c>
      <c r="AO473" s="9" t="str">
        <f t="shared" si="46"/>
        <v/>
      </c>
      <c r="AP473" s="9">
        <f t="shared" si="47"/>
        <v>0.25</v>
      </c>
      <c r="AQ473" s="10">
        <f t="shared" si="48"/>
        <v>6793.0650000000005</v>
      </c>
      <c r="AR473" s="10">
        <f t="shared" si="49"/>
        <v>1807.8450000000003</v>
      </c>
      <c r="AS473" s="11">
        <f t="shared" si="50"/>
        <v>0.26613097327936652</v>
      </c>
      <c r="AT473" s="9">
        <f t="shared" si="51"/>
        <v>2</v>
      </c>
      <c r="AU473" s="9">
        <f t="shared" si="52"/>
        <v>2024</v>
      </c>
      <c r="AV473" s="9" t="b">
        <f t="shared" si="53"/>
        <v>0</v>
      </c>
      <c r="AW473" s="9" t="b">
        <f t="shared" si="54"/>
        <v>0</v>
      </c>
      <c r="AX473" s="9" t="str">
        <f t="shared" si="55"/>
        <v>Yes</v>
      </c>
      <c r="AY473" s="9" t="str">
        <f t="shared" si="63"/>
        <v/>
      </c>
      <c r="AZ473" s="9" t="str">
        <f>IF(OR(G473="Missing date",G473="Invalid date",G473="Ship date before order date",NOT(ISNUMBER(AP473)),AP473&lt;0,AP473&gt;0.5,AV473=TRUE,AW473=TRUE),"Invalid",IF(OR(O473="Unknown",Z473="Unknown",AC473="",AH473&lt;&gt;"Paid",AJ473&lt;&gt;"Completed",AO473&lt;&gt;""),"Warning","Clean"))</f>
        <v>Clean</v>
      </c>
    </row>
    <row r="474" spans="1:52" ht="15.75" customHeight="1">
      <c r="A474" s="6" t="s">
        <v>2400</v>
      </c>
      <c r="B474" s="7" t="s">
        <v>2401</v>
      </c>
      <c r="C474" s="7" t="str">
        <f t="shared" si="62"/>
        <v>2024-03</v>
      </c>
      <c r="D474" s="7" cm="1">
        <f t="array" ref="D474">_xlfn.LET(_xlpm.x,B474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45353</v>
      </c>
      <c r="E474" s="7" t="s">
        <v>1593</v>
      </c>
      <c r="F474" s="7" cm="1">
        <f t="array" ref="F474">_xlfn.LET(_xlpm.x,E474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45358</v>
      </c>
      <c r="G474" s="8" t="str">
        <f t="shared" si="32"/>
        <v>OK</v>
      </c>
      <c r="H474" s="6">
        <f t="shared" si="33"/>
        <v>5</v>
      </c>
      <c r="I474" s="6" t="s">
        <v>2402</v>
      </c>
      <c r="J474" s="6" t="s">
        <v>257</v>
      </c>
      <c r="K474" s="6" t="str">
        <f t="shared" si="34"/>
        <v>Rohan Mehta</v>
      </c>
      <c r="L474" s="6" t="s">
        <v>45</v>
      </c>
      <c r="M474" s="8" t="str">
        <f t="shared" si="35"/>
        <v>Corporate</v>
      </c>
      <c r="N474" s="6" t="s">
        <v>8</v>
      </c>
      <c r="O474" s="6" t="str">
        <f t="shared" si="36"/>
        <v>East</v>
      </c>
      <c r="P474" s="6" t="s">
        <v>140</v>
      </c>
      <c r="Q474" s="6" t="str">
        <f t="shared" si="37"/>
        <v>Odisha</v>
      </c>
      <c r="R474" s="6" t="s">
        <v>141</v>
      </c>
      <c r="S474" s="6" t="str">
        <f t="shared" si="38"/>
        <v>Bhubaneswar</v>
      </c>
      <c r="T474" s="6" t="s">
        <v>20</v>
      </c>
      <c r="U474" s="8" t="str">
        <f t="shared" si="39"/>
        <v>Office Supplies</v>
      </c>
      <c r="V474" s="6" t="s">
        <v>25</v>
      </c>
      <c r="W474" s="6" t="str">
        <f t="shared" si="40"/>
        <v>Storage</v>
      </c>
      <c r="X474" s="6" t="s">
        <v>2403</v>
      </c>
      <c r="Y474" s="6" t="s">
        <v>34</v>
      </c>
      <c r="Z474" s="6" t="str">
        <f t="shared" si="41"/>
        <v>Standard Class</v>
      </c>
      <c r="AA474" s="6">
        <v>7</v>
      </c>
      <c r="AB474" s="6">
        <v>263.45999999999998</v>
      </c>
      <c r="AC474" s="6">
        <v>0</v>
      </c>
      <c r="AD474" s="6">
        <v>1844.22</v>
      </c>
      <c r="AE474" s="6">
        <v>1094.21</v>
      </c>
      <c r="AF474" s="6">
        <v>750.01</v>
      </c>
      <c r="AG474" s="6" t="s">
        <v>52</v>
      </c>
      <c r="AH474" s="6" t="str">
        <f t="shared" si="42"/>
        <v>Paid</v>
      </c>
      <c r="AI474" s="6" t="s">
        <v>134</v>
      </c>
      <c r="AJ474" s="6" t="str">
        <f t="shared" si="43"/>
        <v>Completed</v>
      </c>
      <c r="AK474" s="9" t="str">
        <f>_xlfn.TEXTJOIN("|",FALSE,A474,TEXT(B474,"mm-dd-yyyy"),TEXT(E474,"mm-dd-yyyy"),I474,J474,L474,N474,P474,R474,T474,V474,X474,Y474,AA474,AB474,AC474,AD474,AE474,AF474,AG474,AI474)</f>
        <v>ORD-2024-10473|02-03-2024|03-07-2024|CUST-7208|Rohan Mehta|Corporate|East|Odisha|Bhubaneswar|Office Supplies|Storage|Pro Storage 756|Standard Class|7|263.46|0|1844.22|1094.21|750.01|Paid|Completed</v>
      </c>
      <c r="AL474" s="27" t="str">
        <f>IF(COUNTIF($AK$2:AK474,AK474)&gt;1,"Remove exact duplicate copy","Keep")</f>
        <v>Keep</v>
      </c>
      <c r="AM474" s="9">
        <f t="shared" si="44"/>
        <v>1</v>
      </c>
      <c r="AN474" s="9" t="str">
        <f t="shared" si="45"/>
        <v>Unique</v>
      </c>
      <c r="AO474" s="9" t="str">
        <f t="shared" si="46"/>
        <v/>
      </c>
      <c r="AP474" s="9">
        <f t="shared" si="47"/>
        <v>0</v>
      </c>
      <c r="AQ474" s="10">
        <f t="shared" si="48"/>
        <v>1844.2199999999998</v>
      </c>
      <c r="AR474" s="10">
        <f t="shared" si="49"/>
        <v>750.00999999999976</v>
      </c>
      <c r="AS474" s="11">
        <f t="shared" si="50"/>
        <v>0.40668141544934977</v>
      </c>
      <c r="AT474" s="9">
        <f t="shared" si="51"/>
        <v>3</v>
      </c>
      <c r="AU474" s="9">
        <f t="shared" si="52"/>
        <v>2024</v>
      </c>
      <c r="AV474" s="9" t="b">
        <f t="shared" si="53"/>
        <v>0</v>
      </c>
      <c r="AW474" s="9" t="b">
        <f t="shared" si="54"/>
        <v>0</v>
      </c>
      <c r="AX474" s="9" t="str">
        <f t="shared" si="55"/>
        <v>Yes</v>
      </c>
      <c r="AY474" s="9" t="str">
        <f t="shared" si="63"/>
        <v/>
      </c>
      <c r="AZ474" s="9" t="str">
        <f>IF(OR(G474="Missing date",G474="Invalid date",G474="Ship date before order date",NOT(ISNUMBER(AP474)),AP474&lt;0,AP474&gt;0.5,AV474=TRUE,AW474=TRUE),"Invalid",IF(OR(O474="Unknown",Z474="Unknown",AC474="",AH474&lt;&gt;"Paid",AJ474&lt;&gt;"Completed",AO474&lt;&gt;""),"Warning","Clean"))</f>
        <v>Clean</v>
      </c>
    </row>
    <row r="475" spans="1:52" ht="15.75" customHeight="1">
      <c r="A475" s="6" t="s">
        <v>2404</v>
      </c>
      <c r="B475" s="7" t="s">
        <v>2405</v>
      </c>
      <c r="C475" s="7" t="str">
        <f t="shared" si="62"/>
        <v>2024-11</v>
      </c>
      <c r="D475" s="7" cm="1">
        <f t="array" ref="D475">_xlfn.LET(_xlpm.x,B475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45609</v>
      </c>
      <c r="E475" s="7" t="s">
        <v>520</v>
      </c>
      <c r="F475" s="7" cm="1">
        <f t="array" ref="F475">_xlfn.LET(_xlpm.x,E475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45609</v>
      </c>
      <c r="G475" s="8" t="str">
        <f t="shared" si="32"/>
        <v>OK</v>
      </c>
      <c r="H475" s="6">
        <f t="shared" si="33"/>
        <v>0</v>
      </c>
      <c r="I475" s="6" t="s">
        <v>2406</v>
      </c>
      <c r="J475" s="6" t="s">
        <v>220</v>
      </c>
      <c r="K475" s="6" t="str">
        <f t="shared" si="34"/>
        <v>Priya Menon</v>
      </c>
      <c r="L475" s="6" t="s">
        <v>43</v>
      </c>
      <c r="M475" s="8" t="str">
        <f t="shared" si="35"/>
        <v>Consumer</v>
      </c>
      <c r="N475" s="6" t="s">
        <v>9</v>
      </c>
      <c r="O475" s="6" t="str">
        <f t="shared" si="36"/>
        <v>West</v>
      </c>
      <c r="P475" s="6" t="s">
        <v>323</v>
      </c>
      <c r="Q475" s="6" t="str">
        <f t="shared" si="37"/>
        <v>Goa</v>
      </c>
      <c r="R475" s="6" t="s">
        <v>324</v>
      </c>
      <c r="S475" s="6" t="str">
        <f t="shared" si="38"/>
        <v>Panaji</v>
      </c>
      <c r="T475" s="6" t="s">
        <v>27</v>
      </c>
      <c r="U475" s="8" t="str">
        <f t="shared" si="39"/>
        <v>Technology</v>
      </c>
      <c r="V475" s="6" t="s">
        <v>29</v>
      </c>
      <c r="W475" s="6" t="str">
        <f t="shared" si="40"/>
        <v>Copiers</v>
      </c>
      <c r="X475" s="6" t="s">
        <v>2407</v>
      </c>
      <c r="Y475" s="6" t="s">
        <v>34</v>
      </c>
      <c r="Z475" s="6" t="str">
        <f t="shared" si="41"/>
        <v>Standard Class</v>
      </c>
      <c r="AA475" s="6">
        <v>6</v>
      </c>
      <c r="AB475" s="6">
        <v>191.45</v>
      </c>
      <c r="AC475" s="6">
        <v>0.2</v>
      </c>
      <c r="AD475" s="6">
        <v>918.96</v>
      </c>
      <c r="AE475" s="6">
        <v>554.17999999999995</v>
      </c>
      <c r="AF475" s="6">
        <v>364.78</v>
      </c>
      <c r="AG475" s="6" t="s">
        <v>52</v>
      </c>
      <c r="AH475" s="6" t="str">
        <f t="shared" si="42"/>
        <v>Paid</v>
      </c>
      <c r="AI475" s="6" t="s">
        <v>134</v>
      </c>
      <c r="AJ475" s="6" t="str">
        <f t="shared" si="43"/>
        <v>Completed</v>
      </c>
      <c r="AK475" s="9" t="str">
        <f>_xlfn.TEXTJOIN("|",FALSE,A475,TEXT(B475,"mm-dd-yyyy"),TEXT(E475,"mm-dd-yyyy"),I475,J475,L475,N475,P475,R475,T475,V475,X475,Y475,AA475,AB475,AC475,AD475,AE475,AF475,AG475,AI475)</f>
        <v>ORD-2024-10474|13-11-2024|11-13-2024|CUST-2794|Priya Menon|Consumer|West|Goa|Panaji|Technology|Copiers|Max Copiers 829|Standard Class|6|191.45|0.2|918.96|554.18|364.78|Paid|Completed</v>
      </c>
      <c r="AL475" s="27" t="str">
        <f>IF(COUNTIF($AK$2:AK475,AK475)&gt;1,"Remove exact duplicate copy","Keep")</f>
        <v>Keep</v>
      </c>
      <c r="AM475" s="9">
        <f t="shared" si="44"/>
        <v>1</v>
      </c>
      <c r="AN475" s="9" t="str">
        <f t="shared" si="45"/>
        <v>Unique</v>
      </c>
      <c r="AO475" s="9" t="str">
        <f t="shared" si="46"/>
        <v/>
      </c>
      <c r="AP475" s="9">
        <f t="shared" si="47"/>
        <v>0.2</v>
      </c>
      <c r="AQ475" s="10">
        <f t="shared" si="48"/>
        <v>918.95999999999992</v>
      </c>
      <c r="AR475" s="10">
        <f t="shared" si="49"/>
        <v>364.78</v>
      </c>
      <c r="AS475" s="11">
        <f t="shared" si="50"/>
        <v>0.39694872464525116</v>
      </c>
      <c r="AT475" s="9">
        <f t="shared" si="51"/>
        <v>11</v>
      </c>
      <c r="AU475" s="9">
        <f t="shared" si="52"/>
        <v>2024</v>
      </c>
      <c r="AV475" s="9" t="b">
        <f t="shared" si="53"/>
        <v>0</v>
      </c>
      <c r="AW475" s="9" t="b">
        <f t="shared" si="54"/>
        <v>0</v>
      </c>
      <c r="AX475" s="9" t="str">
        <f t="shared" si="55"/>
        <v>Yes</v>
      </c>
      <c r="AY475" s="9" t="str">
        <f t="shared" si="63"/>
        <v/>
      </c>
      <c r="AZ475" s="9" t="str">
        <f>IF(OR(G475="Missing date",G475="Invalid date",G475="Ship date before order date",NOT(ISNUMBER(AP475)),AP475&lt;0,AP475&gt;0.5,AV475=TRUE,AW475=TRUE),"Invalid",IF(OR(O475="Unknown",Z475="Unknown",AC475="",AH475&lt;&gt;"Paid",AJ475&lt;&gt;"Completed",AO475&lt;&gt;""),"Warning","Clean"))</f>
        <v>Clean</v>
      </c>
    </row>
    <row r="476" spans="1:52" ht="15.75" customHeight="1">
      <c r="A476" s="6" t="s">
        <v>2408</v>
      </c>
      <c r="B476" s="7" t="s">
        <v>1305</v>
      </c>
      <c r="C476" s="7" t="str">
        <f t="shared" si="62"/>
        <v>2024-06</v>
      </c>
      <c r="D476" s="7" cm="1">
        <f t="array" ref="D476">_xlfn.LET(_xlpm.x,B476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45446</v>
      </c>
      <c r="E476" s="7" t="s">
        <v>2409</v>
      </c>
      <c r="F476" s="7" cm="1">
        <f t="array" ref="F476">_xlfn.LET(_xlpm.x,E476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45453</v>
      </c>
      <c r="G476" s="8" t="str">
        <f t="shared" si="32"/>
        <v>OK</v>
      </c>
      <c r="H476" s="6">
        <f t="shared" si="33"/>
        <v>7</v>
      </c>
      <c r="I476" s="6" t="s">
        <v>2410</v>
      </c>
      <c r="J476" s="6" t="s">
        <v>284</v>
      </c>
      <c r="K476" s="6" t="str">
        <f t="shared" si="34"/>
        <v>Diya Patel</v>
      </c>
      <c r="L476" s="6" t="s">
        <v>45</v>
      </c>
      <c r="M476" s="8" t="str">
        <f t="shared" si="35"/>
        <v>Corporate</v>
      </c>
      <c r="N476" s="6" t="s">
        <v>7</v>
      </c>
      <c r="O476" s="6" t="str">
        <f t="shared" si="36"/>
        <v>North</v>
      </c>
      <c r="P476" s="6" t="s">
        <v>232</v>
      </c>
      <c r="Q476" s="6" t="str">
        <f t="shared" si="37"/>
        <v>Punjab</v>
      </c>
      <c r="R476" s="6" t="s">
        <v>233</v>
      </c>
      <c r="S476" s="6" t="str">
        <f t="shared" si="38"/>
        <v>Ludhiana</v>
      </c>
      <c r="T476" s="6" t="s">
        <v>14</v>
      </c>
      <c r="U476" s="8" t="str">
        <f t="shared" si="39"/>
        <v>Furniture</v>
      </c>
      <c r="V476" s="6" t="s">
        <v>17</v>
      </c>
      <c r="W476" s="6" t="str">
        <f t="shared" si="40"/>
        <v>Furnishings</v>
      </c>
      <c r="X476" s="6" t="s">
        <v>2411</v>
      </c>
      <c r="Y476" s="6" t="s">
        <v>34</v>
      </c>
      <c r="Z476" s="6" t="str">
        <f t="shared" si="41"/>
        <v>Standard Class</v>
      </c>
      <c r="AA476" s="6">
        <v>3</v>
      </c>
      <c r="AB476" s="6">
        <v>1633.57</v>
      </c>
      <c r="AC476" s="6">
        <v>0</v>
      </c>
      <c r="AD476" s="6">
        <v>4900.71</v>
      </c>
      <c r="AE476" s="6">
        <v>2713.9</v>
      </c>
      <c r="AF476" s="6">
        <v>2186.81</v>
      </c>
      <c r="AG476" s="6" t="s">
        <v>52</v>
      </c>
      <c r="AH476" s="6" t="str">
        <f t="shared" si="42"/>
        <v>Paid</v>
      </c>
      <c r="AI476" s="6" t="s">
        <v>134</v>
      </c>
      <c r="AJ476" s="6" t="str">
        <f t="shared" si="43"/>
        <v>Completed</v>
      </c>
      <c r="AK476" s="9" t="str">
        <f>_xlfn.TEXTJOIN("|",FALSE,A476,TEXT(B476,"mm-dd-yyyy"),TEXT(E476,"mm-dd-yyyy"),I476,J476,L476,N476,P476,R476,T476,V476,X476,Y476,AA476,AB476,AC476,AD476,AE476,AF476,AG476,AI476)</f>
        <v>ORD-2024-10475|03-06-2024|06-10-2024|CUST-6249|Diya Patel|Corporate|North|Punjab|Ludhiana|Furniture|Furnishings|Prime Furnishings 827|Standard Class|3|1633.57|0|4900.71|2713.9|2186.81|Paid|Completed</v>
      </c>
      <c r="AL476" s="27" t="str">
        <f>IF(COUNTIF($AK$2:AK476,AK476)&gt;1,"Remove exact duplicate copy","Keep")</f>
        <v>Keep</v>
      </c>
      <c r="AM476" s="9">
        <f t="shared" si="44"/>
        <v>1</v>
      </c>
      <c r="AN476" s="9" t="str">
        <f t="shared" si="45"/>
        <v>Unique</v>
      </c>
      <c r="AO476" s="9" t="str">
        <f t="shared" si="46"/>
        <v/>
      </c>
      <c r="AP476" s="9">
        <f t="shared" si="47"/>
        <v>0</v>
      </c>
      <c r="AQ476" s="10">
        <f t="shared" si="48"/>
        <v>4900.71</v>
      </c>
      <c r="AR476" s="10">
        <f t="shared" si="49"/>
        <v>2186.81</v>
      </c>
      <c r="AS476" s="11">
        <f t="shared" si="50"/>
        <v>0.44622309828575857</v>
      </c>
      <c r="AT476" s="9">
        <f t="shared" si="51"/>
        <v>6</v>
      </c>
      <c r="AU476" s="9">
        <f t="shared" si="52"/>
        <v>2024</v>
      </c>
      <c r="AV476" s="9" t="b">
        <f t="shared" si="53"/>
        <v>0</v>
      </c>
      <c r="AW476" s="9" t="b">
        <f t="shared" si="54"/>
        <v>0</v>
      </c>
      <c r="AX476" s="9" t="str">
        <f t="shared" si="55"/>
        <v>Yes</v>
      </c>
      <c r="AY476" s="9" t="str">
        <f t="shared" si="63"/>
        <v/>
      </c>
      <c r="AZ476" s="9" t="str">
        <f>IF(OR(G476="Missing date",G476="Invalid date",G476="Ship date before order date",NOT(ISNUMBER(AP476)),AP476&lt;0,AP476&gt;0.5,AV476=TRUE,AW476=TRUE),"Invalid",IF(OR(O476="Unknown",Z476="Unknown",AC476="",AH476&lt;&gt;"Paid",AJ476&lt;&gt;"Completed",AO476&lt;&gt;""),"Warning","Clean"))</f>
        <v>Clean</v>
      </c>
    </row>
    <row r="477" spans="1:52" ht="15.75" customHeight="1">
      <c r="A477" s="6" t="s">
        <v>2412</v>
      </c>
      <c r="B477" s="7" t="s">
        <v>2413</v>
      </c>
      <c r="C477" s="7" t="str">
        <f t="shared" si="62"/>
        <v>2025-03</v>
      </c>
      <c r="D477" s="7" cm="1">
        <f t="array" ref="D477">_xlfn.LET(_xlpm.x,B477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45717</v>
      </c>
      <c r="E477" s="7" t="s">
        <v>2414</v>
      </c>
      <c r="F477" s="7" cm="1">
        <f t="array" ref="F477">_xlfn.LET(_xlpm.x,E477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45724</v>
      </c>
      <c r="G477" s="8" t="str">
        <f t="shared" si="32"/>
        <v>OK</v>
      </c>
      <c r="H477" s="6">
        <f t="shared" si="33"/>
        <v>7</v>
      </c>
      <c r="I477" s="6" t="s">
        <v>2415</v>
      </c>
      <c r="J477" s="6" t="s">
        <v>169</v>
      </c>
      <c r="K477" s="6" t="str">
        <f t="shared" si="34"/>
        <v>Vikram Iyer</v>
      </c>
      <c r="L477" s="6" t="s">
        <v>43</v>
      </c>
      <c r="M477" s="8" t="str">
        <f t="shared" si="35"/>
        <v>Consumer</v>
      </c>
      <c r="N477" s="6" t="s">
        <v>8</v>
      </c>
      <c r="O477" s="6" t="str">
        <f t="shared" si="36"/>
        <v>East</v>
      </c>
      <c r="P477" s="6" t="s">
        <v>201</v>
      </c>
      <c r="Q477" s="6" t="str">
        <f t="shared" si="37"/>
        <v>West Bengal</v>
      </c>
      <c r="R477" s="6" t="s">
        <v>202</v>
      </c>
      <c r="S477" s="6" t="str">
        <f t="shared" si="38"/>
        <v>Kolkata</v>
      </c>
      <c r="T477" s="6" t="s">
        <v>14</v>
      </c>
      <c r="U477" s="8" t="str">
        <f t="shared" si="39"/>
        <v>Furniture</v>
      </c>
      <c r="V477" s="6" t="s">
        <v>16</v>
      </c>
      <c r="W477" s="6" t="str">
        <f t="shared" si="40"/>
        <v>Chairs</v>
      </c>
      <c r="X477" s="6" t="s">
        <v>2416</v>
      </c>
      <c r="Y477" s="6" t="s">
        <v>37</v>
      </c>
      <c r="Z477" s="6" t="str">
        <f t="shared" si="41"/>
        <v>Same Day</v>
      </c>
      <c r="AA477" s="6">
        <v>8</v>
      </c>
      <c r="AB477" s="6">
        <v>3378.82</v>
      </c>
      <c r="AC477" s="6">
        <v>0.25</v>
      </c>
      <c r="AD477" s="6">
        <v>20272.919999999998</v>
      </c>
      <c r="AE477" s="6">
        <v>15873.38</v>
      </c>
      <c r="AF477" s="6">
        <v>4399.54</v>
      </c>
      <c r="AG477" s="6" t="s">
        <v>54</v>
      </c>
      <c r="AH477" s="6" t="str">
        <f t="shared" si="42"/>
        <v>Pending</v>
      </c>
      <c r="AI477" s="6" t="s">
        <v>59</v>
      </c>
      <c r="AJ477" s="6" t="str">
        <f t="shared" si="43"/>
        <v>Returned</v>
      </c>
      <c r="AK477" s="9" t="str">
        <f>_xlfn.TEXTJOIN("|",FALSE,A477,TEXT(B477,"mm-dd-yyyy"),TEXT(E477,"mm-dd-yyyy"),I477,J477,L477,N477,P477,R477,T477,V477,X477,Y477,AA477,AB477,AC477,AD477,AE477,AF477,AG477,AI477)</f>
        <v>ORD-2025-10476|03-01-2025|03-08-2025|CUST-5712|Vikram Iyer|Consumer|East|West Bengal|Kolkata|Furniture|Chairs|Eco Chairs 365|Same Day|8|3378.82|0.25|20272.92|15873.38|4399.54|Pending|Returned</v>
      </c>
      <c r="AL477" s="27" t="str">
        <f>IF(COUNTIF($AK$2:AK477,AK477)&gt;1,"Remove exact duplicate copy","Keep")</f>
        <v>Keep</v>
      </c>
      <c r="AM477" s="9">
        <f t="shared" si="44"/>
        <v>1</v>
      </c>
      <c r="AN477" s="9" t="str">
        <f t="shared" si="45"/>
        <v>Unique</v>
      </c>
      <c r="AO477" s="9" t="str">
        <f t="shared" si="46"/>
        <v/>
      </c>
      <c r="AP477" s="9">
        <f t="shared" si="47"/>
        <v>0.25</v>
      </c>
      <c r="AQ477" s="10">
        <f t="shared" si="48"/>
        <v>20272.920000000002</v>
      </c>
      <c r="AR477" s="10">
        <f t="shared" si="49"/>
        <v>4399.5400000000027</v>
      </c>
      <c r="AS477" s="11">
        <f t="shared" si="50"/>
        <v>0.21701560505344086</v>
      </c>
      <c r="AT477" s="9">
        <f t="shared" si="51"/>
        <v>3</v>
      </c>
      <c r="AU477" s="9">
        <f t="shared" si="52"/>
        <v>2025</v>
      </c>
      <c r="AV477" s="9" t="b">
        <f t="shared" si="53"/>
        <v>0</v>
      </c>
      <c r="AW477" s="9" t="b">
        <f t="shared" si="54"/>
        <v>0</v>
      </c>
      <c r="AX477" s="9" t="str">
        <f t="shared" si="55"/>
        <v>No</v>
      </c>
      <c r="AY477" s="9" t="str">
        <f t="shared" si="63"/>
        <v>Returned order excluded</v>
      </c>
      <c r="AZ477" s="9" t="str">
        <f>IF(OR(G477="Missing date",G477="Invalid date",G477="Ship date before order date",NOT(ISNUMBER(AP477)),AP477&lt;0,AP477&gt;0.5,AV477=TRUE,AW477=TRUE),"Invalid",IF(OR(O477="Unknown",Z477="Unknown",AC477="",AH477&lt;&gt;"Paid",AJ477&lt;&gt;"Completed",AO477&lt;&gt;""),"Warning","Clean"))</f>
        <v>Warning</v>
      </c>
    </row>
    <row r="478" spans="1:52" ht="15.75" customHeight="1">
      <c r="A478" s="6" t="s">
        <v>2417</v>
      </c>
      <c r="B478" s="7" t="s">
        <v>2418</v>
      </c>
      <c r="C478" s="7" t="str">
        <f t="shared" si="62"/>
        <v>2024-05</v>
      </c>
      <c r="D478" s="7" cm="1">
        <f t="array" ref="D478">_xlfn.LET(_xlpm.x,B478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45419</v>
      </c>
      <c r="E478" s="7" t="s">
        <v>2419</v>
      </c>
      <c r="F478" s="7" cm="1">
        <f t="array" ref="F478">_xlfn.LET(_xlpm.x,E478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45426</v>
      </c>
      <c r="G478" s="8" t="str">
        <f t="shared" si="32"/>
        <v>OK</v>
      </c>
      <c r="H478" s="6">
        <f t="shared" si="33"/>
        <v>7</v>
      </c>
      <c r="I478" s="6" t="s">
        <v>2420</v>
      </c>
      <c r="J478" s="6" t="s">
        <v>245</v>
      </c>
      <c r="K478" s="6" t="str">
        <f t="shared" si="34"/>
        <v>Sneha Kapoor</v>
      </c>
      <c r="L478" s="6" t="s">
        <v>46</v>
      </c>
      <c r="M478" s="8" t="str">
        <f t="shared" si="35"/>
        <v>Small Business</v>
      </c>
      <c r="N478" s="6" t="s">
        <v>7</v>
      </c>
      <c r="O478" s="6" t="str">
        <f t="shared" si="36"/>
        <v>North</v>
      </c>
      <c r="P478" s="6" t="s">
        <v>131</v>
      </c>
      <c r="Q478" s="6" t="str">
        <f t="shared" si="37"/>
        <v>Rajasthan</v>
      </c>
      <c r="R478" s="6" t="s">
        <v>132</v>
      </c>
      <c r="S478" s="6" t="str">
        <f t="shared" si="38"/>
        <v>Jaipur</v>
      </c>
      <c r="T478" s="6" t="s">
        <v>20</v>
      </c>
      <c r="U478" s="8" t="str">
        <f t="shared" si="39"/>
        <v>Office Supplies</v>
      </c>
      <c r="V478" s="6" t="s">
        <v>25</v>
      </c>
      <c r="W478" s="6" t="str">
        <f t="shared" si="40"/>
        <v>Storage</v>
      </c>
      <c r="X478" s="6" t="s">
        <v>2421</v>
      </c>
      <c r="Y478" s="6" t="s">
        <v>35</v>
      </c>
      <c r="Z478" s="6" t="str">
        <f t="shared" si="41"/>
        <v>First Class</v>
      </c>
      <c r="AA478" s="6">
        <v>3</v>
      </c>
      <c r="AB478" s="6">
        <v>383.58</v>
      </c>
      <c r="AC478" s="6">
        <v>0.1</v>
      </c>
      <c r="AD478" s="6">
        <v>1035.67</v>
      </c>
      <c r="AE478" s="6">
        <v>595.41999999999996</v>
      </c>
      <c r="AF478" s="6">
        <v>440.25</v>
      </c>
      <c r="AG478" s="6" t="s">
        <v>52</v>
      </c>
      <c r="AH478" s="6" t="str">
        <f t="shared" si="42"/>
        <v>Paid</v>
      </c>
      <c r="AI478" s="6" t="s">
        <v>134</v>
      </c>
      <c r="AJ478" s="6" t="str">
        <f t="shared" si="43"/>
        <v>Completed</v>
      </c>
      <c r="AK478" s="9" t="str">
        <f>_xlfn.TEXTJOIN("|",FALSE,A478,TEXT(B478,"mm-dd-yyyy"),TEXT(E478,"mm-dd-yyyy"),I478,J478,L478,N478,P478,R478,T478,V478,X478,Y478,AA478,AB478,AC478,AD478,AE478,AF478,AG478,AI478)</f>
        <v>ORD-2024-10477|05-07-2024|05-14-2024|CUST-3004|Sneha Kapoor|Small Business|North|Rajasthan|Jaipur|Office Supplies|Storage|Classic Storage 545|First Class|3|383.58|0.1|1035.67|595.42|440.25|Paid|Completed</v>
      </c>
      <c r="AL478" s="27" t="str">
        <f>IF(COUNTIF($AK$2:AK478,AK478)&gt;1,"Remove exact duplicate copy","Keep")</f>
        <v>Keep</v>
      </c>
      <c r="AM478" s="9">
        <f t="shared" si="44"/>
        <v>1</v>
      </c>
      <c r="AN478" s="9" t="str">
        <f t="shared" si="45"/>
        <v>Unique</v>
      </c>
      <c r="AO478" s="9" t="str">
        <f t="shared" si="46"/>
        <v/>
      </c>
      <c r="AP478" s="9">
        <f t="shared" si="47"/>
        <v>0.1</v>
      </c>
      <c r="AQ478" s="10">
        <f t="shared" si="48"/>
        <v>1035.6659999999999</v>
      </c>
      <c r="AR478" s="10">
        <f t="shared" si="49"/>
        <v>440.24599999999998</v>
      </c>
      <c r="AS478" s="11">
        <f t="shared" si="50"/>
        <v>0.42508492120046426</v>
      </c>
      <c r="AT478" s="9">
        <f t="shared" si="51"/>
        <v>5</v>
      </c>
      <c r="AU478" s="9">
        <f t="shared" si="52"/>
        <v>2024</v>
      </c>
      <c r="AV478" s="9" t="b">
        <f t="shared" si="53"/>
        <v>0</v>
      </c>
      <c r="AW478" s="9" t="b">
        <f t="shared" si="54"/>
        <v>0</v>
      </c>
      <c r="AX478" s="9" t="str">
        <f t="shared" si="55"/>
        <v>Yes</v>
      </c>
      <c r="AY478" s="9" t="str">
        <f t="shared" si="63"/>
        <v/>
      </c>
      <c r="AZ478" s="9" t="str">
        <f>IF(OR(G478="Missing date",G478="Invalid date",G478="Ship date before order date",NOT(ISNUMBER(AP478)),AP478&lt;0,AP478&gt;0.5,AV478=TRUE,AW478=TRUE),"Invalid",IF(OR(O478="Unknown",Z478="Unknown",AC478="",AH478&lt;&gt;"Paid",AJ478&lt;&gt;"Completed",AO478&lt;&gt;""),"Warning","Clean"))</f>
        <v>Clean</v>
      </c>
    </row>
    <row r="479" spans="1:52" ht="15.75" customHeight="1">
      <c r="A479" s="6" t="s">
        <v>2422</v>
      </c>
      <c r="B479" s="7" t="s">
        <v>2423</v>
      </c>
      <c r="C479" s="7" t="str">
        <f t="shared" si="62"/>
        <v>2025-08</v>
      </c>
      <c r="D479" s="7" cm="1">
        <f t="array" ref="D479">_xlfn.LET(_xlpm.x,B479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45892</v>
      </c>
      <c r="E479" s="7" t="s">
        <v>2424</v>
      </c>
      <c r="F479" s="7" cm="1">
        <f t="array" ref="F479">_xlfn.LET(_xlpm.x,E479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45897</v>
      </c>
      <c r="G479" s="8" t="str">
        <f t="shared" si="32"/>
        <v>OK</v>
      </c>
      <c r="H479" s="6">
        <f t="shared" si="33"/>
        <v>5</v>
      </c>
      <c r="I479" s="6" t="s">
        <v>2425</v>
      </c>
      <c r="J479" s="6" t="s">
        <v>169</v>
      </c>
      <c r="K479" s="6" t="str">
        <f t="shared" si="34"/>
        <v>Vikram Iyer</v>
      </c>
      <c r="L479" s="6" t="s">
        <v>45</v>
      </c>
      <c r="M479" s="8" t="str">
        <f t="shared" si="35"/>
        <v>Corporate</v>
      </c>
      <c r="N479" s="6" t="s">
        <v>9</v>
      </c>
      <c r="O479" s="6" t="str">
        <f t="shared" si="36"/>
        <v>West</v>
      </c>
      <c r="P479" s="6" t="s">
        <v>309</v>
      </c>
      <c r="Q479" s="6" t="str">
        <f t="shared" si="37"/>
        <v>Gujarat</v>
      </c>
      <c r="R479" s="6" t="s">
        <v>310</v>
      </c>
      <c r="S479" s="6" t="str">
        <f t="shared" si="38"/>
        <v>Ahmedabad</v>
      </c>
      <c r="T479" s="6" t="s">
        <v>14</v>
      </c>
      <c r="U479" s="8" t="str">
        <f t="shared" si="39"/>
        <v>Furniture</v>
      </c>
      <c r="V479" s="6" t="s">
        <v>16</v>
      </c>
      <c r="W479" s="6" t="str">
        <f t="shared" si="40"/>
        <v>Chairs</v>
      </c>
      <c r="X479" s="6" t="s">
        <v>2426</v>
      </c>
      <c r="Y479" s="6" t="s">
        <v>34</v>
      </c>
      <c r="Z479" s="6" t="str">
        <f t="shared" si="41"/>
        <v>Standard Class</v>
      </c>
      <c r="AA479" s="6">
        <v>6</v>
      </c>
      <c r="AB479" s="6">
        <v>2193.23</v>
      </c>
      <c r="AC479" s="6">
        <v>0.1</v>
      </c>
      <c r="AD479" s="6">
        <v>11843.44</v>
      </c>
      <c r="AE479" s="6">
        <v>9356.8799999999992</v>
      </c>
      <c r="AF479" s="6">
        <v>2486.56</v>
      </c>
      <c r="AG479" s="6" t="s">
        <v>52</v>
      </c>
      <c r="AH479" s="6" t="str">
        <f t="shared" si="42"/>
        <v>Paid</v>
      </c>
      <c r="AI479" s="6" t="s">
        <v>58</v>
      </c>
      <c r="AJ479" s="6" t="str">
        <f t="shared" si="43"/>
        <v>Cancelled</v>
      </c>
      <c r="AK479" s="9" t="str">
        <f>_xlfn.TEXTJOIN("|",FALSE,A479,TEXT(B479,"mm-dd-yyyy"),TEXT(E479,"mm-dd-yyyy"),I479,J479,L479,N479,P479,R479,T479,V479,X479,Y479,AA479,AB479,AC479,AD479,AE479,AF479,AG479,AI479)</f>
        <v>ORD-2025-10478|08-23-2025|28-08-2025|CUST-6920|Vikram Iyer|Corporate|West|Gujarat|Ahmedabad|Furniture|Chairs|Pro Chairs 186|Standard Class|6|2193.23|0.1|11843.44|9356.88|2486.56|Paid|Cancelled</v>
      </c>
      <c r="AL479" s="27" t="str">
        <f>IF(COUNTIF($AK$2:AK479,AK479)&gt;1,"Remove exact duplicate copy","Keep")</f>
        <v>Keep</v>
      </c>
      <c r="AM479" s="9">
        <f t="shared" si="44"/>
        <v>1</v>
      </c>
      <c r="AN479" s="9" t="str">
        <f t="shared" si="45"/>
        <v>Unique</v>
      </c>
      <c r="AO479" s="9" t="str">
        <f t="shared" si="46"/>
        <v/>
      </c>
      <c r="AP479" s="9">
        <f t="shared" si="47"/>
        <v>0.1</v>
      </c>
      <c r="AQ479" s="10">
        <f t="shared" si="48"/>
        <v>11843.442000000001</v>
      </c>
      <c r="AR479" s="10">
        <f t="shared" si="49"/>
        <v>2486.5620000000017</v>
      </c>
      <c r="AS479" s="11">
        <f t="shared" si="50"/>
        <v>0.20995264721184953</v>
      </c>
      <c r="AT479" s="9">
        <f t="shared" si="51"/>
        <v>8</v>
      </c>
      <c r="AU479" s="9">
        <f t="shared" si="52"/>
        <v>2025</v>
      </c>
      <c r="AV479" s="9" t="b">
        <f t="shared" si="53"/>
        <v>0</v>
      </c>
      <c r="AW479" s="9" t="b">
        <f t="shared" si="54"/>
        <v>0</v>
      </c>
      <c r="AX479" s="9" t="str">
        <f t="shared" si="55"/>
        <v>No</v>
      </c>
      <c r="AY479" s="9" t="str">
        <f t="shared" si="63"/>
        <v>Cancelled order excluded</v>
      </c>
      <c r="AZ479" s="9" t="str">
        <f>IF(OR(G479="Missing date",G479="Invalid date",G479="Ship date before order date",NOT(ISNUMBER(AP479)),AP479&lt;0,AP479&gt;0.5,AV479=TRUE,AW479=TRUE),"Invalid",IF(OR(O479="Unknown",Z479="Unknown",AC479="",AH479&lt;&gt;"Paid",AJ479&lt;&gt;"Completed",AO479&lt;&gt;""),"Warning","Clean"))</f>
        <v>Warning</v>
      </c>
    </row>
    <row r="480" spans="1:52" ht="15.75" customHeight="1">
      <c r="A480" s="6" t="s">
        <v>2427</v>
      </c>
      <c r="B480" s="7" t="s">
        <v>2428</v>
      </c>
      <c r="C480" s="7" t="str">
        <f t="shared" si="62"/>
        <v>2024-06</v>
      </c>
      <c r="D480" s="7" cm="1">
        <f t="array" ref="D480">_xlfn.LET(_xlpm.x,B480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45452</v>
      </c>
      <c r="E480" s="7" t="s">
        <v>2429</v>
      </c>
      <c r="F480" s="7" cm="1">
        <f t="array" ref="F480">_xlfn.LET(_xlpm.x,E480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45456</v>
      </c>
      <c r="G480" s="8" t="str">
        <f t="shared" si="32"/>
        <v>OK</v>
      </c>
      <c r="H480" s="6">
        <f t="shared" si="33"/>
        <v>4</v>
      </c>
      <c r="I480" s="6" t="s">
        <v>2430</v>
      </c>
      <c r="J480" s="6" t="s">
        <v>139</v>
      </c>
      <c r="K480" s="6" t="str">
        <f t="shared" si="34"/>
        <v>Mira Das</v>
      </c>
      <c r="L480" s="6" t="s">
        <v>44</v>
      </c>
      <c r="M480" s="8" t="str">
        <f t="shared" si="35"/>
        <v>Home Office</v>
      </c>
      <c r="N480" s="6"/>
      <c r="O480" s="6" t="str">
        <f t="shared" si="36"/>
        <v>Unknown</v>
      </c>
      <c r="P480" s="6" t="s">
        <v>251</v>
      </c>
      <c r="Q480" s="6" t="str">
        <f t="shared" si="37"/>
        <v>Uttar Pradesh</v>
      </c>
      <c r="R480" s="6" t="s">
        <v>252</v>
      </c>
      <c r="S480" s="6" t="str">
        <f t="shared" si="38"/>
        <v>Noida</v>
      </c>
      <c r="T480" s="6" t="s">
        <v>27</v>
      </c>
      <c r="U480" s="8" t="str">
        <f t="shared" si="39"/>
        <v>Technology</v>
      </c>
      <c r="V480" s="6" t="s">
        <v>30</v>
      </c>
      <c r="W480" s="6" t="str">
        <f t="shared" si="40"/>
        <v>Machines</v>
      </c>
      <c r="X480" s="6" t="s">
        <v>2431</v>
      </c>
      <c r="Y480" s="6" t="s">
        <v>37</v>
      </c>
      <c r="Z480" s="6" t="str">
        <f t="shared" si="41"/>
        <v>Same Day</v>
      </c>
      <c r="AA480" s="6">
        <v>7</v>
      </c>
      <c r="AB480" s="6">
        <v>4079.71</v>
      </c>
      <c r="AC480" s="6">
        <v>0.1</v>
      </c>
      <c r="AD480" s="6">
        <v>25702.17</v>
      </c>
      <c r="AE480" s="6">
        <v>14571.48</v>
      </c>
      <c r="AF480" s="6">
        <v>11130.69</v>
      </c>
      <c r="AG480" s="6" t="s">
        <v>56</v>
      </c>
      <c r="AH480" s="6" t="str">
        <f t="shared" si="42"/>
        <v>Refunded</v>
      </c>
      <c r="AI480" s="6" t="s">
        <v>59</v>
      </c>
      <c r="AJ480" s="6" t="str">
        <f t="shared" si="43"/>
        <v>Returned</v>
      </c>
      <c r="AK480" s="9" t="str">
        <f>_xlfn.TEXTJOIN("|",FALSE,A480,TEXT(B480,"mm-dd-yyyy"),TEXT(E480,"mm-dd-yyyy"),I480,J480,L480,N480,P480,R480,T480,V480,X480,Y480,AA480,AB480,AC480,AD480,AE480,AF480,AG480,AI480)</f>
        <v>ORD-2024-10479|06-09-2024|06-13-2024|CUST-4838|Mira Das|Home Office||Uttar Pradesh|Noida|Technology|Machines|Classic Machines 561|Same Day|7|4079.71|0.1|25702.17|14571.48|11130.69|Refunded|Returned</v>
      </c>
      <c r="AL480" s="27" t="str">
        <f>IF(COUNTIF($AK$2:AK480,AK480)&gt;1,"Remove exact duplicate copy","Keep")</f>
        <v>Keep</v>
      </c>
      <c r="AM480" s="9">
        <f t="shared" si="44"/>
        <v>1</v>
      </c>
      <c r="AN480" s="9" t="str">
        <f t="shared" si="45"/>
        <v>Unique</v>
      </c>
      <c r="AO480" s="9" t="str">
        <f t="shared" si="46"/>
        <v/>
      </c>
      <c r="AP480" s="9">
        <f t="shared" si="47"/>
        <v>0.1</v>
      </c>
      <c r="AQ480" s="10">
        <f t="shared" si="48"/>
        <v>25702.173000000003</v>
      </c>
      <c r="AR480" s="10">
        <f t="shared" si="49"/>
        <v>11130.693000000003</v>
      </c>
      <c r="AS480" s="11">
        <f t="shared" si="50"/>
        <v>0.43306427826160854</v>
      </c>
      <c r="AT480" s="9">
        <f t="shared" si="51"/>
        <v>6</v>
      </c>
      <c r="AU480" s="9">
        <f t="shared" si="52"/>
        <v>2024</v>
      </c>
      <c r="AV480" s="9" t="b">
        <f t="shared" si="53"/>
        <v>0</v>
      </c>
      <c r="AW480" s="9" t="b">
        <f t="shared" si="54"/>
        <v>0</v>
      </c>
      <c r="AX480" s="9" t="str">
        <f t="shared" si="55"/>
        <v>No</v>
      </c>
      <c r="AY480" s="9" t="str">
        <f t="shared" si="63"/>
        <v>Missing region filled as Unknown; Refunded order summarized separately; Returned order excluded</v>
      </c>
      <c r="AZ480" s="9" t="str">
        <f>IF(OR(G480="Missing date",G480="Invalid date",G480="Ship date before order date",NOT(ISNUMBER(AP480)),AP480&lt;0,AP480&gt;0.5,AV480=TRUE,AW480=TRUE),"Invalid",IF(OR(O480="Unknown",Z480="Unknown",AC480="",AH480&lt;&gt;"Paid",AJ480&lt;&gt;"Completed",AO480&lt;&gt;""),"Warning","Clean"))</f>
        <v>Warning</v>
      </c>
    </row>
    <row r="481" spans="1:52" ht="15.75" customHeight="1">
      <c r="A481" s="6" t="s">
        <v>2432</v>
      </c>
      <c r="B481" s="7" t="s">
        <v>2433</v>
      </c>
      <c r="C481" s="7" t="str">
        <f t="shared" si="62"/>
        <v>2024-02</v>
      </c>
      <c r="D481" s="7" cm="1">
        <f t="array" ref="D481">_xlfn.LET(_xlpm.x,B481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45345</v>
      </c>
      <c r="E481" s="7" t="s">
        <v>2176</v>
      </c>
      <c r="F481" s="7" cm="1">
        <f t="array" ref="F481">_xlfn.LET(_xlpm.x,E481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45342</v>
      </c>
      <c r="G481" s="8" t="str">
        <f t="shared" si="32"/>
        <v>Ship date before order date</v>
      </c>
      <c r="H481" s="6">
        <f t="shared" si="33"/>
        <v>-3</v>
      </c>
      <c r="I481" s="6" t="s">
        <v>2434</v>
      </c>
      <c r="J481" s="6" t="s">
        <v>153</v>
      </c>
      <c r="K481" s="6" t="str">
        <f t="shared" si="34"/>
        <v>Arjun Bose</v>
      </c>
      <c r="L481" s="6" t="s">
        <v>45</v>
      </c>
      <c r="M481" s="8" t="str">
        <f t="shared" si="35"/>
        <v>Corporate</v>
      </c>
      <c r="N481" s="6" t="s">
        <v>8</v>
      </c>
      <c r="O481" s="6" t="str">
        <f t="shared" si="36"/>
        <v>East</v>
      </c>
      <c r="P481" s="6" t="s">
        <v>140</v>
      </c>
      <c r="Q481" s="6" t="str">
        <f t="shared" si="37"/>
        <v>Odisha</v>
      </c>
      <c r="R481" s="6" t="s">
        <v>141</v>
      </c>
      <c r="S481" s="6" t="str">
        <f t="shared" si="38"/>
        <v>Bhubaneswar</v>
      </c>
      <c r="T481" s="6" t="s">
        <v>14</v>
      </c>
      <c r="U481" s="8" t="str">
        <f t="shared" si="39"/>
        <v>Furniture</v>
      </c>
      <c r="V481" s="6" t="s">
        <v>16</v>
      </c>
      <c r="W481" s="6" t="str">
        <f t="shared" si="40"/>
        <v>Chairs</v>
      </c>
      <c r="X481" s="6" t="s">
        <v>2435</v>
      </c>
      <c r="Y481" s="6" t="s">
        <v>36</v>
      </c>
      <c r="Z481" s="6" t="str">
        <f t="shared" si="41"/>
        <v>Second Class</v>
      </c>
      <c r="AA481" s="6">
        <v>1</v>
      </c>
      <c r="AB481" s="6">
        <v>2202.5500000000002</v>
      </c>
      <c r="AC481" s="6"/>
      <c r="AD481" s="6">
        <v>1651.91</v>
      </c>
      <c r="AE481" s="6">
        <v>1034.57</v>
      </c>
      <c r="AF481" s="6">
        <v>617.34</v>
      </c>
      <c r="AG481" s="6" t="s">
        <v>52</v>
      </c>
      <c r="AH481" s="6" t="str">
        <f t="shared" si="42"/>
        <v>Paid</v>
      </c>
      <c r="AI481" s="6" t="s">
        <v>134</v>
      </c>
      <c r="AJ481" s="6" t="str">
        <f t="shared" si="43"/>
        <v>Completed</v>
      </c>
      <c r="AK481" s="9" t="str">
        <f>_xlfn.TEXTJOIN("|",FALSE,A481,TEXT(B481,"mm-dd-yyyy"),TEXT(E481,"mm-dd-yyyy"),I481,J481,L481,N481,P481,R481,T481,V481,X481,Y481,AA481,AB481,AC481,AD481,AE481,AF481,AG481,AI481)</f>
        <v>ORD-2024-10480|02-23-2024|02-20-2024|CUST-7520|Arjun Bose|Corporate|East|Odisha|Bhubaneswar|Furniture|Chairs|Max Chairs 594|Second Class|1|2202.55||1651.91|1034.57|617.34|Paid|Completed</v>
      </c>
      <c r="AL481" s="27" t="str">
        <f>IF(COUNTIF($AK$2:AK481,AK481)&gt;1,"Remove exact duplicate copy","Keep")</f>
        <v>Keep</v>
      </c>
      <c r="AM481" s="9">
        <f t="shared" si="44"/>
        <v>1</v>
      </c>
      <c r="AN481" s="9" t="str">
        <f t="shared" si="45"/>
        <v>Unique</v>
      </c>
      <c r="AO481" s="9" t="str">
        <f t="shared" si="46"/>
        <v/>
      </c>
      <c r="AP481" s="9">
        <f t="shared" si="47"/>
        <v>0</v>
      </c>
      <c r="AQ481" s="10">
        <f t="shared" si="48"/>
        <v>2202.5500000000002</v>
      </c>
      <c r="AR481" s="10">
        <f t="shared" si="49"/>
        <v>1167.9800000000002</v>
      </c>
      <c r="AS481" s="11">
        <f t="shared" si="50"/>
        <v>0.53028535107035035</v>
      </c>
      <c r="AT481" s="9">
        <f t="shared" si="51"/>
        <v>2</v>
      </c>
      <c r="AU481" s="9">
        <f t="shared" si="52"/>
        <v>2024</v>
      </c>
      <c r="AV481" s="9" t="b">
        <f t="shared" si="53"/>
        <v>1</v>
      </c>
      <c r="AW481" s="9" t="b">
        <f t="shared" si="54"/>
        <v>1</v>
      </c>
      <c r="AX481" s="9" t="str">
        <f t="shared" si="55"/>
        <v>No</v>
      </c>
      <c r="AY481" s="9" t="str">
        <f t="shared" si="63"/>
        <v>Missing discount treated as 0; Ship date before order date; Sales mismatch; Profit mismatch</v>
      </c>
      <c r="AZ481" s="9" t="str">
        <f>IF(OR(G481="Missing date",G481="Invalid date",G481="Ship date before order date",NOT(ISNUMBER(AP481)),AP481&lt;0,AP481&gt;0.5,AV481=TRUE,AW481=TRUE),"Invalid",IF(OR(O481="Unknown",Z481="Unknown",AC481="",AH481&lt;&gt;"Paid",AJ481&lt;&gt;"Completed",AO481&lt;&gt;""),"Warning","Clean"))</f>
        <v>Invalid</v>
      </c>
    </row>
    <row r="482" spans="1:52" ht="15.75" customHeight="1">
      <c r="A482" s="6" t="s">
        <v>2436</v>
      </c>
      <c r="B482" s="7" t="s">
        <v>460</v>
      </c>
      <c r="C482" s="7" t="str">
        <f t="shared" si="62"/>
        <v>2025-01</v>
      </c>
      <c r="D482" s="7" cm="1">
        <f t="array" ref="D482">_xlfn.LET(_xlpm.x,B482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45662</v>
      </c>
      <c r="E482" s="7" t="s">
        <v>2383</v>
      </c>
      <c r="F482" s="7" cm="1">
        <f t="array" ref="F482">_xlfn.LET(_xlpm.x,E482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45666</v>
      </c>
      <c r="G482" s="8" t="str">
        <f t="shared" si="32"/>
        <v>OK</v>
      </c>
      <c r="H482" s="6">
        <f t="shared" si="33"/>
        <v>4</v>
      </c>
      <c r="I482" s="6" t="s">
        <v>2437</v>
      </c>
      <c r="J482" s="6" t="s">
        <v>177</v>
      </c>
      <c r="K482" s="6" t="str">
        <f t="shared" si="34"/>
        <v>Neha Gupta</v>
      </c>
      <c r="L482" s="6" t="s">
        <v>46</v>
      </c>
      <c r="M482" s="8" t="str">
        <f t="shared" si="35"/>
        <v>Small Business</v>
      </c>
      <c r="N482" s="6" t="s">
        <v>10</v>
      </c>
      <c r="O482" s="6" t="str">
        <f t="shared" si="36"/>
        <v>South</v>
      </c>
      <c r="P482" s="6" t="s">
        <v>413</v>
      </c>
      <c r="Q482" s="6" t="str">
        <f t="shared" si="37"/>
        <v>Tamil Nadu</v>
      </c>
      <c r="R482" s="6" t="s">
        <v>414</v>
      </c>
      <c r="S482" s="6" t="str">
        <f t="shared" si="38"/>
        <v>Chennai</v>
      </c>
      <c r="T482" s="6" t="s">
        <v>20</v>
      </c>
      <c r="U482" s="8" t="str">
        <f t="shared" si="39"/>
        <v>Office Supplies</v>
      </c>
      <c r="V482" s="6" t="s">
        <v>25</v>
      </c>
      <c r="W482" s="6" t="str">
        <f t="shared" si="40"/>
        <v>Storage</v>
      </c>
      <c r="X482" s="6" t="s">
        <v>2438</v>
      </c>
      <c r="Y482" s="6"/>
      <c r="Z482" s="6" t="str">
        <f t="shared" si="41"/>
        <v>Unknown</v>
      </c>
      <c r="AA482" s="6">
        <v>5</v>
      </c>
      <c r="AB482" s="6">
        <v>905.16</v>
      </c>
      <c r="AC482" s="6">
        <v>0</v>
      </c>
      <c r="AD482" s="6">
        <v>4525.8</v>
      </c>
      <c r="AE482" s="6">
        <v>2714.51</v>
      </c>
      <c r="AF482" s="6">
        <v>1811.29</v>
      </c>
      <c r="AG482" s="6" t="s">
        <v>52</v>
      </c>
      <c r="AH482" s="6" t="str">
        <f t="shared" si="42"/>
        <v>Paid</v>
      </c>
      <c r="AI482" s="6" t="s">
        <v>134</v>
      </c>
      <c r="AJ482" s="6" t="str">
        <f t="shared" si="43"/>
        <v>Completed</v>
      </c>
      <c r="AK482" s="9" t="str">
        <f>_xlfn.TEXTJOIN("|",FALSE,A482,TEXT(B482,"mm-dd-yyyy"),TEXT(E482,"mm-dd-yyyy"),I482,J482,L482,N482,P482,R482,T482,V482,X482,Y482,AA482,AB482,AC482,AD482,AE482,AF482,AG482,AI482)</f>
        <v>ORD-2025-10481|01-05-2025|01-09-2025|CUST-9947|Neha Gupta|Small Business|South|Tamil Nadu|Chennai|Office Supplies|Storage|Eco Storage 923||5|905.16|0|4525.8|2714.51|1811.29|Paid|Completed</v>
      </c>
      <c r="AL482" s="27" t="str">
        <f>IF(COUNTIF($AK$2:AK482,AK482)&gt;1,"Remove exact duplicate copy","Keep")</f>
        <v>Keep</v>
      </c>
      <c r="AM482" s="9">
        <f t="shared" si="44"/>
        <v>1</v>
      </c>
      <c r="AN482" s="9" t="str">
        <f t="shared" si="45"/>
        <v>Unique</v>
      </c>
      <c r="AO482" s="9" t="str">
        <f t="shared" si="46"/>
        <v/>
      </c>
      <c r="AP482" s="9">
        <f t="shared" si="47"/>
        <v>0</v>
      </c>
      <c r="AQ482" s="10">
        <f t="shared" si="48"/>
        <v>4525.8</v>
      </c>
      <c r="AR482" s="10">
        <f t="shared" si="49"/>
        <v>1811.29</v>
      </c>
      <c r="AS482" s="11">
        <f t="shared" si="50"/>
        <v>0.40021432674886204</v>
      </c>
      <c r="AT482" s="9">
        <f t="shared" si="51"/>
        <v>1</v>
      </c>
      <c r="AU482" s="9">
        <f t="shared" si="52"/>
        <v>2025</v>
      </c>
      <c r="AV482" s="9" t="b">
        <f t="shared" si="53"/>
        <v>0</v>
      </c>
      <c r="AW482" s="9" t="b">
        <f t="shared" si="54"/>
        <v>0</v>
      </c>
      <c r="AX482" s="9" t="str">
        <f t="shared" si="55"/>
        <v>Yes</v>
      </c>
      <c r="AY482" s="9" t="str">
        <f t="shared" si="63"/>
        <v>Missing ship mode filled as Unknown</v>
      </c>
      <c r="AZ482" s="9" t="str">
        <f>IF(OR(G482="Missing date",G482="Invalid date",G482="Ship date before order date",NOT(ISNUMBER(AP482)),AP482&lt;0,AP482&gt;0.5,AV482=TRUE,AW482=TRUE),"Invalid",IF(OR(O482="Unknown",Z482="Unknown",AC482="",AH482&lt;&gt;"Paid",AJ482&lt;&gt;"Completed",AO482&lt;&gt;""),"Warning","Clean"))</f>
        <v>Warning</v>
      </c>
    </row>
    <row r="483" spans="1:52" ht="15.75" customHeight="1">
      <c r="A483" s="6" t="s">
        <v>2439</v>
      </c>
      <c r="B483" s="7" t="s">
        <v>2440</v>
      </c>
      <c r="C483" s="7" t="str">
        <f t="shared" si="62"/>
        <v>2025-06</v>
      </c>
      <c r="D483" s="7" cm="1">
        <f t="array" ref="D483">_xlfn.LET(_xlpm.x,B483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45813</v>
      </c>
      <c r="E483" s="7" t="s">
        <v>2441</v>
      </c>
      <c r="F483" s="7" cm="1">
        <f t="array" ref="F483">_xlfn.LET(_xlpm.x,E483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45821</v>
      </c>
      <c r="G483" s="8" t="str">
        <f t="shared" si="32"/>
        <v>OK</v>
      </c>
      <c r="H483" s="6">
        <f t="shared" si="33"/>
        <v>8</v>
      </c>
      <c r="I483" s="6" t="s">
        <v>2442</v>
      </c>
      <c r="J483" s="6" t="s">
        <v>147</v>
      </c>
      <c r="K483" s="6" t="str">
        <f t="shared" si="34"/>
        <v>Isha Nair</v>
      </c>
      <c r="L483" s="6" t="s">
        <v>43</v>
      </c>
      <c r="M483" s="8" t="str">
        <f t="shared" si="35"/>
        <v>Consumer</v>
      </c>
      <c r="N483" s="6" t="s">
        <v>7</v>
      </c>
      <c r="O483" s="6" t="str">
        <f t="shared" si="36"/>
        <v>North</v>
      </c>
      <c r="P483" s="6" t="s">
        <v>251</v>
      </c>
      <c r="Q483" s="6" t="str">
        <f t="shared" si="37"/>
        <v>Uttar Pradesh</v>
      </c>
      <c r="R483" s="6" t="s">
        <v>252</v>
      </c>
      <c r="S483" s="6" t="str">
        <f t="shared" si="38"/>
        <v>Noida</v>
      </c>
      <c r="T483" s="6" t="s">
        <v>27</v>
      </c>
      <c r="U483" s="8" t="str">
        <f t="shared" si="39"/>
        <v>Technology</v>
      </c>
      <c r="V483" s="6" t="s">
        <v>30</v>
      </c>
      <c r="W483" s="6" t="str">
        <f t="shared" si="40"/>
        <v>Machines</v>
      </c>
      <c r="X483" s="6" t="s">
        <v>2443</v>
      </c>
      <c r="Y483" s="6" t="s">
        <v>37</v>
      </c>
      <c r="Z483" s="6" t="str">
        <f t="shared" si="41"/>
        <v>Same Day</v>
      </c>
      <c r="AA483" s="6">
        <v>4</v>
      </c>
      <c r="AB483" s="6">
        <v>2793.88</v>
      </c>
      <c r="AC483" s="6" t="s">
        <v>1255</v>
      </c>
      <c r="AD483" s="6">
        <v>10616.74</v>
      </c>
      <c r="AE483" s="6">
        <v>6353.59</v>
      </c>
      <c r="AF483" s="6">
        <v>4263.1499999999996</v>
      </c>
      <c r="AG483" s="6" t="s">
        <v>52</v>
      </c>
      <c r="AH483" s="6" t="str">
        <f t="shared" si="42"/>
        <v>Paid</v>
      </c>
      <c r="AI483" s="6" t="s">
        <v>134</v>
      </c>
      <c r="AJ483" s="6" t="str">
        <f t="shared" si="43"/>
        <v>Completed</v>
      </c>
      <c r="AK483" s="9" t="str">
        <f>_xlfn.TEXTJOIN("|",FALSE,A483,TEXT(B483,"mm-dd-yyyy"),TEXT(E483,"mm-dd-yyyy"),I483,J483,L483,N483,P483,R483,T483,V483,X483,Y483,AA483,AB483,AC483,AD483,AE483,AF483,AG483,AI483)</f>
        <v>ORD-2025-10482|06-05-2025|06-13-2025|CUST-4403|Isha Nair|Consumer|North|Uttar Pradesh|Noida|Technology|Machines|Classic Machines 287|Same Day|4|2793.88|85%|10616.74|6353.59|4263.15|Paid|Completed</v>
      </c>
      <c r="AL483" s="27" t="str">
        <f>IF(COUNTIF($AK$2:AK483,AK483)&gt;1,"Remove exact duplicate copy","Keep")</f>
        <v>Keep</v>
      </c>
      <c r="AM483" s="9">
        <f t="shared" si="44"/>
        <v>1</v>
      </c>
      <c r="AN483" s="9" t="str">
        <f t="shared" si="45"/>
        <v>Unique</v>
      </c>
      <c r="AO483" s="9" t="str">
        <f t="shared" si="46"/>
        <v/>
      </c>
      <c r="AP483" s="9">
        <f t="shared" si="47"/>
        <v>0.85</v>
      </c>
      <c r="AQ483" s="10">
        <f t="shared" si="48"/>
        <v>1676.3280000000002</v>
      </c>
      <c r="AR483" s="10">
        <f t="shared" si="49"/>
        <v>-4677.2619999999997</v>
      </c>
      <c r="AS483" s="11">
        <f t="shared" si="50"/>
        <v>-2.7901830667983827</v>
      </c>
      <c r="AT483" s="9">
        <f t="shared" si="51"/>
        <v>6</v>
      </c>
      <c r="AU483" s="9">
        <f t="shared" si="52"/>
        <v>2025</v>
      </c>
      <c r="AV483" s="9" t="b">
        <f t="shared" si="53"/>
        <v>1</v>
      </c>
      <c r="AW483" s="9" t="b">
        <f t="shared" si="54"/>
        <v>1</v>
      </c>
      <c r="AX483" s="9" t="str">
        <f t="shared" si="55"/>
        <v>No</v>
      </c>
      <c r="AY483" s="9" t="str">
        <f t="shared" si="63"/>
        <v>Discount above 50%; Sales mismatch; Profit mismatch</v>
      </c>
      <c r="AZ483" s="9" t="str">
        <f>IF(OR(G483="Missing date",G483="Invalid date",G483="Ship date before order date",NOT(ISNUMBER(AP483)),AP483&lt;0,AP483&gt;0.5,AV483=TRUE,AW483=TRUE),"Invalid",IF(OR(O483="Unknown",Z483="Unknown",AC483="",AH483&lt;&gt;"Paid",AJ483&lt;&gt;"Completed",AO483&lt;&gt;""),"Warning","Clean"))</f>
        <v>Invalid</v>
      </c>
    </row>
    <row r="484" spans="1:52" ht="15.75" customHeight="1">
      <c r="A484" s="6" t="s">
        <v>2444</v>
      </c>
      <c r="B484" s="7" t="s">
        <v>337</v>
      </c>
      <c r="C484" s="7" t="str">
        <f t="shared" si="62"/>
        <v>2024-07</v>
      </c>
      <c r="D484" s="7" cm="1">
        <f t="array" ref="D484">_xlfn.LET(_xlpm.x,B484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45495</v>
      </c>
      <c r="E484" s="7" t="s">
        <v>337</v>
      </c>
      <c r="F484" s="7" cm="1">
        <f t="array" ref="F484">_xlfn.LET(_xlpm.x,E484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45495</v>
      </c>
      <c r="G484" s="8" t="str">
        <f t="shared" si="32"/>
        <v>OK</v>
      </c>
      <c r="H484" s="6">
        <f t="shared" si="33"/>
        <v>0</v>
      </c>
      <c r="I484" s="6" t="s">
        <v>2445</v>
      </c>
      <c r="J484" s="6" t="s">
        <v>220</v>
      </c>
      <c r="K484" s="6" t="str">
        <f t="shared" si="34"/>
        <v>Priya Menon</v>
      </c>
      <c r="L484" s="6" t="s">
        <v>43</v>
      </c>
      <c r="M484" s="8" t="str">
        <f t="shared" si="35"/>
        <v>Consumer</v>
      </c>
      <c r="N484" s="6" t="s">
        <v>10</v>
      </c>
      <c r="O484" s="6" t="str">
        <f t="shared" si="36"/>
        <v>South</v>
      </c>
      <c r="P484" s="6" t="s">
        <v>303</v>
      </c>
      <c r="Q484" s="6" t="str">
        <f t="shared" si="37"/>
        <v>Karnataka</v>
      </c>
      <c r="R484" s="6" t="s">
        <v>304</v>
      </c>
      <c r="S484" s="6" t="str">
        <f t="shared" si="38"/>
        <v>Bengaluru</v>
      </c>
      <c r="T484" s="6" t="s">
        <v>27</v>
      </c>
      <c r="U484" s="8" t="str">
        <f t="shared" si="39"/>
        <v>Technology</v>
      </c>
      <c r="V484" s="6" t="s">
        <v>28</v>
      </c>
      <c r="W484" s="6" t="str">
        <f t="shared" si="40"/>
        <v>Accessories</v>
      </c>
      <c r="X484" s="6" t="s">
        <v>2446</v>
      </c>
      <c r="Y484" s="6" t="s">
        <v>36</v>
      </c>
      <c r="Z484" s="6" t="str">
        <f t="shared" si="41"/>
        <v>Second Class</v>
      </c>
      <c r="AA484" s="6">
        <v>3</v>
      </c>
      <c r="AB484" s="6">
        <v>1286.22</v>
      </c>
      <c r="AC484" s="6">
        <v>0.25</v>
      </c>
      <c r="AD484" s="6">
        <v>2893.99</v>
      </c>
      <c r="AE484" s="6">
        <v>1856.03</v>
      </c>
      <c r="AF484" s="6">
        <v>1037.96</v>
      </c>
      <c r="AG484" s="6" t="s">
        <v>52</v>
      </c>
      <c r="AH484" s="6" t="str">
        <f t="shared" si="42"/>
        <v>Paid</v>
      </c>
      <c r="AI484" s="6" t="s">
        <v>134</v>
      </c>
      <c r="AJ484" s="6" t="str">
        <f t="shared" si="43"/>
        <v>Completed</v>
      </c>
      <c r="AK484" s="9" t="str">
        <f>_xlfn.TEXTJOIN("|",FALSE,A484,TEXT(B484,"mm-dd-yyyy"),TEXT(E484,"mm-dd-yyyy"),I484,J484,L484,N484,P484,R484,T484,V484,X484,Y484,AA484,AB484,AC484,AD484,AE484,AF484,AG484,AI484)</f>
        <v>ORD-2024-10483|07-22-2024|07-22-2024|CUST-3583|Priya Menon|Consumer|South|Karnataka|Bengaluru|Technology|Accessories|Basic Accessories 518|Second Class|3|1286.22|0.25|2893.99|1856.03|1037.96|Paid|Completed</v>
      </c>
      <c r="AL484" s="27" t="str">
        <f>IF(COUNTIF($AK$2:AK484,AK484)&gt;1,"Remove exact duplicate copy","Keep")</f>
        <v>Keep</v>
      </c>
      <c r="AM484" s="9">
        <f t="shared" si="44"/>
        <v>1</v>
      </c>
      <c r="AN484" s="9" t="str">
        <f t="shared" si="45"/>
        <v>Unique</v>
      </c>
      <c r="AO484" s="9" t="str">
        <f t="shared" si="46"/>
        <v/>
      </c>
      <c r="AP484" s="9">
        <f t="shared" si="47"/>
        <v>0.25</v>
      </c>
      <c r="AQ484" s="10">
        <f t="shared" si="48"/>
        <v>2893.9949999999999</v>
      </c>
      <c r="AR484" s="10">
        <f t="shared" si="49"/>
        <v>1037.9649999999999</v>
      </c>
      <c r="AS484" s="11">
        <f t="shared" si="50"/>
        <v>0.35866164247001114</v>
      </c>
      <c r="AT484" s="9">
        <f t="shared" si="51"/>
        <v>7</v>
      </c>
      <c r="AU484" s="9">
        <f t="shared" si="52"/>
        <v>2024</v>
      </c>
      <c r="AV484" s="9" t="b">
        <f t="shared" si="53"/>
        <v>0</v>
      </c>
      <c r="AW484" s="9" t="b">
        <f t="shared" si="54"/>
        <v>0</v>
      </c>
      <c r="AX484" s="9" t="str">
        <f t="shared" si="55"/>
        <v>Yes</v>
      </c>
      <c r="AY484" s="9" t="str">
        <f t="shared" si="63"/>
        <v/>
      </c>
      <c r="AZ484" s="9" t="str">
        <f>IF(OR(G484="Missing date",G484="Invalid date",G484="Ship date before order date",NOT(ISNUMBER(AP484)),AP484&lt;0,AP484&gt;0.5,AV484=TRUE,AW484=TRUE),"Invalid",IF(OR(O484="Unknown",Z484="Unknown",AC484="",AH484&lt;&gt;"Paid",AJ484&lt;&gt;"Completed",AO484&lt;&gt;""),"Warning","Clean"))</f>
        <v>Clean</v>
      </c>
    </row>
    <row r="485" spans="1:52" ht="15.75" customHeight="1">
      <c r="A485" s="6" t="s">
        <v>2447</v>
      </c>
      <c r="B485" s="7" t="s">
        <v>1491</v>
      </c>
      <c r="C485" s="7" t="str">
        <f t="shared" si="62"/>
        <v>2024-12</v>
      </c>
      <c r="D485" s="7" cm="1">
        <f t="array" ref="D485">_xlfn.LET(_xlpm.x,B485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45651</v>
      </c>
      <c r="E485" s="7" t="s">
        <v>2448</v>
      </c>
      <c r="F485" s="7" cm="1">
        <f t="array" ref="F485">_xlfn.LET(_xlpm.x,E485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45651</v>
      </c>
      <c r="G485" s="8" t="str">
        <f t="shared" si="32"/>
        <v>OK</v>
      </c>
      <c r="H485" s="6">
        <f t="shared" si="33"/>
        <v>0</v>
      </c>
      <c r="I485" s="6" t="s">
        <v>2449</v>
      </c>
      <c r="J485" s="6" t="s">
        <v>139</v>
      </c>
      <c r="K485" s="6" t="str">
        <f t="shared" si="34"/>
        <v>Mira Das</v>
      </c>
      <c r="L485" s="6" t="s">
        <v>45</v>
      </c>
      <c r="M485" s="8" t="str">
        <f t="shared" si="35"/>
        <v>Corporate</v>
      </c>
      <c r="N485" s="6" t="s">
        <v>8</v>
      </c>
      <c r="O485" s="6" t="str">
        <f t="shared" si="36"/>
        <v>East</v>
      </c>
      <c r="P485" s="6" t="s">
        <v>263</v>
      </c>
      <c r="Q485" s="6" t="str">
        <f t="shared" si="37"/>
        <v>Bihar</v>
      </c>
      <c r="R485" s="6" t="s">
        <v>264</v>
      </c>
      <c r="S485" s="6" t="str">
        <f t="shared" si="38"/>
        <v>Patna</v>
      </c>
      <c r="T485" s="6" t="s">
        <v>27</v>
      </c>
      <c r="U485" s="8" t="str">
        <f t="shared" si="39"/>
        <v>Technology</v>
      </c>
      <c r="V485" s="6" t="s">
        <v>29</v>
      </c>
      <c r="W485" s="6" t="str">
        <f t="shared" si="40"/>
        <v>Copiers</v>
      </c>
      <c r="X485" s="6" t="s">
        <v>2450</v>
      </c>
      <c r="Y485" s="6" t="s">
        <v>34</v>
      </c>
      <c r="Z485" s="6" t="str">
        <f t="shared" si="41"/>
        <v>Standard Class</v>
      </c>
      <c r="AA485" s="6">
        <v>1</v>
      </c>
      <c r="AB485" s="6">
        <v>829.66</v>
      </c>
      <c r="AC485" s="6">
        <v>0.15</v>
      </c>
      <c r="AD485" s="6">
        <v>705.21</v>
      </c>
      <c r="AE485" s="6">
        <v>438.32</v>
      </c>
      <c r="AF485" s="6">
        <v>266.89</v>
      </c>
      <c r="AG485" s="6" t="s">
        <v>52</v>
      </c>
      <c r="AH485" s="6" t="str">
        <f t="shared" si="42"/>
        <v>Paid</v>
      </c>
      <c r="AI485" s="6" t="s">
        <v>134</v>
      </c>
      <c r="AJ485" s="6" t="str">
        <f t="shared" si="43"/>
        <v>Completed</v>
      </c>
      <c r="AK485" s="9" t="str">
        <f>_xlfn.TEXTJOIN("|",FALSE,A485,TEXT(B485,"mm-dd-yyyy"),TEXT(E485,"mm-dd-yyyy"),I485,J485,L485,N485,P485,R485,T485,V485,X485,Y485,AA485,AB485,AC485,AD485,AE485,AF485,AG485,AI485)</f>
        <v>ORD-2024-10484|12-25-2024|25-12-2024|CUST-9432|Mira Das|Corporate|East|Bihar|Patna|Technology|Copiers|Pro Copiers 984|Standard Class|1|829.66|0.15|705.21|438.32|266.89|Paid|Completed</v>
      </c>
      <c r="AL485" s="27" t="str">
        <f>IF(COUNTIF($AK$2:AK485,AK485)&gt;1,"Remove exact duplicate copy","Keep")</f>
        <v>Keep</v>
      </c>
      <c r="AM485" s="9">
        <f t="shared" si="44"/>
        <v>1</v>
      </c>
      <c r="AN485" s="9" t="str">
        <f t="shared" si="45"/>
        <v>Unique</v>
      </c>
      <c r="AO485" s="9" t="str">
        <f t="shared" si="46"/>
        <v/>
      </c>
      <c r="AP485" s="9">
        <f t="shared" si="47"/>
        <v>0.15</v>
      </c>
      <c r="AQ485" s="10">
        <f t="shared" si="48"/>
        <v>705.2109999999999</v>
      </c>
      <c r="AR485" s="10">
        <f t="shared" si="49"/>
        <v>266.89099999999991</v>
      </c>
      <c r="AS485" s="11">
        <f t="shared" si="50"/>
        <v>0.37845552607659261</v>
      </c>
      <c r="AT485" s="9">
        <f t="shared" si="51"/>
        <v>12</v>
      </c>
      <c r="AU485" s="9">
        <f t="shared" si="52"/>
        <v>2024</v>
      </c>
      <c r="AV485" s="9" t="b">
        <f t="shared" si="53"/>
        <v>0</v>
      </c>
      <c r="AW485" s="9" t="b">
        <f t="shared" si="54"/>
        <v>0</v>
      </c>
      <c r="AX485" s="9" t="str">
        <f t="shared" si="55"/>
        <v>Yes</v>
      </c>
      <c r="AY485" s="9" t="str">
        <f t="shared" si="63"/>
        <v/>
      </c>
      <c r="AZ485" s="9" t="str">
        <f>IF(OR(G485="Missing date",G485="Invalid date",G485="Ship date before order date",NOT(ISNUMBER(AP485)),AP485&lt;0,AP485&gt;0.5,AV485=TRUE,AW485=TRUE),"Invalid",IF(OR(O485="Unknown",Z485="Unknown",AC485="",AH485&lt;&gt;"Paid",AJ485&lt;&gt;"Completed",AO485&lt;&gt;""),"Warning","Clean"))</f>
        <v>Clean</v>
      </c>
    </row>
    <row r="486" spans="1:52" ht="15.75" customHeight="1">
      <c r="A486" s="6" t="s">
        <v>2451</v>
      </c>
      <c r="B486" s="7" t="s">
        <v>2452</v>
      </c>
      <c r="C486" s="7" t="str">
        <f t="shared" si="62"/>
        <v>2024-12</v>
      </c>
      <c r="D486" s="7" cm="1">
        <f t="array" ref="D486">_xlfn.LET(_xlpm.x,B486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45654</v>
      </c>
      <c r="E486" s="7" t="s">
        <v>2453</v>
      </c>
      <c r="F486" s="7" cm="1">
        <f t="array" ref="F486">_xlfn.LET(_xlpm.x,E486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45657</v>
      </c>
      <c r="G486" s="8" t="str">
        <f t="shared" si="32"/>
        <v>OK</v>
      </c>
      <c r="H486" s="6">
        <f t="shared" si="33"/>
        <v>3</v>
      </c>
      <c r="I486" s="6" t="s">
        <v>2454</v>
      </c>
      <c r="J486" s="6" t="s">
        <v>139</v>
      </c>
      <c r="K486" s="6" t="str">
        <f t="shared" si="34"/>
        <v>Mira Das</v>
      </c>
      <c r="L486" s="6" t="s">
        <v>46</v>
      </c>
      <c r="M486" s="8" t="str">
        <f t="shared" si="35"/>
        <v>Small Business</v>
      </c>
      <c r="N486" s="6" t="s">
        <v>10</v>
      </c>
      <c r="O486" s="6" t="str">
        <f t="shared" si="36"/>
        <v>South</v>
      </c>
      <c r="P486" s="6" t="s">
        <v>183</v>
      </c>
      <c r="Q486" s="6" t="str">
        <f t="shared" si="37"/>
        <v>Andhra Pradesh</v>
      </c>
      <c r="R486" s="6" t="s">
        <v>184</v>
      </c>
      <c r="S486" s="6" t="str">
        <f t="shared" si="38"/>
        <v>Vijayawada</v>
      </c>
      <c r="T486" s="6" t="s">
        <v>14</v>
      </c>
      <c r="U486" s="8" t="str">
        <f t="shared" si="39"/>
        <v>Furniture</v>
      </c>
      <c r="V486" s="6" t="s">
        <v>17</v>
      </c>
      <c r="W486" s="6" t="str">
        <f t="shared" si="40"/>
        <v>Furnishings</v>
      </c>
      <c r="X486" s="6" t="s">
        <v>2455</v>
      </c>
      <c r="Y486" s="6" t="s">
        <v>35</v>
      </c>
      <c r="Z486" s="6" t="str">
        <f t="shared" si="41"/>
        <v>First Class</v>
      </c>
      <c r="AA486" s="6">
        <v>6</v>
      </c>
      <c r="AB486" s="6">
        <v>3641.22</v>
      </c>
      <c r="AC486" s="6">
        <v>0.25</v>
      </c>
      <c r="AD486" s="6">
        <v>16385.490000000002</v>
      </c>
      <c r="AE486" s="6">
        <v>13679.24</v>
      </c>
      <c r="AF486" s="6">
        <v>2706.25</v>
      </c>
      <c r="AG486" s="6" t="s">
        <v>52</v>
      </c>
      <c r="AH486" s="6" t="str">
        <f t="shared" si="42"/>
        <v>Paid</v>
      </c>
      <c r="AI486" s="6" t="s">
        <v>134</v>
      </c>
      <c r="AJ486" s="6" t="str">
        <f t="shared" si="43"/>
        <v>Completed</v>
      </c>
      <c r="AK486" s="9" t="str">
        <f>_xlfn.TEXTJOIN("|",FALSE,A486,TEXT(B486,"mm-dd-yyyy"),TEXT(E486,"mm-dd-yyyy"),I486,J486,L486,N486,P486,R486,T486,V486,X486,Y486,AA486,AB486,AC486,AD486,AE486,AF486,AG486,AI486)</f>
        <v>ORD-2024-10485|12-28-2024|12-31-2024|CUST-1801|Mira Das|Small Business|South|Andhra Pradesh|Vijayawada|Furniture|Furnishings|Max Furnishings 297|First Class|6|3641.22|0.25|16385.49|13679.24|2706.25|Paid|Completed</v>
      </c>
      <c r="AL486" s="27" t="str">
        <f>IF(COUNTIF($AK$2:AK486,AK486)&gt;1,"Remove exact duplicate copy","Keep")</f>
        <v>Keep</v>
      </c>
      <c r="AM486" s="9">
        <f t="shared" si="44"/>
        <v>1</v>
      </c>
      <c r="AN486" s="9" t="str">
        <f t="shared" si="45"/>
        <v>Unique</v>
      </c>
      <c r="AO486" s="9" t="str">
        <f t="shared" si="46"/>
        <v/>
      </c>
      <c r="AP486" s="9">
        <f t="shared" si="47"/>
        <v>0.25</v>
      </c>
      <c r="AQ486" s="10">
        <f t="shared" si="48"/>
        <v>16385.489999999998</v>
      </c>
      <c r="AR486" s="10">
        <f t="shared" si="49"/>
        <v>2706.2499999999982</v>
      </c>
      <c r="AS486" s="11">
        <f t="shared" si="50"/>
        <v>0.16516137143289572</v>
      </c>
      <c r="AT486" s="9">
        <f t="shared" si="51"/>
        <v>12</v>
      </c>
      <c r="AU486" s="9">
        <f t="shared" si="52"/>
        <v>2024</v>
      </c>
      <c r="AV486" s="9" t="b">
        <f t="shared" si="53"/>
        <v>0</v>
      </c>
      <c r="AW486" s="9" t="b">
        <f t="shared" si="54"/>
        <v>0</v>
      </c>
      <c r="AX486" s="9" t="str">
        <f t="shared" si="55"/>
        <v>Yes</v>
      </c>
      <c r="AY486" s="9" t="str">
        <f t="shared" si="63"/>
        <v/>
      </c>
      <c r="AZ486" s="9" t="str">
        <f>IF(OR(G486="Missing date",G486="Invalid date",G486="Ship date before order date",NOT(ISNUMBER(AP486)),AP486&lt;0,AP486&gt;0.5,AV486=TRUE,AW486=TRUE),"Invalid",IF(OR(O486="Unknown",Z486="Unknown",AC486="",AH486&lt;&gt;"Paid",AJ486&lt;&gt;"Completed",AO486&lt;&gt;""),"Warning","Clean"))</f>
        <v>Clean</v>
      </c>
    </row>
    <row r="487" spans="1:52" ht="15.75" customHeight="1">
      <c r="A487" s="6" t="s">
        <v>2456</v>
      </c>
      <c r="B487" s="7" t="s">
        <v>1924</v>
      </c>
      <c r="C487" s="7" t="str">
        <f t="shared" si="62"/>
        <v>2025-01</v>
      </c>
      <c r="D487" s="7" cm="1">
        <f t="array" ref="D487">_xlfn.LET(_xlpm.x,B487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45679</v>
      </c>
      <c r="E487" s="7" t="s">
        <v>261</v>
      </c>
      <c r="F487" s="7" cm="1">
        <f t="array" ref="F487">_xlfn.LET(_xlpm.x,E487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45680</v>
      </c>
      <c r="G487" s="8" t="str">
        <f t="shared" si="32"/>
        <v>OK</v>
      </c>
      <c r="H487" s="6">
        <f t="shared" si="33"/>
        <v>1</v>
      </c>
      <c r="I487" s="6" t="s">
        <v>2457</v>
      </c>
      <c r="J487" s="6" t="s">
        <v>226</v>
      </c>
      <c r="K487" s="6" t="str">
        <f t="shared" si="34"/>
        <v>Rahul Verma</v>
      </c>
      <c r="L487" s="6" t="s">
        <v>45</v>
      </c>
      <c r="M487" s="8" t="str">
        <f t="shared" si="35"/>
        <v>Corporate</v>
      </c>
      <c r="N487" s="6" t="s">
        <v>9</v>
      </c>
      <c r="O487" s="6" t="str">
        <f t="shared" si="36"/>
        <v>West</v>
      </c>
      <c r="P487" s="6" t="s">
        <v>323</v>
      </c>
      <c r="Q487" s="6" t="str">
        <f t="shared" si="37"/>
        <v>Goa</v>
      </c>
      <c r="R487" s="6" t="s">
        <v>324</v>
      </c>
      <c r="S487" s="6" t="str">
        <f t="shared" si="38"/>
        <v>Panaji</v>
      </c>
      <c r="T487" s="6" t="s">
        <v>14</v>
      </c>
      <c r="U487" s="8" t="str">
        <f t="shared" si="39"/>
        <v>Furniture</v>
      </c>
      <c r="V487" s="6" t="s">
        <v>15</v>
      </c>
      <c r="W487" s="6" t="str">
        <f t="shared" si="40"/>
        <v>Bookcases</v>
      </c>
      <c r="X487" s="6" t="s">
        <v>2458</v>
      </c>
      <c r="Y487" s="6" t="s">
        <v>34</v>
      </c>
      <c r="Z487" s="6" t="str">
        <f t="shared" si="41"/>
        <v>Standard Class</v>
      </c>
      <c r="AA487" s="6">
        <v>4</v>
      </c>
      <c r="AB487" s="6">
        <v>2555.19</v>
      </c>
      <c r="AC487" s="6">
        <v>0.25</v>
      </c>
      <c r="AD487" s="6">
        <v>7665.57</v>
      </c>
      <c r="AE487" s="6">
        <v>5595.6</v>
      </c>
      <c r="AF487" s="6">
        <v>2069.9699999999998</v>
      </c>
      <c r="AG487" s="6" t="s">
        <v>52</v>
      </c>
      <c r="AH487" s="6" t="str">
        <f t="shared" si="42"/>
        <v>Paid</v>
      </c>
      <c r="AI487" s="6" t="s">
        <v>134</v>
      </c>
      <c r="AJ487" s="6" t="str">
        <f t="shared" si="43"/>
        <v>Completed</v>
      </c>
      <c r="AK487" s="9" t="str">
        <f>_xlfn.TEXTJOIN("|",FALSE,A487,TEXT(B487,"mm-dd-yyyy"),TEXT(E487,"mm-dd-yyyy"),I487,J487,L487,N487,P487,R487,T487,V487,X487,Y487,AA487,AB487,AC487,AD487,AE487,AF487,AG487,AI487)</f>
        <v>ORD-2025-10486|01-22-2025|01-23-2025|CUST-1594|Rahul Verma|Corporate|West|Goa|Panaji|Furniture|Bookcases|Elite Bookcases 802|Standard Class|4|2555.19|0.25|7665.57|5595.6|2069.97|Paid|Completed</v>
      </c>
      <c r="AL487" s="27" t="str">
        <f>IF(COUNTIF($AK$2:AK487,AK487)&gt;1,"Remove exact duplicate copy","Keep")</f>
        <v>Keep</v>
      </c>
      <c r="AM487" s="9">
        <f t="shared" si="44"/>
        <v>1</v>
      </c>
      <c r="AN487" s="9" t="str">
        <f t="shared" si="45"/>
        <v>Unique</v>
      </c>
      <c r="AO487" s="9" t="str">
        <f t="shared" si="46"/>
        <v/>
      </c>
      <c r="AP487" s="9">
        <f t="shared" si="47"/>
        <v>0.25</v>
      </c>
      <c r="AQ487" s="10">
        <f t="shared" si="48"/>
        <v>7665.57</v>
      </c>
      <c r="AR487" s="10">
        <f t="shared" si="49"/>
        <v>2069.9699999999993</v>
      </c>
      <c r="AS487" s="11">
        <f t="shared" si="50"/>
        <v>0.27003471366121495</v>
      </c>
      <c r="AT487" s="9">
        <f t="shared" si="51"/>
        <v>1</v>
      </c>
      <c r="AU487" s="9">
        <f t="shared" si="52"/>
        <v>2025</v>
      </c>
      <c r="AV487" s="9" t="b">
        <f t="shared" si="53"/>
        <v>0</v>
      </c>
      <c r="AW487" s="9" t="b">
        <f t="shared" si="54"/>
        <v>0</v>
      </c>
      <c r="AX487" s="9" t="str">
        <f t="shared" si="55"/>
        <v>Yes</v>
      </c>
      <c r="AY487" s="9" t="str">
        <f t="shared" si="63"/>
        <v/>
      </c>
      <c r="AZ487" s="9" t="str">
        <f>IF(OR(G487="Missing date",G487="Invalid date",G487="Ship date before order date",NOT(ISNUMBER(AP487)),AP487&lt;0,AP487&gt;0.5,AV487=TRUE,AW487=TRUE),"Invalid",IF(OR(O487="Unknown",Z487="Unknown",AC487="",AH487&lt;&gt;"Paid",AJ487&lt;&gt;"Completed",AO487&lt;&gt;""),"Warning","Clean"))</f>
        <v>Clean</v>
      </c>
    </row>
    <row r="488" spans="1:52" ht="15.75" customHeight="1">
      <c r="A488" s="6" t="s">
        <v>2459</v>
      </c>
      <c r="B488" s="7" t="s">
        <v>2460</v>
      </c>
      <c r="C488" s="7" t="str">
        <f t="shared" si="62"/>
        <v>2025-06</v>
      </c>
      <c r="D488" s="7" cm="1">
        <f t="array" ref="D488">_xlfn.LET(_xlpm.x,B488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45830</v>
      </c>
      <c r="E488" s="7" t="s">
        <v>2461</v>
      </c>
      <c r="F488" s="7" cm="1">
        <f t="array" ref="F488">_xlfn.LET(_xlpm.x,E488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45834</v>
      </c>
      <c r="G488" s="8" t="str">
        <f t="shared" si="32"/>
        <v>OK</v>
      </c>
      <c r="H488" s="6">
        <f t="shared" si="33"/>
        <v>4</v>
      </c>
      <c r="I488" s="6" t="s">
        <v>2462</v>
      </c>
      <c r="J488" s="6" t="s">
        <v>226</v>
      </c>
      <c r="K488" s="6" t="str">
        <f t="shared" si="34"/>
        <v>Rahul Verma</v>
      </c>
      <c r="L488" s="6" t="s">
        <v>45</v>
      </c>
      <c r="M488" s="8" t="str">
        <f t="shared" si="35"/>
        <v>Corporate</v>
      </c>
      <c r="N488" s="6" t="s">
        <v>9</v>
      </c>
      <c r="O488" s="6" t="str">
        <f t="shared" si="36"/>
        <v>West</v>
      </c>
      <c r="P488" s="6" t="s">
        <v>323</v>
      </c>
      <c r="Q488" s="6" t="str">
        <f t="shared" si="37"/>
        <v>Goa</v>
      </c>
      <c r="R488" s="6" t="s">
        <v>324</v>
      </c>
      <c r="S488" s="6" t="str">
        <f t="shared" si="38"/>
        <v>Panaji</v>
      </c>
      <c r="T488" s="6" t="s">
        <v>14</v>
      </c>
      <c r="U488" s="8" t="str">
        <f t="shared" si="39"/>
        <v>Furniture</v>
      </c>
      <c r="V488" s="6" t="s">
        <v>18</v>
      </c>
      <c r="W488" s="6" t="str">
        <f t="shared" si="40"/>
        <v>Tables</v>
      </c>
      <c r="X488" s="6" t="s">
        <v>2463</v>
      </c>
      <c r="Y488" s="6" t="s">
        <v>34</v>
      </c>
      <c r="Z488" s="6" t="str">
        <f t="shared" si="41"/>
        <v>Standard Class</v>
      </c>
      <c r="AA488" s="6">
        <v>3</v>
      </c>
      <c r="AB488" s="6">
        <v>1946.18</v>
      </c>
      <c r="AC488" s="6">
        <v>0.2</v>
      </c>
      <c r="AD488" s="6">
        <v>4670.83</v>
      </c>
      <c r="AE488" s="6">
        <v>3166.49</v>
      </c>
      <c r="AF488" s="6">
        <v>1504.34</v>
      </c>
      <c r="AG488" s="6" t="s">
        <v>52</v>
      </c>
      <c r="AH488" s="6" t="str">
        <f t="shared" si="42"/>
        <v>Paid</v>
      </c>
      <c r="AI488" s="6" t="s">
        <v>134</v>
      </c>
      <c r="AJ488" s="6" t="str">
        <f t="shared" si="43"/>
        <v>Completed</v>
      </c>
      <c r="AK488" s="9" t="str">
        <f>_xlfn.TEXTJOIN("|",FALSE,A488,TEXT(B488,"mm-dd-yyyy"),TEXT(E488,"mm-dd-yyyy"),I488,J488,L488,N488,P488,R488,T488,V488,X488,Y488,AA488,AB488,AC488,AD488,AE488,AF488,AG488,AI488)</f>
        <v>ORD-2025-10487|22-06-2025|06-26-2025|CUST-8132|Rahul Verma|Corporate|West|Goa|Panaji|Furniture|Tables|Pro Tables 257|Standard Class|3|1946.18|0.2|4670.83|3166.49|1504.34|Paid|Completed</v>
      </c>
      <c r="AL488" s="27" t="str">
        <f>IF(COUNTIF($AK$2:AK488,AK488)&gt;1,"Remove exact duplicate copy","Keep")</f>
        <v>Keep</v>
      </c>
      <c r="AM488" s="9">
        <f t="shared" si="44"/>
        <v>1</v>
      </c>
      <c r="AN488" s="9" t="str">
        <f t="shared" si="45"/>
        <v>Unique</v>
      </c>
      <c r="AO488" s="9" t="str">
        <f t="shared" si="46"/>
        <v/>
      </c>
      <c r="AP488" s="9">
        <f t="shared" si="47"/>
        <v>0.2</v>
      </c>
      <c r="AQ488" s="10">
        <f t="shared" si="48"/>
        <v>4670.8320000000003</v>
      </c>
      <c r="AR488" s="10">
        <f t="shared" si="49"/>
        <v>1504.3420000000006</v>
      </c>
      <c r="AS488" s="11">
        <f t="shared" si="50"/>
        <v>0.3220715281560117</v>
      </c>
      <c r="AT488" s="9">
        <f t="shared" si="51"/>
        <v>6</v>
      </c>
      <c r="AU488" s="9">
        <f t="shared" si="52"/>
        <v>2025</v>
      </c>
      <c r="AV488" s="9" t="b">
        <f t="shared" si="53"/>
        <v>0</v>
      </c>
      <c r="AW488" s="9" t="b">
        <f t="shared" si="54"/>
        <v>0</v>
      </c>
      <c r="AX488" s="9" t="str">
        <f t="shared" si="55"/>
        <v>Yes</v>
      </c>
      <c r="AY488" s="9" t="str">
        <f t="shared" si="63"/>
        <v/>
      </c>
      <c r="AZ488" s="9" t="str">
        <f>IF(OR(G488="Missing date",G488="Invalid date",G488="Ship date before order date",NOT(ISNUMBER(AP488)),AP488&lt;0,AP488&gt;0.5,AV488=TRUE,AW488=TRUE),"Invalid",IF(OR(O488="Unknown",Z488="Unknown",AC488="",AH488&lt;&gt;"Paid",AJ488&lt;&gt;"Completed",AO488&lt;&gt;""),"Warning","Clean"))</f>
        <v>Clean</v>
      </c>
    </row>
    <row r="489" spans="1:52" ht="15.75" customHeight="1">
      <c r="A489" s="6" t="s">
        <v>2464</v>
      </c>
      <c r="B489" s="7" t="s">
        <v>2055</v>
      </c>
      <c r="C489" s="7" t="str">
        <f t="shared" si="62"/>
        <v>2025-06</v>
      </c>
      <c r="D489" s="7" cm="1">
        <f t="array" ref="D489">_xlfn.LET(_xlpm.x,B489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45818</v>
      </c>
      <c r="E489" s="7" t="s">
        <v>2465</v>
      </c>
      <c r="F489" s="7" cm="1">
        <f t="array" ref="F489">_xlfn.LET(_xlpm.x,E489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45825</v>
      </c>
      <c r="G489" s="8" t="str">
        <f t="shared" si="32"/>
        <v>OK</v>
      </c>
      <c r="H489" s="6">
        <f t="shared" si="33"/>
        <v>7</v>
      </c>
      <c r="I489" s="6" t="s">
        <v>2466</v>
      </c>
      <c r="J489" s="6" t="s">
        <v>226</v>
      </c>
      <c r="K489" s="6" t="str">
        <f t="shared" si="34"/>
        <v>Rahul Verma</v>
      </c>
      <c r="L489" s="6" t="s">
        <v>45</v>
      </c>
      <c r="M489" s="8" t="str">
        <f t="shared" si="35"/>
        <v>Corporate</v>
      </c>
      <c r="N489" s="6" t="s">
        <v>10</v>
      </c>
      <c r="O489" s="6" t="str">
        <f t="shared" si="36"/>
        <v>South</v>
      </c>
      <c r="P489" s="6" t="s">
        <v>154</v>
      </c>
      <c r="Q489" s="6" t="str">
        <f t="shared" si="37"/>
        <v>Telangana</v>
      </c>
      <c r="R489" s="6" t="s">
        <v>155</v>
      </c>
      <c r="S489" s="6" t="str">
        <f t="shared" si="38"/>
        <v>Hyderabad</v>
      </c>
      <c r="T489" s="6" t="s">
        <v>14</v>
      </c>
      <c r="U489" s="8" t="str">
        <f t="shared" si="39"/>
        <v>Furniture</v>
      </c>
      <c r="V489" s="6" t="s">
        <v>17</v>
      </c>
      <c r="W489" s="6" t="str">
        <f t="shared" si="40"/>
        <v>Furnishings</v>
      </c>
      <c r="X489" s="6" t="s">
        <v>2467</v>
      </c>
      <c r="Y489" s="6" t="s">
        <v>34</v>
      </c>
      <c r="Z489" s="6" t="str">
        <f t="shared" si="41"/>
        <v>Standard Class</v>
      </c>
      <c r="AA489" s="6">
        <v>5</v>
      </c>
      <c r="AB489" s="6">
        <v>1231.0999999999999</v>
      </c>
      <c r="AC489" s="6">
        <v>0</v>
      </c>
      <c r="AD489" s="6">
        <v>6155.5</v>
      </c>
      <c r="AE489" s="6">
        <v>4282.09</v>
      </c>
      <c r="AF489" s="6">
        <v>1873.41</v>
      </c>
      <c r="AG489" s="6" t="s">
        <v>56</v>
      </c>
      <c r="AH489" s="6" t="str">
        <f t="shared" si="42"/>
        <v>Refunded</v>
      </c>
      <c r="AI489" s="6" t="s">
        <v>59</v>
      </c>
      <c r="AJ489" s="6" t="str">
        <f t="shared" si="43"/>
        <v>Returned</v>
      </c>
      <c r="AK489" s="9" t="str">
        <f>_xlfn.TEXTJOIN("|",FALSE,A489,TEXT(B489,"mm-dd-yyyy"),TEXT(E489,"mm-dd-yyyy"),I489,J489,L489,N489,P489,R489,T489,V489,X489,Y489,AA489,AB489,AC489,AD489,AE489,AF489,AG489,AI489)</f>
        <v>ORD-2025-10488|06-10-2025|06-17-2025|CUST-7685|Rahul Verma|Corporate|South|Telangana|Hyderabad|Furniture|Furnishings|Prime Furnishings 299|Standard Class|5|1231.1|0|6155.5|4282.09|1873.41|Refunded|Returned</v>
      </c>
      <c r="AL489" s="27" t="str">
        <f>IF(COUNTIF($AK$2:AK489,AK489)&gt;1,"Remove exact duplicate copy","Keep")</f>
        <v>Keep</v>
      </c>
      <c r="AM489" s="9">
        <f t="shared" si="44"/>
        <v>1</v>
      </c>
      <c r="AN489" s="9" t="str">
        <f t="shared" si="45"/>
        <v>Unique</v>
      </c>
      <c r="AO489" s="9" t="str">
        <f t="shared" si="46"/>
        <v/>
      </c>
      <c r="AP489" s="9">
        <f t="shared" si="47"/>
        <v>0</v>
      </c>
      <c r="AQ489" s="10">
        <f t="shared" si="48"/>
        <v>6155.5</v>
      </c>
      <c r="AR489" s="10">
        <f t="shared" si="49"/>
        <v>1873.4099999999999</v>
      </c>
      <c r="AS489" s="11">
        <f t="shared" si="50"/>
        <v>0.3043473316546178</v>
      </c>
      <c r="AT489" s="9">
        <f t="shared" si="51"/>
        <v>6</v>
      </c>
      <c r="AU489" s="9">
        <f t="shared" si="52"/>
        <v>2025</v>
      </c>
      <c r="AV489" s="9" t="b">
        <f t="shared" si="53"/>
        <v>0</v>
      </c>
      <c r="AW489" s="9" t="b">
        <f t="shared" si="54"/>
        <v>0</v>
      </c>
      <c r="AX489" s="9" t="str">
        <f t="shared" si="55"/>
        <v>No</v>
      </c>
      <c r="AY489" s="9" t="str">
        <f t="shared" si="63"/>
        <v>Refunded order summarized separately; Returned order excluded</v>
      </c>
      <c r="AZ489" s="9" t="str">
        <f>IF(OR(G489="Missing date",G489="Invalid date",G489="Ship date before order date",NOT(ISNUMBER(AP489)),AP489&lt;0,AP489&gt;0.5,AV489=TRUE,AW489=TRUE),"Invalid",IF(OR(O489="Unknown",Z489="Unknown",AC489="",AH489&lt;&gt;"Paid",AJ489&lt;&gt;"Completed",AO489&lt;&gt;""),"Warning","Clean"))</f>
        <v>Warning</v>
      </c>
    </row>
    <row r="490" spans="1:52" ht="15.75" customHeight="1">
      <c r="A490" s="6" t="s">
        <v>2468</v>
      </c>
      <c r="B490" s="7" t="s">
        <v>2469</v>
      </c>
      <c r="C490" s="7" t="str">
        <f t="shared" si="62"/>
        <v>2024-10</v>
      </c>
      <c r="D490" s="7" cm="1">
        <f t="array" ref="D490">_xlfn.LET(_xlpm.x,B490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45579</v>
      </c>
      <c r="E490" s="7" t="s">
        <v>2470</v>
      </c>
      <c r="F490" s="7" cm="1">
        <f t="array" ref="F490">_xlfn.LET(_xlpm.x,E490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45585</v>
      </c>
      <c r="G490" s="8" t="str">
        <f t="shared" si="32"/>
        <v>OK</v>
      </c>
      <c r="H490" s="6">
        <f t="shared" si="33"/>
        <v>6</v>
      </c>
      <c r="I490" s="6" t="s">
        <v>2471</v>
      </c>
      <c r="J490" s="6" t="s">
        <v>190</v>
      </c>
      <c r="K490" s="6" t="str">
        <f t="shared" si="34"/>
        <v>Aditi Sen</v>
      </c>
      <c r="L490" s="6" t="s">
        <v>46</v>
      </c>
      <c r="M490" s="8" t="str">
        <f t="shared" si="35"/>
        <v>Small Business</v>
      </c>
      <c r="N490" s="6" t="s">
        <v>2472</v>
      </c>
      <c r="O490" s="6" t="str">
        <f t="shared" si="36"/>
        <v>North</v>
      </c>
      <c r="P490" s="6" t="s">
        <v>131</v>
      </c>
      <c r="Q490" s="6" t="str">
        <f t="shared" si="37"/>
        <v>Rajasthan</v>
      </c>
      <c r="R490" s="6" t="s">
        <v>132</v>
      </c>
      <c r="S490" s="6" t="str">
        <f t="shared" si="38"/>
        <v>Jaipur</v>
      </c>
      <c r="T490" s="6" t="s">
        <v>14</v>
      </c>
      <c r="U490" s="8" t="str">
        <f t="shared" si="39"/>
        <v>Furniture</v>
      </c>
      <c r="V490" s="6" t="s">
        <v>18</v>
      </c>
      <c r="W490" s="6" t="str">
        <f t="shared" si="40"/>
        <v>Tables</v>
      </c>
      <c r="X490" s="6" t="s">
        <v>2473</v>
      </c>
      <c r="Y490" s="6" t="s">
        <v>37</v>
      </c>
      <c r="Z490" s="6" t="str">
        <f t="shared" si="41"/>
        <v>Same Day</v>
      </c>
      <c r="AA490" s="6">
        <v>7</v>
      </c>
      <c r="AB490" s="6">
        <v>1547.6</v>
      </c>
      <c r="AC490" s="6">
        <v>0.2</v>
      </c>
      <c r="AD490" s="6">
        <v>8666.56</v>
      </c>
      <c r="AE490" s="6">
        <v>5967.44</v>
      </c>
      <c r="AF490" s="6">
        <v>2699.12</v>
      </c>
      <c r="AG490" s="6" t="s">
        <v>52</v>
      </c>
      <c r="AH490" s="6" t="str">
        <f t="shared" si="42"/>
        <v>Paid</v>
      </c>
      <c r="AI490" s="6" t="s">
        <v>134</v>
      </c>
      <c r="AJ490" s="6" t="str">
        <f t="shared" si="43"/>
        <v>Completed</v>
      </c>
      <c r="AK490" s="9" t="str">
        <f>_xlfn.TEXTJOIN("|",FALSE,A490,TEXT(B490,"mm-dd-yyyy"),TEXT(E490,"mm-dd-yyyy"),I490,J490,L490,N490,P490,R490,T490,V490,X490,Y490,AA490,AB490,AC490,AD490,AE490,AF490,AG490,AI490)</f>
        <v>ORD-2024-10489|10-14-2024|10-20-2024|CUST-2183|Aditi Sen|Small Business|North |Rajasthan|Jaipur|Furniture|Tables|Eco Tables 487|Same Day|7|1547.6|0.2|8666.56|5967.44|2699.12|Paid|Completed</v>
      </c>
      <c r="AL490" s="27" t="str">
        <f>IF(COUNTIF($AK$2:AK490,AK490)&gt;1,"Remove exact duplicate copy","Keep")</f>
        <v>Keep</v>
      </c>
      <c r="AM490" s="9">
        <f t="shared" si="44"/>
        <v>1</v>
      </c>
      <c r="AN490" s="9" t="str">
        <f t="shared" si="45"/>
        <v>Unique</v>
      </c>
      <c r="AO490" s="9" t="str">
        <f t="shared" si="46"/>
        <v/>
      </c>
      <c r="AP490" s="9">
        <f t="shared" si="47"/>
        <v>0.2</v>
      </c>
      <c r="AQ490" s="10">
        <f t="shared" si="48"/>
        <v>8666.56</v>
      </c>
      <c r="AR490" s="10">
        <f t="shared" si="49"/>
        <v>2699.12</v>
      </c>
      <c r="AS490" s="11">
        <f t="shared" si="50"/>
        <v>0.31144075619392242</v>
      </c>
      <c r="AT490" s="9">
        <f t="shared" si="51"/>
        <v>10</v>
      </c>
      <c r="AU490" s="9">
        <f t="shared" si="52"/>
        <v>2024</v>
      </c>
      <c r="AV490" s="9" t="b">
        <f t="shared" si="53"/>
        <v>0</v>
      </c>
      <c r="AW490" s="9" t="b">
        <f t="shared" si="54"/>
        <v>0</v>
      </c>
      <c r="AX490" s="9" t="str">
        <f t="shared" si="55"/>
        <v>Yes</v>
      </c>
      <c r="AY490" s="9" t="str">
        <f t="shared" si="63"/>
        <v/>
      </c>
      <c r="AZ490" s="9" t="str">
        <f>IF(OR(G490="Missing date",G490="Invalid date",G490="Ship date before order date",NOT(ISNUMBER(AP490)),AP490&lt;0,AP490&gt;0.5,AV490=TRUE,AW490=TRUE),"Invalid",IF(OR(O490="Unknown",Z490="Unknown",AC490="",AH490&lt;&gt;"Paid",AJ490&lt;&gt;"Completed",AO490&lt;&gt;""),"Warning","Clean"))</f>
        <v>Clean</v>
      </c>
    </row>
    <row r="491" spans="1:52" ht="15.75" customHeight="1">
      <c r="A491" s="6" t="s">
        <v>2474</v>
      </c>
      <c r="B491" s="7" t="s">
        <v>465</v>
      </c>
      <c r="C491" s="7" t="str">
        <f t="shared" si="62"/>
        <v>2024-02</v>
      </c>
      <c r="D491" s="7" cm="1">
        <f t="array" ref="D491">_xlfn.LET(_xlpm.x,B491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45329</v>
      </c>
      <c r="E491" s="7" t="s">
        <v>2475</v>
      </c>
      <c r="F491" s="7" cm="1">
        <f t="array" ref="F491">_xlfn.LET(_xlpm.x,E491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45334</v>
      </c>
      <c r="G491" s="8" t="str">
        <f t="shared" si="32"/>
        <v>OK</v>
      </c>
      <c r="H491" s="6">
        <f t="shared" si="33"/>
        <v>5</v>
      </c>
      <c r="I491" s="6" t="s">
        <v>2476</v>
      </c>
      <c r="J491" s="6" t="s">
        <v>153</v>
      </c>
      <c r="K491" s="6" t="str">
        <f t="shared" si="34"/>
        <v>Arjun Bose</v>
      </c>
      <c r="L491" s="6" t="s">
        <v>44</v>
      </c>
      <c r="M491" s="8" t="str">
        <f t="shared" si="35"/>
        <v>Home Office</v>
      </c>
      <c r="N491" s="6" t="s">
        <v>8</v>
      </c>
      <c r="O491" s="6" t="str">
        <f t="shared" si="36"/>
        <v>East</v>
      </c>
      <c r="P491" s="6" t="s">
        <v>201</v>
      </c>
      <c r="Q491" s="6" t="str">
        <f t="shared" si="37"/>
        <v>West Bengal</v>
      </c>
      <c r="R491" s="6" t="s">
        <v>202</v>
      </c>
      <c r="S491" s="6" t="str">
        <f t="shared" si="38"/>
        <v>Kolkata</v>
      </c>
      <c r="T491" s="6" t="s">
        <v>27</v>
      </c>
      <c r="U491" s="8" t="str">
        <f t="shared" si="39"/>
        <v>Technology</v>
      </c>
      <c r="V491" s="6" t="s">
        <v>28</v>
      </c>
      <c r="W491" s="6" t="str">
        <f t="shared" si="40"/>
        <v>Accessories</v>
      </c>
      <c r="X491" s="6" t="s">
        <v>2477</v>
      </c>
      <c r="Y491" s="6" t="s">
        <v>36</v>
      </c>
      <c r="Z491" s="6" t="str">
        <f t="shared" si="41"/>
        <v>Second Class</v>
      </c>
      <c r="AA491" s="6">
        <v>1</v>
      </c>
      <c r="AB491" s="6">
        <v>452.19</v>
      </c>
      <c r="AC491" s="6">
        <v>0.2</v>
      </c>
      <c r="AD491" s="6">
        <v>361.75</v>
      </c>
      <c r="AE491" s="6">
        <v>262.52999999999997</v>
      </c>
      <c r="AF491" s="6">
        <v>99.22</v>
      </c>
      <c r="AG491" s="6" t="s">
        <v>52</v>
      </c>
      <c r="AH491" s="6" t="str">
        <f t="shared" si="42"/>
        <v>Paid</v>
      </c>
      <c r="AI491" s="6" t="s">
        <v>134</v>
      </c>
      <c r="AJ491" s="6" t="str">
        <f t="shared" si="43"/>
        <v>Completed</v>
      </c>
      <c r="AK491" s="9" t="str">
        <f>_xlfn.TEXTJOIN("|",FALSE,A491,TEXT(B491,"mm-dd-yyyy"),TEXT(E491,"mm-dd-yyyy"),I491,J491,L491,N491,P491,R491,T491,V491,X491,Y491,AA491,AB491,AC491,AD491,AE491,AF491,AG491,AI491)</f>
        <v>ORD-2024-10490|02-07-2024|02-12-2024|CUST-1636|Arjun Bose|Home Office|East|West Bengal|Kolkata|Technology|Accessories|Prime Accessories 960|Second Class|1|452.19|0.2|361.75|262.53|99.22|Paid|Completed</v>
      </c>
      <c r="AL491" s="27" t="str">
        <f>IF(COUNTIF($AK$2:AK491,AK491)&gt;1,"Remove exact duplicate copy","Keep")</f>
        <v>Keep</v>
      </c>
      <c r="AM491" s="9">
        <f t="shared" si="44"/>
        <v>1</v>
      </c>
      <c r="AN491" s="9" t="str">
        <f t="shared" si="45"/>
        <v>Unique</v>
      </c>
      <c r="AO491" s="9" t="str">
        <f t="shared" si="46"/>
        <v/>
      </c>
      <c r="AP491" s="9">
        <f t="shared" si="47"/>
        <v>0.2</v>
      </c>
      <c r="AQ491" s="10">
        <f t="shared" si="48"/>
        <v>361.75200000000001</v>
      </c>
      <c r="AR491" s="10">
        <f t="shared" si="49"/>
        <v>99.222000000000037</v>
      </c>
      <c r="AS491" s="11">
        <f t="shared" si="50"/>
        <v>0.27428182843495003</v>
      </c>
      <c r="AT491" s="9">
        <f t="shared" si="51"/>
        <v>2</v>
      </c>
      <c r="AU491" s="9">
        <f t="shared" si="52"/>
        <v>2024</v>
      </c>
      <c r="AV491" s="9" t="b">
        <f t="shared" si="53"/>
        <v>0</v>
      </c>
      <c r="AW491" s="9" t="b">
        <f t="shared" si="54"/>
        <v>0</v>
      </c>
      <c r="AX491" s="9" t="str">
        <f t="shared" si="55"/>
        <v>Yes</v>
      </c>
      <c r="AY491" s="9" t="str">
        <f t="shared" si="63"/>
        <v/>
      </c>
      <c r="AZ491" s="9" t="str">
        <f>IF(OR(G491="Missing date",G491="Invalid date",G491="Ship date before order date",NOT(ISNUMBER(AP491)),AP491&lt;0,AP491&gt;0.5,AV491=TRUE,AW491=TRUE),"Invalid",IF(OR(O491="Unknown",Z491="Unknown",AC491="",AH491&lt;&gt;"Paid",AJ491&lt;&gt;"Completed",AO491&lt;&gt;""),"Warning","Clean"))</f>
        <v>Clean</v>
      </c>
    </row>
    <row r="492" spans="1:52" ht="15.75" customHeight="1">
      <c r="A492" s="6" t="s">
        <v>2478</v>
      </c>
      <c r="B492" s="7" t="s">
        <v>2479</v>
      </c>
      <c r="C492" s="7" t="str">
        <f t="shared" si="62"/>
        <v>2024-09</v>
      </c>
      <c r="D492" s="7" cm="1">
        <f t="array" ref="D492">_xlfn.LET(_xlpm.x,B492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45551</v>
      </c>
      <c r="E492" s="7" t="s">
        <v>1976</v>
      </c>
      <c r="F492" s="7" cm="1">
        <f t="array" ref="F492">_xlfn.LET(_xlpm.x,E492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45554</v>
      </c>
      <c r="G492" s="8" t="str">
        <f t="shared" si="32"/>
        <v>OK</v>
      </c>
      <c r="H492" s="6">
        <f t="shared" si="33"/>
        <v>3</v>
      </c>
      <c r="I492" s="6" t="s">
        <v>2480</v>
      </c>
      <c r="J492" s="6" t="s">
        <v>190</v>
      </c>
      <c r="K492" s="6" t="str">
        <f t="shared" si="34"/>
        <v>Aditi Sen</v>
      </c>
      <c r="L492" s="6" t="s">
        <v>43</v>
      </c>
      <c r="M492" s="8" t="str">
        <f t="shared" si="35"/>
        <v>Consumer</v>
      </c>
      <c r="N492" s="6" t="s">
        <v>9</v>
      </c>
      <c r="O492" s="6" t="str">
        <f t="shared" si="36"/>
        <v>West</v>
      </c>
      <c r="P492" s="6" t="s">
        <v>131</v>
      </c>
      <c r="Q492" s="6" t="str">
        <f t="shared" si="37"/>
        <v>Rajasthan</v>
      </c>
      <c r="R492" s="6" t="s">
        <v>214</v>
      </c>
      <c r="S492" s="6" t="str">
        <f t="shared" si="38"/>
        <v>Udaipur</v>
      </c>
      <c r="T492" s="6" t="s">
        <v>20</v>
      </c>
      <c r="U492" s="8" t="str">
        <f t="shared" si="39"/>
        <v>Office Supplies</v>
      </c>
      <c r="V492" s="6" t="s">
        <v>22</v>
      </c>
      <c r="W492" s="6" t="str">
        <f t="shared" si="40"/>
        <v>Binders</v>
      </c>
      <c r="X492" s="6" t="s">
        <v>2481</v>
      </c>
      <c r="Y492" s="6" t="s">
        <v>35</v>
      </c>
      <c r="Z492" s="6" t="str">
        <f t="shared" si="41"/>
        <v>First Class</v>
      </c>
      <c r="AA492" s="6">
        <v>7</v>
      </c>
      <c r="AB492" s="6">
        <v>406.42</v>
      </c>
      <c r="AC492" s="6">
        <v>0.15</v>
      </c>
      <c r="AD492" s="6">
        <v>2418.1999999999998</v>
      </c>
      <c r="AE492" s="6">
        <v>1613.82</v>
      </c>
      <c r="AF492" s="6">
        <v>804.38</v>
      </c>
      <c r="AG492" s="6" t="s">
        <v>52</v>
      </c>
      <c r="AH492" s="6" t="str">
        <f t="shared" si="42"/>
        <v>Paid</v>
      </c>
      <c r="AI492" s="6" t="s">
        <v>134</v>
      </c>
      <c r="AJ492" s="6" t="str">
        <f t="shared" si="43"/>
        <v>Completed</v>
      </c>
      <c r="AK492" s="9" t="str">
        <f>_xlfn.TEXTJOIN("|",FALSE,A492,TEXT(B492,"mm-dd-yyyy"),TEXT(E492,"mm-dd-yyyy"),I492,J492,L492,N492,P492,R492,T492,V492,X492,Y492,AA492,AB492,AC492,AD492,AE492,AF492,AG492,AI492)</f>
        <v>ORD-2024-10491|09-16-2024|09-19-2024|CUST-1350|Aditi Sen|Consumer|West|Rajasthan|Udaipur|Office Supplies|Binders|Smart Binders 191|First Class|7|406.42|0.15|2418.2|1613.82|804.38|Paid|Completed</v>
      </c>
      <c r="AL492" s="27" t="str">
        <f>IF(COUNTIF($AK$2:AK492,AK492)&gt;1,"Remove exact duplicate copy","Keep")</f>
        <v>Keep</v>
      </c>
      <c r="AM492" s="9">
        <f t="shared" si="44"/>
        <v>1</v>
      </c>
      <c r="AN492" s="9" t="str">
        <f t="shared" si="45"/>
        <v>Unique</v>
      </c>
      <c r="AO492" s="9" t="str">
        <f t="shared" si="46"/>
        <v/>
      </c>
      <c r="AP492" s="9">
        <f t="shared" si="47"/>
        <v>0.15</v>
      </c>
      <c r="AQ492" s="10">
        <f t="shared" si="48"/>
        <v>2418.1990000000001</v>
      </c>
      <c r="AR492" s="10">
        <f t="shared" si="49"/>
        <v>804.37900000000013</v>
      </c>
      <c r="AS492" s="11">
        <f t="shared" si="50"/>
        <v>0.33263556886757462</v>
      </c>
      <c r="AT492" s="9">
        <f t="shared" si="51"/>
        <v>9</v>
      </c>
      <c r="AU492" s="9">
        <f t="shared" si="52"/>
        <v>2024</v>
      </c>
      <c r="AV492" s="9" t="b">
        <f t="shared" si="53"/>
        <v>0</v>
      </c>
      <c r="AW492" s="9" t="b">
        <f t="shared" si="54"/>
        <v>0</v>
      </c>
      <c r="AX492" s="9" t="str">
        <f t="shared" si="55"/>
        <v>Yes</v>
      </c>
      <c r="AY492" s="9" t="str">
        <f t="shared" si="63"/>
        <v/>
      </c>
      <c r="AZ492" s="9" t="str">
        <f>IF(OR(G492="Missing date",G492="Invalid date",G492="Ship date before order date",NOT(ISNUMBER(AP492)),AP492&lt;0,AP492&gt;0.5,AV492=TRUE,AW492=TRUE),"Invalid",IF(OR(O492="Unknown",Z492="Unknown",AC492="",AH492&lt;&gt;"Paid",AJ492&lt;&gt;"Completed",AO492&lt;&gt;""),"Warning","Clean"))</f>
        <v>Clean</v>
      </c>
    </row>
    <row r="493" spans="1:52" ht="15.75" customHeight="1">
      <c r="A493" s="6" t="s">
        <v>2482</v>
      </c>
      <c r="B493" s="7" t="s">
        <v>2066</v>
      </c>
      <c r="C493" s="7" t="str">
        <f t="shared" si="62"/>
        <v>2025-04</v>
      </c>
      <c r="D493" s="7" cm="1">
        <f t="array" ref="D493">_xlfn.LET(_xlpm.x,B493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45776</v>
      </c>
      <c r="E493" s="7" t="s">
        <v>2483</v>
      </c>
      <c r="F493" s="7" cm="1">
        <f t="array" ref="F493">_xlfn.LET(_xlpm.x,E493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45777</v>
      </c>
      <c r="G493" s="8" t="str">
        <f t="shared" si="32"/>
        <v>OK</v>
      </c>
      <c r="H493" s="6">
        <f t="shared" si="33"/>
        <v>1</v>
      </c>
      <c r="I493" s="6" t="s">
        <v>2484</v>
      </c>
      <c r="J493" s="6" t="s">
        <v>139</v>
      </c>
      <c r="K493" s="6" t="str">
        <f t="shared" si="34"/>
        <v>Mira Das</v>
      </c>
      <c r="L493" s="6" t="s">
        <v>45</v>
      </c>
      <c r="M493" s="8" t="str">
        <f t="shared" si="35"/>
        <v>Corporate</v>
      </c>
      <c r="N493" s="6" t="s">
        <v>10</v>
      </c>
      <c r="O493" s="6" t="str">
        <f t="shared" si="36"/>
        <v>South</v>
      </c>
      <c r="P493" s="6" t="s">
        <v>316</v>
      </c>
      <c r="Q493" s="6" t="str">
        <f t="shared" si="37"/>
        <v>Kerala</v>
      </c>
      <c r="R493" s="6" t="s">
        <v>317</v>
      </c>
      <c r="S493" s="6" t="str">
        <f t="shared" si="38"/>
        <v>Kochi</v>
      </c>
      <c r="T493" s="6" t="s">
        <v>27</v>
      </c>
      <c r="U493" s="8" t="str">
        <f t="shared" si="39"/>
        <v>Technology</v>
      </c>
      <c r="V493" s="6" t="s">
        <v>28</v>
      </c>
      <c r="W493" s="6" t="str">
        <f t="shared" si="40"/>
        <v>Accessories</v>
      </c>
      <c r="X493" s="6" t="s">
        <v>2485</v>
      </c>
      <c r="Y493" s="6" t="s">
        <v>34</v>
      </c>
      <c r="Z493" s="6" t="str">
        <f t="shared" si="41"/>
        <v>Standard Class</v>
      </c>
      <c r="AA493" s="6">
        <v>4</v>
      </c>
      <c r="AB493" s="6">
        <v>606.58000000000004</v>
      </c>
      <c r="AC493" s="6">
        <v>0.2</v>
      </c>
      <c r="AD493" s="6">
        <v>1941.06</v>
      </c>
      <c r="AE493" s="6">
        <v>1207.42</v>
      </c>
      <c r="AF493" s="6">
        <v>733.64</v>
      </c>
      <c r="AG493" s="6" t="s">
        <v>52</v>
      </c>
      <c r="AH493" s="6" t="str">
        <f t="shared" si="42"/>
        <v>Paid</v>
      </c>
      <c r="AI493" s="6" t="s">
        <v>134</v>
      </c>
      <c r="AJ493" s="6" t="str">
        <f t="shared" si="43"/>
        <v>Completed</v>
      </c>
      <c r="AK493" s="9" t="str">
        <f>_xlfn.TEXTJOIN("|",FALSE,A493,TEXT(B493,"mm-dd-yyyy"),TEXT(E493,"mm-dd-yyyy"),I493,J493,L493,N493,P493,R493,T493,V493,X493,Y493,AA493,AB493,AC493,AD493,AE493,AF493,AG493,AI493)</f>
        <v>ORD-2025-10492|04-29-2025|30-04-2025|CUST-4101|Mira Das|Corporate|South|Kerala|Kochi|Technology|Accessories|Prime Accessories 118|Standard Class|4|606.58|0.2|1941.06|1207.42|733.64|Paid|Completed</v>
      </c>
      <c r="AL493" s="27" t="str">
        <f>IF(COUNTIF($AK$2:AK493,AK493)&gt;1,"Remove exact duplicate copy","Keep")</f>
        <v>Keep</v>
      </c>
      <c r="AM493" s="9">
        <f t="shared" si="44"/>
        <v>1</v>
      </c>
      <c r="AN493" s="9" t="str">
        <f t="shared" si="45"/>
        <v>Unique</v>
      </c>
      <c r="AO493" s="9" t="str">
        <f t="shared" si="46"/>
        <v/>
      </c>
      <c r="AP493" s="9">
        <f t="shared" si="47"/>
        <v>0.2</v>
      </c>
      <c r="AQ493" s="10">
        <f t="shared" si="48"/>
        <v>1941.0560000000003</v>
      </c>
      <c r="AR493" s="10">
        <f t="shared" si="49"/>
        <v>733.63600000000019</v>
      </c>
      <c r="AS493" s="11">
        <f t="shared" si="50"/>
        <v>0.37795715321969076</v>
      </c>
      <c r="AT493" s="9">
        <f t="shared" si="51"/>
        <v>4</v>
      </c>
      <c r="AU493" s="9">
        <f t="shared" si="52"/>
        <v>2025</v>
      </c>
      <c r="AV493" s="9" t="b">
        <f t="shared" si="53"/>
        <v>0</v>
      </c>
      <c r="AW493" s="9" t="b">
        <f t="shared" si="54"/>
        <v>0</v>
      </c>
      <c r="AX493" s="9" t="str">
        <f t="shared" si="55"/>
        <v>Yes</v>
      </c>
      <c r="AY493" s="9" t="str">
        <f t="shared" si="63"/>
        <v/>
      </c>
      <c r="AZ493" s="9" t="str">
        <f>IF(OR(G493="Missing date",G493="Invalid date",G493="Ship date before order date",NOT(ISNUMBER(AP493)),AP493&lt;0,AP493&gt;0.5,AV493=TRUE,AW493=TRUE),"Invalid",IF(OR(O493="Unknown",Z493="Unknown",AC493="",AH493&lt;&gt;"Paid",AJ493&lt;&gt;"Completed",AO493&lt;&gt;""),"Warning","Clean"))</f>
        <v>Clean</v>
      </c>
    </row>
    <row r="494" spans="1:52" ht="15.75" customHeight="1">
      <c r="A494" s="6" t="s">
        <v>2486</v>
      </c>
      <c r="B494" s="7" t="s">
        <v>2487</v>
      </c>
      <c r="C494" s="7" t="str">
        <f t="shared" si="62"/>
        <v>2025-06</v>
      </c>
      <c r="D494" s="7" cm="1">
        <f t="array" ref="D494">_xlfn.LET(_xlpm.x,B494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45836</v>
      </c>
      <c r="E494" s="7" t="s">
        <v>2488</v>
      </c>
      <c r="F494" s="7" cm="1">
        <f t="array" ref="F494">_xlfn.LET(_xlpm.x,E494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45840</v>
      </c>
      <c r="G494" s="8" t="str">
        <f t="shared" si="32"/>
        <v>OK</v>
      </c>
      <c r="H494" s="6">
        <f t="shared" si="33"/>
        <v>4</v>
      </c>
      <c r="I494" s="6" t="s">
        <v>2489</v>
      </c>
      <c r="J494" s="6" t="s">
        <v>161</v>
      </c>
      <c r="K494" s="6" t="str">
        <f t="shared" si="34"/>
        <v>Ananya Rao</v>
      </c>
      <c r="L494" s="6" t="s">
        <v>45</v>
      </c>
      <c r="M494" s="8" t="str">
        <f t="shared" si="35"/>
        <v>Corporate</v>
      </c>
      <c r="N494" s="6" t="s">
        <v>10</v>
      </c>
      <c r="O494" s="6" t="str">
        <f t="shared" si="36"/>
        <v>South</v>
      </c>
      <c r="P494" s="6" t="s">
        <v>183</v>
      </c>
      <c r="Q494" s="6" t="str">
        <f t="shared" si="37"/>
        <v>Andhra Pradesh</v>
      </c>
      <c r="R494" s="6" t="s">
        <v>184</v>
      </c>
      <c r="S494" s="6" t="str">
        <f t="shared" si="38"/>
        <v>Vijayawada</v>
      </c>
      <c r="T494" s="6" t="s">
        <v>20</v>
      </c>
      <c r="U494" s="8" t="str">
        <f t="shared" si="39"/>
        <v>Office Supplies</v>
      </c>
      <c r="V494" s="6" t="s">
        <v>25</v>
      </c>
      <c r="W494" s="6" t="str">
        <f t="shared" si="40"/>
        <v>Storage</v>
      </c>
      <c r="X494" s="6" t="s">
        <v>2490</v>
      </c>
      <c r="Y494" s="6" t="s">
        <v>36</v>
      </c>
      <c r="Z494" s="6" t="str">
        <f t="shared" si="41"/>
        <v>Second Class</v>
      </c>
      <c r="AA494" s="6">
        <v>2</v>
      </c>
      <c r="AB494" s="6">
        <v>2725.44</v>
      </c>
      <c r="AC494" s="6">
        <v>0.25</v>
      </c>
      <c r="AD494" s="6">
        <v>4088.16</v>
      </c>
      <c r="AE494" s="6">
        <v>3205.68</v>
      </c>
      <c r="AF494" s="6">
        <v>882.48</v>
      </c>
      <c r="AG494" s="6" t="s">
        <v>52</v>
      </c>
      <c r="AH494" s="6" t="str">
        <f t="shared" si="42"/>
        <v>Paid</v>
      </c>
      <c r="AI494" s="6" t="s">
        <v>134</v>
      </c>
      <c r="AJ494" s="6" t="str">
        <f t="shared" si="43"/>
        <v>Completed</v>
      </c>
      <c r="AK494" s="9" t="str">
        <f>_xlfn.TEXTJOIN("|",FALSE,A494,TEXT(B494,"mm-dd-yyyy"),TEXT(E494,"mm-dd-yyyy"),I494,J494,L494,N494,P494,R494,T494,V494,X494,Y494,AA494,AB494,AC494,AD494,AE494,AF494,AG494,AI494)</f>
        <v>ORD-2025-10493|28-06-2025|07-02-2025|CUST-4679|Ananya Rao|Corporate|South|Andhra Pradesh|Vijayawada|Office Supplies|Storage|Elite Storage 331|Second Class|2|2725.44|0.25|4088.16|3205.68|882.48|Paid|Completed</v>
      </c>
      <c r="AL494" s="27" t="str">
        <f>IF(COUNTIF($AK$2:AK494,AK494)&gt;1,"Remove exact duplicate copy","Keep")</f>
        <v>Keep</v>
      </c>
      <c r="AM494" s="9">
        <f t="shared" si="44"/>
        <v>1</v>
      </c>
      <c r="AN494" s="9" t="str">
        <f t="shared" si="45"/>
        <v>Unique</v>
      </c>
      <c r="AO494" s="9" t="str">
        <f t="shared" si="46"/>
        <v/>
      </c>
      <c r="AP494" s="9">
        <f t="shared" si="47"/>
        <v>0.25</v>
      </c>
      <c r="AQ494" s="10">
        <f t="shared" si="48"/>
        <v>4088.16</v>
      </c>
      <c r="AR494" s="10">
        <f t="shared" si="49"/>
        <v>882.48</v>
      </c>
      <c r="AS494" s="11">
        <f t="shared" si="50"/>
        <v>0.21586239286133616</v>
      </c>
      <c r="AT494" s="9">
        <f t="shared" si="51"/>
        <v>6</v>
      </c>
      <c r="AU494" s="9">
        <f t="shared" si="52"/>
        <v>2025</v>
      </c>
      <c r="AV494" s="9" t="b">
        <f t="shared" si="53"/>
        <v>0</v>
      </c>
      <c r="AW494" s="9" t="b">
        <f t="shared" si="54"/>
        <v>0</v>
      </c>
      <c r="AX494" s="9" t="str">
        <f t="shared" si="55"/>
        <v>Yes</v>
      </c>
      <c r="AY494" s="9" t="str">
        <f t="shared" si="63"/>
        <v/>
      </c>
      <c r="AZ494" s="9" t="str">
        <f>IF(OR(G494="Missing date",G494="Invalid date",G494="Ship date before order date",NOT(ISNUMBER(AP494)),AP494&lt;0,AP494&gt;0.5,AV494=TRUE,AW494=TRUE),"Invalid",IF(OR(O494="Unknown",Z494="Unknown",AC494="",AH494&lt;&gt;"Paid",AJ494&lt;&gt;"Completed",AO494&lt;&gt;""),"Warning","Clean"))</f>
        <v>Clean</v>
      </c>
    </row>
    <row r="495" spans="1:52" ht="15.75" customHeight="1">
      <c r="A495" s="6" t="s">
        <v>2491</v>
      </c>
      <c r="B495" s="7" t="s">
        <v>1501</v>
      </c>
      <c r="C495" s="7" t="str">
        <f t="shared" si="62"/>
        <v>2025-02</v>
      </c>
      <c r="D495" s="7" cm="1">
        <f t="array" ref="D495">_xlfn.LET(_xlpm.x,B495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45701</v>
      </c>
      <c r="E495" s="7" t="s">
        <v>2492</v>
      </c>
      <c r="F495" s="7" cm="1">
        <f t="array" ref="F495">_xlfn.LET(_xlpm.x,E495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45701</v>
      </c>
      <c r="G495" s="8" t="str">
        <f t="shared" si="32"/>
        <v>OK</v>
      </c>
      <c r="H495" s="6">
        <f t="shared" si="33"/>
        <v>0</v>
      </c>
      <c r="I495" s="6" t="s">
        <v>2493</v>
      </c>
      <c r="J495" s="6" t="s">
        <v>442</v>
      </c>
      <c r="K495" s="6" t="str">
        <f t="shared" si="34"/>
        <v>Kabir Singh</v>
      </c>
      <c r="L495" s="6" t="s">
        <v>45</v>
      </c>
      <c r="M495" s="8" t="str">
        <f t="shared" si="35"/>
        <v>Corporate</v>
      </c>
      <c r="N495" s="6" t="s">
        <v>8</v>
      </c>
      <c r="O495" s="6" t="str">
        <f t="shared" si="36"/>
        <v>East</v>
      </c>
      <c r="P495" s="6" t="s">
        <v>140</v>
      </c>
      <c r="Q495" s="6" t="str">
        <f t="shared" si="37"/>
        <v>Odisha</v>
      </c>
      <c r="R495" s="6" t="s">
        <v>141</v>
      </c>
      <c r="S495" s="6" t="str">
        <f t="shared" si="38"/>
        <v>Bhubaneswar</v>
      </c>
      <c r="T495" s="6" t="s">
        <v>20</v>
      </c>
      <c r="U495" s="8" t="str">
        <f t="shared" si="39"/>
        <v>Office Supplies</v>
      </c>
      <c r="V495" s="6" t="s">
        <v>24</v>
      </c>
      <c r="W495" s="6" t="str">
        <f t="shared" si="40"/>
        <v>Paper</v>
      </c>
      <c r="X495" s="6" t="s">
        <v>2494</v>
      </c>
      <c r="Y495" s="6" t="s">
        <v>36</v>
      </c>
      <c r="Z495" s="6" t="str">
        <f t="shared" si="41"/>
        <v>Second Class</v>
      </c>
      <c r="AA495" s="6">
        <v>7</v>
      </c>
      <c r="AB495" s="6">
        <v>2296.6999999999998</v>
      </c>
      <c r="AC495" s="6">
        <v>0.05</v>
      </c>
      <c r="AD495" s="6">
        <v>15273.05</v>
      </c>
      <c r="AE495" s="6">
        <v>11088.76</v>
      </c>
      <c r="AF495" s="6">
        <v>4184.29</v>
      </c>
      <c r="AG495" s="6" t="s">
        <v>52</v>
      </c>
      <c r="AH495" s="6" t="str">
        <f t="shared" si="42"/>
        <v>Paid</v>
      </c>
      <c r="AI495" s="6" t="s">
        <v>2495</v>
      </c>
      <c r="AJ495" s="6" t="str">
        <f t="shared" si="43"/>
        <v>Completed</v>
      </c>
      <c r="AK495" s="9" t="str">
        <f>_xlfn.TEXTJOIN("|",FALSE,A495,TEXT(B495,"mm-dd-yyyy"),TEXT(E495,"mm-dd-yyyy"),I495,J495,L495,N495,P495,R495,T495,V495,X495,Y495,AA495,AB495,AC495,AD495,AE495,AF495,AG495,AI495)</f>
        <v>ORD-2025-10494|02-13-2025|02-13-2025|CUST-3765|Kabir Singh|Corporate|East|Odisha|Bhubaneswar|Office Supplies|Paper|Prime Paper 996|Second Class|7|2296.7|0.05|15273.05|11088.76|4184.29|Paid|COMPLETED</v>
      </c>
      <c r="AL495" s="27" t="str">
        <f>IF(COUNTIF($AK$2:AK495,AK495)&gt;1,"Remove exact duplicate copy","Keep")</f>
        <v>Keep</v>
      </c>
      <c r="AM495" s="9">
        <f t="shared" si="44"/>
        <v>1</v>
      </c>
      <c r="AN495" s="9" t="str">
        <f t="shared" si="45"/>
        <v>Unique</v>
      </c>
      <c r="AO495" s="9" t="str">
        <f t="shared" si="46"/>
        <v/>
      </c>
      <c r="AP495" s="9">
        <f t="shared" si="47"/>
        <v>0.05</v>
      </c>
      <c r="AQ495" s="10">
        <f t="shared" si="48"/>
        <v>15273.054999999997</v>
      </c>
      <c r="AR495" s="10">
        <f t="shared" si="49"/>
        <v>4184.2949999999964</v>
      </c>
      <c r="AS495" s="11">
        <f t="shared" si="50"/>
        <v>0.27396581757873573</v>
      </c>
      <c r="AT495" s="9">
        <f t="shared" si="51"/>
        <v>2</v>
      </c>
      <c r="AU495" s="9">
        <f t="shared" si="52"/>
        <v>2025</v>
      </c>
      <c r="AV495" s="9" t="b">
        <f t="shared" si="53"/>
        <v>0</v>
      </c>
      <c r="AW495" s="9" t="b">
        <f t="shared" si="54"/>
        <v>0</v>
      </c>
      <c r="AX495" s="9" t="str">
        <f t="shared" si="55"/>
        <v>Yes</v>
      </c>
      <c r="AY495" s="9" t="str">
        <f t="shared" si="63"/>
        <v/>
      </c>
      <c r="AZ495" s="9" t="str">
        <f>IF(OR(G495="Missing date",G495="Invalid date",G495="Ship date before order date",NOT(ISNUMBER(AP495)),AP495&lt;0,AP495&gt;0.5,AV495=TRUE,AW495=TRUE),"Invalid",IF(OR(O495="Unknown",Z495="Unknown",AC495="",AH495&lt;&gt;"Paid",AJ495&lt;&gt;"Completed",AO495&lt;&gt;""),"Warning","Clean"))</f>
        <v>Clean</v>
      </c>
    </row>
    <row r="496" spans="1:52" ht="15.75" customHeight="1">
      <c r="A496" s="6" t="s">
        <v>2496</v>
      </c>
      <c r="B496" s="7" t="s">
        <v>2497</v>
      </c>
      <c r="C496" s="7" t="str">
        <f t="shared" si="62"/>
        <v>2024-11</v>
      </c>
      <c r="D496" s="7" cm="1">
        <f t="array" ref="D496">_xlfn.LET(_xlpm.x,B496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45610</v>
      </c>
      <c r="E496" s="7" t="s">
        <v>2498</v>
      </c>
      <c r="F496" s="7" cm="1">
        <f t="array" ref="F496">_xlfn.LET(_xlpm.x,E496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45618</v>
      </c>
      <c r="G496" s="8" t="str">
        <f t="shared" si="32"/>
        <v>OK</v>
      </c>
      <c r="H496" s="6">
        <f t="shared" si="33"/>
        <v>8</v>
      </c>
      <c r="I496" s="6" t="s">
        <v>2499</v>
      </c>
      <c r="J496" s="6" t="s">
        <v>147</v>
      </c>
      <c r="K496" s="6" t="str">
        <f t="shared" si="34"/>
        <v>Isha Nair</v>
      </c>
      <c r="L496" s="6" t="s">
        <v>43</v>
      </c>
      <c r="M496" s="8" t="str">
        <f t="shared" si="35"/>
        <v>Consumer</v>
      </c>
      <c r="N496" s="6" t="s">
        <v>9</v>
      </c>
      <c r="O496" s="6" t="str">
        <f t="shared" si="36"/>
        <v>West</v>
      </c>
      <c r="P496" s="6" t="s">
        <v>170</v>
      </c>
      <c r="Q496" s="6" t="str">
        <f t="shared" si="37"/>
        <v>Madhya Pradesh</v>
      </c>
      <c r="R496" s="6" t="s">
        <v>171</v>
      </c>
      <c r="S496" s="6" t="str">
        <f t="shared" si="38"/>
        <v>Indore</v>
      </c>
      <c r="T496" s="6" t="s">
        <v>27</v>
      </c>
      <c r="U496" s="8" t="str">
        <f t="shared" si="39"/>
        <v>Technology</v>
      </c>
      <c r="V496" s="6" t="s">
        <v>31</v>
      </c>
      <c r="W496" s="6" t="str">
        <f t="shared" si="40"/>
        <v>Phones</v>
      </c>
      <c r="X496" s="6" t="s">
        <v>2500</v>
      </c>
      <c r="Y496" s="6" t="s">
        <v>34</v>
      </c>
      <c r="Z496" s="6" t="str">
        <f t="shared" si="41"/>
        <v>Standard Class</v>
      </c>
      <c r="AA496" s="6">
        <v>3</v>
      </c>
      <c r="AB496" s="6">
        <v>671.68</v>
      </c>
      <c r="AC496" s="6">
        <v>-0.13</v>
      </c>
      <c r="AD496" s="6">
        <v>1712.78</v>
      </c>
      <c r="AE496" s="6">
        <v>1569.38</v>
      </c>
      <c r="AF496" s="6">
        <v>360.66</v>
      </c>
      <c r="AG496" s="6" t="s">
        <v>50</v>
      </c>
      <c r="AH496" s="6" t="str">
        <f t="shared" si="42"/>
        <v>Failed</v>
      </c>
      <c r="AI496" s="6" t="s">
        <v>58</v>
      </c>
      <c r="AJ496" s="6" t="str">
        <f t="shared" si="43"/>
        <v>Cancelled</v>
      </c>
      <c r="AK496" s="9" t="str">
        <f>_xlfn.TEXTJOIN("|",FALSE,A496,TEXT(B496,"mm-dd-yyyy"),TEXT(E496,"mm-dd-yyyy"),I496,J496,L496,N496,P496,R496,T496,V496,X496,Y496,AA496,AB496,AC496,AD496,AE496,AF496,AG496,AI496)</f>
        <v>ORD-2024-10495|11-14-2024|11-22-2024|CUST-9056|Isha Nair|Consumer|West|Madhya Pradesh|Indore|Technology|Phones|Smart Phones 125|Standard Class|3|671.68|-0.13|1712.78|1569.38|360.66|Failed|Cancelled</v>
      </c>
      <c r="AL496" s="27" t="str">
        <f>IF(COUNTIF($AK$2:AK496,AK496)&gt;1,"Remove exact duplicate copy","Keep")</f>
        <v>Keep</v>
      </c>
      <c r="AM496" s="9">
        <f t="shared" si="44"/>
        <v>1</v>
      </c>
      <c r="AN496" s="9" t="str">
        <f t="shared" si="45"/>
        <v>Unique</v>
      </c>
      <c r="AO496" s="9" t="str">
        <f t="shared" si="46"/>
        <v/>
      </c>
      <c r="AP496" s="9">
        <f t="shared" si="47"/>
        <v>-0.13</v>
      </c>
      <c r="AQ496" s="10">
        <f t="shared" si="48"/>
        <v>2276.9951999999998</v>
      </c>
      <c r="AR496" s="10">
        <f t="shared" si="49"/>
        <v>707.61519999999973</v>
      </c>
      <c r="AS496" s="11">
        <f t="shared" si="50"/>
        <v>0.31076710218800629</v>
      </c>
      <c r="AT496" s="9">
        <f t="shared" si="51"/>
        <v>11</v>
      </c>
      <c r="AU496" s="9">
        <f t="shared" si="52"/>
        <v>2024</v>
      </c>
      <c r="AV496" s="9" t="b">
        <f t="shared" si="53"/>
        <v>1</v>
      </c>
      <c r="AW496" s="9" t="b">
        <f t="shared" si="54"/>
        <v>1</v>
      </c>
      <c r="AX496" s="9" t="str">
        <f t="shared" si="55"/>
        <v>No</v>
      </c>
      <c r="AY496" s="9" t="str">
        <f t="shared" si="63"/>
        <v>Negative discount; Failed payment excluded; Cancelled order excluded; Sales mismatch; Profit mismatch</v>
      </c>
      <c r="AZ496" s="9" t="str">
        <f>IF(OR(G496="Missing date",G496="Invalid date",G496="Ship date before order date",NOT(ISNUMBER(AP496)),AP496&lt;0,AP496&gt;0.5,AV496=TRUE,AW496=TRUE),"Invalid",IF(OR(O496="Unknown",Z496="Unknown",AC496="",AH496&lt;&gt;"Paid",AJ496&lt;&gt;"Completed",AO496&lt;&gt;""),"Warning","Clean"))</f>
        <v>Invalid</v>
      </c>
    </row>
    <row r="497" spans="1:52" ht="15.75" customHeight="1">
      <c r="A497" s="6" t="s">
        <v>2501</v>
      </c>
      <c r="B497" s="7" t="s">
        <v>2281</v>
      </c>
      <c r="C497" s="7" t="str">
        <f t="shared" si="62"/>
        <v>2024-05</v>
      </c>
      <c r="D497" s="7" cm="1">
        <f t="array" ref="D497">_xlfn.LET(_xlpm.x,B497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45421</v>
      </c>
      <c r="E497" s="7" t="s">
        <v>2502</v>
      </c>
      <c r="F497" s="7" cm="1">
        <f t="array" ref="F497">_xlfn.LET(_xlpm.x,E497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45427</v>
      </c>
      <c r="G497" s="8" t="str">
        <f t="shared" si="32"/>
        <v>OK</v>
      </c>
      <c r="H497" s="6">
        <f t="shared" si="33"/>
        <v>6</v>
      </c>
      <c r="I497" s="6" t="s">
        <v>2503</v>
      </c>
      <c r="J497" s="6" t="s">
        <v>139</v>
      </c>
      <c r="K497" s="6" t="str">
        <f t="shared" si="34"/>
        <v>Mira Das</v>
      </c>
      <c r="L497" s="6" t="s">
        <v>46</v>
      </c>
      <c r="M497" s="8" t="str">
        <f t="shared" si="35"/>
        <v>Small Business</v>
      </c>
      <c r="N497" s="6" t="s">
        <v>8</v>
      </c>
      <c r="O497" s="6" t="str">
        <f t="shared" si="36"/>
        <v>East</v>
      </c>
      <c r="P497" s="6" t="s">
        <v>290</v>
      </c>
      <c r="Q497" s="6" t="str">
        <f t="shared" si="37"/>
        <v>Assam</v>
      </c>
      <c r="R497" s="6" t="s">
        <v>291</v>
      </c>
      <c r="S497" s="6" t="str">
        <f t="shared" si="38"/>
        <v>Guwahati</v>
      </c>
      <c r="T497" s="6" t="s">
        <v>27</v>
      </c>
      <c r="U497" s="8" t="str">
        <f t="shared" si="39"/>
        <v>Technology</v>
      </c>
      <c r="V497" s="6" t="s">
        <v>31</v>
      </c>
      <c r="W497" s="6" t="str">
        <f t="shared" si="40"/>
        <v>Phones</v>
      </c>
      <c r="X497" s="6" t="s">
        <v>2504</v>
      </c>
      <c r="Y497" s="6" t="s">
        <v>36</v>
      </c>
      <c r="Z497" s="6" t="str">
        <f t="shared" si="41"/>
        <v>Second Class</v>
      </c>
      <c r="AA497" s="6">
        <v>4</v>
      </c>
      <c r="AB497" s="6">
        <v>995.98</v>
      </c>
      <c r="AC497" s="6">
        <v>0.05</v>
      </c>
      <c r="AD497" s="6">
        <v>3784.72</v>
      </c>
      <c r="AE497" s="6">
        <v>2419.2399999999998</v>
      </c>
      <c r="AF497" s="6">
        <v>1365.48</v>
      </c>
      <c r="AG497" s="6" t="s">
        <v>56</v>
      </c>
      <c r="AH497" s="6" t="str">
        <f t="shared" si="42"/>
        <v>Refunded</v>
      </c>
      <c r="AI497" s="6" t="s">
        <v>59</v>
      </c>
      <c r="AJ497" s="6" t="str">
        <f t="shared" si="43"/>
        <v>Returned</v>
      </c>
      <c r="AK497" s="9" t="str">
        <f>_xlfn.TEXTJOIN("|",FALSE,A497,TEXT(B497,"mm-dd-yyyy"),TEXT(E497,"mm-dd-yyyy"),I497,J497,L497,N497,P497,R497,T497,V497,X497,Y497,AA497,AB497,AC497,AD497,AE497,AF497,AG497,AI497)</f>
        <v>ORD-2024-10496|05-09-2024|05-15-2024|CUST-9801|Mira Das|Small Business|East|Assam|Guwahati|Technology|Phones|Eco Phones 220|Second Class|4|995.98|0.05|3784.72|2419.24|1365.48|Refunded|Returned</v>
      </c>
      <c r="AL497" s="27" t="str">
        <f>IF(COUNTIF($AK$2:AK497,AK497)&gt;1,"Remove exact duplicate copy","Keep")</f>
        <v>Keep</v>
      </c>
      <c r="AM497" s="9">
        <f t="shared" si="44"/>
        <v>1</v>
      </c>
      <c r="AN497" s="9" t="str">
        <f t="shared" si="45"/>
        <v>Unique</v>
      </c>
      <c r="AO497" s="9" t="str">
        <f t="shared" si="46"/>
        <v/>
      </c>
      <c r="AP497" s="9">
        <f t="shared" si="47"/>
        <v>0.05</v>
      </c>
      <c r="AQ497" s="10">
        <f t="shared" si="48"/>
        <v>3784.7239999999997</v>
      </c>
      <c r="AR497" s="10">
        <f t="shared" si="49"/>
        <v>1365.4839999999999</v>
      </c>
      <c r="AS497" s="11">
        <f t="shared" si="50"/>
        <v>0.36078826355633858</v>
      </c>
      <c r="AT497" s="9">
        <f t="shared" si="51"/>
        <v>5</v>
      </c>
      <c r="AU497" s="9">
        <f t="shared" si="52"/>
        <v>2024</v>
      </c>
      <c r="AV497" s="9" t="b">
        <f t="shared" si="53"/>
        <v>0</v>
      </c>
      <c r="AW497" s="9" t="b">
        <f t="shared" si="54"/>
        <v>0</v>
      </c>
      <c r="AX497" s="9" t="str">
        <f t="shared" si="55"/>
        <v>No</v>
      </c>
      <c r="AY497" s="9" t="str">
        <f t="shared" si="63"/>
        <v>Refunded order summarized separately; Returned order excluded</v>
      </c>
      <c r="AZ497" s="9" t="str">
        <f>IF(OR(G497="Missing date",G497="Invalid date",G497="Ship date before order date",NOT(ISNUMBER(AP497)),AP497&lt;0,AP497&gt;0.5,AV497=TRUE,AW497=TRUE),"Invalid",IF(OR(O497="Unknown",Z497="Unknown",AC497="",AH497&lt;&gt;"Paid",AJ497&lt;&gt;"Completed",AO497&lt;&gt;""),"Warning","Clean"))</f>
        <v>Warning</v>
      </c>
    </row>
    <row r="498" spans="1:52" ht="15.75" customHeight="1">
      <c r="A498" s="6" t="s">
        <v>2505</v>
      </c>
      <c r="B498" s="7" t="s">
        <v>2506</v>
      </c>
      <c r="C498" s="7" t="str">
        <f t="shared" si="62"/>
        <v>2025-07</v>
      </c>
      <c r="D498" s="7" cm="1">
        <f t="array" ref="D498">_xlfn.LET(_xlpm.x,B498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45842</v>
      </c>
      <c r="E498" s="7" t="s">
        <v>2507</v>
      </c>
      <c r="F498" s="7" cm="1">
        <f t="array" ref="F498">_xlfn.LET(_xlpm.x,E498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45844</v>
      </c>
      <c r="G498" s="8" t="str">
        <f t="shared" si="32"/>
        <v>OK</v>
      </c>
      <c r="H498" s="6">
        <f t="shared" si="33"/>
        <v>2</v>
      </c>
      <c r="I498" s="6" t="s">
        <v>2508</v>
      </c>
      <c r="J498" s="6" t="s">
        <v>442</v>
      </c>
      <c r="K498" s="6" t="str">
        <f t="shared" si="34"/>
        <v>Kabir Singh</v>
      </c>
      <c r="L498" s="6" t="s">
        <v>46</v>
      </c>
      <c r="M498" s="8" t="str">
        <f t="shared" si="35"/>
        <v>Small Business</v>
      </c>
      <c r="N498" s="6" t="s">
        <v>8</v>
      </c>
      <c r="O498" s="6" t="str">
        <f t="shared" si="36"/>
        <v>East</v>
      </c>
      <c r="P498" s="6" t="s">
        <v>385</v>
      </c>
      <c r="Q498" s="6" t="str">
        <f t="shared" si="37"/>
        <v>Jharkhand</v>
      </c>
      <c r="R498" s="6" t="s">
        <v>386</v>
      </c>
      <c r="S498" s="6" t="str">
        <f t="shared" si="38"/>
        <v>Ranchi</v>
      </c>
      <c r="T498" s="6" t="s">
        <v>14</v>
      </c>
      <c r="U498" s="8" t="str">
        <f t="shared" si="39"/>
        <v>Furniture</v>
      </c>
      <c r="V498" s="6" t="s">
        <v>16</v>
      </c>
      <c r="W498" s="6" t="str">
        <f t="shared" si="40"/>
        <v>Chairs</v>
      </c>
      <c r="X498" s="6" t="s">
        <v>2509</v>
      </c>
      <c r="Y498" s="6" t="s">
        <v>36</v>
      </c>
      <c r="Z498" s="6" t="str">
        <f t="shared" si="41"/>
        <v>Second Class</v>
      </c>
      <c r="AA498" s="6">
        <v>2</v>
      </c>
      <c r="AB498" s="6">
        <v>3686.42</v>
      </c>
      <c r="AC498" s="6">
        <v>0.1</v>
      </c>
      <c r="AD498" s="6">
        <v>6635.56</v>
      </c>
      <c r="AE498" s="6">
        <v>3652.91</v>
      </c>
      <c r="AF498" s="6">
        <v>2982.65</v>
      </c>
      <c r="AG498" s="6" t="s">
        <v>52</v>
      </c>
      <c r="AH498" s="6" t="str">
        <f t="shared" si="42"/>
        <v>Paid</v>
      </c>
      <c r="AI498" s="6" t="s">
        <v>134</v>
      </c>
      <c r="AJ498" s="6" t="str">
        <f t="shared" si="43"/>
        <v>Completed</v>
      </c>
      <c r="AK498" s="9" t="str">
        <f>_xlfn.TEXTJOIN("|",FALSE,A498,TEXT(B498,"mm-dd-yyyy"),TEXT(E498,"mm-dd-yyyy"),I498,J498,L498,N498,P498,R498,T498,V498,X498,Y498,AA498,AB498,AC498,AD498,AE498,AF498,AG498,AI498)</f>
        <v>ORD-2025-10497|07-04-2025|07-06-2025|CUST-2038|Kabir Singh|Small Business|East|Jharkhand|Ranchi|Furniture|Chairs|Eco Chairs 795|Second Class|2|3686.42|0.1|6635.56|3652.91|2982.65|Paid|Completed</v>
      </c>
      <c r="AL498" s="27" t="str">
        <f>IF(COUNTIF($AK$2:AK498,AK498)&gt;1,"Remove exact duplicate copy","Keep")</f>
        <v>Keep</v>
      </c>
      <c r="AM498" s="9">
        <f t="shared" si="44"/>
        <v>1</v>
      </c>
      <c r="AN498" s="9" t="str">
        <f t="shared" si="45"/>
        <v>Unique</v>
      </c>
      <c r="AO498" s="9" t="str">
        <f t="shared" si="46"/>
        <v/>
      </c>
      <c r="AP498" s="9">
        <f t="shared" si="47"/>
        <v>0.1</v>
      </c>
      <c r="AQ498" s="10">
        <f t="shared" si="48"/>
        <v>6635.5560000000005</v>
      </c>
      <c r="AR498" s="10">
        <f t="shared" si="49"/>
        <v>2982.6460000000006</v>
      </c>
      <c r="AS498" s="11">
        <f t="shared" si="50"/>
        <v>0.44949451108543131</v>
      </c>
      <c r="AT498" s="9">
        <f t="shared" si="51"/>
        <v>7</v>
      </c>
      <c r="AU498" s="9">
        <f t="shared" si="52"/>
        <v>2025</v>
      </c>
      <c r="AV498" s="9" t="b">
        <f t="shared" si="53"/>
        <v>0</v>
      </c>
      <c r="AW498" s="9" t="b">
        <f t="shared" si="54"/>
        <v>0</v>
      </c>
      <c r="AX498" s="9" t="str">
        <f t="shared" si="55"/>
        <v>Yes</v>
      </c>
      <c r="AY498" s="9" t="str">
        <f t="shared" si="63"/>
        <v/>
      </c>
      <c r="AZ498" s="9" t="str">
        <f>IF(OR(G498="Missing date",G498="Invalid date",G498="Ship date before order date",NOT(ISNUMBER(AP498)),AP498&lt;0,AP498&gt;0.5,AV498=TRUE,AW498=TRUE),"Invalid",IF(OR(O498="Unknown",Z498="Unknown",AC498="",AH498&lt;&gt;"Paid",AJ498&lt;&gt;"Completed",AO498&lt;&gt;""),"Warning","Clean"))</f>
        <v>Clean</v>
      </c>
    </row>
    <row r="499" spans="1:52" ht="15.75" customHeight="1">
      <c r="A499" s="6" t="s">
        <v>2510</v>
      </c>
      <c r="B499" s="7" t="s">
        <v>2511</v>
      </c>
      <c r="C499" s="7" t="str">
        <f t="shared" si="62"/>
        <v>2024-08</v>
      </c>
      <c r="D499" s="7" cm="1">
        <f t="array" ref="D499">_xlfn.LET(_xlpm.x,B499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45533</v>
      </c>
      <c r="E499" s="7" t="s">
        <v>2511</v>
      </c>
      <c r="F499" s="7" cm="1">
        <f t="array" ref="F499">_xlfn.LET(_xlpm.x,E499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45533</v>
      </c>
      <c r="G499" s="8" t="str">
        <f t="shared" si="32"/>
        <v>OK</v>
      </c>
      <c r="H499" s="6">
        <f t="shared" si="33"/>
        <v>0</v>
      </c>
      <c r="I499" s="6" t="s">
        <v>2512</v>
      </c>
      <c r="J499" s="6" t="s">
        <v>245</v>
      </c>
      <c r="K499" s="6" t="str">
        <f t="shared" si="34"/>
        <v>Sneha Kapoor</v>
      </c>
      <c r="L499" s="6" t="s">
        <v>46</v>
      </c>
      <c r="M499" s="8" t="str">
        <f t="shared" si="35"/>
        <v>Small Business</v>
      </c>
      <c r="N499" s="6" t="s">
        <v>793</v>
      </c>
      <c r="O499" s="6" t="str">
        <f t="shared" si="36"/>
        <v>North</v>
      </c>
      <c r="P499" s="6" t="s">
        <v>251</v>
      </c>
      <c r="Q499" s="6" t="str">
        <f t="shared" si="37"/>
        <v>Uttar Pradesh</v>
      </c>
      <c r="R499" s="6" t="s">
        <v>252</v>
      </c>
      <c r="S499" s="6" t="str">
        <f t="shared" si="38"/>
        <v>Noida</v>
      </c>
      <c r="T499" s="6" t="s">
        <v>27</v>
      </c>
      <c r="U499" s="8" t="str">
        <f t="shared" si="39"/>
        <v>Technology</v>
      </c>
      <c r="V499" s="6" t="s">
        <v>28</v>
      </c>
      <c r="W499" s="6" t="str">
        <f t="shared" si="40"/>
        <v>Accessories</v>
      </c>
      <c r="X499" s="6" t="s">
        <v>2513</v>
      </c>
      <c r="Y499" s="6" t="s">
        <v>36</v>
      </c>
      <c r="Z499" s="6" t="str">
        <f t="shared" si="41"/>
        <v>Second Class</v>
      </c>
      <c r="AA499" s="6">
        <v>1</v>
      </c>
      <c r="AB499" s="6">
        <v>3106.88</v>
      </c>
      <c r="AC499" s="6">
        <v>0.2</v>
      </c>
      <c r="AD499" s="6">
        <v>2485.5</v>
      </c>
      <c r="AE499" s="6">
        <v>2028.43</v>
      </c>
      <c r="AF499" s="6">
        <v>457.07</v>
      </c>
      <c r="AG499" s="6" t="s">
        <v>52</v>
      </c>
      <c r="AH499" s="6" t="str">
        <f t="shared" si="42"/>
        <v>Paid</v>
      </c>
      <c r="AI499" s="6" t="s">
        <v>58</v>
      </c>
      <c r="AJ499" s="6" t="str">
        <f t="shared" si="43"/>
        <v>Cancelled</v>
      </c>
      <c r="AK499" s="9" t="str">
        <f>_xlfn.TEXTJOIN("|",FALSE,A499,TEXT(B499,"mm-dd-yyyy"),TEXT(E499,"mm-dd-yyyy"),I499,J499,L499,N499,P499,R499,T499,V499,X499,Y499,AA499,AB499,AC499,AD499,AE499,AF499,AG499,AI499)</f>
        <v>ORD-2024-10498|08-29-2024|08-29-2024|CUST-1567|Sneha Kapoor|Small Business|NORTH|Uttar Pradesh|Noida|Technology|Accessories|Smart Accessories 896|Second Class|1|3106.88|0.2|2485.5|2028.43|457.07|Paid|Cancelled</v>
      </c>
      <c r="AL499" s="27" t="str">
        <f>IF(COUNTIF($AK$2:AK499,AK499)&gt;1,"Remove exact duplicate copy","Keep")</f>
        <v>Keep</v>
      </c>
      <c r="AM499" s="9">
        <f t="shared" si="44"/>
        <v>1</v>
      </c>
      <c r="AN499" s="9" t="str">
        <f t="shared" si="45"/>
        <v>Unique</v>
      </c>
      <c r="AO499" s="9" t="str">
        <f t="shared" si="46"/>
        <v/>
      </c>
      <c r="AP499" s="9">
        <f t="shared" si="47"/>
        <v>0.2</v>
      </c>
      <c r="AQ499" s="10">
        <f t="shared" si="48"/>
        <v>2485.5040000000004</v>
      </c>
      <c r="AR499" s="10">
        <f t="shared" si="49"/>
        <v>457.0740000000003</v>
      </c>
      <c r="AS499" s="11">
        <f t="shared" si="50"/>
        <v>0.18389590199814615</v>
      </c>
      <c r="AT499" s="9">
        <f t="shared" si="51"/>
        <v>8</v>
      </c>
      <c r="AU499" s="9">
        <f t="shared" si="52"/>
        <v>2024</v>
      </c>
      <c r="AV499" s="9" t="b">
        <f t="shared" si="53"/>
        <v>0</v>
      </c>
      <c r="AW499" s="9" t="b">
        <f t="shared" si="54"/>
        <v>0</v>
      </c>
      <c r="AX499" s="9" t="str">
        <f t="shared" si="55"/>
        <v>No</v>
      </c>
      <c r="AY499" s="9" t="str">
        <f t="shared" si="63"/>
        <v>Cancelled order excluded</v>
      </c>
      <c r="AZ499" s="9" t="str">
        <f>IF(OR(G499="Missing date",G499="Invalid date",G499="Ship date before order date",NOT(ISNUMBER(AP499)),AP499&lt;0,AP499&gt;0.5,AV499=TRUE,AW499=TRUE),"Invalid",IF(OR(O499="Unknown",Z499="Unknown",AC499="",AH499&lt;&gt;"Paid",AJ499&lt;&gt;"Completed",AO499&lt;&gt;""),"Warning","Clean"))</f>
        <v>Warning</v>
      </c>
    </row>
    <row r="500" spans="1:52" ht="15.75" customHeight="1">
      <c r="A500" s="6" t="s">
        <v>2514</v>
      </c>
      <c r="B500" s="7" t="s">
        <v>2515</v>
      </c>
      <c r="C500" s="7" t="str">
        <f t="shared" si="62"/>
        <v>2025-09</v>
      </c>
      <c r="D500" s="7" cm="1">
        <f t="array" ref="D500">_xlfn.LET(_xlpm.x,B500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45907</v>
      </c>
      <c r="E500" s="7" t="s">
        <v>2516</v>
      </c>
      <c r="F500" s="7" cm="1">
        <f t="array" ref="F500">_xlfn.LET(_xlpm.x,E500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45910</v>
      </c>
      <c r="G500" s="8" t="str">
        <f t="shared" si="32"/>
        <v>OK</v>
      </c>
      <c r="H500" s="6">
        <f t="shared" si="33"/>
        <v>3</v>
      </c>
      <c r="I500" s="6" t="s">
        <v>2517</v>
      </c>
      <c r="J500" s="6" t="s">
        <v>129</v>
      </c>
      <c r="K500" s="6" t="str">
        <f t="shared" si="34"/>
        <v>Karan Malhotra</v>
      </c>
      <c r="L500" s="6" t="s">
        <v>43</v>
      </c>
      <c r="M500" s="8" t="str">
        <f t="shared" si="35"/>
        <v>Consumer</v>
      </c>
      <c r="N500" s="6" t="s">
        <v>7</v>
      </c>
      <c r="O500" s="6" t="str">
        <f t="shared" si="36"/>
        <v>North</v>
      </c>
      <c r="P500" s="6" t="s">
        <v>232</v>
      </c>
      <c r="Q500" s="6" t="str">
        <f t="shared" si="37"/>
        <v>Punjab</v>
      </c>
      <c r="R500" s="6" t="s">
        <v>233</v>
      </c>
      <c r="S500" s="6" t="str">
        <f t="shared" si="38"/>
        <v>Ludhiana</v>
      </c>
      <c r="T500" s="6" t="s">
        <v>14</v>
      </c>
      <c r="U500" s="8" t="str">
        <f t="shared" si="39"/>
        <v>Furniture</v>
      </c>
      <c r="V500" s="6" t="s">
        <v>16</v>
      </c>
      <c r="W500" s="6" t="str">
        <f t="shared" si="40"/>
        <v>Chairs</v>
      </c>
      <c r="X500" s="6" t="s">
        <v>2518</v>
      </c>
      <c r="Y500" s="6" t="s">
        <v>37</v>
      </c>
      <c r="Z500" s="6" t="str">
        <f t="shared" si="41"/>
        <v>Same Day</v>
      </c>
      <c r="AA500" s="6">
        <v>2</v>
      </c>
      <c r="AB500" s="6">
        <v>447.55</v>
      </c>
      <c r="AC500" s="6">
        <v>0.05</v>
      </c>
      <c r="AD500" s="6">
        <v>850.35</v>
      </c>
      <c r="AE500" s="6">
        <v>600.98</v>
      </c>
      <c r="AF500" s="6">
        <v>249.37</v>
      </c>
      <c r="AG500" s="6" t="s">
        <v>56</v>
      </c>
      <c r="AH500" s="6" t="str">
        <f t="shared" si="42"/>
        <v>Refunded</v>
      </c>
      <c r="AI500" s="6" t="s">
        <v>2519</v>
      </c>
      <c r="AJ500" s="6" t="str">
        <f t="shared" si="43"/>
        <v>Cancelled</v>
      </c>
      <c r="AK500" s="9" t="str">
        <f>_xlfn.TEXTJOIN("|",FALSE,A500,TEXT(B500,"mm-dd-yyyy"),TEXT(E500,"mm-dd-yyyy"),I500,J500,L500,N500,P500,R500,T500,V500,X500,Y500,AA500,AB500,AC500,AD500,AE500,AF500,AG500,AI500)</f>
        <v>ORD-2025-10499|09-07-2025|09-10-2025|CUST-1190|Karan Malhotra|Consumer|North|Punjab|Ludhiana|Furniture|Chairs|Basic Chairs 255|Same Day|2|447.55|0.05|850.35|600.98|249.37|Refunded|cancelled</v>
      </c>
      <c r="AL500" s="27" t="str">
        <f>IF(COUNTIF($AK$2:AK500,AK500)&gt;1,"Remove exact duplicate copy","Keep")</f>
        <v>Keep</v>
      </c>
      <c r="AM500" s="9">
        <f t="shared" si="44"/>
        <v>1</v>
      </c>
      <c r="AN500" s="9" t="str">
        <f t="shared" si="45"/>
        <v>Unique</v>
      </c>
      <c r="AO500" s="9" t="str">
        <f t="shared" si="46"/>
        <v/>
      </c>
      <c r="AP500" s="9">
        <f t="shared" si="47"/>
        <v>0.05</v>
      </c>
      <c r="AQ500" s="10">
        <f t="shared" si="48"/>
        <v>850.34500000000003</v>
      </c>
      <c r="AR500" s="10">
        <f t="shared" si="49"/>
        <v>249.36500000000001</v>
      </c>
      <c r="AS500" s="11">
        <f t="shared" si="50"/>
        <v>0.29325156260106194</v>
      </c>
      <c r="AT500" s="9">
        <f t="shared" si="51"/>
        <v>9</v>
      </c>
      <c r="AU500" s="9">
        <f t="shared" si="52"/>
        <v>2025</v>
      </c>
      <c r="AV500" s="9" t="b">
        <f t="shared" si="53"/>
        <v>0</v>
      </c>
      <c r="AW500" s="9" t="b">
        <f t="shared" si="54"/>
        <v>0</v>
      </c>
      <c r="AX500" s="9" t="str">
        <f t="shared" si="55"/>
        <v>No</v>
      </c>
      <c r="AY500" s="9" t="str">
        <f t="shared" si="63"/>
        <v>Refunded order summarized separately; Cancelled order excluded</v>
      </c>
      <c r="AZ500" s="9" t="str">
        <f>IF(OR(G500="Missing date",G500="Invalid date",G500="Ship date before order date",NOT(ISNUMBER(AP500)),AP500&lt;0,AP500&gt;0.5,AV500=TRUE,AW500=TRUE),"Invalid",IF(OR(O500="Unknown",Z500="Unknown",AC500="",AH500&lt;&gt;"Paid",AJ500&lt;&gt;"Completed",AO500&lt;&gt;""),"Warning","Clean"))</f>
        <v>Warning</v>
      </c>
    </row>
    <row r="501" spans="1:52" ht="15.75" customHeight="1">
      <c r="A501" s="6" t="s">
        <v>2520</v>
      </c>
      <c r="B501" s="7" t="s">
        <v>2521</v>
      </c>
      <c r="C501" s="7" t="str">
        <f t="shared" si="62"/>
        <v>2024-12</v>
      </c>
      <c r="D501" s="7" cm="1">
        <f t="array" ref="D501">_xlfn.LET(_xlpm.x,B501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45648</v>
      </c>
      <c r="E501" s="7" t="s">
        <v>1532</v>
      </c>
      <c r="F501" s="7" cm="1">
        <f t="array" ref="F501">_xlfn.LET(_xlpm.x,E501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45652</v>
      </c>
      <c r="G501" s="8" t="str">
        <f t="shared" si="32"/>
        <v>OK</v>
      </c>
      <c r="H501" s="6">
        <f t="shared" si="33"/>
        <v>4</v>
      </c>
      <c r="I501" s="6" t="s">
        <v>2522</v>
      </c>
      <c r="J501" s="6" t="s">
        <v>226</v>
      </c>
      <c r="K501" s="6" t="str">
        <f t="shared" si="34"/>
        <v>Rahul Verma</v>
      </c>
      <c r="L501" s="6" t="s">
        <v>44</v>
      </c>
      <c r="M501" s="8" t="str">
        <f t="shared" si="35"/>
        <v>Home Office</v>
      </c>
      <c r="N501" s="6" t="s">
        <v>7</v>
      </c>
      <c r="O501" s="6" t="str">
        <f t="shared" si="36"/>
        <v>North</v>
      </c>
      <c r="P501" s="6" t="s">
        <v>251</v>
      </c>
      <c r="Q501" s="6" t="str">
        <f t="shared" si="37"/>
        <v>Uttar Pradesh</v>
      </c>
      <c r="R501" s="6" t="s">
        <v>252</v>
      </c>
      <c r="S501" s="6" t="str">
        <f t="shared" si="38"/>
        <v>Noida</v>
      </c>
      <c r="T501" s="6" t="s">
        <v>14</v>
      </c>
      <c r="U501" s="8" t="str">
        <f t="shared" si="39"/>
        <v>Furniture</v>
      </c>
      <c r="V501" s="6" t="s">
        <v>16</v>
      </c>
      <c r="W501" s="6" t="str">
        <f t="shared" si="40"/>
        <v>Chairs</v>
      </c>
      <c r="X501" s="6" t="s">
        <v>2523</v>
      </c>
      <c r="Y501" s="6" t="s">
        <v>34</v>
      </c>
      <c r="Z501" s="6" t="str">
        <f t="shared" si="41"/>
        <v>Standard Class</v>
      </c>
      <c r="AA501" s="6">
        <v>9</v>
      </c>
      <c r="AB501" s="6">
        <v>1110.8699999999999</v>
      </c>
      <c r="AC501" s="6"/>
      <c r="AD501" s="6">
        <v>7498.37</v>
      </c>
      <c r="AE501" s="6">
        <v>6059.07</v>
      </c>
      <c r="AF501" s="6">
        <v>1439.3</v>
      </c>
      <c r="AG501" s="6" t="s">
        <v>52</v>
      </c>
      <c r="AH501" s="6" t="str">
        <f t="shared" si="42"/>
        <v>Paid</v>
      </c>
      <c r="AI501" s="6" t="s">
        <v>58</v>
      </c>
      <c r="AJ501" s="6" t="str">
        <f t="shared" si="43"/>
        <v>Cancelled</v>
      </c>
      <c r="AK501" s="9" t="str">
        <f>_xlfn.TEXTJOIN("|",FALSE,A501,TEXT(B501,"mm-dd-yyyy"),TEXT(E501,"mm-dd-yyyy"),I501,J501,L501,N501,P501,R501,T501,V501,X501,Y501,AA501,AB501,AC501,AD501,AE501,AF501,AG501,AI501)</f>
        <v>ORD-2024-10500|12-22-2024|26-12-2024|CUST-5604|Rahul Verma|Home Office|North|Uttar Pradesh|Noida|Furniture|Chairs|Eco Chairs 210|Standard Class|9|1110.87||7498.37|6059.07|1439.3|Paid|Cancelled</v>
      </c>
      <c r="AL501" s="27" t="str">
        <f>IF(COUNTIF($AK$2:AK501,AK501)&gt;1,"Remove exact duplicate copy","Keep")</f>
        <v>Keep</v>
      </c>
      <c r="AM501" s="9">
        <f t="shared" si="44"/>
        <v>1</v>
      </c>
      <c r="AN501" s="9" t="str">
        <f t="shared" si="45"/>
        <v>Unique</v>
      </c>
      <c r="AO501" s="9" t="str">
        <f t="shared" si="46"/>
        <v/>
      </c>
      <c r="AP501" s="9">
        <f t="shared" si="47"/>
        <v>0</v>
      </c>
      <c r="AQ501" s="10">
        <f t="shared" si="48"/>
        <v>9997.8299999999981</v>
      </c>
      <c r="AR501" s="10">
        <f t="shared" si="49"/>
        <v>3938.7599999999984</v>
      </c>
      <c r="AS501" s="11">
        <f t="shared" si="50"/>
        <v>0.3939614896432525</v>
      </c>
      <c r="AT501" s="9">
        <f t="shared" si="51"/>
        <v>12</v>
      </c>
      <c r="AU501" s="9">
        <f t="shared" si="52"/>
        <v>2024</v>
      </c>
      <c r="AV501" s="9" t="b">
        <f t="shared" si="53"/>
        <v>1</v>
      </c>
      <c r="AW501" s="9" t="b">
        <f t="shared" si="54"/>
        <v>1</v>
      </c>
      <c r="AX501" s="9" t="str">
        <f t="shared" si="55"/>
        <v>No</v>
      </c>
      <c r="AY501" s="9" t="str">
        <f t="shared" si="63"/>
        <v>Missing discount treated as 0; Cancelled order excluded; Sales mismatch; Profit mismatch</v>
      </c>
      <c r="AZ501" s="9" t="str">
        <f>IF(OR(G501="Missing date",G501="Invalid date",G501="Ship date before order date",NOT(ISNUMBER(AP501)),AP501&lt;0,AP501&gt;0.5,AV501=TRUE,AW501=TRUE),"Invalid",IF(OR(O501="Unknown",Z501="Unknown",AC501="",AH501&lt;&gt;"Paid",AJ501&lt;&gt;"Completed",AO501&lt;&gt;""),"Warning","Clean"))</f>
        <v>Invalid</v>
      </c>
    </row>
    <row r="502" spans="1:52" ht="15.75" customHeight="1">
      <c r="A502" s="6" t="s">
        <v>2524</v>
      </c>
      <c r="B502" s="7" t="s">
        <v>1212</v>
      </c>
      <c r="C502" s="7" t="str">
        <f t="shared" si="62"/>
        <v>2024-05</v>
      </c>
      <c r="D502" s="7" cm="1">
        <f t="array" ref="D502">_xlfn.LET(_xlpm.x,B502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45429</v>
      </c>
      <c r="E502" s="7" t="s">
        <v>2525</v>
      </c>
      <c r="F502" s="7" cm="1">
        <f t="array" ref="F502">_xlfn.LET(_xlpm.x,E502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45434</v>
      </c>
      <c r="G502" s="8" t="str">
        <f t="shared" si="32"/>
        <v>OK</v>
      </c>
      <c r="H502" s="6">
        <f t="shared" si="33"/>
        <v>5</v>
      </c>
      <c r="I502" s="6" t="s">
        <v>2526</v>
      </c>
      <c r="J502" s="6" t="s">
        <v>245</v>
      </c>
      <c r="K502" s="6" t="str">
        <f t="shared" si="34"/>
        <v>Sneha Kapoor</v>
      </c>
      <c r="L502" s="6" t="s">
        <v>43</v>
      </c>
      <c r="M502" s="8" t="str">
        <f t="shared" si="35"/>
        <v>Consumer</v>
      </c>
      <c r="N502" s="6" t="s">
        <v>10</v>
      </c>
      <c r="O502" s="6" t="str">
        <f t="shared" si="36"/>
        <v>South</v>
      </c>
      <c r="P502" s="6" t="s">
        <v>316</v>
      </c>
      <c r="Q502" s="6" t="str">
        <f t="shared" si="37"/>
        <v>Kerala</v>
      </c>
      <c r="R502" s="6" t="s">
        <v>317</v>
      </c>
      <c r="S502" s="6" t="str">
        <f t="shared" si="38"/>
        <v>Kochi</v>
      </c>
      <c r="T502" s="6" t="s">
        <v>27</v>
      </c>
      <c r="U502" s="8" t="str">
        <f t="shared" si="39"/>
        <v>Technology</v>
      </c>
      <c r="V502" s="6" t="s">
        <v>31</v>
      </c>
      <c r="W502" s="6" t="str">
        <f t="shared" si="40"/>
        <v>Phones</v>
      </c>
      <c r="X502" s="6" t="s">
        <v>2527</v>
      </c>
      <c r="Y502" s="6" t="s">
        <v>37</v>
      </c>
      <c r="Z502" s="6" t="str">
        <f t="shared" si="41"/>
        <v>Same Day</v>
      </c>
      <c r="AA502" s="6">
        <v>9</v>
      </c>
      <c r="AB502" s="6">
        <v>3795.99</v>
      </c>
      <c r="AC502" s="6" t="s">
        <v>1255</v>
      </c>
      <c r="AD502" s="6">
        <v>34163.910000000003</v>
      </c>
      <c r="AE502" s="6">
        <v>28577.15</v>
      </c>
      <c r="AF502" s="6">
        <v>5586.76</v>
      </c>
      <c r="AG502" s="6" t="s">
        <v>52</v>
      </c>
      <c r="AH502" s="6" t="str">
        <f t="shared" si="42"/>
        <v>Paid</v>
      </c>
      <c r="AI502" s="6" t="s">
        <v>134</v>
      </c>
      <c r="AJ502" s="6" t="str">
        <f t="shared" si="43"/>
        <v>Completed</v>
      </c>
      <c r="AK502" s="9" t="str">
        <f>_xlfn.TEXTJOIN("|",FALSE,A502,TEXT(B502,"mm-dd-yyyy"),TEXT(E502,"mm-dd-yyyy"),I502,J502,L502,N502,P502,R502,T502,V502,X502,Y502,AA502,AB502,AC502,AD502,AE502,AF502,AG502,AI502)</f>
        <v>ORD-2024-10501|05-17-2024|05-22-2024|CUST-7661|Sneha Kapoor|Consumer|South|Kerala|Kochi|Technology|Phones|Prime Phones 533|Same Day|9|3795.99|85%|34163.91|28577.15|5586.76|Paid|Completed</v>
      </c>
      <c r="AL502" s="27" t="str">
        <f>IF(COUNTIF($AK$2:AK502,AK502)&gt;1,"Remove exact duplicate copy","Keep")</f>
        <v>Keep</v>
      </c>
      <c r="AM502" s="9">
        <f t="shared" si="44"/>
        <v>1</v>
      </c>
      <c r="AN502" s="9" t="str">
        <f t="shared" si="45"/>
        <v>Unique</v>
      </c>
      <c r="AO502" s="9" t="str">
        <f t="shared" si="46"/>
        <v/>
      </c>
      <c r="AP502" s="9">
        <f t="shared" si="47"/>
        <v>0.85</v>
      </c>
      <c r="AQ502" s="10">
        <f t="shared" si="48"/>
        <v>5124.5865000000003</v>
      </c>
      <c r="AR502" s="10">
        <f t="shared" si="49"/>
        <v>-23452.5635</v>
      </c>
      <c r="AS502" s="11">
        <f t="shared" si="50"/>
        <v>-4.5764791949555343</v>
      </c>
      <c r="AT502" s="9">
        <f t="shared" si="51"/>
        <v>5</v>
      </c>
      <c r="AU502" s="9">
        <f t="shared" si="52"/>
        <v>2024</v>
      </c>
      <c r="AV502" s="9" t="b">
        <f t="shared" si="53"/>
        <v>1</v>
      </c>
      <c r="AW502" s="9" t="b">
        <f t="shared" si="54"/>
        <v>1</v>
      </c>
      <c r="AX502" s="9" t="str">
        <f t="shared" si="55"/>
        <v>No</v>
      </c>
      <c r="AY502" s="9" t="str">
        <f t="shared" si="63"/>
        <v>Discount above 50%; Sales mismatch; Profit mismatch</v>
      </c>
      <c r="AZ502" s="9" t="str">
        <f>IF(OR(G502="Missing date",G502="Invalid date",G502="Ship date before order date",NOT(ISNUMBER(AP502)),AP502&lt;0,AP502&gt;0.5,AV502=TRUE,AW502=TRUE),"Invalid",IF(OR(O502="Unknown",Z502="Unknown",AC502="",AH502&lt;&gt;"Paid",AJ502&lt;&gt;"Completed",AO502&lt;&gt;""),"Warning","Clean"))</f>
        <v>Invalid</v>
      </c>
    </row>
    <row r="503" spans="1:52" ht="15.75" customHeight="1">
      <c r="A503" s="6" t="s">
        <v>2528</v>
      </c>
      <c r="B503" s="7" t="s">
        <v>2529</v>
      </c>
      <c r="C503" s="7" t="str">
        <f t="shared" si="62"/>
        <v>2024-08</v>
      </c>
      <c r="D503" s="7" cm="1">
        <f t="array" ref="D503">_xlfn.LET(_xlpm.x,B503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45515</v>
      </c>
      <c r="E503" s="7" t="s">
        <v>2530</v>
      </c>
      <c r="F503" s="7" cm="1">
        <f t="array" ref="F503">_xlfn.LET(_xlpm.x,E503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45521</v>
      </c>
      <c r="G503" s="8" t="str">
        <f t="shared" si="32"/>
        <v>OK</v>
      </c>
      <c r="H503" s="6">
        <f t="shared" si="33"/>
        <v>6</v>
      </c>
      <c r="I503" s="6" t="s">
        <v>1322</v>
      </c>
      <c r="J503" s="6" t="s">
        <v>177</v>
      </c>
      <c r="K503" s="6" t="str">
        <f t="shared" si="34"/>
        <v>Neha Gupta</v>
      </c>
      <c r="L503" s="6" t="s">
        <v>43</v>
      </c>
      <c r="M503" s="8" t="str">
        <f t="shared" si="35"/>
        <v>Consumer</v>
      </c>
      <c r="N503" s="6" t="s">
        <v>8</v>
      </c>
      <c r="O503" s="6" t="str">
        <f t="shared" si="36"/>
        <v>East</v>
      </c>
      <c r="P503" s="6" t="s">
        <v>385</v>
      </c>
      <c r="Q503" s="6" t="str">
        <f t="shared" si="37"/>
        <v>Jharkhand</v>
      </c>
      <c r="R503" s="6" t="s">
        <v>386</v>
      </c>
      <c r="S503" s="6" t="str">
        <f t="shared" si="38"/>
        <v>Ranchi</v>
      </c>
      <c r="T503" s="6" t="s">
        <v>20</v>
      </c>
      <c r="U503" s="8" t="str">
        <f t="shared" si="39"/>
        <v>Office Supplies</v>
      </c>
      <c r="V503" s="6" t="s">
        <v>21</v>
      </c>
      <c r="W503" s="6" t="str">
        <f t="shared" si="40"/>
        <v>Art</v>
      </c>
      <c r="X503" s="6" t="s">
        <v>2531</v>
      </c>
      <c r="Y503" s="6" t="s">
        <v>36</v>
      </c>
      <c r="Z503" s="6" t="str">
        <f t="shared" si="41"/>
        <v>Second Class</v>
      </c>
      <c r="AA503" s="6">
        <v>6</v>
      </c>
      <c r="AB503" s="6">
        <v>3497.54</v>
      </c>
      <c r="AC503" s="6">
        <v>0.15</v>
      </c>
      <c r="AD503" s="6">
        <v>17837.45</v>
      </c>
      <c r="AE503" s="6">
        <v>13627.02</v>
      </c>
      <c r="AF503" s="6">
        <v>4210.43</v>
      </c>
      <c r="AG503" s="6" t="s">
        <v>52</v>
      </c>
      <c r="AH503" s="6" t="str">
        <f t="shared" si="42"/>
        <v>Paid</v>
      </c>
      <c r="AI503" s="6" t="s">
        <v>134</v>
      </c>
      <c r="AJ503" s="6" t="str">
        <f t="shared" si="43"/>
        <v>Completed</v>
      </c>
      <c r="AK503" s="9" t="str">
        <f>_xlfn.TEXTJOIN("|",FALSE,A503,TEXT(B503,"mm-dd-yyyy"),TEXT(E503,"mm-dd-yyyy"),I503,J503,L503,N503,P503,R503,T503,V503,X503,Y503,AA503,AB503,AC503,AD503,AE503,AF503,AG503,AI503)</f>
        <v>ORD-2024-10502|08-11-2024|08-17-2024|CUST-3710|Neha Gupta|Consumer|East|Jharkhand|Ranchi|Office Supplies|Art|Elite Art 325|Second Class|6|3497.54|0.15|17837.45|13627.02|4210.43|Paid|Completed</v>
      </c>
      <c r="AL503" s="27" t="str">
        <f>IF(COUNTIF($AK$2:AK503,AK503)&gt;1,"Remove exact duplicate copy","Keep")</f>
        <v>Keep</v>
      </c>
      <c r="AM503" s="9">
        <f t="shared" si="44"/>
        <v>1</v>
      </c>
      <c r="AN503" s="9" t="str">
        <f t="shared" si="45"/>
        <v>Unique</v>
      </c>
      <c r="AO503" s="9" t="str">
        <f t="shared" si="46"/>
        <v/>
      </c>
      <c r="AP503" s="9">
        <f t="shared" si="47"/>
        <v>0.15</v>
      </c>
      <c r="AQ503" s="10">
        <f t="shared" si="48"/>
        <v>17837.453999999998</v>
      </c>
      <c r="AR503" s="10">
        <f t="shared" si="49"/>
        <v>4210.4339999999975</v>
      </c>
      <c r="AS503" s="11">
        <f t="shared" si="50"/>
        <v>0.23604456106796395</v>
      </c>
      <c r="AT503" s="9">
        <f t="shared" si="51"/>
        <v>8</v>
      </c>
      <c r="AU503" s="9">
        <f t="shared" si="52"/>
        <v>2024</v>
      </c>
      <c r="AV503" s="9" t="b">
        <f t="shared" si="53"/>
        <v>0</v>
      </c>
      <c r="AW503" s="9" t="b">
        <f t="shared" si="54"/>
        <v>0</v>
      </c>
      <c r="AX503" s="9" t="str">
        <f t="shared" si="55"/>
        <v>Yes</v>
      </c>
      <c r="AY503" s="9" t="str">
        <f t="shared" si="63"/>
        <v/>
      </c>
      <c r="AZ503" s="9" t="str">
        <f>IF(OR(G503="Missing date",G503="Invalid date",G503="Ship date before order date",NOT(ISNUMBER(AP503)),AP503&lt;0,AP503&gt;0.5,AV503=TRUE,AW503=TRUE),"Invalid",IF(OR(O503="Unknown",Z503="Unknown",AC503="",AH503&lt;&gt;"Paid",AJ503&lt;&gt;"Completed",AO503&lt;&gt;""),"Warning","Clean"))</f>
        <v>Clean</v>
      </c>
    </row>
    <row r="504" spans="1:52" ht="15.75" customHeight="1">
      <c r="A504" s="6" t="s">
        <v>2532</v>
      </c>
      <c r="B504" s="7" t="s">
        <v>2533</v>
      </c>
      <c r="C504" s="7" t="str">
        <f t="shared" si="62"/>
        <v>2024-04</v>
      </c>
      <c r="D504" s="7" cm="1">
        <f t="array" ref="D504">_xlfn.LET(_xlpm.x,B504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45383</v>
      </c>
      <c r="E504" s="7" t="s">
        <v>2534</v>
      </c>
      <c r="F504" s="7" cm="1">
        <f t="array" ref="F504">_xlfn.LET(_xlpm.x,E504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45391</v>
      </c>
      <c r="G504" s="8" t="str">
        <f t="shared" si="32"/>
        <v>OK</v>
      </c>
      <c r="H504" s="6">
        <f t="shared" si="33"/>
        <v>8</v>
      </c>
      <c r="I504" s="6" t="s">
        <v>2535</v>
      </c>
      <c r="J504" s="6" t="s">
        <v>220</v>
      </c>
      <c r="K504" s="6" t="str">
        <f t="shared" si="34"/>
        <v>Priya Menon</v>
      </c>
      <c r="L504" s="6" t="s">
        <v>46</v>
      </c>
      <c r="M504" s="8" t="str">
        <f t="shared" si="35"/>
        <v>Small Business</v>
      </c>
      <c r="N504" s="6" t="s">
        <v>2536</v>
      </c>
      <c r="O504" s="6" t="str">
        <f t="shared" si="36"/>
        <v>East</v>
      </c>
      <c r="P504" s="6" t="s">
        <v>140</v>
      </c>
      <c r="Q504" s="6" t="str">
        <f t="shared" si="37"/>
        <v>Odisha</v>
      </c>
      <c r="R504" s="6" t="s">
        <v>141</v>
      </c>
      <c r="S504" s="6" t="str">
        <f t="shared" si="38"/>
        <v>Bhubaneswar</v>
      </c>
      <c r="T504" s="6" t="s">
        <v>27</v>
      </c>
      <c r="U504" s="8" t="str">
        <f t="shared" si="39"/>
        <v>Technology</v>
      </c>
      <c r="V504" s="6" t="s">
        <v>29</v>
      </c>
      <c r="W504" s="6" t="str">
        <f t="shared" si="40"/>
        <v>Copiers</v>
      </c>
      <c r="X504" s="6" t="s">
        <v>2537</v>
      </c>
      <c r="Y504" s="6" t="s">
        <v>36</v>
      </c>
      <c r="Z504" s="6" t="str">
        <f t="shared" si="41"/>
        <v>Second Class</v>
      </c>
      <c r="AA504" s="6">
        <v>6</v>
      </c>
      <c r="AB504" s="6">
        <v>826.93</v>
      </c>
      <c r="AC504" s="6">
        <v>0.1</v>
      </c>
      <c r="AD504" s="6">
        <v>4465.42</v>
      </c>
      <c r="AE504" s="6">
        <v>3377.1</v>
      </c>
      <c r="AF504" s="6">
        <v>1088.32</v>
      </c>
      <c r="AG504" s="6" t="s">
        <v>52</v>
      </c>
      <c r="AH504" s="6" t="str">
        <f t="shared" si="42"/>
        <v>Paid</v>
      </c>
      <c r="AI504" s="6" t="s">
        <v>134</v>
      </c>
      <c r="AJ504" s="6" t="str">
        <f t="shared" si="43"/>
        <v>Completed</v>
      </c>
      <c r="AK504" s="9" t="str">
        <f>_xlfn.TEXTJOIN("|",FALSE,A504,TEXT(B504,"mm-dd-yyyy"),TEXT(E504,"mm-dd-yyyy"),I504,J504,L504,N504,P504,R504,T504,V504,X504,Y504,AA504,AB504,AC504,AD504,AE504,AF504,AG504,AI504)</f>
        <v>ORD-2024-10503|04-01-2024|04-09-2024|CUST-1534|Priya Menon|Small Business|  East |Odisha|Bhubaneswar|Technology|Copiers|Prime Copiers 557|Second Class|6|826.93|0.1|4465.42|3377.1|1088.32|Paid|Completed</v>
      </c>
      <c r="AL504" s="27" t="str">
        <f>IF(COUNTIF($AK$2:AK504,AK504)&gt;1,"Remove exact duplicate copy","Keep")</f>
        <v>Keep</v>
      </c>
      <c r="AM504" s="9">
        <f t="shared" si="44"/>
        <v>1</v>
      </c>
      <c r="AN504" s="9" t="str">
        <f t="shared" si="45"/>
        <v>Unique</v>
      </c>
      <c r="AO504" s="9" t="str">
        <f t="shared" si="46"/>
        <v/>
      </c>
      <c r="AP504" s="9">
        <f t="shared" si="47"/>
        <v>0.1</v>
      </c>
      <c r="AQ504" s="10">
        <f t="shared" si="48"/>
        <v>4465.4220000000005</v>
      </c>
      <c r="AR504" s="10">
        <f t="shared" si="49"/>
        <v>1088.3220000000006</v>
      </c>
      <c r="AS504" s="11">
        <f t="shared" si="50"/>
        <v>0.24372209390288319</v>
      </c>
      <c r="AT504" s="9">
        <f t="shared" si="51"/>
        <v>4</v>
      </c>
      <c r="AU504" s="9">
        <f t="shared" si="52"/>
        <v>2024</v>
      </c>
      <c r="AV504" s="9" t="b">
        <f t="shared" si="53"/>
        <v>0</v>
      </c>
      <c r="AW504" s="9" t="b">
        <f t="shared" si="54"/>
        <v>0</v>
      </c>
      <c r="AX504" s="9" t="str">
        <f t="shared" si="55"/>
        <v>Yes</v>
      </c>
      <c r="AY504" s="9" t="str">
        <f t="shared" si="63"/>
        <v/>
      </c>
      <c r="AZ504" s="9" t="str">
        <f>IF(OR(G504="Missing date",G504="Invalid date",G504="Ship date before order date",NOT(ISNUMBER(AP504)),AP504&lt;0,AP504&gt;0.5,AV504=TRUE,AW504=TRUE),"Invalid",IF(OR(O504="Unknown",Z504="Unknown",AC504="",AH504&lt;&gt;"Paid",AJ504&lt;&gt;"Completed",AO504&lt;&gt;""),"Warning","Clean"))</f>
        <v>Clean</v>
      </c>
    </row>
    <row r="505" spans="1:52" ht="15.75" customHeight="1">
      <c r="A505" s="6" t="s">
        <v>2538</v>
      </c>
      <c r="B505" s="7" t="s">
        <v>2539</v>
      </c>
      <c r="C505" s="7" t="str">
        <f t="shared" si="62"/>
        <v>2024-09</v>
      </c>
      <c r="D505" s="7" cm="1">
        <f t="array" ref="D505">_xlfn.LET(_xlpm.x,B505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45563</v>
      </c>
      <c r="E505" s="7" t="s">
        <v>2540</v>
      </c>
      <c r="F505" s="7" cm="1">
        <f t="array" ref="F505">_xlfn.LET(_xlpm.x,E505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45570</v>
      </c>
      <c r="G505" s="8" t="str">
        <f t="shared" si="32"/>
        <v>OK</v>
      </c>
      <c r="H505" s="6">
        <f t="shared" si="33"/>
        <v>7</v>
      </c>
      <c r="I505" s="6" t="s">
        <v>2541</v>
      </c>
      <c r="J505" s="6" t="s">
        <v>239</v>
      </c>
      <c r="K505" s="6" t="str">
        <f t="shared" si="34"/>
        <v>Aarav Sharma</v>
      </c>
      <c r="L505" s="6" t="s">
        <v>43</v>
      </c>
      <c r="M505" s="8" t="str">
        <f t="shared" si="35"/>
        <v>Consumer</v>
      </c>
      <c r="N505" s="6" t="s">
        <v>10</v>
      </c>
      <c r="O505" s="6" t="str">
        <f t="shared" si="36"/>
        <v>South</v>
      </c>
      <c r="P505" s="6" t="s">
        <v>413</v>
      </c>
      <c r="Q505" s="6" t="str">
        <f t="shared" si="37"/>
        <v>Tamil Nadu</v>
      </c>
      <c r="R505" s="6" t="s">
        <v>414</v>
      </c>
      <c r="S505" s="6" t="str">
        <f t="shared" si="38"/>
        <v>Chennai</v>
      </c>
      <c r="T505" s="6" t="s">
        <v>27</v>
      </c>
      <c r="U505" s="8" t="str">
        <f t="shared" si="39"/>
        <v>Technology</v>
      </c>
      <c r="V505" s="6" t="s">
        <v>31</v>
      </c>
      <c r="W505" s="6" t="str">
        <f t="shared" si="40"/>
        <v>Phones</v>
      </c>
      <c r="X505" s="6" t="s">
        <v>2542</v>
      </c>
      <c r="Y505" s="6" t="s">
        <v>34</v>
      </c>
      <c r="Z505" s="6" t="str">
        <f t="shared" si="41"/>
        <v>Standard Class</v>
      </c>
      <c r="AA505" s="6">
        <v>7</v>
      </c>
      <c r="AB505" s="6">
        <v>1681.6</v>
      </c>
      <c r="AC505" s="6">
        <v>0.1</v>
      </c>
      <c r="AD505" s="6">
        <v>10594.08</v>
      </c>
      <c r="AE505" s="6">
        <v>7160.31</v>
      </c>
      <c r="AF505" s="6">
        <v>3433.77</v>
      </c>
      <c r="AG505" s="6" t="s">
        <v>52</v>
      </c>
      <c r="AH505" s="6" t="str">
        <f t="shared" si="42"/>
        <v>Paid</v>
      </c>
      <c r="AI505" s="6" t="s">
        <v>134</v>
      </c>
      <c r="AJ505" s="6" t="str">
        <f t="shared" si="43"/>
        <v>Completed</v>
      </c>
      <c r="AK505" s="9" t="str">
        <f>_xlfn.TEXTJOIN("|",FALSE,A505,TEXT(B505,"mm-dd-yyyy"),TEXT(E505,"mm-dd-yyyy"),I505,J505,L505,N505,P505,R505,T505,V505,X505,Y505,AA505,AB505,AC505,AD505,AE505,AF505,AG505,AI505)</f>
        <v>ORD-2024-10504|09-28-2024|10-05-2024|CUST-7422|Aarav Sharma|Consumer|South|Tamil Nadu|Chennai|Technology|Phones|Smart Phones 674|Standard Class|7|1681.6|0.1|10594.08|7160.31|3433.77|Paid|Completed</v>
      </c>
      <c r="AL505" s="27" t="str">
        <f>IF(COUNTIF($AK$2:AK505,AK505)&gt;1,"Remove exact duplicate copy","Keep")</f>
        <v>Keep</v>
      </c>
      <c r="AM505" s="9">
        <f t="shared" si="44"/>
        <v>1</v>
      </c>
      <c r="AN505" s="9" t="str">
        <f t="shared" si="45"/>
        <v>Unique</v>
      </c>
      <c r="AO505" s="9" t="str">
        <f t="shared" si="46"/>
        <v/>
      </c>
      <c r="AP505" s="9">
        <f t="shared" si="47"/>
        <v>0.1</v>
      </c>
      <c r="AQ505" s="10">
        <f t="shared" si="48"/>
        <v>10594.08</v>
      </c>
      <c r="AR505" s="10">
        <f t="shared" si="49"/>
        <v>3433.7699999999995</v>
      </c>
      <c r="AS505" s="11">
        <f t="shared" si="50"/>
        <v>0.32412158488514337</v>
      </c>
      <c r="AT505" s="9">
        <f t="shared" si="51"/>
        <v>9</v>
      </c>
      <c r="AU505" s="9">
        <f t="shared" si="52"/>
        <v>2024</v>
      </c>
      <c r="AV505" s="9" t="b">
        <f t="shared" si="53"/>
        <v>0</v>
      </c>
      <c r="AW505" s="9" t="b">
        <f t="shared" si="54"/>
        <v>0</v>
      </c>
      <c r="AX505" s="9" t="str">
        <f t="shared" si="55"/>
        <v>Yes</v>
      </c>
      <c r="AY505" s="9" t="str">
        <f t="shared" si="63"/>
        <v/>
      </c>
      <c r="AZ505" s="9" t="str">
        <f>IF(OR(G505="Missing date",G505="Invalid date",G505="Ship date before order date",NOT(ISNUMBER(AP505)),AP505&lt;0,AP505&gt;0.5,AV505=TRUE,AW505=TRUE),"Invalid",IF(OR(O505="Unknown",Z505="Unknown",AC505="",AH505&lt;&gt;"Paid",AJ505&lt;&gt;"Completed",AO505&lt;&gt;""),"Warning","Clean"))</f>
        <v>Clean</v>
      </c>
    </row>
    <row r="506" spans="1:52" ht="15.75" customHeight="1">
      <c r="A506" s="6" t="s">
        <v>2543</v>
      </c>
      <c r="B506" s="7" t="s">
        <v>2544</v>
      </c>
      <c r="C506" s="7" t="str">
        <f t="shared" si="62"/>
        <v>2025-02</v>
      </c>
      <c r="D506" s="7" cm="1">
        <f t="array" ref="D506">_xlfn.LET(_xlpm.x,B506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45700</v>
      </c>
      <c r="E506" s="7" t="s">
        <v>2545</v>
      </c>
      <c r="F506" s="7" cm="1">
        <f t="array" ref="F506">_xlfn.LET(_xlpm.x,E506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45705</v>
      </c>
      <c r="G506" s="8" t="str">
        <f t="shared" si="32"/>
        <v>OK</v>
      </c>
      <c r="H506" s="6">
        <f t="shared" si="33"/>
        <v>5</v>
      </c>
      <c r="I506" s="6" t="s">
        <v>2546</v>
      </c>
      <c r="J506" s="6" t="s">
        <v>153</v>
      </c>
      <c r="K506" s="6" t="str">
        <f t="shared" si="34"/>
        <v>Arjun Bose</v>
      </c>
      <c r="L506" s="6" t="s">
        <v>45</v>
      </c>
      <c r="M506" s="8" t="str">
        <f t="shared" si="35"/>
        <v>Corporate</v>
      </c>
      <c r="N506" s="6" t="s">
        <v>9</v>
      </c>
      <c r="O506" s="6" t="str">
        <f t="shared" si="36"/>
        <v>West</v>
      </c>
      <c r="P506" s="6" t="s">
        <v>309</v>
      </c>
      <c r="Q506" s="6" t="str">
        <f t="shared" si="37"/>
        <v>Gujarat</v>
      </c>
      <c r="R506" s="6" t="s">
        <v>310</v>
      </c>
      <c r="S506" s="6" t="str">
        <f t="shared" si="38"/>
        <v>Ahmedabad</v>
      </c>
      <c r="T506" s="6" t="s">
        <v>20</v>
      </c>
      <c r="U506" s="8" t="str">
        <f t="shared" si="39"/>
        <v>Office Supplies</v>
      </c>
      <c r="V506" s="6" t="s">
        <v>21</v>
      </c>
      <c r="W506" s="6" t="str">
        <f t="shared" si="40"/>
        <v>Art</v>
      </c>
      <c r="X506" s="6" t="s">
        <v>2547</v>
      </c>
      <c r="Y506" s="6" t="s">
        <v>34</v>
      </c>
      <c r="Z506" s="6" t="str">
        <f t="shared" si="41"/>
        <v>Standard Class</v>
      </c>
      <c r="AA506" s="6">
        <v>4</v>
      </c>
      <c r="AB506" s="6">
        <v>4328.12</v>
      </c>
      <c r="AC506" s="6">
        <v>0</v>
      </c>
      <c r="AD506" s="6">
        <v>17312.48</v>
      </c>
      <c r="AE506" s="6">
        <v>14424.22</v>
      </c>
      <c r="AF506" s="6">
        <v>2888.26</v>
      </c>
      <c r="AG506" s="6" t="s">
        <v>52</v>
      </c>
      <c r="AH506" s="6" t="str">
        <f t="shared" si="42"/>
        <v>Paid</v>
      </c>
      <c r="AI506" s="6" t="s">
        <v>134</v>
      </c>
      <c r="AJ506" s="6" t="str">
        <f t="shared" si="43"/>
        <v>Completed</v>
      </c>
      <c r="AK506" s="9" t="str">
        <f>_xlfn.TEXTJOIN("|",FALSE,A506,TEXT(B506,"mm-dd-yyyy"),TEXT(E506,"mm-dd-yyyy"),I506,J506,L506,N506,P506,R506,T506,V506,X506,Y506,AA506,AB506,AC506,AD506,AE506,AF506,AG506,AI506)</f>
        <v>ORD-2025-10505|02-12-2025|02-17-2025|CUST-9693|Arjun Bose|Corporate|West|Gujarat|Ahmedabad|Office Supplies|Art|Elite Art 553|Standard Class|4|4328.12|0|17312.48|14424.22|2888.26|Paid|Completed</v>
      </c>
      <c r="AL506" s="27" t="str">
        <f>IF(COUNTIF($AK$2:AK506,AK506)&gt;1,"Remove exact duplicate copy","Keep")</f>
        <v>Keep</v>
      </c>
      <c r="AM506" s="9">
        <f t="shared" si="44"/>
        <v>1</v>
      </c>
      <c r="AN506" s="9" t="str">
        <f t="shared" si="45"/>
        <v>Unique</v>
      </c>
      <c r="AO506" s="9" t="str">
        <f t="shared" si="46"/>
        <v/>
      </c>
      <c r="AP506" s="9">
        <f t="shared" si="47"/>
        <v>0</v>
      </c>
      <c r="AQ506" s="10">
        <f t="shared" si="48"/>
        <v>17312.48</v>
      </c>
      <c r="AR506" s="10">
        <f t="shared" si="49"/>
        <v>2888.26</v>
      </c>
      <c r="AS506" s="11">
        <f t="shared" si="50"/>
        <v>0.16683109525613893</v>
      </c>
      <c r="AT506" s="9">
        <f t="shared" si="51"/>
        <v>2</v>
      </c>
      <c r="AU506" s="9">
        <f t="shared" si="52"/>
        <v>2025</v>
      </c>
      <c r="AV506" s="9" t="b">
        <f t="shared" si="53"/>
        <v>0</v>
      </c>
      <c r="AW506" s="9" t="b">
        <f t="shared" si="54"/>
        <v>0</v>
      </c>
      <c r="AX506" s="9" t="str">
        <f t="shared" si="55"/>
        <v>Yes</v>
      </c>
      <c r="AY506" s="9" t="str">
        <f t="shared" si="63"/>
        <v/>
      </c>
      <c r="AZ506" s="9" t="str">
        <f>IF(OR(G506="Missing date",G506="Invalid date",G506="Ship date before order date",NOT(ISNUMBER(AP506)),AP506&lt;0,AP506&gt;0.5,AV506=TRUE,AW506=TRUE),"Invalid",IF(OR(O506="Unknown",Z506="Unknown",AC506="",AH506&lt;&gt;"Paid",AJ506&lt;&gt;"Completed",AO506&lt;&gt;""),"Warning","Clean"))</f>
        <v>Clean</v>
      </c>
    </row>
    <row r="507" spans="1:52" ht="15.75" customHeight="1">
      <c r="A507" s="6" t="s">
        <v>2548</v>
      </c>
      <c r="B507" s="7" t="s">
        <v>2549</v>
      </c>
      <c r="C507" s="7" t="str">
        <f t="shared" si="62"/>
        <v>2024-11</v>
      </c>
      <c r="D507" s="7" cm="1">
        <f t="array" ref="D507">_xlfn.LET(_xlpm.x,B507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45605</v>
      </c>
      <c r="E507" s="7" t="s">
        <v>1465</v>
      </c>
      <c r="F507" s="7" cm="1">
        <f t="array" ref="F507">_xlfn.LET(_xlpm.x,E507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45610</v>
      </c>
      <c r="G507" s="8" t="str">
        <f t="shared" si="32"/>
        <v>OK</v>
      </c>
      <c r="H507" s="6">
        <f t="shared" si="33"/>
        <v>5</v>
      </c>
      <c r="I507" s="6" t="s">
        <v>2550</v>
      </c>
      <c r="J507" s="6" t="s">
        <v>177</v>
      </c>
      <c r="K507" s="6" t="str">
        <f t="shared" si="34"/>
        <v>Neha Gupta</v>
      </c>
      <c r="L507" s="6" t="s">
        <v>45</v>
      </c>
      <c r="M507" s="8" t="str">
        <f t="shared" si="35"/>
        <v>Corporate</v>
      </c>
      <c r="N507" s="6" t="s">
        <v>9</v>
      </c>
      <c r="O507" s="6" t="str">
        <f t="shared" si="36"/>
        <v>West</v>
      </c>
      <c r="P507" s="6" t="s">
        <v>170</v>
      </c>
      <c r="Q507" s="6" t="str">
        <f t="shared" si="37"/>
        <v>Madhya Pradesh</v>
      </c>
      <c r="R507" s="6" t="s">
        <v>171</v>
      </c>
      <c r="S507" s="6" t="str">
        <f t="shared" si="38"/>
        <v>Indore</v>
      </c>
      <c r="T507" s="6" t="s">
        <v>20</v>
      </c>
      <c r="U507" s="8" t="str">
        <f t="shared" si="39"/>
        <v>Office Supplies</v>
      </c>
      <c r="V507" s="6" t="s">
        <v>21</v>
      </c>
      <c r="W507" s="6" t="str">
        <f t="shared" si="40"/>
        <v>Art</v>
      </c>
      <c r="X507" s="6" t="s">
        <v>2551</v>
      </c>
      <c r="Y507" s="6" t="s">
        <v>35</v>
      </c>
      <c r="Z507" s="6" t="str">
        <f t="shared" si="41"/>
        <v>First Class</v>
      </c>
      <c r="AA507" s="6">
        <v>9</v>
      </c>
      <c r="AB507" s="6">
        <v>2438.29</v>
      </c>
      <c r="AC507" s="6">
        <v>0.2</v>
      </c>
      <c r="AD507" s="6">
        <v>17555.689999999999</v>
      </c>
      <c r="AE507" s="6">
        <v>13293.2</v>
      </c>
      <c r="AF507" s="6">
        <v>4262.49</v>
      </c>
      <c r="AG507" s="6" t="s">
        <v>52</v>
      </c>
      <c r="AH507" s="6" t="str">
        <f t="shared" si="42"/>
        <v>Paid</v>
      </c>
      <c r="AI507" s="6" t="s">
        <v>58</v>
      </c>
      <c r="AJ507" s="6" t="str">
        <f t="shared" si="43"/>
        <v>Cancelled</v>
      </c>
      <c r="AK507" s="9" t="str">
        <f>_xlfn.TEXTJOIN("|",FALSE,A507,TEXT(B507,"mm-dd-yyyy"),TEXT(E507,"mm-dd-yyyy"),I507,J507,L507,N507,P507,R507,T507,V507,X507,Y507,AA507,AB507,AC507,AD507,AE507,AF507,AG507,AI507)</f>
        <v>ORD-2024-10506|11-09-2024|11-14-2024|CUST-5458|Neha Gupta|Corporate|West|Madhya Pradesh|Indore|Office Supplies|Art|Classic Art 339|First Class|9|2438.29|0.2|17555.69|13293.2|4262.49|Paid|Cancelled</v>
      </c>
      <c r="AL507" s="27" t="str">
        <f>IF(COUNTIF($AK$2:AK507,AK507)&gt;1,"Remove exact duplicate copy","Keep")</f>
        <v>Keep</v>
      </c>
      <c r="AM507" s="9">
        <f t="shared" si="44"/>
        <v>1</v>
      </c>
      <c r="AN507" s="9" t="str">
        <f t="shared" si="45"/>
        <v>Unique</v>
      </c>
      <c r="AO507" s="9" t="str">
        <f t="shared" si="46"/>
        <v/>
      </c>
      <c r="AP507" s="9">
        <f t="shared" si="47"/>
        <v>0.2</v>
      </c>
      <c r="AQ507" s="10">
        <f t="shared" si="48"/>
        <v>17555.688000000002</v>
      </c>
      <c r="AR507" s="10">
        <f t="shared" si="49"/>
        <v>4262.4880000000012</v>
      </c>
      <c r="AS507" s="11">
        <f t="shared" si="50"/>
        <v>0.24279811762432785</v>
      </c>
      <c r="AT507" s="9">
        <f t="shared" si="51"/>
        <v>11</v>
      </c>
      <c r="AU507" s="9">
        <f t="shared" si="52"/>
        <v>2024</v>
      </c>
      <c r="AV507" s="9" t="b">
        <f t="shared" si="53"/>
        <v>0</v>
      </c>
      <c r="AW507" s="9" t="b">
        <f t="shared" si="54"/>
        <v>0</v>
      </c>
      <c r="AX507" s="9" t="str">
        <f t="shared" si="55"/>
        <v>No</v>
      </c>
      <c r="AY507" s="9" t="str">
        <f t="shared" si="63"/>
        <v>Cancelled order excluded</v>
      </c>
      <c r="AZ507" s="9" t="str">
        <f>IF(OR(G507="Missing date",G507="Invalid date",G507="Ship date before order date",NOT(ISNUMBER(AP507)),AP507&lt;0,AP507&gt;0.5,AV507=TRUE,AW507=TRUE),"Invalid",IF(OR(O507="Unknown",Z507="Unknown",AC507="",AH507&lt;&gt;"Paid",AJ507&lt;&gt;"Completed",AO507&lt;&gt;""),"Warning","Clean"))</f>
        <v>Warning</v>
      </c>
    </row>
    <row r="508" spans="1:52" ht="15.75" customHeight="1">
      <c r="A508" s="6" t="s">
        <v>2552</v>
      </c>
      <c r="B508" s="7" t="s">
        <v>2553</v>
      </c>
      <c r="C508" s="7" t="str">
        <f t="shared" si="62"/>
        <v>2024-12</v>
      </c>
      <c r="D508" s="7" cm="1">
        <f t="array" ref="D508">_xlfn.LET(_xlpm.x,B508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45641</v>
      </c>
      <c r="E508" s="7" t="s">
        <v>2554</v>
      </c>
      <c r="F508" s="7" cm="1">
        <f t="array" ref="F508">_xlfn.LET(_xlpm.x,E508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45641</v>
      </c>
      <c r="G508" s="8" t="str">
        <f t="shared" si="32"/>
        <v>OK</v>
      </c>
      <c r="H508" s="6">
        <f t="shared" si="33"/>
        <v>0</v>
      </c>
      <c r="I508" s="6" t="s">
        <v>2555</v>
      </c>
      <c r="J508" s="6" t="s">
        <v>239</v>
      </c>
      <c r="K508" s="6" t="str">
        <f t="shared" si="34"/>
        <v>Aarav Sharma</v>
      </c>
      <c r="L508" s="6" t="s">
        <v>46</v>
      </c>
      <c r="M508" s="8" t="str">
        <f t="shared" si="35"/>
        <v>Small Business</v>
      </c>
      <c r="N508" s="6" t="s">
        <v>7</v>
      </c>
      <c r="O508" s="6" t="str">
        <f t="shared" si="36"/>
        <v>North</v>
      </c>
      <c r="P508" s="6" t="s">
        <v>232</v>
      </c>
      <c r="Q508" s="6" t="str">
        <f t="shared" si="37"/>
        <v>Punjab</v>
      </c>
      <c r="R508" s="6" t="s">
        <v>233</v>
      </c>
      <c r="S508" s="6" t="str">
        <f t="shared" si="38"/>
        <v>Ludhiana</v>
      </c>
      <c r="T508" s="6" t="s">
        <v>14</v>
      </c>
      <c r="U508" s="8" t="str">
        <f t="shared" si="39"/>
        <v>Furniture</v>
      </c>
      <c r="V508" s="6" t="s">
        <v>17</v>
      </c>
      <c r="W508" s="6" t="str">
        <f t="shared" si="40"/>
        <v>Furnishings</v>
      </c>
      <c r="X508" s="6" t="s">
        <v>2556</v>
      </c>
      <c r="Y508" s="6" t="s">
        <v>35</v>
      </c>
      <c r="Z508" s="6" t="str">
        <f t="shared" si="41"/>
        <v>First Class</v>
      </c>
      <c r="AA508" s="6">
        <v>2</v>
      </c>
      <c r="AB508" s="6">
        <v>669.8</v>
      </c>
      <c r="AC508" s="6">
        <v>0.1</v>
      </c>
      <c r="AD508" s="6">
        <v>1205.6400000000001</v>
      </c>
      <c r="AE508" s="6">
        <v>842.07</v>
      </c>
      <c r="AF508" s="6">
        <v>363.57</v>
      </c>
      <c r="AG508" s="6" t="s">
        <v>56</v>
      </c>
      <c r="AH508" s="6" t="str">
        <f t="shared" si="42"/>
        <v>Refunded</v>
      </c>
      <c r="AI508" s="6" t="s">
        <v>59</v>
      </c>
      <c r="AJ508" s="6" t="str">
        <f t="shared" si="43"/>
        <v>Returned</v>
      </c>
      <c r="AK508" s="9" t="str">
        <f>_xlfn.TEXTJOIN("|",FALSE,A508,TEXT(B508,"mm-dd-yyyy"),TEXT(E508,"mm-dd-yyyy"),I508,J508,L508,N508,P508,R508,T508,V508,X508,Y508,AA508,AB508,AC508,AD508,AE508,AF508,AG508,AI508)</f>
        <v>ORD-2024-10507|15-12-2024|12-15-2024|CUST-3011|Aarav Sharma|Small Business|North|Punjab|Ludhiana|Furniture|Furnishings|Smart Furnishings 352|First Class|2|669.8|0.1|1205.64|842.07|363.57|Refunded|Returned</v>
      </c>
      <c r="AL508" s="27" t="str">
        <f>IF(COUNTIF($AK$2:AK508,AK508)&gt;1,"Remove exact duplicate copy","Keep")</f>
        <v>Keep</v>
      </c>
      <c r="AM508" s="9">
        <f t="shared" si="44"/>
        <v>1</v>
      </c>
      <c r="AN508" s="9" t="str">
        <f t="shared" si="45"/>
        <v>Unique</v>
      </c>
      <c r="AO508" s="9" t="str">
        <f t="shared" si="46"/>
        <v/>
      </c>
      <c r="AP508" s="9">
        <f t="shared" si="47"/>
        <v>0.1</v>
      </c>
      <c r="AQ508" s="10">
        <f t="shared" si="48"/>
        <v>1205.6399999999999</v>
      </c>
      <c r="AR508" s="10">
        <f t="shared" si="49"/>
        <v>363.56999999999982</v>
      </c>
      <c r="AS508" s="11">
        <f t="shared" si="50"/>
        <v>0.30155767890912699</v>
      </c>
      <c r="AT508" s="9">
        <f t="shared" si="51"/>
        <v>12</v>
      </c>
      <c r="AU508" s="9">
        <f t="shared" si="52"/>
        <v>2024</v>
      </c>
      <c r="AV508" s="9" t="b">
        <f t="shared" si="53"/>
        <v>0</v>
      </c>
      <c r="AW508" s="9" t="b">
        <f t="shared" si="54"/>
        <v>0</v>
      </c>
      <c r="AX508" s="9" t="str">
        <f t="shared" si="55"/>
        <v>No</v>
      </c>
      <c r="AY508" s="9" t="str">
        <f t="shared" si="63"/>
        <v>Refunded order summarized separately; Returned order excluded</v>
      </c>
      <c r="AZ508" s="9" t="str">
        <f>IF(OR(G508="Missing date",G508="Invalid date",G508="Ship date before order date",NOT(ISNUMBER(AP508)),AP508&lt;0,AP508&gt;0.5,AV508=TRUE,AW508=TRUE),"Invalid",IF(OR(O508="Unknown",Z508="Unknown",AC508="",AH508&lt;&gt;"Paid",AJ508&lt;&gt;"Completed",AO508&lt;&gt;""),"Warning","Clean"))</f>
        <v>Warning</v>
      </c>
    </row>
    <row r="509" spans="1:52" ht="15.75" customHeight="1">
      <c r="A509" s="6" t="s">
        <v>2557</v>
      </c>
      <c r="B509" s="7" t="s">
        <v>2232</v>
      </c>
      <c r="C509" s="7" t="str">
        <f t="shared" si="62"/>
        <v>2025-04</v>
      </c>
      <c r="D509" s="7" cm="1">
        <f t="array" ref="D509">_xlfn.LET(_xlpm.x,B509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45762</v>
      </c>
      <c r="E509" s="7" t="s">
        <v>2197</v>
      </c>
      <c r="F509" s="7" cm="1">
        <f t="array" ref="F509">_xlfn.LET(_xlpm.x,E509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45769</v>
      </c>
      <c r="G509" s="8" t="str">
        <f t="shared" si="32"/>
        <v>OK</v>
      </c>
      <c r="H509" s="6">
        <f t="shared" si="33"/>
        <v>7</v>
      </c>
      <c r="I509" s="6" t="s">
        <v>2558</v>
      </c>
      <c r="J509" s="6" t="s">
        <v>147</v>
      </c>
      <c r="K509" s="6" t="str">
        <f t="shared" si="34"/>
        <v>Isha Nair</v>
      </c>
      <c r="L509" s="6" t="s">
        <v>46</v>
      </c>
      <c r="M509" s="8" t="str">
        <f t="shared" si="35"/>
        <v>Small Business</v>
      </c>
      <c r="N509" s="6" t="s">
        <v>7</v>
      </c>
      <c r="O509" s="6" t="str">
        <f t="shared" si="36"/>
        <v>North</v>
      </c>
      <c r="P509" s="6" t="s">
        <v>397</v>
      </c>
      <c r="Q509" s="6" t="str">
        <f t="shared" si="37"/>
        <v>Haryana</v>
      </c>
      <c r="R509" s="6" t="s">
        <v>398</v>
      </c>
      <c r="S509" s="6" t="str">
        <f t="shared" si="38"/>
        <v>Gurugram</v>
      </c>
      <c r="T509" s="6" t="s">
        <v>20</v>
      </c>
      <c r="U509" s="8" t="str">
        <f t="shared" si="39"/>
        <v>Office Supplies</v>
      </c>
      <c r="V509" s="6" t="s">
        <v>22</v>
      </c>
      <c r="W509" s="6" t="str">
        <f t="shared" si="40"/>
        <v>Binders</v>
      </c>
      <c r="X509" s="6" t="s">
        <v>2559</v>
      </c>
      <c r="Y509" s="6" t="s">
        <v>37</v>
      </c>
      <c r="Z509" s="6" t="str">
        <f t="shared" si="41"/>
        <v>Same Day</v>
      </c>
      <c r="AA509" s="6">
        <v>4</v>
      </c>
      <c r="AB509" s="6">
        <v>2990.42</v>
      </c>
      <c r="AC509" s="6">
        <v>0.25</v>
      </c>
      <c r="AD509" s="6">
        <v>8971.26</v>
      </c>
      <c r="AE509" s="6">
        <v>6814.35</v>
      </c>
      <c r="AF509" s="6">
        <v>2156.91</v>
      </c>
      <c r="AG509" s="6" t="s">
        <v>52</v>
      </c>
      <c r="AH509" s="6" t="str">
        <f t="shared" si="42"/>
        <v>Paid</v>
      </c>
      <c r="AI509" s="6" t="s">
        <v>134</v>
      </c>
      <c r="AJ509" s="6" t="str">
        <f t="shared" si="43"/>
        <v>Completed</v>
      </c>
      <c r="AK509" s="9" t="str">
        <f>_xlfn.TEXTJOIN("|",FALSE,A509,TEXT(B509,"mm-dd-yyyy"),TEXT(E509,"mm-dd-yyyy"),I509,J509,L509,N509,P509,R509,T509,V509,X509,Y509,AA509,AB509,AC509,AD509,AE509,AF509,AG509,AI509)</f>
        <v>ORD-2025-10508|04-15-2025|04-22-2025|CUST-1826|Isha Nair|Small Business|North|Haryana|Gurugram|Office Supplies|Binders|Classic Binders 602|Same Day|4|2990.42|0.25|8971.26|6814.35|2156.91|Paid|Completed</v>
      </c>
      <c r="AL509" s="27" t="str">
        <f>IF(COUNTIF($AK$2:AK509,AK509)&gt;1,"Remove exact duplicate copy","Keep")</f>
        <v>Keep</v>
      </c>
      <c r="AM509" s="9">
        <f t="shared" si="44"/>
        <v>1</v>
      </c>
      <c r="AN509" s="9" t="str">
        <f t="shared" si="45"/>
        <v>Unique</v>
      </c>
      <c r="AO509" s="9" t="str">
        <f t="shared" si="46"/>
        <v/>
      </c>
      <c r="AP509" s="9">
        <f t="shared" si="47"/>
        <v>0.25</v>
      </c>
      <c r="AQ509" s="10">
        <f t="shared" si="48"/>
        <v>8971.26</v>
      </c>
      <c r="AR509" s="10">
        <f t="shared" si="49"/>
        <v>2156.91</v>
      </c>
      <c r="AS509" s="11">
        <f t="shared" si="50"/>
        <v>0.24042442198754688</v>
      </c>
      <c r="AT509" s="9">
        <f t="shared" si="51"/>
        <v>4</v>
      </c>
      <c r="AU509" s="9">
        <f t="shared" si="52"/>
        <v>2025</v>
      </c>
      <c r="AV509" s="9" t="b">
        <f t="shared" si="53"/>
        <v>0</v>
      </c>
      <c r="AW509" s="9" t="b">
        <f t="shared" si="54"/>
        <v>0</v>
      </c>
      <c r="AX509" s="9" t="str">
        <f t="shared" si="55"/>
        <v>Yes</v>
      </c>
      <c r="AY509" s="9" t="str">
        <f t="shared" si="63"/>
        <v/>
      </c>
      <c r="AZ509" s="9" t="str">
        <f>IF(OR(G509="Missing date",G509="Invalid date",G509="Ship date before order date",NOT(ISNUMBER(AP509)),AP509&lt;0,AP509&gt;0.5,AV509=TRUE,AW509=TRUE),"Invalid",IF(OR(O509="Unknown",Z509="Unknown",AC509="",AH509&lt;&gt;"Paid",AJ509&lt;&gt;"Completed",AO509&lt;&gt;""),"Warning","Clean"))</f>
        <v>Clean</v>
      </c>
    </row>
    <row r="510" spans="1:52" ht="15.75" customHeight="1">
      <c r="A510" s="6" t="s">
        <v>2560</v>
      </c>
      <c r="B510" s="7" t="s">
        <v>2561</v>
      </c>
      <c r="C510" s="7" t="str">
        <f t="shared" si="62"/>
        <v>2024-03</v>
      </c>
      <c r="D510" s="7" cm="1">
        <f t="array" ref="D510">_xlfn.LET(_xlpm.x,B510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45382</v>
      </c>
      <c r="E510" s="7" t="s">
        <v>1505</v>
      </c>
      <c r="F510" s="7" cm="1">
        <f t="array" ref="F510">_xlfn.LET(_xlpm.x,E510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45389</v>
      </c>
      <c r="G510" s="8" t="str">
        <f t="shared" si="32"/>
        <v>OK</v>
      </c>
      <c r="H510" s="6">
        <f t="shared" si="33"/>
        <v>7</v>
      </c>
      <c r="I510" s="6" t="s">
        <v>2562</v>
      </c>
      <c r="J510" s="6" t="s">
        <v>147</v>
      </c>
      <c r="K510" s="6" t="str">
        <f t="shared" si="34"/>
        <v>Isha Nair</v>
      </c>
      <c r="L510" s="6" t="s">
        <v>46</v>
      </c>
      <c r="M510" s="8" t="str">
        <f t="shared" si="35"/>
        <v>Small Business</v>
      </c>
      <c r="N510" s="6" t="s">
        <v>7</v>
      </c>
      <c r="O510" s="6" t="str">
        <f t="shared" si="36"/>
        <v>North</v>
      </c>
      <c r="P510" s="6" t="s">
        <v>397</v>
      </c>
      <c r="Q510" s="6" t="str">
        <f t="shared" si="37"/>
        <v>Haryana</v>
      </c>
      <c r="R510" s="6" t="s">
        <v>398</v>
      </c>
      <c r="S510" s="6" t="str">
        <f t="shared" si="38"/>
        <v>Gurugram</v>
      </c>
      <c r="T510" s="6" t="s">
        <v>27</v>
      </c>
      <c r="U510" s="8" t="str">
        <f t="shared" si="39"/>
        <v>Technology</v>
      </c>
      <c r="V510" s="6" t="s">
        <v>30</v>
      </c>
      <c r="W510" s="6" t="str">
        <f t="shared" si="40"/>
        <v>Machines</v>
      </c>
      <c r="X510" s="6" t="s">
        <v>2563</v>
      </c>
      <c r="Y510" s="6" t="s">
        <v>36</v>
      </c>
      <c r="Z510" s="6" t="str">
        <f t="shared" si="41"/>
        <v>Second Class</v>
      </c>
      <c r="AA510" s="6">
        <v>4</v>
      </c>
      <c r="AB510" s="6">
        <v>1831</v>
      </c>
      <c r="AC510" s="6">
        <v>0</v>
      </c>
      <c r="AD510" s="6">
        <v>7324</v>
      </c>
      <c r="AE510" s="6">
        <v>4179.63</v>
      </c>
      <c r="AF510" s="6">
        <v>3144.37</v>
      </c>
      <c r="AG510" s="6" t="s">
        <v>52</v>
      </c>
      <c r="AH510" s="6" t="str">
        <f t="shared" si="42"/>
        <v>Paid</v>
      </c>
      <c r="AI510" s="6" t="s">
        <v>134</v>
      </c>
      <c r="AJ510" s="6" t="str">
        <f t="shared" si="43"/>
        <v>Completed</v>
      </c>
      <c r="AK510" s="9" t="str">
        <f>_xlfn.TEXTJOIN("|",FALSE,A510,TEXT(B510,"mm-dd-yyyy"),TEXT(E510,"mm-dd-yyyy"),I510,J510,L510,N510,P510,R510,T510,V510,X510,Y510,AA510,AB510,AC510,AD510,AE510,AF510,AG510,AI510)</f>
        <v>ORD-2024-10509|03-31-2024|07-04-2024|CUST-3333|Isha Nair|Small Business|North|Haryana|Gurugram|Technology|Machines|Smart Machines 853|Second Class|4|1831|0|7324|4179.63|3144.37|Paid|Completed</v>
      </c>
      <c r="AL510" s="27" t="str">
        <f>IF(COUNTIF($AK$2:AK510,AK510)&gt;1,"Remove exact duplicate copy","Keep")</f>
        <v>Keep</v>
      </c>
      <c r="AM510" s="9">
        <f t="shared" si="44"/>
        <v>1</v>
      </c>
      <c r="AN510" s="9" t="str">
        <f t="shared" si="45"/>
        <v>Unique</v>
      </c>
      <c r="AO510" s="9" t="str">
        <f t="shared" si="46"/>
        <v/>
      </c>
      <c r="AP510" s="9">
        <f t="shared" si="47"/>
        <v>0</v>
      </c>
      <c r="AQ510" s="10">
        <f t="shared" si="48"/>
        <v>7324</v>
      </c>
      <c r="AR510" s="10">
        <f t="shared" si="49"/>
        <v>3144.37</v>
      </c>
      <c r="AS510" s="11">
        <f t="shared" si="50"/>
        <v>0.42932413981430911</v>
      </c>
      <c r="AT510" s="9">
        <f t="shared" si="51"/>
        <v>3</v>
      </c>
      <c r="AU510" s="9">
        <f t="shared" si="52"/>
        <v>2024</v>
      </c>
      <c r="AV510" s="9" t="b">
        <f t="shared" si="53"/>
        <v>0</v>
      </c>
      <c r="AW510" s="9" t="b">
        <f t="shared" si="54"/>
        <v>0</v>
      </c>
      <c r="AX510" s="9" t="str">
        <f t="shared" si="55"/>
        <v>Yes</v>
      </c>
      <c r="AY510" s="9" t="str">
        <f t="shared" si="63"/>
        <v/>
      </c>
      <c r="AZ510" s="9" t="str">
        <f>IF(OR(G510="Missing date",G510="Invalid date",G510="Ship date before order date",NOT(ISNUMBER(AP510)),AP510&lt;0,AP510&gt;0.5,AV510=TRUE,AW510=TRUE),"Invalid",IF(OR(O510="Unknown",Z510="Unknown",AC510="",AH510&lt;&gt;"Paid",AJ510&lt;&gt;"Completed",AO510&lt;&gt;""),"Warning","Clean"))</f>
        <v>Clean</v>
      </c>
    </row>
    <row r="511" spans="1:52" ht="15.75" customHeight="1">
      <c r="A511" s="6" t="s">
        <v>2564</v>
      </c>
      <c r="B511" s="7" t="s">
        <v>2565</v>
      </c>
      <c r="C511" s="7" t="str">
        <f t="shared" si="62"/>
        <v>2025-05</v>
      </c>
      <c r="D511" s="7" cm="1">
        <f t="array" ref="D511">_xlfn.LET(_xlpm.x,B511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45789</v>
      </c>
      <c r="E511" s="7" t="s">
        <v>2566</v>
      </c>
      <c r="F511" s="7" cm="1">
        <f t="array" ref="F511">_xlfn.LET(_xlpm.x,E511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45791</v>
      </c>
      <c r="G511" s="8" t="str">
        <f t="shared" si="32"/>
        <v>OK</v>
      </c>
      <c r="H511" s="6">
        <f t="shared" si="33"/>
        <v>2</v>
      </c>
      <c r="I511" s="6" t="s">
        <v>2567</v>
      </c>
      <c r="J511" s="6" t="s">
        <v>177</v>
      </c>
      <c r="K511" s="6" t="str">
        <f t="shared" si="34"/>
        <v>Neha Gupta</v>
      </c>
      <c r="L511" s="6" t="s">
        <v>43</v>
      </c>
      <c r="M511" s="8" t="str">
        <f t="shared" si="35"/>
        <v>Consumer</v>
      </c>
      <c r="N511" s="6" t="s">
        <v>9</v>
      </c>
      <c r="O511" s="6" t="str">
        <f t="shared" si="36"/>
        <v>West</v>
      </c>
      <c r="P511" s="6" t="s">
        <v>309</v>
      </c>
      <c r="Q511" s="6" t="str">
        <f t="shared" si="37"/>
        <v>Gujarat</v>
      </c>
      <c r="R511" s="6" t="s">
        <v>310</v>
      </c>
      <c r="S511" s="6" t="str">
        <f t="shared" si="38"/>
        <v>Ahmedabad</v>
      </c>
      <c r="T511" s="6" t="s">
        <v>27</v>
      </c>
      <c r="U511" s="8" t="str">
        <f t="shared" si="39"/>
        <v>Technology</v>
      </c>
      <c r="V511" s="6" t="s">
        <v>30</v>
      </c>
      <c r="W511" s="6" t="str">
        <f t="shared" si="40"/>
        <v>Machines</v>
      </c>
      <c r="X511" s="6" t="s">
        <v>2568</v>
      </c>
      <c r="Y511" s="6" t="s">
        <v>37</v>
      </c>
      <c r="Z511" s="6" t="str">
        <f t="shared" si="41"/>
        <v>Same Day</v>
      </c>
      <c r="AA511" s="6">
        <v>8</v>
      </c>
      <c r="AB511" s="6">
        <v>3631.44</v>
      </c>
      <c r="AC511" s="6">
        <v>0.2</v>
      </c>
      <c r="AD511" s="6">
        <v>23241.22</v>
      </c>
      <c r="AE511" s="6">
        <v>17220.900000000001</v>
      </c>
      <c r="AF511" s="6">
        <v>6020.32</v>
      </c>
      <c r="AG511" s="6" t="s">
        <v>52</v>
      </c>
      <c r="AH511" s="6" t="str">
        <f t="shared" si="42"/>
        <v>Paid</v>
      </c>
      <c r="AI511" s="6" t="s">
        <v>134</v>
      </c>
      <c r="AJ511" s="6" t="str">
        <f t="shared" si="43"/>
        <v>Completed</v>
      </c>
      <c r="AK511" s="9" t="str">
        <f>_xlfn.TEXTJOIN("|",FALSE,A511,TEXT(B511,"mm-dd-yyyy"),TEXT(E511,"mm-dd-yyyy"),I511,J511,L511,N511,P511,R511,T511,V511,X511,Y511,AA511,AB511,AC511,AD511,AE511,AF511,AG511,AI511)</f>
        <v>ORD-2025-10510|05-12-2025|05-14-2025|CUST-7901|Neha Gupta|Consumer|West|Gujarat|Ahmedabad|Technology|Machines|Classic Machines 599|Same Day|8|3631.44|0.2|23241.22|17220.9|6020.32|Paid|Completed</v>
      </c>
      <c r="AL511" s="27" t="str">
        <f>IF(COUNTIF($AK$2:AK511,AK511)&gt;1,"Remove exact duplicate copy","Keep")</f>
        <v>Keep</v>
      </c>
      <c r="AM511" s="9">
        <f t="shared" si="44"/>
        <v>1</v>
      </c>
      <c r="AN511" s="9" t="str">
        <f t="shared" si="45"/>
        <v>Unique</v>
      </c>
      <c r="AO511" s="9" t="str">
        <f t="shared" si="46"/>
        <v/>
      </c>
      <c r="AP511" s="9">
        <f t="shared" si="47"/>
        <v>0.2</v>
      </c>
      <c r="AQ511" s="10">
        <f t="shared" si="48"/>
        <v>23241.216</v>
      </c>
      <c r="AR511" s="10">
        <f t="shared" si="49"/>
        <v>6020.3159999999989</v>
      </c>
      <c r="AS511" s="11">
        <f t="shared" si="50"/>
        <v>0.25903618812371948</v>
      </c>
      <c r="AT511" s="9">
        <f t="shared" si="51"/>
        <v>5</v>
      </c>
      <c r="AU511" s="9">
        <f t="shared" si="52"/>
        <v>2025</v>
      </c>
      <c r="AV511" s="9" t="b">
        <f t="shared" si="53"/>
        <v>0</v>
      </c>
      <c r="AW511" s="9" t="b">
        <f t="shared" si="54"/>
        <v>0</v>
      </c>
      <c r="AX511" s="9" t="str">
        <f t="shared" si="55"/>
        <v>Yes</v>
      </c>
      <c r="AY511" s="9" t="str">
        <f t="shared" si="63"/>
        <v/>
      </c>
      <c r="AZ511" s="9" t="str">
        <f>IF(OR(G511="Missing date",G511="Invalid date",G511="Ship date before order date",NOT(ISNUMBER(AP511)),AP511&lt;0,AP511&gt;0.5,AV511=TRUE,AW511=TRUE),"Invalid",IF(OR(O511="Unknown",Z511="Unknown",AC511="",AH511&lt;&gt;"Paid",AJ511&lt;&gt;"Completed",AO511&lt;&gt;""),"Warning","Clean"))</f>
        <v>Clean</v>
      </c>
    </row>
    <row r="512" spans="1:52" ht="15.75" customHeight="1">
      <c r="A512" s="6" t="s">
        <v>2569</v>
      </c>
      <c r="B512" s="7" t="s">
        <v>723</v>
      </c>
      <c r="C512" s="7" t="str">
        <f t="shared" si="62"/>
        <v>2024-10</v>
      </c>
      <c r="D512" s="7" cm="1">
        <f t="array" ref="D512">_xlfn.LET(_xlpm.x,B512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45583</v>
      </c>
      <c r="E512" s="7" t="s">
        <v>2570</v>
      </c>
      <c r="F512" s="7" cm="1">
        <f t="array" ref="F512">_xlfn.LET(_xlpm.x,E512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45586</v>
      </c>
      <c r="G512" s="8" t="str">
        <f t="shared" ref="G512:G766" si="64">IF(OR(D512="",F512=""),"Missing date",IF(OR(D512="Invalid Date",F512="Invalid Date"),"Invalid date",IF(F512&lt;D512,"Ship date before order date","OK")))</f>
        <v>OK</v>
      </c>
      <c r="H512" s="6">
        <f t="shared" ref="H512:H766" si="65">IF(AND(ISNUMBER(D512),ISNUMBER(F512)),F512-D512,"")</f>
        <v>3</v>
      </c>
      <c r="I512" s="6" t="s">
        <v>2571</v>
      </c>
      <c r="J512" s="6" t="s">
        <v>2572</v>
      </c>
      <c r="K512" s="6" t="str">
        <f t="shared" ref="K512:K766" si="66">PROPER(TRIM(CLEAN(SUBSTITUTE(J512,CHAR(160)," "))))</f>
        <v>Aarav Sharma</v>
      </c>
      <c r="L512" s="6" t="s">
        <v>43</v>
      </c>
      <c r="M512" s="8" t="str">
        <f t="shared" ref="M512:M766" si="67">IF(LOWER(TRIM(L512))="consumer","Consumer", IF(LOWER(TRIM(L512))="corporate","Corporate", IF(LOWER(TRIM(L512))="home office","Home Office", IF(LOWER(TRIM(SUBSTITUTE(L512," "," ")))="small business","Small Business", PROPER(TRIM(L512))))))</f>
        <v>Consumer</v>
      </c>
      <c r="N512" s="6" t="s">
        <v>10</v>
      </c>
      <c r="O512" s="6" t="str">
        <f t="shared" ref="O512:O766" si="68">IF(TRIM(N512)="","Unknown",PROPER(TRIM(CLEAN(SUBSTITUTE(N512,CHAR(160)," ")))))</f>
        <v>South</v>
      </c>
      <c r="P512" s="6" t="s">
        <v>303</v>
      </c>
      <c r="Q512" s="6" t="str">
        <f t="shared" ref="Q512:Q766" si="69">PROPER(TRIM(P512))</f>
        <v>Karnataka</v>
      </c>
      <c r="R512" s="6" t="s">
        <v>304</v>
      </c>
      <c r="S512" s="6" t="str">
        <f t="shared" ref="S512:S766" si="70">PROPER(TRIM(R512))</f>
        <v>Bengaluru</v>
      </c>
      <c r="T512" s="6" t="s">
        <v>20</v>
      </c>
      <c r="U512" s="8" t="str">
        <f t="shared" ref="U512:U766" si="71">IF(LOWER(TRIM(SUBSTITUTE(T512," "," ")))="office supplies","Office Supplies", IF(LOWER(TRIM(T512))="furniture","Furniture", IF(LOWER(TRIM(T512))="technology","Technology", PROPER(TRIM(T512)))))</f>
        <v>Office Supplies</v>
      </c>
      <c r="V512" s="6" t="s">
        <v>25</v>
      </c>
      <c r="W512" s="6" t="str">
        <f t="shared" ref="W512:W766" si="72">PROPER(TRIM(V512))</f>
        <v>Storage</v>
      </c>
      <c r="X512" s="6" t="s">
        <v>2573</v>
      </c>
      <c r="Y512" s="6" t="s">
        <v>36</v>
      </c>
      <c r="Z512" s="6" t="str">
        <f t="shared" ref="Z512:Z766" si="73">IF(TRIM(Y512)="","Unknown",PROPER(TRIM(CLEAN(SUBSTITUTE(Y512,CHAR(160)," ")))))</f>
        <v>Second Class</v>
      </c>
      <c r="AA512" s="6">
        <v>2</v>
      </c>
      <c r="AB512" s="6">
        <v>4238.51</v>
      </c>
      <c r="AC512" s="6">
        <v>0</v>
      </c>
      <c r="AD512" s="6">
        <v>8477.02</v>
      </c>
      <c r="AE512" s="6">
        <v>6884.96</v>
      </c>
      <c r="AF512" s="6">
        <v>1592.06</v>
      </c>
      <c r="AG512" s="6" t="s">
        <v>52</v>
      </c>
      <c r="AH512" s="6" t="str">
        <f t="shared" ref="AH512:AH766" si="74">PROPER(TRIM(AG512))</f>
        <v>Paid</v>
      </c>
      <c r="AI512" s="6" t="s">
        <v>134</v>
      </c>
      <c r="AJ512" s="6" t="str">
        <f t="shared" ref="AJ512:AJ766" si="75">PROPER(TRIM(AI512))</f>
        <v>Completed</v>
      </c>
      <c r="AK512" s="9" t="str">
        <f>_xlfn.TEXTJOIN("|",FALSE,A512,TEXT(B512,"mm-dd-yyyy"),TEXT(E512,"mm-dd-yyyy"),I512,J512,L512,N512,P512,R512,T512,V512,X512,Y512,AA512,AB512,AC512,AD512,AE512,AF512,AG512,AI512)</f>
        <v>ORD-2024-10511|10-18-2024|21-10-2024|CUST-9759|Aarav  Sharma|Consumer|South|Karnataka|Bengaluru|Office Supplies|Storage|Pro Storage 373|Second Class|2|4238.51|0|8477.02|6884.96|1592.06|Paid|Completed</v>
      </c>
      <c r="AL512" s="27" t="str">
        <f>IF(COUNTIF($AK$2:AK512,AK512)&gt;1,"Remove exact duplicate copy","Keep")</f>
        <v>Keep</v>
      </c>
      <c r="AM512" s="9">
        <f t="shared" ref="AM512:AM766" si="76">COUNTIF($A$2:$A$913,A512)</f>
        <v>1</v>
      </c>
      <c r="AN512" s="9" t="str">
        <f t="shared" ref="AN512:AN766" si="77">IF(AM512&gt;1,"Duplicate order_id","Unique")</f>
        <v>Unique</v>
      </c>
      <c r="AO512" s="9" t="str">
        <f t="shared" ref="AO512:AO766" si="78">IF(AND(AM512&gt;1,COUNTIF($AK$2:$AK$913,AK512)&lt;AM512),"Review conflicting duplicate","")</f>
        <v/>
      </c>
      <c r="AP512" s="9">
        <f t="shared" ref="AP512:AP766" si="79">IF(TRIM(AC512&amp;"")="",IF(AND(ISNUMBER(AA512),ISNUMBER(AB512),ISNUMBER(AD512),ISNUMBER(AE512),ISNUMBER(AF512)),0,""),IF(RIGHT(TRIM(AC512&amp;""),1)="%",VALUE(SUBSTITUTE(TRIM(AC512&amp;""),"%",""))/100,VALUE(AC512)))</f>
        <v>0</v>
      </c>
      <c r="AQ512" s="10">
        <f t="shared" ref="AQ512:AQ766" si="80">IF(AND(ISNUMBER(AA512),ISNUMBER(AB512),ISNUMBER(AP512)),AA512*AB512*(1-AP512),"")</f>
        <v>8477.02</v>
      </c>
      <c r="AR512" s="10">
        <f t="shared" ref="AR512:AR766" si="81">IF(AND(ISNUMBER(AQ512),ISNUMBER(AE512)),AQ512-AE512,"")</f>
        <v>1592.0600000000004</v>
      </c>
      <c r="AS512" s="11">
        <f t="shared" ref="AS512:AS766" si="82">IFERROR(AR512/AQ512,"")</f>
        <v>0.18780892341884298</v>
      </c>
      <c r="AT512" s="9">
        <f t="shared" ref="AT512:AT766" si="83">IF(ISNUMBER(D512),MONTH(D512),"")</f>
        <v>10</v>
      </c>
      <c r="AU512" s="9">
        <f t="shared" ref="AU512:AU766" si="84">IF(ISNUMBER(D512),YEAR(D512),"")</f>
        <v>2024</v>
      </c>
      <c r="AV512" s="9" t="b">
        <f t="shared" ref="AV512:AV766" si="85">IF(AND(ISNUMBER(AQ512),ISNUMBER(AD512)),ABS(AQ512-AD512)&gt;0.05,FALSE)</f>
        <v>0</v>
      </c>
      <c r="AW512" s="9" t="b">
        <f t="shared" ref="AW512:AW766" si="86">IF(AND(ISNUMBER(AR512),ISNUMBER(AF512)),ABS(AR512-AF512)&gt;0.05,FALSE)</f>
        <v>0</v>
      </c>
      <c r="AX512" s="9" t="str">
        <f t="shared" ref="AX512:AX766" si="87">IF(AND(AJ512="Completed",AH512="Paid",AZ512&lt;&gt;"Invalid",AO512="",AL512="Keep"),"Yes","No")</f>
        <v>Yes</v>
      </c>
      <c r="AY512" s="9" t="str">
        <f t="shared" si="63"/>
        <v/>
      </c>
      <c r="AZ512" s="9" t="str">
        <f>IF(OR(G512="Missing date",G512="Invalid date",G512="Ship date before order date",NOT(ISNUMBER(AP512)),AP512&lt;0,AP512&gt;0.5,AV512=TRUE,AW512=TRUE),"Invalid",IF(OR(O512="Unknown",Z512="Unknown",AC512="",AH512&lt;&gt;"Paid",AJ512&lt;&gt;"Completed",AO512&lt;&gt;""),"Warning","Clean"))</f>
        <v>Clean</v>
      </c>
    </row>
    <row r="513" spans="1:52" ht="15.75" customHeight="1">
      <c r="A513" s="6" t="s">
        <v>2574</v>
      </c>
      <c r="B513" s="7" t="s">
        <v>2575</v>
      </c>
      <c r="C513" s="7" t="str">
        <f t="shared" si="62"/>
        <v>2024-10</v>
      </c>
      <c r="D513" s="7" cm="1">
        <f t="array" ref="D513">_xlfn.LET(_xlpm.x,B513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45588</v>
      </c>
      <c r="E513" s="7" t="s">
        <v>2576</v>
      </c>
      <c r="F513" s="7" cm="1">
        <f t="array" ref="F513">_xlfn.LET(_xlpm.x,E513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45591</v>
      </c>
      <c r="G513" s="8" t="str">
        <f t="shared" si="64"/>
        <v>OK</v>
      </c>
      <c r="H513" s="6">
        <f t="shared" si="65"/>
        <v>3</v>
      </c>
      <c r="I513" s="6" t="s">
        <v>2577</v>
      </c>
      <c r="J513" s="6" t="s">
        <v>245</v>
      </c>
      <c r="K513" s="6" t="str">
        <f t="shared" si="66"/>
        <v>Sneha Kapoor</v>
      </c>
      <c r="L513" s="6" t="s">
        <v>43</v>
      </c>
      <c r="M513" s="8" t="str">
        <f t="shared" si="67"/>
        <v>Consumer</v>
      </c>
      <c r="N513" s="6" t="s">
        <v>9</v>
      </c>
      <c r="O513" s="6" t="str">
        <f t="shared" si="68"/>
        <v>West</v>
      </c>
      <c r="P513" s="6" t="s">
        <v>170</v>
      </c>
      <c r="Q513" s="6" t="str">
        <f t="shared" si="69"/>
        <v>Madhya Pradesh</v>
      </c>
      <c r="R513" s="6" t="s">
        <v>171</v>
      </c>
      <c r="S513" s="6" t="str">
        <f t="shared" si="70"/>
        <v>Indore</v>
      </c>
      <c r="T513" s="6" t="s">
        <v>14</v>
      </c>
      <c r="U513" s="8" t="str">
        <f t="shared" si="71"/>
        <v>Furniture</v>
      </c>
      <c r="V513" s="6" t="s">
        <v>15</v>
      </c>
      <c r="W513" s="6" t="str">
        <f t="shared" si="72"/>
        <v>Bookcases</v>
      </c>
      <c r="X513" s="6" t="s">
        <v>2578</v>
      </c>
      <c r="Y513" s="6" t="s">
        <v>34</v>
      </c>
      <c r="Z513" s="6" t="str">
        <f t="shared" si="73"/>
        <v>Standard Class</v>
      </c>
      <c r="AA513" s="6">
        <v>9</v>
      </c>
      <c r="AB513" s="6">
        <v>544.27</v>
      </c>
      <c r="AC513" s="6">
        <v>0.25</v>
      </c>
      <c r="AD513" s="6">
        <v>3673.82</v>
      </c>
      <c r="AE513" s="6">
        <v>2088.15</v>
      </c>
      <c r="AF513" s="6">
        <v>1585.67</v>
      </c>
      <c r="AG513" s="6" t="s">
        <v>52</v>
      </c>
      <c r="AH513" s="6" t="str">
        <f t="shared" si="74"/>
        <v>Paid</v>
      </c>
      <c r="AI513" s="6" t="s">
        <v>134</v>
      </c>
      <c r="AJ513" s="6" t="str">
        <f t="shared" si="75"/>
        <v>Completed</v>
      </c>
      <c r="AK513" s="9" t="str">
        <f>_xlfn.TEXTJOIN("|",FALSE,A513,TEXT(B513,"mm-dd-yyyy"),TEXT(E513,"mm-dd-yyyy"),I513,J513,L513,N513,P513,R513,T513,V513,X513,Y513,AA513,AB513,AC513,AD513,AE513,AF513,AG513,AI513)</f>
        <v>ORD-2024-10512|10-23-2024|10-26-2024|CUST-7232|Sneha Kapoor|Consumer|West|Madhya Pradesh|Indore|Furniture|Bookcases|Smart Bookcases 920|Standard Class|9|544.27|0.25|3673.82|2088.15|1585.67|Paid|Completed</v>
      </c>
      <c r="AL513" s="27" t="str">
        <f>IF(COUNTIF($AK$2:AK513,AK513)&gt;1,"Remove exact duplicate copy","Keep")</f>
        <v>Keep</v>
      </c>
      <c r="AM513" s="9">
        <f t="shared" si="76"/>
        <v>1</v>
      </c>
      <c r="AN513" s="9" t="str">
        <f t="shared" si="77"/>
        <v>Unique</v>
      </c>
      <c r="AO513" s="9" t="str">
        <f t="shared" si="78"/>
        <v/>
      </c>
      <c r="AP513" s="9">
        <f t="shared" si="79"/>
        <v>0.25</v>
      </c>
      <c r="AQ513" s="10">
        <f t="shared" si="80"/>
        <v>3673.8225000000002</v>
      </c>
      <c r="AR513" s="10">
        <f t="shared" si="81"/>
        <v>1585.6725000000001</v>
      </c>
      <c r="AS513" s="11">
        <f t="shared" si="82"/>
        <v>0.43161380278987349</v>
      </c>
      <c r="AT513" s="9">
        <f t="shared" si="83"/>
        <v>10</v>
      </c>
      <c r="AU513" s="9">
        <f t="shared" si="84"/>
        <v>2024</v>
      </c>
      <c r="AV513" s="9" t="b">
        <f t="shared" si="85"/>
        <v>0</v>
      </c>
      <c r="AW513" s="9" t="b">
        <f t="shared" si="86"/>
        <v>0</v>
      </c>
      <c r="AX513" s="9" t="str">
        <f t="shared" si="87"/>
        <v>Yes</v>
      </c>
      <c r="AY513" s="9" t="str">
        <f t="shared" si="63"/>
        <v/>
      </c>
      <c r="AZ513" s="9" t="str">
        <f>IF(OR(G513="Missing date",G513="Invalid date",G513="Ship date before order date",NOT(ISNUMBER(AP513)),AP513&lt;0,AP513&gt;0.5,AV513=TRUE,AW513=TRUE),"Invalid",IF(OR(O513="Unknown",Z513="Unknown",AC513="",AH513&lt;&gt;"Paid",AJ513&lt;&gt;"Completed",AO513&lt;&gt;""),"Warning","Clean"))</f>
        <v>Clean</v>
      </c>
    </row>
    <row r="514" spans="1:52" ht="15.75" customHeight="1">
      <c r="A514" s="6" t="s">
        <v>2579</v>
      </c>
      <c r="B514" s="7" t="s">
        <v>869</v>
      </c>
      <c r="C514" s="7" t="str">
        <f t="shared" ref="C514:C577" si="88">TEXT(D514, "yyyy-mm")</f>
        <v>2025-03</v>
      </c>
      <c r="D514" s="7" cm="1">
        <f t="array" ref="D514">_xlfn.LET(_xlpm.x,B514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45718</v>
      </c>
      <c r="E514" s="7" t="s">
        <v>2580</v>
      </c>
      <c r="F514" s="7" cm="1">
        <f t="array" ref="F514">_xlfn.LET(_xlpm.x,E514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45719</v>
      </c>
      <c r="G514" s="8" t="str">
        <f t="shared" si="64"/>
        <v>OK</v>
      </c>
      <c r="H514" s="6">
        <f t="shared" si="65"/>
        <v>1</v>
      </c>
      <c r="I514" s="6" t="s">
        <v>1987</v>
      </c>
      <c r="J514" s="6" t="s">
        <v>147</v>
      </c>
      <c r="K514" s="6" t="str">
        <f t="shared" si="66"/>
        <v>Isha Nair</v>
      </c>
      <c r="L514" s="6" t="s">
        <v>45</v>
      </c>
      <c r="M514" s="8" t="str">
        <f t="shared" si="67"/>
        <v>Corporate</v>
      </c>
      <c r="N514" s="6" t="s">
        <v>10</v>
      </c>
      <c r="O514" s="6" t="str">
        <f t="shared" si="68"/>
        <v>South</v>
      </c>
      <c r="P514" s="6" t="s">
        <v>316</v>
      </c>
      <c r="Q514" s="6" t="str">
        <f t="shared" si="69"/>
        <v>Kerala</v>
      </c>
      <c r="R514" s="6" t="s">
        <v>317</v>
      </c>
      <c r="S514" s="6" t="str">
        <f t="shared" si="70"/>
        <v>Kochi</v>
      </c>
      <c r="T514" s="6" t="s">
        <v>20</v>
      </c>
      <c r="U514" s="8" t="str">
        <f t="shared" si="71"/>
        <v>Office Supplies</v>
      </c>
      <c r="V514" s="6" t="s">
        <v>23</v>
      </c>
      <c r="W514" s="6" t="str">
        <f t="shared" si="72"/>
        <v>Labels</v>
      </c>
      <c r="X514" s="6" t="s">
        <v>2581</v>
      </c>
      <c r="Y514" s="6" t="s">
        <v>36</v>
      </c>
      <c r="Z514" s="6" t="str">
        <f t="shared" si="73"/>
        <v>Second Class</v>
      </c>
      <c r="AA514" s="6">
        <v>2</v>
      </c>
      <c r="AB514" s="6">
        <v>4031.45</v>
      </c>
      <c r="AC514" s="6">
        <v>0.25</v>
      </c>
      <c r="AD514" s="6">
        <v>6047.17</v>
      </c>
      <c r="AE514" s="6">
        <v>3368.79</v>
      </c>
      <c r="AF514" s="6">
        <v>2678.38</v>
      </c>
      <c r="AG514" s="6" t="s">
        <v>52</v>
      </c>
      <c r="AH514" s="6" t="str">
        <f t="shared" si="74"/>
        <v>Paid</v>
      </c>
      <c r="AI514" s="6" t="s">
        <v>134</v>
      </c>
      <c r="AJ514" s="6" t="str">
        <f t="shared" si="75"/>
        <v>Completed</v>
      </c>
      <c r="AK514" s="9" t="str">
        <f>_xlfn.TEXTJOIN("|",FALSE,A514,TEXT(B514,"mm-dd-yyyy"),TEXT(E514,"mm-dd-yyyy"),I514,J514,L514,N514,P514,R514,T514,V514,X514,Y514,AA514,AB514,AC514,AD514,AE514,AF514,AG514,AI514)</f>
        <v>ORD-2025-10513|03-02-2025|03-03-2025|CUST-9943|Isha Nair|Corporate|South|Kerala|Kochi|Office Supplies|Labels|Pro Labels 849|Second Class|2|4031.45|0.25|6047.17|3368.79|2678.38|Paid|Completed</v>
      </c>
      <c r="AL514" s="27" t="str">
        <f>IF(COUNTIF($AK$2:AK514,AK514)&gt;1,"Remove exact duplicate copy","Keep")</f>
        <v>Keep</v>
      </c>
      <c r="AM514" s="9">
        <f t="shared" si="76"/>
        <v>1</v>
      </c>
      <c r="AN514" s="9" t="str">
        <f t="shared" si="77"/>
        <v>Unique</v>
      </c>
      <c r="AO514" s="9" t="str">
        <f t="shared" si="78"/>
        <v/>
      </c>
      <c r="AP514" s="9">
        <f t="shared" si="79"/>
        <v>0.25</v>
      </c>
      <c r="AQ514" s="10">
        <f t="shared" si="80"/>
        <v>6047.1749999999993</v>
      </c>
      <c r="AR514" s="10">
        <f t="shared" si="81"/>
        <v>2678.3849999999993</v>
      </c>
      <c r="AS514" s="11">
        <f t="shared" si="82"/>
        <v>0.44291508018206843</v>
      </c>
      <c r="AT514" s="9">
        <f t="shared" si="83"/>
        <v>3</v>
      </c>
      <c r="AU514" s="9">
        <f t="shared" si="84"/>
        <v>2025</v>
      </c>
      <c r="AV514" s="9" t="b">
        <f t="shared" si="85"/>
        <v>0</v>
      </c>
      <c r="AW514" s="9" t="b">
        <f t="shared" si="86"/>
        <v>0</v>
      </c>
      <c r="AX514" s="9" t="str">
        <f t="shared" si="87"/>
        <v>Yes</v>
      </c>
      <c r="AY514" s="9" t="str">
        <f t="shared" si="63"/>
        <v/>
      </c>
      <c r="AZ514" s="9" t="str">
        <f>IF(OR(G514="Missing date",G514="Invalid date",G514="Ship date before order date",NOT(ISNUMBER(AP514)),AP514&lt;0,AP514&gt;0.5,AV514=TRUE,AW514=TRUE),"Invalid",IF(OR(O514="Unknown",Z514="Unknown",AC514="",AH514&lt;&gt;"Paid",AJ514&lt;&gt;"Completed",AO514&lt;&gt;""),"Warning","Clean"))</f>
        <v>Clean</v>
      </c>
    </row>
    <row r="515" spans="1:52" ht="15.75" customHeight="1">
      <c r="A515" s="6" t="s">
        <v>2582</v>
      </c>
      <c r="B515" s="7" t="s">
        <v>1079</v>
      </c>
      <c r="C515" s="7" t="str">
        <f t="shared" si="88"/>
        <v>2025-06</v>
      </c>
      <c r="D515" s="7" cm="1">
        <f t="array" ref="D515">_xlfn.LET(_xlpm.x,B515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45835</v>
      </c>
      <c r="E515" s="7" t="s">
        <v>2488</v>
      </c>
      <c r="F515" s="7" cm="1">
        <f t="array" ref="F515">_xlfn.LET(_xlpm.x,E515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45840</v>
      </c>
      <c r="G515" s="8" t="str">
        <f t="shared" si="64"/>
        <v>OK</v>
      </c>
      <c r="H515" s="6">
        <f t="shared" si="65"/>
        <v>5</v>
      </c>
      <c r="I515" s="6" t="s">
        <v>2583</v>
      </c>
      <c r="J515" s="6" t="s">
        <v>239</v>
      </c>
      <c r="K515" s="6" t="str">
        <f t="shared" si="66"/>
        <v>Aarav Sharma</v>
      </c>
      <c r="L515" s="6" t="s">
        <v>45</v>
      </c>
      <c r="M515" s="8" t="str">
        <f t="shared" si="67"/>
        <v>Corporate</v>
      </c>
      <c r="N515" s="6" t="s">
        <v>10</v>
      </c>
      <c r="O515" s="6" t="str">
        <f t="shared" si="68"/>
        <v>South</v>
      </c>
      <c r="P515" s="6" t="s">
        <v>316</v>
      </c>
      <c r="Q515" s="6" t="str">
        <f t="shared" si="69"/>
        <v>Kerala</v>
      </c>
      <c r="R515" s="6" t="s">
        <v>317</v>
      </c>
      <c r="S515" s="6" t="str">
        <f t="shared" si="70"/>
        <v>Kochi</v>
      </c>
      <c r="T515" s="6" t="s">
        <v>27</v>
      </c>
      <c r="U515" s="8" t="str">
        <f t="shared" si="71"/>
        <v>Technology</v>
      </c>
      <c r="V515" s="6" t="s">
        <v>2584</v>
      </c>
      <c r="W515" s="6" t="str">
        <f t="shared" si="72"/>
        <v>Accessories</v>
      </c>
      <c r="X515" s="6" t="s">
        <v>2585</v>
      </c>
      <c r="Y515" s="6" t="s">
        <v>35</v>
      </c>
      <c r="Z515" s="6" t="str">
        <f t="shared" si="73"/>
        <v>First Class</v>
      </c>
      <c r="AA515" s="6">
        <v>6</v>
      </c>
      <c r="AB515" s="6">
        <v>1099.49</v>
      </c>
      <c r="AC515" s="6">
        <v>0.1</v>
      </c>
      <c r="AD515" s="6">
        <v>6212.38</v>
      </c>
      <c r="AE515" s="6">
        <v>4088.46</v>
      </c>
      <c r="AF515" s="6">
        <v>1848.79</v>
      </c>
      <c r="AG515" s="6" t="s">
        <v>52</v>
      </c>
      <c r="AH515" s="6" t="str">
        <f t="shared" si="74"/>
        <v>Paid</v>
      </c>
      <c r="AI515" s="6" t="s">
        <v>134</v>
      </c>
      <c r="AJ515" s="6" t="str">
        <f t="shared" si="75"/>
        <v>Completed</v>
      </c>
      <c r="AK515" s="9" t="str">
        <f>_xlfn.TEXTJOIN("|",FALSE,A515,TEXT(B515,"mm-dd-yyyy"),TEXT(E515,"mm-dd-yyyy"),I515,J515,L515,N515,P515,R515,T515,V515,X515,Y515,AA515,AB515,AC515,AD515,AE515,AF515,AG515,AI515)</f>
        <v>ORD-2025-10514|27-06-2025|07-02-2025|CUST-8993|Aarav Sharma|Corporate|South|Kerala|Kochi|Technology|Accessories |Prime Accessories 849|First Class|6|1099.49|0.1|6212.38|4088.46|1848.79|Paid|Completed</v>
      </c>
      <c r="AL515" s="27" t="str">
        <f>IF(COUNTIF($AK$2:AK515,AK515)&gt;1,"Remove exact duplicate copy","Keep")</f>
        <v>Keep</v>
      </c>
      <c r="AM515" s="9">
        <f t="shared" si="76"/>
        <v>1</v>
      </c>
      <c r="AN515" s="9" t="str">
        <f t="shared" si="77"/>
        <v>Unique</v>
      </c>
      <c r="AO515" s="9" t="str">
        <f t="shared" si="78"/>
        <v/>
      </c>
      <c r="AP515" s="9">
        <f t="shared" si="79"/>
        <v>0.1</v>
      </c>
      <c r="AQ515" s="10">
        <f t="shared" si="80"/>
        <v>5937.246000000001</v>
      </c>
      <c r="AR515" s="10">
        <f t="shared" si="81"/>
        <v>1848.786000000001</v>
      </c>
      <c r="AS515" s="11">
        <f t="shared" si="82"/>
        <v>0.31138780505304997</v>
      </c>
      <c r="AT515" s="9">
        <f t="shared" si="83"/>
        <v>6</v>
      </c>
      <c r="AU515" s="9">
        <f t="shared" si="84"/>
        <v>2025</v>
      </c>
      <c r="AV515" s="9" t="b">
        <f t="shared" si="85"/>
        <v>1</v>
      </c>
      <c r="AW515" s="9" t="b">
        <f t="shared" si="86"/>
        <v>0</v>
      </c>
      <c r="AX515" s="9" t="str">
        <f t="shared" si="87"/>
        <v>No</v>
      </c>
      <c r="AY515" s="9" t="str">
        <f t="shared" ref="AY515:AY578" si="89">_xlfn.TEXTJOIN("; ",TRUE,IF(O515="Unknown","Missing region filled as Unknown",""),IF(Z515="Unknown","Missing ship mode filled as Unknown",""),IF(AND(AC515="",AP515=0),"Missing discount treated as 0",""),IF(AP515&lt;0,"Negative discount",""),IF(AP515&gt;0.5,"Discount above 50%",""),IF(G515="Ship date before order date","Ship date before order date",""),IF(AH515="Failed","Failed payment excluded",""),IF(AH515="Refunded","Refunded order summarized separately",""),IF(AJ515="Cancelled","Cancelled order excluded",""),IF(AJ515="Returned","Returned order excluded",""),IF(AO515&lt;&gt;"","Duplicate order ID conflict",""),IF(AV515=TRUE,"Sales mismatch",""),IF(AW515=TRUE,"Profit mismatch",""))</f>
        <v>Sales mismatch</v>
      </c>
      <c r="AZ515" s="9" t="str">
        <f>IF(OR(G515="Missing date",G515="Invalid date",G515="Ship date before order date",NOT(ISNUMBER(AP515)),AP515&lt;0,AP515&gt;0.5,AV515=TRUE,AW515=TRUE),"Invalid",IF(OR(O515="Unknown",Z515="Unknown",AC515="",AH515&lt;&gt;"Paid",AJ515&lt;&gt;"Completed",AO515&lt;&gt;""),"Warning","Clean"))</f>
        <v>Invalid</v>
      </c>
    </row>
    <row r="516" spans="1:52" ht="15.75" customHeight="1">
      <c r="A516" s="6" t="s">
        <v>2586</v>
      </c>
      <c r="B516" s="7" t="s">
        <v>2587</v>
      </c>
      <c r="C516" s="7" t="str">
        <f t="shared" si="88"/>
        <v>2024-11</v>
      </c>
      <c r="D516" s="7" cm="1">
        <f t="array" ref="D516">_xlfn.LET(_xlpm.x,B516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45614</v>
      </c>
      <c r="E516" s="7" t="s">
        <v>2498</v>
      </c>
      <c r="F516" s="7" cm="1">
        <f t="array" ref="F516">_xlfn.LET(_xlpm.x,E516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45618</v>
      </c>
      <c r="G516" s="8" t="str">
        <f t="shared" si="64"/>
        <v>OK</v>
      </c>
      <c r="H516" s="6">
        <f t="shared" si="65"/>
        <v>4</v>
      </c>
      <c r="I516" s="6" t="s">
        <v>2588</v>
      </c>
      <c r="J516" s="6" t="s">
        <v>129</v>
      </c>
      <c r="K516" s="6" t="str">
        <f t="shared" si="66"/>
        <v>Karan Malhotra</v>
      </c>
      <c r="L516" s="6" t="s">
        <v>44</v>
      </c>
      <c r="M516" s="8" t="str">
        <f t="shared" si="67"/>
        <v>Home Office</v>
      </c>
      <c r="N516" s="6" t="s">
        <v>10</v>
      </c>
      <c r="O516" s="6" t="str">
        <f t="shared" si="68"/>
        <v>South</v>
      </c>
      <c r="P516" s="6" t="s">
        <v>316</v>
      </c>
      <c r="Q516" s="6" t="str">
        <f t="shared" si="69"/>
        <v>Kerala</v>
      </c>
      <c r="R516" s="6" t="s">
        <v>317</v>
      </c>
      <c r="S516" s="6" t="str">
        <f t="shared" si="70"/>
        <v>Kochi</v>
      </c>
      <c r="T516" s="6" t="s">
        <v>27</v>
      </c>
      <c r="U516" s="8" t="str">
        <f t="shared" si="71"/>
        <v>Technology</v>
      </c>
      <c r="V516" s="6" t="s">
        <v>28</v>
      </c>
      <c r="W516" s="6" t="str">
        <f t="shared" si="72"/>
        <v>Accessories</v>
      </c>
      <c r="X516" s="6" t="s">
        <v>2589</v>
      </c>
      <c r="Y516" s="6" t="s">
        <v>34</v>
      </c>
      <c r="Z516" s="6" t="str">
        <f t="shared" si="73"/>
        <v>Standard Class</v>
      </c>
      <c r="AA516" s="6">
        <v>6</v>
      </c>
      <c r="AB516" s="6">
        <v>3872.94</v>
      </c>
      <c r="AC516" s="6">
        <v>0.1</v>
      </c>
      <c r="AD516" s="6">
        <v>20913.88</v>
      </c>
      <c r="AE516" s="6">
        <v>11684.68</v>
      </c>
      <c r="AF516" s="6">
        <v>9229.2000000000007</v>
      </c>
      <c r="AG516" s="6" t="s">
        <v>52</v>
      </c>
      <c r="AH516" s="6" t="str">
        <f t="shared" si="74"/>
        <v>Paid</v>
      </c>
      <c r="AI516" s="6" t="s">
        <v>134</v>
      </c>
      <c r="AJ516" s="6" t="str">
        <f t="shared" si="75"/>
        <v>Completed</v>
      </c>
      <c r="AK516" s="9" t="str">
        <f>_xlfn.TEXTJOIN("|",FALSE,A516,TEXT(B516,"mm-dd-yyyy"),TEXT(E516,"mm-dd-yyyy"),I516,J516,L516,N516,P516,R516,T516,V516,X516,Y516,AA516,AB516,AC516,AD516,AE516,AF516,AG516,AI516)</f>
        <v>ORD-2024-10515|11-18-2024|11-22-2024|CUST-7729|Karan Malhotra|Home Office|South|Kerala|Kochi|Technology|Accessories|Smart Accessories 388|Standard Class|6|3872.94|0.1|20913.88|11684.68|9229.2|Paid|Completed</v>
      </c>
      <c r="AL516" s="27" t="str">
        <f>IF(COUNTIF($AK$2:AK516,AK516)&gt;1,"Remove exact duplicate copy","Keep")</f>
        <v>Keep</v>
      </c>
      <c r="AM516" s="9">
        <f t="shared" si="76"/>
        <v>1</v>
      </c>
      <c r="AN516" s="9" t="str">
        <f t="shared" si="77"/>
        <v>Unique</v>
      </c>
      <c r="AO516" s="9" t="str">
        <f t="shared" si="78"/>
        <v/>
      </c>
      <c r="AP516" s="9">
        <f t="shared" si="79"/>
        <v>0.1</v>
      </c>
      <c r="AQ516" s="10">
        <f t="shared" si="80"/>
        <v>20913.876</v>
      </c>
      <c r="AR516" s="10">
        <f t="shared" si="81"/>
        <v>9229.1959999999999</v>
      </c>
      <c r="AS516" s="11">
        <f t="shared" si="82"/>
        <v>0.44129533903710627</v>
      </c>
      <c r="AT516" s="9">
        <f t="shared" si="83"/>
        <v>11</v>
      </c>
      <c r="AU516" s="9">
        <f t="shared" si="84"/>
        <v>2024</v>
      </c>
      <c r="AV516" s="9" t="b">
        <f t="shared" si="85"/>
        <v>0</v>
      </c>
      <c r="AW516" s="9" t="b">
        <f t="shared" si="86"/>
        <v>0</v>
      </c>
      <c r="AX516" s="9" t="str">
        <f t="shared" si="87"/>
        <v>Yes</v>
      </c>
      <c r="AY516" s="9" t="str">
        <f t="shared" si="89"/>
        <v/>
      </c>
      <c r="AZ516" s="9" t="str">
        <f>IF(OR(G516="Missing date",G516="Invalid date",G516="Ship date before order date",NOT(ISNUMBER(AP516)),AP516&lt;0,AP516&gt;0.5,AV516=TRUE,AW516=TRUE),"Invalid",IF(OR(O516="Unknown",Z516="Unknown",AC516="",AH516&lt;&gt;"Paid",AJ516&lt;&gt;"Completed",AO516&lt;&gt;""),"Warning","Clean"))</f>
        <v>Clean</v>
      </c>
    </row>
    <row r="517" spans="1:52" ht="15.75" customHeight="1">
      <c r="A517" s="6" t="s">
        <v>2590</v>
      </c>
      <c r="B517" s="7" t="s">
        <v>2231</v>
      </c>
      <c r="C517" s="7" t="str">
        <f t="shared" si="88"/>
        <v>2025-04</v>
      </c>
      <c r="D517" s="7" cm="1">
        <f t="array" ref="D517">_xlfn.LET(_xlpm.x,B517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45758</v>
      </c>
      <c r="E517" s="7" t="s">
        <v>2591</v>
      </c>
      <c r="F517" s="7" cm="1">
        <f t="array" ref="F517">_xlfn.LET(_xlpm.x,E517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45758</v>
      </c>
      <c r="G517" s="8" t="str">
        <f t="shared" si="64"/>
        <v>OK</v>
      </c>
      <c r="H517" s="6">
        <f t="shared" si="65"/>
        <v>0</v>
      </c>
      <c r="I517" s="6" t="s">
        <v>2592</v>
      </c>
      <c r="J517" s="6" t="s">
        <v>226</v>
      </c>
      <c r="K517" s="6" t="str">
        <f t="shared" si="66"/>
        <v>Rahul Verma</v>
      </c>
      <c r="L517" s="6" t="s">
        <v>45</v>
      </c>
      <c r="M517" s="8" t="str">
        <f t="shared" si="67"/>
        <v>Corporate</v>
      </c>
      <c r="N517" s="6" t="s">
        <v>7</v>
      </c>
      <c r="O517" s="6" t="str">
        <f t="shared" si="68"/>
        <v>North</v>
      </c>
      <c r="P517" s="6" t="s">
        <v>583</v>
      </c>
      <c r="Q517" s="6" t="str">
        <f t="shared" si="69"/>
        <v>Delhi</v>
      </c>
      <c r="R517" s="6" t="s">
        <v>584</v>
      </c>
      <c r="S517" s="6" t="str">
        <f t="shared" si="70"/>
        <v>New Delhi</v>
      </c>
      <c r="T517" s="6" t="s">
        <v>20</v>
      </c>
      <c r="U517" s="8" t="str">
        <f t="shared" si="71"/>
        <v>Office Supplies</v>
      </c>
      <c r="V517" s="6" t="s">
        <v>24</v>
      </c>
      <c r="W517" s="6" t="str">
        <f t="shared" si="72"/>
        <v>Paper</v>
      </c>
      <c r="X517" s="6" t="s">
        <v>2593</v>
      </c>
      <c r="Y517" s="6" t="s">
        <v>34</v>
      </c>
      <c r="Z517" s="6" t="str">
        <f t="shared" si="73"/>
        <v>Standard Class</v>
      </c>
      <c r="AA517" s="6">
        <v>1</v>
      </c>
      <c r="AB517" s="6">
        <v>4458.49</v>
      </c>
      <c r="AC517" s="6">
        <v>-7.0000000000000007E-2</v>
      </c>
      <c r="AD517" s="6">
        <v>3566.79</v>
      </c>
      <c r="AE517" s="6">
        <v>2083.41</v>
      </c>
      <c r="AF517" s="6">
        <v>1483.38</v>
      </c>
      <c r="AG517" s="6" t="s">
        <v>52</v>
      </c>
      <c r="AH517" s="6" t="str">
        <f t="shared" si="74"/>
        <v>Paid</v>
      </c>
      <c r="AI517" s="6" t="s">
        <v>134</v>
      </c>
      <c r="AJ517" s="6" t="str">
        <f t="shared" si="75"/>
        <v>Completed</v>
      </c>
      <c r="AK517" s="9" t="str">
        <f>_xlfn.TEXTJOIN("|",FALSE,A517,TEXT(B517,"mm-dd-yyyy"),TEXT(E517,"mm-dd-yyyy"),I517,J517,L517,N517,P517,R517,T517,V517,X517,Y517,AA517,AB517,AC517,AD517,AE517,AF517,AG517,AI517)</f>
        <v>ORD-2025-10516|04-11-2025|04-11-2025|CUST-9986|Rahul Verma|Corporate|North|Delhi|New Delhi|Office Supplies|Paper|Classic Paper 752|Standard Class|1|4458.49|-0.07|3566.79|2083.41|1483.38|Paid|Completed</v>
      </c>
      <c r="AL517" s="27" t="str">
        <f>IF(COUNTIF($AK$2:AK517,AK517)&gt;1,"Remove exact duplicate copy","Keep")</f>
        <v>Keep</v>
      </c>
      <c r="AM517" s="9">
        <f t="shared" si="76"/>
        <v>1</v>
      </c>
      <c r="AN517" s="9" t="str">
        <f t="shared" si="77"/>
        <v>Unique</v>
      </c>
      <c r="AO517" s="9" t="str">
        <f t="shared" si="78"/>
        <v/>
      </c>
      <c r="AP517" s="9">
        <f t="shared" si="79"/>
        <v>-7.0000000000000007E-2</v>
      </c>
      <c r="AQ517" s="10">
        <f t="shared" si="80"/>
        <v>4770.5843000000004</v>
      </c>
      <c r="AR517" s="10">
        <f t="shared" si="81"/>
        <v>2687.1743000000006</v>
      </c>
      <c r="AS517" s="11">
        <f t="shared" si="82"/>
        <v>0.56327991101635089</v>
      </c>
      <c r="AT517" s="9">
        <f t="shared" si="83"/>
        <v>4</v>
      </c>
      <c r="AU517" s="9">
        <f t="shared" si="84"/>
        <v>2025</v>
      </c>
      <c r="AV517" s="9" t="b">
        <f t="shared" si="85"/>
        <v>1</v>
      </c>
      <c r="AW517" s="9" t="b">
        <f t="shared" si="86"/>
        <v>1</v>
      </c>
      <c r="AX517" s="9" t="str">
        <f t="shared" si="87"/>
        <v>No</v>
      </c>
      <c r="AY517" s="9" t="str">
        <f t="shared" si="89"/>
        <v>Negative discount; Sales mismatch; Profit mismatch</v>
      </c>
      <c r="AZ517" s="9" t="str">
        <f>IF(OR(G517="Missing date",G517="Invalid date",G517="Ship date before order date",NOT(ISNUMBER(AP517)),AP517&lt;0,AP517&gt;0.5,AV517=TRUE,AW517=TRUE),"Invalid",IF(OR(O517="Unknown",Z517="Unknown",AC517="",AH517&lt;&gt;"Paid",AJ517&lt;&gt;"Completed",AO517&lt;&gt;""),"Warning","Clean"))</f>
        <v>Invalid</v>
      </c>
    </row>
    <row r="518" spans="1:52" ht="15.75" customHeight="1">
      <c r="A518" s="6" t="s">
        <v>2594</v>
      </c>
      <c r="B518" s="7" t="s">
        <v>2595</v>
      </c>
      <c r="C518" s="7" t="str">
        <f t="shared" si="88"/>
        <v>2024-09</v>
      </c>
      <c r="D518" s="7" cm="1">
        <f t="array" ref="D518">_xlfn.LET(_xlpm.x,B518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45563</v>
      </c>
      <c r="E518" s="7" t="s">
        <v>2596</v>
      </c>
      <c r="F518" s="7" cm="1">
        <f t="array" ref="F518">_xlfn.LET(_xlpm.x,E518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45569</v>
      </c>
      <c r="G518" s="8" t="str">
        <f t="shared" si="64"/>
        <v>OK</v>
      </c>
      <c r="H518" s="6">
        <f t="shared" si="65"/>
        <v>6</v>
      </c>
      <c r="I518" s="6" t="s">
        <v>2597</v>
      </c>
      <c r="J518" s="6" t="s">
        <v>442</v>
      </c>
      <c r="K518" s="6" t="str">
        <f t="shared" si="66"/>
        <v>Kabir Singh</v>
      </c>
      <c r="L518" s="6" t="s">
        <v>44</v>
      </c>
      <c r="M518" s="8" t="str">
        <f t="shared" si="67"/>
        <v>Home Office</v>
      </c>
      <c r="N518" s="6" t="s">
        <v>7</v>
      </c>
      <c r="O518" s="6" t="str">
        <f t="shared" si="68"/>
        <v>North</v>
      </c>
      <c r="P518" s="6" t="s">
        <v>583</v>
      </c>
      <c r="Q518" s="6" t="str">
        <f t="shared" si="69"/>
        <v>Delhi</v>
      </c>
      <c r="R518" s="6" t="s">
        <v>584</v>
      </c>
      <c r="S518" s="6" t="str">
        <f t="shared" si="70"/>
        <v>New Delhi</v>
      </c>
      <c r="T518" s="6" t="s">
        <v>27</v>
      </c>
      <c r="U518" s="8" t="str">
        <f t="shared" si="71"/>
        <v>Technology</v>
      </c>
      <c r="V518" s="6" t="s">
        <v>29</v>
      </c>
      <c r="W518" s="6" t="str">
        <f t="shared" si="72"/>
        <v>Copiers</v>
      </c>
      <c r="X518" s="6" t="s">
        <v>2598</v>
      </c>
      <c r="Y518" s="6" t="s">
        <v>34</v>
      </c>
      <c r="Z518" s="6" t="str">
        <f t="shared" si="73"/>
        <v>Standard Class</v>
      </c>
      <c r="AA518" s="6">
        <v>1</v>
      </c>
      <c r="AB518" s="6">
        <v>2233.1799999999998</v>
      </c>
      <c r="AC518" s="6">
        <v>0</v>
      </c>
      <c r="AD518" s="6">
        <v>2233.1799999999998</v>
      </c>
      <c r="AE518" s="6">
        <v>1585.82</v>
      </c>
      <c r="AF518" s="6">
        <v>647.36</v>
      </c>
      <c r="AG518" s="6" t="s">
        <v>50</v>
      </c>
      <c r="AH518" s="6" t="str">
        <f t="shared" si="74"/>
        <v>Failed</v>
      </c>
      <c r="AI518" s="6" t="s">
        <v>59</v>
      </c>
      <c r="AJ518" s="6" t="str">
        <f t="shared" si="75"/>
        <v>Returned</v>
      </c>
      <c r="AK518" s="9" t="str">
        <f>_xlfn.TEXTJOIN("|",FALSE,A518,TEXT(B518,"mm-dd-yyyy"),TEXT(E518,"mm-dd-yyyy"),I518,J518,L518,N518,P518,R518,T518,V518,X518,Y518,AA518,AB518,AC518,AD518,AE518,AF518,AG518,AI518)</f>
        <v>ORD-2024-10517|09-28-2024|10-04-2024|CUST-2731|Kabir Singh|Home Office|North|Delhi|New Delhi|Technology|Copiers|Classic Copiers 143|Standard Class|1|2233.18|0|2233.18|1585.82|647.36|Failed|Returned</v>
      </c>
      <c r="AL518" s="27" t="str">
        <f>IF(COUNTIF($AK$2:AK518,AK518)&gt;1,"Remove exact duplicate copy","Keep")</f>
        <v>Keep</v>
      </c>
      <c r="AM518" s="9">
        <f t="shared" si="76"/>
        <v>1</v>
      </c>
      <c r="AN518" s="9" t="str">
        <f t="shared" si="77"/>
        <v>Unique</v>
      </c>
      <c r="AO518" s="9" t="str">
        <f t="shared" si="78"/>
        <v/>
      </c>
      <c r="AP518" s="9">
        <f t="shared" si="79"/>
        <v>0</v>
      </c>
      <c r="AQ518" s="10">
        <f t="shared" si="80"/>
        <v>2233.1799999999998</v>
      </c>
      <c r="AR518" s="10">
        <f t="shared" si="81"/>
        <v>647.3599999999999</v>
      </c>
      <c r="AS518" s="11">
        <f t="shared" si="82"/>
        <v>0.28988258895386843</v>
      </c>
      <c r="AT518" s="9">
        <f t="shared" si="83"/>
        <v>9</v>
      </c>
      <c r="AU518" s="9">
        <f t="shared" si="84"/>
        <v>2024</v>
      </c>
      <c r="AV518" s="9" t="b">
        <f t="shared" si="85"/>
        <v>0</v>
      </c>
      <c r="AW518" s="9" t="b">
        <f t="shared" si="86"/>
        <v>0</v>
      </c>
      <c r="AX518" s="9" t="str">
        <f t="shared" si="87"/>
        <v>No</v>
      </c>
      <c r="AY518" s="9" t="str">
        <f t="shared" si="89"/>
        <v>Failed payment excluded; Returned order excluded</v>
      </c>
      <c r="AZ518" s="9" t="str">
        <f>IF(OR(G518="Missing date",G518="Invalid date",G518="Ship date before order date",NOT(ISNUMBER(AP518)),AP518&lt;0,AP518&gt;0.5,AV518=TRUE,AW518=TRUE),"Invalid",IF(OR(O518="Unknown",Z518="Unknown",AC518="",AH518&lt;&gt;"Paid",AJ518&lt;&gt;"Completed",AO518&lt;&gt;""),"Warning","Clean"))</f>
        <v>Warning</v>
      </c>
    </row>
    <row r="519" spans="1:52" ht="15.75" customHeight="1">
      <c r="A519" s="6" t="s">
        <v>2599</v>
      </c>
      <c r="B519" s="7" t="s">
        <v>2600</v>
      </c>
      <c r="C519" s="7" t="str">
        <f t="shared" si="88"/>
        <v>2025-05</v>
      </c>
      <c r="D519" s="7" cm="1">
        <f t="array" ref="D519">_xlfn.LET(_xlpm.x,B519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45802</v>
      </c>
      <c r="E519" s="7" t="s">
        <v>1769</v>
      </c>
      <c r="F519" s="7" cm="1">
        <f t="array" ref="F519">_xlfn.LET(_xlpm.x,E519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45804</v>
      </c>
      <c r="G519" s="8" t="str">
        <f t="shared" si="64"/>
        <v>OK</v>
      </c>
      <c r="H519" s="6">
        <f t="shared" si="65"/>
        <v>2</v>
      </c>
      <c r="I519" s="6" t="s">
        <v>2601</v>
      </c>
      <c r="J519" s="6" t="s">
        <v>226</v>
      </c>
      <c r="K519" s="6" t="str">
        <f t="shared" si="66"/>
        <v>Rahul Verma</v>
      </c>
      <c r="L519" s="6" t="s">
        <v>43</v>
      </c>
      <c r="M519" s="8" t="str">
        <f t="shared" si="67"/>
        <v>Consumer</v>
      </c>
      <c r="N519" s="6" t="s">
        <v>8</v>
      </c>
      <c r="O519" s="6" t="str">
        <f t="shared" si="68"/>
        <v>East</v>
      </c>
      <c r="P519" s="6" t="s">
        <v>140</v>
      </c>
      <c r="Q519" s="6" t="str">
        <f t="shared" si="69"/>
        <v>Odisha</v>
      </c>
      <c r="R519" s="6" t="s">
        <v>141</v>
      </c>
      <c r="S519" s="6" t="str">
        <f t="shared" si="70"/>
        <v>Bhubaneswar</v>
      </c>
      <c r="T519" s="6" t="s">
        <v>14</v>
      </c>
      <c r="U519" s="8" t="str">
        <f t="shared" si="71"/>
        <v>Furniture</v>
      </c>
      <c r="V519" s="6" t="s">
        <v>17</v>
      </c>
      <c r="W519" s="6" t="str">
        <f t="shared" si="72"/>
        <v>Furnishings</v>
      </c>
      <c r="X519" s="6" t="s">
        <v>2602</v>
      </c>
      <c r="Y519" s="6" t="s">
        <v>36</v>
      </c>
      <c r="Z519" s="6" t="str">
        <f t="shared" si="73"/>
        <v>Second Class</v>
      </c>
      <c r="AA519" s="6">
        <v>7</v>
      </c>
      <c r="AB519" s="6">
        <v>2123.2800000000002</v>
      </c>
      <c r="AC519" s="6">
        <v>0.2</v>
      </c>
      <c r="AD519" s="6">
        <v>11890.37</v>
      </c>
      <c r="AE519" s="6">
        <v>9234.5300000000007</v>
      </c>
      <c r="AF519" s="6">
        <v>2655.84</v>
      </c>
      <c r="AG519" s="6" t="s">
        <v>56</v>
      </c>
      <c r="AH519" s="6" t="str">
        <f t="shared" si="74"/>
        <v>Refunded</v>
      </c>
      <c r="AI519" s="6" t="s">
        <v>59</v>
      </c>
      <c r="AJ519" s="6" t="str">
        <f t="shared" si="75"/>
        <v>Returned</v>
      </c>
      <c r="AK519" s="9" t="str">
        <f>_xlfn.TEXTJOIN("|",FALSE,A519,TEXT(B519,"mm-dd-yyyy"),TEXT(E519,"mm-dd-yyyy"),I519,J519,L519,N519,P519,R519,T519,V519,X519,Y519,AA519,AB519,AC519,AD519,AE519,AF519,AG519,AI519)</f>
        <v>ORD-2025-10518|05-25-2025|05-27-2025|CUST-4235|Rahul Verma|Consumer|East|Odisha|Bhubaneswar|Furniture|Furnishings|Basic Furnishings 386|Second Class|7|2123.28|0.2|11890.37|9234.53|2655.84|Refunded|Returned</v>
      </c>
      <c r="AL519" s="27" t="str">
        <f>IF(COUNTIF($AK$2:AK519,AK519)&gt;1,"Remove exact duplicate copy","Keep")</f>
        <v>Keep</v>
      </c>
      <c r="AM519" s="9">
        <f t="shared" si="76"/>
        <v>1</v>
      </c>
      <c r="AN519" s="9" t="str">
        <f t="shared" si="77"/>
        <v>Unique</v>
      </c>
      <c r="AO519" s="9" t="str">
        <f t="shared" si="78"/>
        <v/>
      </c>
      <c r="AP519" s="9">
        <f t="shared" si="79"/>
        <v>0.2</v>
      </c>
      <c r="AQ519" s="10">
        <f t="shared" si="80"/>
        <v>11890.368000000002</v>
      </c>
      <c r="AR519" s="10">
        <f t="shared" si="81"/>
        <v>2655.8380000000016</v>
      </c>
      <c r="AS519" s="11">
        <f t="shared" si="82"/>
        <v>0.22336045444514427</v>
      </c>
      <c r="AT519" s="9">
        <f t="shared" si="83"/>
        <v>5</v>
      </c>
      <c r="AU519" s="9">
        <f t="shared" si="84"/>
        <v>2025</v>
      </c>
      <c r="AV519" s="9" t="b">
        <f t="shared" si="85"/>
        <v>0</v>
      </c>
      <c r="AW519" s="9" t="b">
        <f t="shared" si="86"/>
        <v>0</v>
      </c>
      <c r="AX519" s="9" t="str">
        <f t="shared" si="87"/>
        <v>No</v>
      </c>
      <c r="AY519" s="9" t="str">
        <f t="shared" si="89"/>
        <v>Refunded order summarized separately; Returned order excluded</v>
      </c>
      <c r="AZ519" s="9" t="str">
        <f>IF(OR(G519="Missing date",G519="Invalid date",G519="Ship date before order date",NOT(ISNUMBER(AP519)),AP519&lt;0,AP519&gt;0.5,AV519=TRUE,AW519=TRUE),"Invalid",IF(OR(O519="Unknown",Z519="Unknown",AC519="",AH519&lt;&gt;"Paid",AJ519&lt;&gt;"Completed",AO519&lt;&gt;""),"Warning","Clean"))</f>
        <v>Warning</v>
      </c>
    </row>
    <row r="520" spans="1:52" ht="15.75" customHeight="1">
      <c r="A520" s="6" t="s">
        <v>2603</v>
      </c>
      <c r="B520" s="7" t="s">
        <v>2483</v>
      </c>
      <c r="C520" s="7" t="str">
        <f t="shared" si="88"/>
        <v>2025-04</v>
      </c>
      <c r="D520" s="7" cm="1">
        <f t="array" ref="D520">_xlfn.LET(_xlpm.x,B520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45777</v>
      </c>
      <c r="E520" s="7" t="s">
        <v>2604</v>
      </c>
      <c r="F520" s="7" cm="1">
        <f t="array" ref="F520">_xlfn.LET(_xlpm.x,E520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45773</v>
      </c>
      <c r="G520" s="8" t="str">
        <f t="shared" si="64"/>
        <v>Ship date before order date</v>
      </c>
      <c r="H520" s="6">
        <f t="shared" si="65"/>
        <v>-4</v>
      </c>
      <c r="I520" s="6" t="s">
        <v>2605</v>
      </c>
      <c r="J520" s="6" t="s">
        <v>284</v>
      </c>
      <c r="K520" s="6" t="str">
        <f t="shared" si="66"/>
        <v>Diya Patel</v>
      </c>
      <c r="L520" s="6" t="s">
        <v>45</v>
      </c>
      <c r="M520" s="8" t="str">
        <f t="shared" si="67"/>
        <v>Corporate</v>
      </c>
      <c r="N520" s="6" t="s">
        <v>8</v>
      </c>
      <c r="O520" s="6" t="str">
        <f t="shared" si="68"/>
        <v>East</v>
      </c>
      <c r="P520" s="6" t="s">
        <v>140</v>
      </c>
      <c r="Q520" s="6" t="str">
        <f t="shared" si="69"/>
        <v>Odisha</v>
      </c>
      <c r="R520" s="6" t="s">
        <v>141</v>
      </c>
      <c r="S520" s="6" t="str">
        <f t="shared" si="70"/>
        <v>Bhubaneswar</v>
      </c>
      <c r="T520" s="6" t="s">
        <v>14</v>
      </c>
      <c r="U520" s="8" t="str">
        <f t="shared" si="71"/>
        <v>Furniture</v>
      </c>
      <c r="V520" s="6" t="s">
        <v>18</v>
      </c>
      <c r="W520" s="6" t="str">
        <f t="shared" si="72"/>
        <v>Tables</v>
      </c>
      <c r="X520" s="6" t="s">
        <v>2606</v>
      </c>
      <c r="Y520" s="6" t="s">
        <v>35</v>
      </c>
      <c r="Z520" s="6" t="str">
        <f t="shared" si="73"/>
        <v>First Class</v>
      </c>
      <c r="AA520" s="6">
        <v>7</v>
      </c>
      <c r="AB520" s="6">
        <v>1604.13</v>
      </c>
      <c r="AC520" s="6">
        <v>0.25</v>
      </c>
      <c r="AD520" s="6">
        <v>8421.68</v>
      </c>
      <c r="AE520" s="6">
        <v>6534.47</v>
      </c>
      <c r="AF520" s="6">
        <v>1887.21</v>
      </c>
      <c r="AG520" s="6" t="s">
        <v>52</v>
      </c>
      <c r="AH520" s="6" t="str">
        <f t="shared" si="74"/>
        <v>Paid</v>
      </c>
      <c r="AI520" s="6" t="s">
        <v>58</v>
      </c>
      <c r="AJ520" s="6" t="str">
        <f t="shared" si="75"/>
        <v>Cancelled</v>
      </c>
      <c r="AK520" s="9" t="str">
        <f>_xlfn.TEXTJOIN("|",FALSE,A520,TEXT(B520,"mm-dd-yyyy"),TEXT(E520,"mm-dd-yyyy"),I520,J520,L520,N520,P520,R520,T520,V520,X520,Y520,AA520,AB520,AC520,AD520,AE520,AF520,AG520,AI520)</f>
        <v>ORD-2025-10519|30-04-2025|04-26-2025|CUST-3377|Diya Patel|Corporate|East|Odisha|Bhubaneswar|Furniture|Tables|Classic Tables 592|First Class|7|1604.13|0.25|8421.68|6534.47|1887.21|Paid|Cancelled</v>
      </c>
      <c r="AL520" s="27" t="str">
        <f>IF(COUNTIF($AK$2:AK520,AK520)&gt;1,"Remove exact duplicate copy","Keep")</f>
        <v>Keep</v>
      </c>
      <c r="AM520" s="9">
        <f t="shared" si="76"/>
        <v>1</v>
      </c>
      <c r="AN520" s="9" t="str">
        <f t="shared" si="77"/>
        <v>Unique</v>
      </c>
      <c r="AO520" s="9" t="str">
        <f t="shared" si="78"/>
        <v/>
      </c>
      <c r="AP520" s="9">
        <f t="shared" si="79"/>
        <v>0.25</v>
      </c>
      <c r="AQ520" s="10">
        <f t="shared" si="80"/>
        <v>8421.682499999999</v>
      </c>
      <c r="AR520" s="10">
        <f t="shared" si="81"/>
        <v>1887.2124999999987</v>
      </c>
      <c r="AS520" s="11">
        <f t="shared" si="82"/>
        <v>0.22408972316398759</v>
      </c>
      <c r="AT520" s="9">
        <f t="shared" si="83"/>
        <v>4</v>
      </c>
      <c r="AU520" s="9">
        <f t="shared" si="84"/>
        <v>2025</v>
      </c>
      <c r="AV520" s="9" t="b">
        <f t="shared" si="85"/>
        <v>0</v>
      </c>
      <c r="AW520" s="9" t="b">
        <f t="shared" si="86"/>
        <v>0</v>
      </c>
      <c r="AX520" s="9" t="str">
        <f t="shared" si="87"/>
        <v>No</v>
      </c>
      <c r="AY520" s="9" t="str">
        <f t="shared" si="89"/>
        <v>Ship date before order date; Cancelled order excluded</v>
      </c>
      <c r="AZ520" s="9" t="str">
        <f>IF(OR(G520="Missing date",G520="Invalid date",G520="Ship date before order date",NOT(ISNUMBER(AP520)),AP520&lt;0,AP520&gt;0.5,AV520=TRUE,AW520=TRUE),"Invalid",IF(OR(O520="Unknown",Z520="Unknown",AC520="",AH520&lt;&gt;"Paid",AJ520&lt;&gt;"Completed",AO520&lt;&gt;""),"Warning","Clean"))</f>
        <v>Invalid</v>
      </c>
    </row>
    <row r="521" spans="1:52" ht="15.75" customHeight="1">
      <c r="A521" s="6" t="s">
        <v>2607</v>
      </c>
      <c r="B521" s="7" t="s">
        <v>456</v>
      </c>
      <c r="C521" s="7" t="str">
        <f t="shared" si="88"/>
        <v>2025-07</v>
      </c>
      <c r="D521" s="7" cm="1">
        <f t="array" ref="D521">_xlfn.LET(_xlpm.x,B521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45841</v>
      </c>
      <c r="E521" s="7" t="s">
        <v>2608</v>
      </c>
      <c r="F521" s="7" cm="1">
        <f t="array" ref="F521">_xlfn.LET(_xlpm.x,E521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45845</v>
      </c>
      <c r="G521" s="8" t="str">
        <f t="shared" si="64"/>
        <v>OK</v>
      </c>
      <c r="H521" s="6">
        <f t="shared" si="65"/>
        <v>4</v>
      </c>
      <c r="I521" s="6" t="s">
        <v>2609</v>
      </c>
      <c r="J521" s="6" t="s">
        <v>220</v>
      </c>
      <c r="K521" s="6" t="str">
        <f t="shared" si="66"/>
        <v>Priya Menon</v>
      </c>
      <c r="L521" s="6" t="s">
        <v>43</v>
      </c>
      <c r="M521" s="8" t="str">
        <f t="shared" si="67"/>
        <v>Consumer</v>
      </c>
      <c r="N521" s="6" t="s">
        <v>7</v>
      </c>
      <c r="O521" s="6" t="str">
        <f t="shared" si="68"/>
        <v>North</v>
      </c>
      <c r="P521" s="6" t="s">
        <v>251</v>
      </c>
      <c r="Q521" s="6" t="str">
        <f t="shared" si="69"/>
        <v>Uttar Pradesh</v>
      </c>
      <c r="R521" s="6" t="s">
        <v>252</v>
      </c>
      <c r="S521" s="6" t="str">
        <f t="shared" si="70"/>
        <v>Noida</v>
      </c>
      <c r="T521" s="6" t="s">
        <v>14</v>
      </c>
      <c r="U521" s="8" t="str">
        <f t="shared" si="71"/>
        <v>Furniture</v>
      </c>
      <c r="V521" s="6" t="s">
        <v>18</v>
      </c>
      <c r="W521" s="6" t="str">
        <f t="shared" si="72"/>
        <v>Tables</v>
      </c>
      <c r="X521" s="6" t="s">
        <v>2610</v>
      </c>
      <c r="Y521" s="6" t="s">
        <v>34</v>
      </c>
      <c r="Z521" s="6" t="str">
        <f t="shared" si="73"/>
        <v>Standard Class</v>
      </c>
      <c r="AA521" s="6">
        <v>4</v>
      </c>
      <c r="AB521" s="6">
        <v>4365.21</v>
      </c>
      <c r="AC521" s="6">
        <v>0.2</v>
      </c>
      <c r="AD521" s="6">
        <v>13968.67</v>
      </c>
      <c r="AE521" s="6">
        <v>8857.58</v>
      </c>
      <c r="AF521" s="6">
        <v>5111.09</v>
      </c>
      <c r="AG521" s="6" t="s">
        <v>54</v>
      </c>
      <c r="AH521" s="6" t="str">
        <f t="shared" si="74"/>
        <v>Pending</v>
      </c>
      <c r="AI521" s="6" t="s">
        <v>58</v>
      </c>
      <c r="AJ521" s="6" t="str">
        <f t="shared" si="75"/>
        <v>Cancelled</v>
      </c>
      <c r="AK521" s="9" t="str">
        <f>_xlfn.TEXTJOIN("|",FALSE,A521,TEXT(B521,"mm-dd-yyyy"),TEXT(E521,"mm-dd-yyyy"),I521,J521,L521,N521,P521,R521,T521,V521,X521,Y521,AA521,AB521,AC521,AD521,AE521,AF521,AG521,AI521)</f>
        <v>ORD-2025-10520|03-07-2025|07-07-2025|CUST-3258|Priya Menon|Consumer|North|Uttar Pradesh|Noida|Furniture|Tables|Pro Tables 412|Standard Class|4|4365.21|0.2|13968.67|8857.58|5111.09|Pending|Cancelled</v>
      </c>
      <c r="AL521" s="27" t="str">
        <f>IF(COUNTIF($AK$2:AK521,AK521)&gt;1,"Remove exact duplicate copy","Keep")</f>
        <v>Keep</v>
      </c>
      <c r="AM521" s="9">
        <f t="shared" si="76"/>
        <v>1</v>
      </c>
      <c r="AN521" s="9" t="str">
        <f t="shared" si="77"/>
        <v>Unique</v>
      </c>
      <c r="AO521" s="9" t="str">
        <f t="shared" si="78"/>
        <v/>
      </c>
      <c r="AP521" s="9">
        <f t="shared" si="79"/>
        <v>0.2</v>
      </c>
      <c r="AQ521" s="10">
        <f t="shared" si="80"/>
        <v>13968.672</v>
      </c>
      <c r="AR521" s="10">
        <f t="shared" si="81"/>
        <v>5111.0920000000006</v>
      </c>
      <c r="AS521" s="11">
        <f t="shared" si="82"/>
        <v>0.36589677243477409</v>
      </c>
      <c r="AT521" s="9">
        <f t="shared" si="83"/>
        <v>7</v>
      </c>
      <c r="AU521" s="9">
        <f t="shared" si="84"/>
        <v>2025</v>
      </c>
      <c r="AV521" s="9" t="b">
        <f t="shared" si="85"/>
        <v>0</v>
      </c>
      <c r="AW521" s="9" t="b">
        <f t="shared" si="86"/>
        <v>0</v>
      </c>
      <c r="AX521" s="9" t="str">
        <f t="shared" si="87"/>
        <v>No</v>
      </c>
      <c r="AY521" s="9" t="str">
        <f t="shared" si="89"/>
        <v>Cancelled order excluded</v>
      </c>
      <c r="AZ521" s="9" t="str">
        <f>IF(OR(G521="Missing date",G521="Invalid date",G521="Ship date before order date",NOT(ISNUMBER(AP521)),AP521&lt;0,AP521&gt;0.5,AV521=TRUE,AW521=TRUE),"Invalid",IF(OR(O521="Unknown",Z521="Unknown",AC521="",AH521&lt;&gt;"Paid",AJ521&lt;&gt;"Completed",AO521&lt;&gt;""),"Warning","Clean"))</f>
        <v>Warning</v>
      </c>
    </row>
    <row r="522" spans="1:52" ht="15.75" customHeight="1">
      <c r="A522" s="6" t="s">
        <v>2611</v>
      </c>
      <c r="B522" s="7" t="s">
        <v>1192</v>
      </c>
      <c r="C522" s="7" t="str">
        <f t="shared" si="88"/>
        <v>2024-07</v>
      </c>
      <c r="D522" s="7" cm="1">
        <f t="array" ref="D522">_xlfn.LET(_xlpm.x,B522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45489</v>
      </c>
      <c r="E522" s="7" t="s">
        <v>2612</v>
      </c>
      <c r="F522" s="7" cm="1">
        <f t="array" ref="F522">_xlfn.LET(_xlpm.x,E522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45496</v>
      </c>
      <c r="G522" s="8" t="str">
        <f t="shared" si="64"/>
        <v>OK</v>
      </c>
      <c r="H522" s="6">
        <f t="shared" si="65"/>
        <v>7</v>
      </c>
      <c r="I522" s="6" t="s">
        <v>2613</v>
      </c>
      <c r="J522" s="6" t="s">
        <v>239</v>
      </c>
      <c r="K522" s="6" t="str">
        <f t="shared" si="66"/>
        <v>Aarav Sharma</v>
      </c>
      <c r="L522" s="6" t="s">
        <v>44</v>
      </c>
      <c r="M522" s="8" t="str">
        <f t="shared" si="67"/>
        <v>Home Office</v>
      </c>
      <c r="N522" s="6" t="s">
        <v>10</v>
      </c>
      <c r="O522" s="6" t="str">
        <f t="shared" si="68"/>
        <v>South</v>
      </c>
      <c r="P522" s="6" t="s">
        <v>303</v>
      </c>
      <c r="Q522" s="6" t="str">
        <f t="shared" si="69"/>
        <v>Karnataka</v>
      </c>
      <c r="R522" s="6" t="s">
        <v>304</v>
      </c>
      <c r="S522" s="6" t="str">
        <f t="shared" si="70"/>
        <v>Bengaluru</v>
      </c>
      <c r="T522" s="6" t="s">
        <v>27</v>
      </c>
      <c r="U522" s="8" t="str">
        <f t="shared" si="71"/>
        <v>Technology</v>
      </c>
      <c r="V522" s="6" t="s">
        <v>30</v>
      </c>
      <c r="W522" s="6" t="str">
        <f t="shared" si="72"/>
        <v>Machines</v>
      </c>
      <c r="X522" s="6" t="s">
        <v>2614</v>
      </c>
      <c r="Y522" s="6" t="s">
        <v>37</v>
      </c>
      <c r="Z522" s="6" t="str">
        <f t="shared" si="73"/>
        <v>Same Day</v>
      </c>
      <c r="AA522" s="6">
        <v>1</v>
      </c>
      <c r="AB522" s="6">
        <v>1695.91</v>
      </c>
      <c r="AC522" s="6">
        <v>0.05</v>
      </c>
      <c r="AD522" s="6">
        <v>1611.11</v>
      </c>
      <c r="AE522" s="6">
        <v>895.15</v>
      </c>
      <c r="AF522" s="6">
        <v>715.96</v>
      </c>
      <c r="AG522" s="6" t="s">
        <v>52</v>
      </c>
      <c r="AH522" s="6" t="str">
        <f t="shared" si="74"/>
        <v>Paid</v>
      </c>
      <c r="AI522" s="6" t="s">
        <v>134</v>
      </c>
      <c r="AJ522" s="6" t="str">
        <f t="shared" si="75"/>
        <v>Completed</v>
      </c>
      <c r="AK522" s="9" t="str">
        <f>_xlfn.TEXTJOIN("|",FALSE,A522,TEXT(B522,"mm-dd-yyyy"),TEXT(E522,"mm-dd-yyyy"),I522,J522,L522,N522,P522,R522,T522,V522,X522,Y522,AA522,AB522,AC522,AD522,AE522,AF522,AG522,AI522)</f>
        <v>ORD-2024-10521|07-16-2024|07-23-2024|CUST-2155|Aarav Sharma|Home Office|South|Karnataka|Bengaluru|Technology|Machines|Prime Machines 393|Same Day|1|1695.91|0.05|1611.11|895.15|715.96|Paid|Completed</v>
      </c>
      <c r="AL522" s="27" t="str">
        <f>IF(COUNTIF($AK$2:AK522,AK522)&gt;1,"Remove exact duplicate copy","Keep")</f>
        <v>Keep</v>
      </c>
      <c r="AM522" s="9">
        <f t="shared" si="76"/>
        <v>1</v>
      </c>
      <c r="AN522" s="9" t="str">
        <f t="shared" si="77"/>
        <v>Unique</v>
      </c>
      <c r="AO522" s="9" t="str">
        <f t="shared" si="78"/>
        <v/>
      </c>
      <c r="AP522" s="9">
        <f t="shared" si="79"/>
        <v>0.05</v>
      </c>
      <c r="AQ522" s="10">
        <f t="shared" si="80"/>
        <v>1611.1144999999999</v>
      </c>
      <c r="AR522" s="10">
        <f t="shared" si="81"/>
        <v>715.96449999999993</v>
      </c>
      <c r="AS522" s="11">
        <f t="shared" si="82"/>
        <v>0.44439082386757739</v>
      </c>
      <c r="AT522" s="9">
        <f t="shared" si="83"/>
        <v>7</v>
      </c>
      <c r="AU522" s="9">
        <f t="shared" si="84"/>
        <v>2024</v>
      </c>
      <c r="AV522" s="9" t="b">
        <f t="shared" si="85"/>
        <v>0</v>
      </c>
      <c r="AW522" s="9" t="b">
        <f t="shared" si="86"/>
        <v>0</v>
      </c>
      <c r="AX522" s="9" t="str">
        <f t="shared" si="87"/>
        <v>Yes</v>
      </c>
      <c r="AY522" s="9" t="str">
        <f t="shared" si="89"/>
        <v/>
      </c>
      <c r="AZ522" s="9" t="str">
        <f>IF(OR(G522="Missing date",G522="Invalid date",G522="Ship date before order date",NOT(ISNUMBER(AP522)),AP522&lt;0,AP522&gt;0.5,AV522=TRUE,AW522=TRUE),"Invalid",IF(OR(O522="Unknown",Z522="Unknown",AC522="",AH522&lt;&gt;"Paid",AJ522&lt;&gt;"Completed",AO522&lt;&gt;""),"Warning","Clean"))</f>
        <v>Clean</v>
      </c>
    </row>
    <row r="523" spans="1:52" ht="15.75" customHeight="1">
      <c r="A523" s="6" t="s">
        <v>2615</v>
      </c>
      <c r="B523" s="7" t="s">
        <v>2616</v>
      </c>
      <c r="C523" s="7" t="str">
        <f t="shared" si="88"/>
        <v>2025-03</v>
      </c>
      <c r="D523" s="7" cm="1">
        <f t="array" ref="D523">_xlfn.LET(_xlpm.x,B523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45741</v>
      </c>
      <c r="E523" s="7" t="s">
        <v>2617</v>
      </c>
      <c r="F523" s="7" cm="1">
        <f t="array" ref="F523">_xlfn.LET(_xlpm.x,E523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45748</v>
      </c>
      <c r="G523" s="8" t="str">
        <f t="shared" si="64"/>
        <v>OK</v>
      </c>
      <c r="H523" s="6">
        <f t="shared" si="65"/>
        <v>7</v>
      </c>
      <c r="I523" s="6" t="s">
        <v>2618</v>
      </c>
      <c r="J523" s="6" t="s">
        <v>284</v>
      </c>
      <c r="K523" s="6" t="str">
        <f t="shared" si="66"/>
        <v>Diya Patel</v>
      </c>
      <c r="L523" s="6" t="s">
        <v>43</v>
      </c>
      <c r="M523" s="8" t="str">
        <f t="shared" si="67"/>
        <v>Consumer</v>
      </c>
      <c r="N523" s="6" t="s">
        <v>7</v>
      </c>
      <c r="O523" s="6" t="str">
        <f t="shared" si="68"/>
        <v>North</v>
      </c>
      <c r="P523" s="6" t="s">
        <v>232</v>
      </c>
      <c r="Q523" s="6" t="str">
        <f t="shared" si="69"/>
        <v>Punjab</v>
      </c>
      <c r="R523" s="6" t="s">
        <v>233</v>
      </c>
      <c r="S523" s="6" t="str">
        <f t="shared" si="70"/>
        <v>Ludhiana</v>
      </c>
      <c r="T523" s="6" t="s">
        <v>20</v>
      </c>
      <c r="U523" s="8" t="str">
        <f t="shared" si="71"/>
        <v>Office Supplies</v>
      </c>
      <c r="V523" s="6" t="s">
        <v>23</v>
      </c>
      <c r="W523" s="6" t="str">
        <f t="shared" si="72"/>
        <v>Labels</v>
      </c>
      <c r="X523" s="6" t="s">
        <v>2619</v>
      </c>
      <c r="Y523" s="6" t="s">
        <v>36</v>
      </c>
      <c r="Z523" s="6" t="str">
        <f t="shared" si="73"/>
        <v>Second Class</v>
      </c>
      <c r="AA523" s="6">
        <v>6</v>
      </c>
      <c r="AB523" s="6">
        <v>2192.11</v>
      </c>
      <c r="AC523" s="6">
        <v>0.05</v>
      </c>
      <c r="AD523" s="6">
        <v>12495.03</v>
      </c>
      <c r="AE523" s="6">
        <v>9184.52</v>
      </c>
      <c r="AF523" s="6">
        <v>3310.51</v>
      </c>
      <c r="AG523" s="6" t="s">
        <v>52</v>
      </c>
      <c r="AH523" s="6" t="str">
        <f t="shared" si="74"/>
        <v>Paid</v>
      </c>
      <c r="AI523" s="6" t="s">
        <v>134</v>
      </c>
      <c r="AJ523" s="6" t="str">
        <f t="shared" si="75"/>
        <v>Completed</v>
      </c>
      <c r="AK523" s="9" t="str">
        <f>_xlfn.TEXTJOIN("|",FALSE,A523,TEXT(B523,"mm-dd-yyyy"),TEXT(E523,"mm-dd-yyyy"),I523,J523,L523,N523,P523,R523,T523,V523,X523,Y523,AA523,AB523,AC523,AD523,AE523,AF523,AG523,AI523)</f>
        <v>ORD-2025-10522|03-25-2025|04-01-2025|CUST-8012|Diya Patel|Consumer|North|Punjab|Ludhiana|Office Supplies|Labels|Classic Labels 776|Second Class|6|2192.11|0.05|12495.03|9184.52|3310.51|Paid|Completed</v>
      </c>
      <c r="AL523" s="27" t="str">
        <f>IF(COUNTIF($AK$2:AK523,AK523)&gt;1,"Remove exact duplicate copy","Keep")</f>
        <v>Keep</v>
      </c>
      <c r="AM523" s="9">
        <f t="shared" si="76"/>
        <v>1</v>
      </c>
      <c r="AN523" s="9" t="str">
        <f t="shared" si="77"/>
        <v>Unique</v>
      </c>
      <c r="AO523" s="9" t="str">
        <f t="shared" si="78"/>
        <v/>
      </c>
      <c r="AP523" s="9">
        <f t="shared" si="79"/>
        <v>0.05</v>
      </c>
      <c r="AQ523" s="10">
        <f t="shared" si="80"/>
        <v>12495.027</v>
      </c>
      <c r="AR523" s="10">
        <f t="shared" si="81"/>
        <v>3310.5069999999996</v>
      </c>
      <c r="AS523" s="11">
        <f t="shared" si="82"/>
        <v>0.26494596610315446</v>
      </c>
      <c r="AT523" s="9">
        <f t="shared" si="83"/>
        <v>3</v>
      </c>
      <c r="AU523" s="9">
        <f t="shared" si="84"/>
        <v>2025</v>
      </c>
      <c r="AV523" s="9" t="b">
        <f t="shared" si="85"/>
        <v>0</v>
      </c>
      <c r="AW523" s="9" t="b">
        <f t="shared" si="86"/>
        <v>0</v>
      </c>
      <c r="AX523" s="9" t="str">
        <f t="shared" si="87"/>
        <v>Yes</v>
      </c>
      <c r="AY523" s="9" t="str">
        <f t="shared" si="89"/>
        <v/>
      </c>
      <c r="AZ523" s="9" t="str">
        <f>IF(OR(G523="Missing date",G523="Invalid date",G523="Ship date before order date",NOT(ISNUMBER(AP523)),AP523&lt;0,AP523&gt;0.5,AV523=TRUE,AW523=TRUE),"Invalid",IF(OR(O523="Unknown",Z523="Unknown",AC523="",AH523&lt;&gt;"Paid",AJ523&lt;&gt;"Completed",AO523&lt;&gt;""),"Warning","Clean"))</f>
        <v>Clean</v>
      </c>
    </row>
    <row r="524" spans="1:52" ht="15.75" customHeight="1">
      <c r="A524" s="6" t="s">
        <v>2620</v>
      </c>
      <c r="B524" s="7" t="s">
        <v>2621</v>
      </c>
      <c r="C524" s="7" t="str">
        <f t="shared" si="88"/>
        <v>2025-02</v>
      </c>
      <c r="D524" s="7" cm="1">
        <f t="array" ref="D524">_xlfn.LET(_xlpm.x,B524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45716</v>
      </c>
      <c r="E524" s="7" t="s">
        <v>2414</v>
      </c>
      <c r="F524" s="7" cm="1">
        <f t="array" ref="F524">_xlfn.LET(_xlpm.x,E524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45724</v>
      </c>
      <c r="G524" s="8" t="str">
        <f t="shared" si="64"/>
        <v>OK</v>
      </c>
      <c r="H524" s="6">
        <f t="shared" si="65"/>
        <v>8</v>
      </c>
      <c r="I524" s="6" t="s">
        <v>2622</v>
      </c>
      <c r="J524" s="6" t="s">
        <v>177</v>
      </c>
      <c r="K524" s="6" t="str">
        <f t="shared" si="66"/>
        <v>Neha Gupta</v>
      </c>
      <c r="L524" s="6" t="s">
        <v>46</v>
      </c>
      <c r="M524" s="8" t="str">
        <f t="shared" si="67"/>
        <v>Small Business</v>
      </c>
      <c r="N524" s="6" t="s">
        <v>8</v>
      </c>
      <c r="O524" s="6" t="str">
        <f t="shared" si="68"/>
        <v>East</v>
      </c>
      <c r="P524" s="6" t="s">
        <v>385</v>
      </c>
      <c r="Q524" s="6" t="str">
        <f t="shared" si="69"/>
        <v>Jharkhand</v>
      </c>
      <c r="R524" s="6" t="s">
        <v>386</v>
      </c>
      <c r="S524" s="6" t="str">
        <f t="shared" si="70"/>
        <v>Ranchi</v>
      </c>
      <c r="T524" s="6" t="s">
        <v>27</v>
      </c>
      <c r="U524" s="8" t="str">
        <f t="shared" si="71"/>
        <v>Technology</v>
      </c>
      <c r="V524" s="6" t="s">
        <v>31</v>
      </c>
      <c r="W524" s="6" t="str">
        <f t="shared" si="72"/>
        <v>Phones</v>
      </c>
      <c r="X524" s="6" t="s">
        <v>2623</v>
      </c>
      <c r="Y524" s="6" t="s">
        <v>35</v>
      </c>
      <c r="Z524" s="6" t="str">
        <f t="shared" si="73"/>
        <v>First Class</v>
      </c>
      <c r="AA524" s="6">
        <v>9</v>
      </c>
      <c r="AB524" s="6">
        <v>3670.54</v>
      </c>
      <c r="AC524" s="6">
        <v>0</v>
      </c>
      <c r="AD524" s="6">
        <v>33034.86</v>
      </c>
      <c r="AE524" s="6">
        <v>24539.83</v>
      </c>
      <c r="AF524" s="6">
        <v>8495.0300000000007</v>
      </c>
      <c r="AG524" s="6" t="s">
        <v>52</v>
      </c>
      <c r="AH524" s="6" t="str">
        <f t="shared" si="74"/>
        <v>Paid</v>
      </c>
      <c r="AI524" s="6" t="s">
        <v>134</v>
      </c>
      <c r="AJ524" s="6" t="str">
        <f t="shared" si="75"/>
        <v>Completed</v>
      </c>
      <c r="AK524" s="9" t="str">
        <f>_xlfn.TEXTJOIN("|",FALSE,A524,TEXT(B524,"mm-dd-yyyy"),TEXT(E524,"mm-dd-yyyy"),I524,J524,L524,N524,P524,R524,T524,V524,X524,Y524,AA524,AB524,AC524,AD524,AE524,AF524,AG524,AI524)</f>
        <v>ORD-2025-10523|02-28-2025|03-08-2025|CUST-2917|Neha Gupta|Small Business|East|Jharkhand|Ranchi|Technology|Phones|Max Phones 612|First Class|9|3670.54|0|33034.86|24539.83|8495.03|Paid|Completed</v>
      </c>
      <c r="AL524" s="27" t="str">
        <f>IF(COUNTIF($AK$2:AK524,AK524)&gt;1,"Remove exact duplicate copy","Keep")</f>
        <v>Keep</v>
      </c>
      <c r="AM524" s="9">
        <f t="shared" si="76"/>
        <v>1</v>
      </c>
      <c r="AN524" s="9" t="str">
        <f t="shared" si="77"/>
        <v>Unique</v>
      </c>
      <c r="AO524" s="9" t="str">
        <f t="shared" si="78"/>
        <v/>
      </c>
      <c r="AP524" s="9">
        <f t="shared" si="79"/>
        <v>0</v>
      </c>
      <c r="AQ524" s="10">
        <f t="shared" si="80"/>
        <v>33034.86</v>
      </c>
      <c r="AR524" s="10">
        <f t="shared" si="81"/>
        <v>8495.0299999999988</v>
      </c>
      <c r="AS524" s="11">
        <f t="shared" si="82"/>
        <v>0.25715350390466307</v>
      </c>
      <c r="AT524" s="9">
        <f t="shared" si="83"/>
        <v>2</v>
      </c>
      <c r="AU524" s="9">
        <f t="shared" si="84"/>
        <v>2025</v>
      </c>
      <c r="AV524" s="9" t="b">
        <f t="shared" si="85"/>
        <v>0</v>
      </c>
      <c r="AW524" s="9" t="b">
        <f t="shared" si="86"/>
        <v>0</v>
      </c>
      <c r="AX524" s="9" t="str">
        <f t="shared" si="87"/>
        <v>Yes</v>
      </c>
      <c r="AY524" s="9" t="str">
        <f t="shared" si="89"/>
        <v/>
      </c>
      <c r="AZ524" s="9" t="str">
        <f>IF(OR(G524="Missing date",G524="Invalid date",G524="Ship date before order date",NOT(ISNUMBER(AP524)),AP524&lt;0,AP524&gt;0.5,AV524=TRUE,AW524=TRUE),"Invalid",IF(OR(O524="Unknown",Z524="Unknown",AC524="",AH524&lt;&gt;"Paid",AJ524&lt;&gt;"Completed",AO524&lt;&gt;""),"Warning","Clean"))</f>
        <v>Clean</v>
      </c>
    </row>
    <row r="525" spans="1:52" ht="15.75" customHeight="1">
      <c r="A525" s="6" t="s">
        <v>2624</v>
      </c>
      <c r="B525" s="7" t="s">
        <v>2625</v>
      </c>
      <c r="C525" s="7" t="str">
        <f t="shared" si="88"/>
        <v>2024-04</v>
      </c>
      <c r="D525" s="7" cm="1">
        <f t="array" ref="D525">_xlfn.LET(_xlpm.x,B525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45384</v>
      </c>
      <c r="E525" s="7" t="s">
        <v>2626</v>
      </c>
      <c r="F525" s="7" cm="1">
        <f t="array" ref="F525">_xlfn.LET(_xlpm.x,E525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45385</v>
      </c>
      <c r="G525" s="8" t="str">
        <f t="shared" si="64"/>
        <v>OK</v>
      </c>
      <c r="H525" s="6">
        <f t="shared" si="65"/>
        <v>1</v>
      </c>
      <c r="I525" s="6" t="s">
        <v>2627</v>
      </c>
      <c r="J525" s="6" t="s">
        <v>442</v>
      </c>
      <c r="K525" s="6" t="str">
        <f t="shared" si="66"/>
        <v>Kabir Singh</v>
      </c>
      <c r="L525" s="6" t="s">
        <v>44</v>
      </c>
      <c r="M525" s="8" t="str">
        <f t="shared" si="67"/>
        <v>Home Office</v>
      </c>
      <c r="N525" s="6" t="s">
        <v>9</v>
      </c>
      <c r="O525" s="6" t="str">
        <f t="shared" si="68"/>
        <v>West</v>
      </c>
      <c r="P525" s="6" t="s">
        <v>323</v>
      </c>
      <c r="Q525" s="6" t="str">
        <f t="shared" si="69"/>
        <v>Goa</v>
      </c>
      <c r="R525" s="6" t="s">
        <v>324</v>
      </c>
      <c r="S525" s="6" t="str">
        <f t="shared" si="70"/>
        <v>Panaji</v>
      </c>
      <c r="T525" s="6" t="s">
        <v>20</v>
      </c>
      <c r="U525" s="8" t="str">
        <f t="shared" si="71"/>
        <v>Office Supplies</v>
      </c>
      <c r="V525" s="6" t="s">
        <v>24</v>
      </c>
      <c r="W525" s="6" t="str">
        <f t="shared" si="72"/>
        <v>Paper</v>
      </c>
      <c r="X525" s="6" t="s">
        <v>2628</v>
      </c>
      <c r="Y525" s="6" t="s">
        <v>36</v>
      </c>
      <c r="Z525" s="6" t="str">
        <f t="shared" si="73"/>
        <v>Second Class</v>
      </c>
      <c r="AA525" s="6">
        <v>2</v>
      </c>
      <c r="AB525" s="6">
        <v>2902.63</v>
      </c>
      <c r="AC525" s="6">
        <v>0</v>
      </c>
      <c r="AD525" s="6">
        <v>5805.26</v>
      </c>
      <c r="AE525" s="6">
        <v>4654.3599999999997</v>
      </c>
      <c r="AF525" s="6">
        <v>1150.9000000000001</v>
      </c>
      <c r="AG525" s="6" t="s">
        <v>52</v>
      </c>
      <c r="AH525" s="6" t="str">
        <f t="shared" si="74"/>
        <v>Paid</v>
      </c>
      <c r="AI525" s="6" t="s">
        <v>59</v>
      </c>
      <c r="AJ525" s="6" t="str">
        <f t="shared" si="75"/>
        <v>Returned</v>
      </c>
      <c r="AK525" s="9" t="str">
        <f>_xlfn.TEXTJOIN("|",FALSE,A525,TEXT(B525,"mm-dd-yyyy"),TEXT(E525,"mm-dd-yyyy"),I525,J525,L525,N525,P525,R525,T525,V525,X525,Y525,AA525,AB525,AC525,AD525,AE525,AF525,AG525,AI525)</f>
        <v>ORD-2024-10524|02-04-2024|04-03-2024|CUST-4653|Kabir Singh|Home Office|West|Goa|Panaji|Office Supplies|Paper|Basic Paper 315|Second Class|2|2902.63|0|5805.26|4654.36|1150.9|Paid|Returned</v>
      </c>
      <c r="AL525" s="27" t="str">
        <f>IF(COUNTIF($AK$2:AK525,AK525)&gt;1,"Remove exact duplicate copy","Keep")</f>
        <v>Keep</v>
      </c>
      <c r="AM525" s="9">
        <f t="shared" si="76"/>
        <v>1</v>
      </c>
      <c r="AN525" s="9" t="str">
        <f t="shared" si="77"/>
        <v>Unique</v>
      </c>
      <c r="AO525" s="9" t="str">
        <f t="shared" si="78"/>
        <v/>
      </c>
      <c r="AP525" s="9">
        <f t="shared" si="79"/>
        <v>0</v>
      </c>
      <c r="AQ525" s="10">
        <f t="shared" si="80"/>
        <v>5805.26</v>
      </c>
      <c r="AR525" s="10">
        <f t="shared" si="81"/>
        <v>1150.9000000000005</v>
      </c>
      <c r="AS525" s="11">
        <f t="shared" si="82"/>
        <v>0.19825124111581574</v>
      </c>
      <c r="AT525" s="9">
        <f t="shared" si="83"/>
        <v>4</v>
      </c>
      <c r="AU525" s="9">
        <f t="shared" si="84"/>
        <v>2024</v>
      </c>
      <c r="AV525" s="9" t="b">
        <f t="shared" si="85"/>
        <v>0</v>
      </c>
      <c r="AW525" s="9" t="b">
        <f t="shared" si="86"/>
        <v>0</v>
      </c>
      <c r="AX525" s="9" t="str">
        <f t="shared" si="87"/>
        <v>No</v>
      </c>
      <c r="AY525" s="9" t="str">
        <f t="shared" si="89"/>
        <v>Returned order excluded</v>
      </c>
      <c r="AZ525" s="9" t="str">
        <f>IF(OR(G525="Missing date",G525="Invalid date",G525="Ship date before order date",NOT(ISNUMBER(AP525)),AP525&lt;0,AP525&gt;0.5,AV525=TRUE,AW525=TRUE),"Invalid",IF(OR(O525="Unknown",Z525="Unknown",AC525="",AH525&lt;&gt;"Paid",AJ525&lt;&gt;"Completed",AO525&lt;&gt;""),"Warning","Clean"))</f>
        <v>Warning</v>
      </c>
    </row>
    <row r="526" spans="1:52" ht="15.75" customHeight="1">
      <c r="A526" s="6" t="s">
        <v>2629</v>
      </c>
      <c r="B526" s="7" t="s">
        <v>2630</v>
      </c>
      <c r="C526" s="7" t="str">
        <f t="shared" si="88"/>
        <v>2024-11</v>
      </c>
      <c r="D526" s="7" cm="1">
        <f t="array" ref="D526">_xlfn.LET(_xlpm.x,B526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45626</v>
      </c>
      <c r="E526" s="7" t="s">
        <v>2631</v>
      </c>
      <c r="F526" s="7" cm="1">
        <f t="array" ref="F526">_xlfn.LET(_xlpm.x,E526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45627</v>
      </c>
      <c r="G526" s="8" t="str">
        <f t="shared" si="64"/>
        <v>OK</v>
      </c>
      <c r="H526" s="6">
        <f t="shared" si="65"/>
        <v>1</v>
      </c>
      <c r="I526" s="6" t="s">
        <v>2632</v>
      </c>
      <c r="J526" s="6" t="s">
        <v>161</v>
      </c>
      <c r="K526" s="6" t="str">
        <f t="shared" si="66"/>
        <v>Ananya Rao</v>
      </c>
      <c r="L526" s="6" t="s">
        <v>45</v>
      </c>
      <c r="M526" s="8" t="str">
        <f t="shared" si="67"/>
        <v>Corporate</v>
      </c>
      <c r="N526" s="6" t="s">
        <v>9</v>
      </c>
      <c r="O526" s="6" t="str">
        <f t="shared" si="68"/>
        <v>West</v>
      </c>
      <c r="P526" s="6" t="s">
        <v>309</v>
      </c>
      <c r="Q526" s="6" t="str">
        <f t="shared" si="69"/>
        <v>Gujarat</v>
      </c>
      <c r="R526" s="6" t="s">
        <v>310</v>
      </c>
      <c r="S526" s="6" t="str">
        <f t="shared" si="70"/>
        <v>Ahmedabad</v>
      </c>
      <c r="T526" s="6" t="s">
        <v>14</v>
      </c>
      <c r="U526" s="8" t="str">
        <f t="shared" si="71"/>
        <v>Furniture</v>
      </c>
      <c r="V526" s="6" t="s">
        <v>16</v>
      </c>
      <c r="W526" s="6" t="str">
        <f t="shared" si="72"/>
        <v>Chairs</v>
      </c>
      <c r="X526" s="6" t="s">
        <v>2633</v>
      </c>
      <c r="Y526" s="6" t="s">
        <v>35</v>
      </c>
      <c r="Z526" s="6" t="str">
        <f t="shared" si="73"/>
        <v>First Class</v>
      </c>
      <c r="AA526" s="6">
        <v>9</v>
      </c>
      <c r="AB526" s="6">
        <v>4207.3599999999997</v>
      </c>
      <c r="AC526" s="6">
        <v>0.1</v>
      </c>
      <c r="AD526" s="6">
        <v>34079.620000000003</v>
      </c>
      <c r="AE526" s="6">
        <v>21871.39</v>
      </c>
      <c r="AF526" s="6">
        <v>12208.23</v>
      </c>
      <c r="AG526" s="6" t="s">
        <v>52</v>
      </c>
      <c r="AH526" s="6" t="str">
        <f t="shared" si="74"/>
        <v>Paid</v>
      </c>
      <c r="AI526" s="6" t="s">
        <v>134</v>
      </c>
      <c r="AJ526" s="6" t="str">
        <f t="shared" si="75"/>
        <v>Completed</v>
      </c>
      <c r="AK526" s="9" t="str">
        <f>_xlfn.TEXTJOIN("|",FALSE,A526,TEXT(B526,"mm-dd-yyyy"),TEXT(E526,"mm-dd-yyyy"),I526,J526,L526,N526,P526,R526,T526,V526,X526,Y526,AA526,AB526,AC526,AD526,AE526,AF526,AG526,AI526)</f>
        <v>ORD-2024-10525|11-30-2024|12-01-2024|CUST-3311|Ananya Rao|Corporate|West|Gujarat|Ahmedabad|Furniture|Chairs|Basic Chairs 333|First Class|9|4207.36|0.1|34079.62|21871.39|12208.23|Paid|Completed</v>
      </c>
      <c r="AL526" s="27" t="str">
        <f>IF(COUNTIF($AK$2:AK526,AK526)&gt;1,"Remove exact duplicate copy","Keep")</f>
        <v>Keep</v>
      </c>
      <c r="AM526" s="9">
        <f t="shared" si="76"/>
        <v>1</v>
      </c>
      <c r="AN526" s="9" t="str">
        <f t="shared" si="77"/>
        <v>Unique</v>
      </c>
      <c r="AO526" s="9" t="str">
        <f t="shared" si="78"/>
        <v/>
      </c>
      <c r="AP526" s="9">
        <f t="shared" si="79"/>
        <v>0.1</v>
      </c>
      <c r="AQ526" s="10">
        <f t="shared" si="80"/>
        <v>34079.616000000002</v>
      </c>
      <c r="AR526" s="10">
        <f t="shared" si="81"/>
        <v>12208.226000000002</v>
      </c>
      <c r="AS526" s="11">
        <f t="shared" si="82"/>
        <v>0.35822663025311091</v>
      </c>
      <c r="AT526" s="9">
        <f t="shared" si="83"/>
        <v>11</v>
      </c>
      <c r="AU526" s="9">
        <f t="shared" si="84"/>
        <v>2024</v>
      </c>
      <c r="AV526" s="9" t="b">
        <f t="shared" si="85"/>
        <v>0</v>
      </c>
      <c r="AW526" s="9" t="b">
        <f t="shared" si="86"/>
        <v>0</v>
      </c>
      <c r="AX526" s="9" t="str">
        <f t="shared" si="87"/>
        <v>Yes</v>
      </c>
      <c r="AY526" s="9" t="str">
        <f t="shared" si="89"/>
        <v/>
      </c>
      <c r="AZ526" s="9" t="str">
        <f>IF(OR(G526="Missing date",G526="Invalid date",G526="Ship date before order date",NOT(ISNUMBER(AP526)),AP526&lt;0,AP526&gt;0.5,AV526=TRUE,AW526=TRUE),"Invalid",IF(OR(O526="Unknown",Z526="Unknown",AC526="",AH526&lt;&gt;"Paid",AJ526&lt;&gt;"Completed",AO526&lt;&gt;""),"Warning","Clean"))</f>
        <v>Clean</v>
      </c>
    </row>
    <row r="527" spans="1:52" ht="15.75" customHeight="1">
      <c r="A527" s="6" t="s">
        <v>2634</v>
      </c>
      <c r="B527" s="7" t="s">
        <v>2635</v>
      </c>
      <c r="C527" s="7" t="str">
        <f t="shared" si="88"/>
        <v>2024-10</v>
      </c>
      <c r="D527" s="7" cm="1">
        <f t="array" ref="D527">_xlfn.LET(_xlpm.x,B527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45582</v>
      </c>
      <c r="E527" s="7" t="s">
        <v>2636</v>
      </c>
      <c r="F527" s="7" cm="1">
        <f t="array" ref="F527">_xlfn.LET(_xlpm.x,E527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45582</v>
      </c>
      <c r="G527" s="8" t="str">
        <f t="shared" si="64"/>
        <v>OK</v>
      </c>
      <c r="H527" s="6">
        <f t="shared" si="65"/>
        <v>0</v>
      </c>
      <c r="I527" s="6" t="s">
        <v>2637</v>
      </c>
      <c r="J527" s="6" t="s">
        <v>220</v>
      </c>
      <c r="K527" s="6" t="str">
        <f t="shared" si="66"/>
        <v>Priya Menon</v>
      </c>
      <c r="L527" s="6" t="s">
        <v>44</v>
      </c>
      <c r="M527" s="8" t="str">
        <f t="shared" si="67"/>
        <v>Home Office</v>
      </c>
      <c r="N527" s="6" t="s">
        <v>8</v>
      </c>
      <c r="O527" s="6" t="str">
        <f t="shared" si="68"/>
        <v>East</v>
      </c>
      <c r="P527" s="6" t="s">
        <v>201</v>
      </c>
      <c r="Q527" s="6" t="str">
        <f t="shared" si="69"/>
        <v>West Bengal</v>
      </c>
      <c r="R527" s="6" t="s">
        <v>202</v>
      </c>
      <c r="S527" s="6" t="str">
        <f t="shared" si="70"/>
        <v>Kolkata</v>
      </c>
      <c r="T527" s="6" t="s">
        <v>14</v>
      </c>
      <c r="U527" s="8" t="str">
        <f t="shared" si="71"/>
        <v>Furniture</v>
      </c>
      <c r="V527" s="6" t="s">
        <v>16</v>
      </c>
      <c r="W527" s="6" t="str">
        <f t="shared" si="72"/>
        <v>Chairs</v>
      </c>
      <c r="X527" s="6" t="s">
        <v>2638</v>
      </c>
      <c r="Y527" s="6" t="s">
        <v>34</v>
      </c>
      <c r="Z527" s="6" t="str">
        <f t="shared" si="73"/>
        <v>Standard Class</v>
      </c>
      <c r="AA527" s="6">
        <v>5</v>
      </c>
      <c r="AB527" s="6">
        <v>2524.4</v>
      </c>
      <c r="AC527" s="6">
        <v>0.1</v>
      </c>
      <c r="AD527" s="6">
        <v>11359.8</v>
      </c>
      <c r="AE527" s="6">
        <v>7062.44</v>
      </c>
      <c r="AF527" s="6">
        <v>4297.3599999999997</v>
      </c>
      <c r="AG527" s="6" t="s">
        <v>52</v>
      </c>
      <c r="AH527" s="6" t="str">
        <f t="shared" si="74"/>
        <v>Paid</v>
      </c>
      <c r="AI527" s="6" t="s">
        <v>134</v>
      </c>
      <c r="AJ527" s="6" t="str">
        <f t="shared" si="75"/>
        <v>Completed</v>
      </c>
      <c r="AK527" s="9" t="str">
        <f>_xlfn.TEXTJOIN("|",FALSE,A527,TEXT(B527,"mm-dd-yyyy"),TEXT(E527,"mm-dd-yyyy"),I527,J527,L527,N527,P527,R527,T527,V527,X527,Y527,AA527,AB527,AC527,AD527,AE527,AF527,AG527,AI527)</f>
        <v>ORD-2024-10526|10-17-2024|10-17-2024|CUST-2924|Priya Menon|Home Office|East|West Bengal|Kolkata|Furniture|Chairs|Prime Chairs 215|Standard Class|5|2524.4|0.1|11359.8|7062.44|4297.36|Paid|Completed</v>
      </c>
      <c r="AL527" s="27" t="str">
        <f>IF(COUNTIF($AK$2:AK527,AK527)&gt;1,"Remove exact duplicate copy","Keep")</f>
        <v>Keep</v>
      </c>
      <c r="AM527" s="9">
        <f t="shared" si="76"/>
        <v>1</v>
      </c>
      <c r="AN527" s="9" t="str">
        <f t="shared" si="77"/>
        <v>Unique</v>
      </c>
      <c r="AO527" s="9" t="str">
        <f t="shared" si="78"/>
        <v/>
      </c>
      <c r="AP527" s="9">
        <f t="shared" si="79"/>
        <v>0.1</v>
      </c>
      <c r="AQ527" s="10">
        <f t="shared" si="80"/>
        <v>11359.800000000001</v>
      </c>
      <c r="AR527" s="10">
        <f t="shared" si="81"/>
        <v>4297.3600000000015</v>
      </c>
      <c r="AS527" s="11">
        <f t="shared" si="82"/>
        <v>0.37829539252451638</v>
      </c>
      <c r="AT527" s="9">
        <f t="shared" si="83"/>
        <v>10</v>
      </c>
      <c r="AU527" s="9">
        <f t="shared" si="84"/>
        <v>2024</v>
      </c>
      <c r="AV527" s="9" t="b">
        <f t="shared" si="85"/>
        <v>0</v>
      </c>
      <c r="AW527" s="9" t="b">
        <f t="shared" si="86"/>
        <v>0</v>
      </c>
      <c r="AX527" s="9" t="str">
        <f t="shared" si="87"/>
        <v>Yes</v>
      </c>
      <c r="AY527" s="9" t="str">
        <f t="shared" si="89"/>
        <v/>
      </c>
      <c r="AZ527" s="9" t="str">
        <f>IF(OR(G527="Missing date",G527="Invalid date",G527="Ship date before order date",NOT(ISNUMBER(AP527)),AP527&lt;0,AP527&gt;0.5,AV527=TRUE,AW527=TRUE),"Invalid",IF(OR(O527="Unknown",Z527="Unknown",AC527="",AH527&lt;&gt;"Paid",AJ527&lt;&gt;"Completed",AO527&lt;&gt;""),"Warning","Clean"))</f>
        <v>Clean</v>
      </c>
    </row>
    <row r="528" spans="1:52" ht="15.75" customHeight="1">
      <c r="A528" s="6" t="s">
        <v>2639</v>
      </c>
      <c r="B528" s="7" t="s">
        <v>2640</v>
      </c>
      <c r="C528" s="7" t="str">
        <f t="shared" si="88"/>
        <v>2025-07</v>
      </c>
      <c r="D528" s="7" cm="1">
        <f t="array" ref="D528">_xlfn.LET(_xlpm.x,B528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45856</v>
      </c>
      <c r="E528" s="7" t="s">
        <v>2641</v>
      </c>
      <c r="F528" s="7" cm="1">
        <f t="array" ref="F528">_xlfn.LET(_xlpm.x,E528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45859</v>
      </c>
      <c r="G528" s="8" t="str">
        <f t="shared" si="64"/>
        <v>OK</v>
      </c>
      <c r="H528" s="6">
        <f t="shared" si="65"/>
        <v>3</v>
      </c>
      <c r="I528" s="6" t="s">
        <v>2642</v>
      </c>
      <c r="J528" s="6" t="s">
        <v>220</v>
      </c>
      <c r="K528" s="6" t="str">
        <f t="shared" si="66"/>
        <v>Priya Menon</v>
      </c>
      <c r="L528" s="6" t="s">
        <v>43</v>
      </c>
      <c r="M528" s="8" t="str">
        <f t="shared" si="67"/>
        <v>Consumer</v>
      </c>
      <c r="N528" s="6" t="s">
        <v>8</v>
      </c>
      <c r="O528" s="6" t="str">
        <f t="shared" si="68"/>
        <v>East</v>
      </c>
      <c r="P528" s="6" t="s">
        <v>140</v>
      </c>
      <c r="Q528" s="6" t="str">
        <f t="shared" si="69"/>
        <v>Odisha</v>
      </c>
      <c r="R528" s="6" t="s">
        <v>141</v>
      </c>
      <c r="S528" s="6" t="str">
        <f t="shared" si="70"/>
        <v>Bhubaneswar</v>
      </c>
      <c r="T528" s="6" t="s">
        <v>14</v>
      </c>
      <c r="U528" s="8" t="str">
        <f t="shared" si="71"/>
        <v>Furniture</v>
      </c>
      <c r="V528" s="6" t="s">
        <v>18</v>
      </c>
      <c r="W528" s="6" t="str">
        <f t="shared" si="72"/>
        <v>Tables</v>
      </c>
      <c r="X528" s="6" t="s">
        <v>2643</v>
      </c>
      <c r="Y528" s="6" t="s">
        <v>36</v>
      </c>
      <c r="Z528" s="6" t="str">
        <f t="shared" si="73"/>
        <v>Second Class</v>
      </c>
      <c r="AA528" s="6">
        <v>4</v>
      </c>
      <c r="AB528" s="6">
        <v>284.04000000000002</v>
      </c>
      <c r="AC528" s="6"/>
      <c r="AD528" s="6">
        <v>908.93</v>
      </c>
      <c r="AE528" s="6">
        <v>572.08000000000004</v>
      </c>
      <c r="AF528" s="6">
        <v>336.85</v>
      </c>
      <c r="AG528" s="6" t="s">
        <v>52</v>
      </c>
      <c r="AH528" s="6" t="str">
        <f t="shared" si="74"/>
        <v>Paid</v>
      </c>
      <c r="AI528" s="6" t="s">
        <v>134</v>
      </c>
      <c r="AJ528" s="6" t="str">
        <f t="shared" si="75"/>
        <v>Completed</v>
      </c>
      <c r="AK528" s="9" t="str">
        <f>_xlfn.TEXTJOIN("|",FALSE,A528,TEXT(B528,"mm-dd-yyyy"),TEXT(E528,"mm-dd-yyyy"),I528,J528,L528,N528,P528,R528,T528,V528,X528,Y528,AA528,AB528,AC528,AD528,AE528,AF528,AG528,AI528)</f>
        <v>ORD-2025-10527|07-18-2025|07-21-2025|CUST-7198|Priya Menon|Consumer|East|Odisha|Bhubaneswar|Furniture|Tables|Elite Tables 815|Second Class|4|284.04||908.93|572.08|336.85|Paid|Completed</v>
      </c>
      <c r="AL528" s="27" t="str">
        <f>IF(COUNTIF($AK$2:AK528,AK528)&gt;1,"Remove exact duplicate copy","Keep")</f>
        <v>Keep</v>
      </c>
      <c r="AM528" s="9">
        <f t="shared" si="76"/>
        <v>1</v>
      </c>
      <c r="AN528" s="9" t="str">
        <f t="shared" si="77"/>
        <v>Unique</v>
      </c>
      <c r="AO528" s="9" t="str">
        <f t="shared" si="78"/>
        <v/>
      </c>
      <c r="AP528" s="9">
        <f t="shared" si="79"/>
        <v>0</v>
      </c>
      <c r="AQ528" s="10">
        <f t="shared" si="80"/>
        <v>1136.1600000000001</v>
      </c>
      <c r="AR528" s="10">
        <f t="shared" si="81"/>
        <v>564.08000000000004</v>
      </c>
      <c r="AS528" s="11">
        <f t="shared" si="82"/>
        <v>0.49647936910294327</v>
      </c>
      <c r="AT528" s="9">
        <f t="shared" si="83"/>
        <v>7</v>
      </c>
      <c r="AU528" s="9">
        <f t="shared" si="84"/>
        <v>2025</v>
      </c>
      <c r="AV528" s="9" t="b">
        <f t="shared" si="85"/>
        <v>1</v>
      </c>
      <c r="AW528" s="9" t="b">
        <f t="shared" si="86"/>
        <v>1</v>
      </c>
      <c r="AX528" s="9" t="str">
        <f t="shared" si="87"/>
        <v>No</v>
      </c>
      <c r="AY528" s="9" t="str">
        <f t="shared" si="89"/>
        <v>Missing discount treated as 0; Sales mismatch; Profit mismatch</v>
      </c>
      <c r="AZ528" s="9" t="str">
        <f>IF(OR(G528="Missing date",G528="Invalid date",G528="Ship date before order date",NOT(ISNUMBER(AP528)),AP528&lt;0,AP528&gt;0.5,AV528=TRUE,AW528=TRUE),"Invalid",IF(OR(O528="Unknown",Z528="Unknown",AC528="",AH528&lt;&gt;"Paid",AJ528&lt;&gt;"Completed",AO528&lt;&gt;""),"Warning","Clean"))</f>
        <v>Invalid</v>
      </c>
    </row>
    <row r="529" spans="1:52" ht="15.75" customHeight="1">
      <c r="A529" s="6" t="s">
        <v>2644</v>
      </c>
      <c r="B529" s="7" t="s">
        <v>2645</v>
      </c>
      <c r="C529" s="7" t="str">
        <f t="shared" si="88"/>
        <v>2025-10</v>
      </c>
      <c r="D529" s="7" cm="1">
        <f t="array" ref="D529">_xlfn.LET(_xlpm.x,B529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45931</v>
      </c>
      <c r="E529" s="7" t="s">
        <v>2646</v>
      </c>
      <c r="F529" s="7" cm="1">
        <f t="array" ref="F529">_xlfn.LET(_xlpm.x,E529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45935</v>
      </c>
      <c r="G529" s="8" t="str">
        <f t="shared" si="64"/>
        <v>OK</v>
      </c>
      <c r="H529" s="6">
        <f t="shared" si="65"/>
        <v>4</v>
      </c>
      <c r="I529" s="6" t="s">
        <v>2647</v>
      </c>
      <c r="J529" s="6" t="s">
        <v>190</v>
      </c>
      <c r="K529" s="6" t="str">
        <f t="shared" si="66"/>
        <v>Aditi Sen</v>
      </c>
      <c r="L529" s="6" t="s">
        <v>44</v>
      </c>
      <c r="M529" s="8" t="str">
        <f t="shared" si="67"/>
        <v>Home Office</v>
      </c>
      <c r="N529" s="6" t="s">
        <v>7</v>
      </c>
      <c r="O529" s="6" t="str">
        <f t="shared" si="68"/>
        <v>North</v>
      </c>
      <c r="P529" s="6" t="s">
        <v>397</v>
      </c>
      <c r="Q529" s="6" t="str">
        <f t="shared" si="69"/>
        <v>Haryana</v>
      </c>
      <c r="R529" s="6" t="s">
        <v>398</v>
      </c>
      <c r="S529" s="6" t="str">
        <f t="shared" si="70"/>
        <v>Gurugram</v>
      </c>
      <c r="T529" s="6" t="s">
        <v>20</v>
      </c>
      <c r="U529" s="8" t="str">
        <f t="shared" si="71"/>
        <v>Office Supplies</v>
      </c>
      <c r="V529" s="6" t="s">
        <v>24</v>
      </c>
      <c r="W529" s="6" t="str">
        <f t="shared" si="72"/>
        <v>Paper</v>
      </c>
      <c r="X529" s="6" t="s">
        <v>2648</v>
      </c>
      <c r="Y529" s="6" t="s">
        <v>35</v>
      </c>
      <c r="Z529" s="6" t="str">
        <f t="shared" si="73"/>
        <v>First Class</v>
      </c>
      <c r="AA529" s="6">
        <v>5</v>
      </c>
      <c r="AB529" s="6">
        <v>3247.56</v>
      </c>
      <c r="AC529" s="6">
        <v>0.15</v>
      </c>
      <c r="AD529" s="6">
        <v>13802.13</v>
      </c>
      <c r="AE529" s="6">
        <v>10075.93</v>
      </c>
      <c r="AF529" s="6">
        <v>3726.2</v>
      </c>
      <c r="AG529" s="6" t="s">
        <v>52</v>
      </c>
      <c r="AH529" s="6" t="str">
        <f t="shared" si="74"/>
        <v>Paid</v>
      </c>
      <c r="AI529" s="6" t="s">
        <v>134</v>
      </c>
      <c r="AJ529" s="6" t="str">
        <f t="shared" si="75"/>
        <v>Completed</v>
      </c>
      <c r="AK529" s="9" t="str">
        <f>_xlfn.TEXTJOIN("|",FALSE,A529,TEXT(B529,"mm-dd-yyyy"),TEXT(E529,"mm-dd-yyyy"),I529,J529,L529,N529,P529,R529,T529,V529,X529,Y529,AA529,AB529,AC529,AD529,AE529,AF529,AG529,AI529)</f>
        <v>ORD-2025-10528|01-10-2025|10-05-2025|CUST-3419|Aditi Sen|Home Office|North|Haryana|Gurugram|Office Supplies|Paper|Basic Paper 388|First Class|5|3247.56|0.15|13802.13|10075.93|3726.2|Paid|Completed</v>
      </c>
      <c r="AL529" s="27" t="str">
        <f>IF(COUNTIF($AK$2:AK529,AK529)&gt;1,"Remove exact duplicate copy","Keep")</f>
        <v>Keep</v>
      </c>
      <c r="AM529" s="9">
        <f t="shared" si="76"/>
        <v>1</v>
      </c>
      <c r="AN529" s="9" t="str">
        <f t="shared" si="77"/>
        <v>Unique</v>
      </c>
      <c r="AO529" s="9" t="str">
        <f t="shared" si="78"/>
        <v/>
      </c>
      <c r="AP529" s="9">
        <f t="shared" si="79"/>
        <v>0.15</v>
      </c>
      <c r="AQ529" s="10">
        <f t="shared" si="80"/>
        <v>13802.13</v>
      </c>
      <c r="AR529" s="10">
        <f t="shared" si="81"/>
        <v>3726.1999999999989</v>
      </c>
      <c r="AS529" s="11">
        <f t="shared" si="82"/>
        <v>0.26997282303528508</v>
      </c>
      <c r="AT529" s="9">
        <f t="shared" si="83"/>
        <v>10</v>
      </c>
      <c r="AU529" s="9">
        <f t="shared" si="84"/>
        <v>2025</v>
      </c>
      <c r="AV529" s="9" t="b">
        <f t="shared" si="85"/>
        <v>0</v>
      </c>
      <c r="AW529" s="9" t="b">
        <f t="shared" si="86"/>
        <v>0</v>
      </c>
      <c r="AX529" s="9" t="str">
        <f t="shared" si="87"/>
        <v>Yes</v>
      </c>
      <c r="AY529" s="9" t="str">
        <f t="shared" si="89"/>
        <v/>
      </c>
      <c r="AZ529" s="9" t="str">
        <f>IF(OR(G529="Missing date",G529="Invalid date",G529="Ship date before order date",NOT(ISNUMBER(AP529)),AP529&lt;0,AP529&gt;0.5,AV529=TRUE,AW529=TRUE),"Invalid",IF(OR(O529="Unknown",Z529="Unknown",AC529="",AH529&lt;&gt;"Paid",AJ529&lt;&gt;"Completed",AO529&lt;&gt;""),"Warning","Clean"))</f>
        <v>Clean</v>
      </c>
    </row>
    <row r="530" spans="1:52" ht="15.75" customHeight="1">
      <c r="A530" s="6" t="s">
        <v>2649</v>
      </c>
      <c r="B530" s="7" t="s">
        <v>2650</v>
      </c>
      <c r="C530" s="7" t="str">
        <f t="shared" si="88"/>
        <v>2024-10</v>
      </c>
      <c r="D530" s="7" cm="1">
        <f t="array" ref="D530">_xlfn.LET(_xlpm.x,B530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45572</v>
      </c>
      <c r="E530" s="7" t="s">
        <v>2651</v>
      </c>
      <c r="F530" s="7" cm="1">
        <f t="array" ref="F530">_xlfn.LET(_xlpm.x,E530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45574</v>
      </c>
      <c r="G530" s="8" t="str">
        <f t="shared" si="64"/>
        <v>OK</v>
      </c>
      <c r="H530" s="6">
        <f t="shared" si="65"/>
        <v>2</v>
      </c>
      <c r="I530" s="6" t="s">
        <v>2652</v>
      </c>
      <c r="J530" s="6" t="s">
        <v>284</v>
      </c>
      <c r="K530" s="6" t="str">
        <f t="shared" si="66"/>
        <v>Diya Patel</v>
      </c>
      <c r="L530" s="6" t="s">
        <v>43</v>
      </c>
      <c r="M530" s="8" t="str">
        <f t="shared" si="67"/>
        <v>Consumer</v>
      </c>
      <c r="N530" s="6" t="s">
        <v>10</v>
      </c>
      <c r="O530" s="6" t="str">
        <f t="shared" si="68"/>
        <v>South</v>
      </c>
      <c r="P530" s="6" t="s">
        <v>413</v>
      </c>
      <c r="Q530" s="6" t="str">
        <f t="shared" si="69"/>
        <v>Tamil Nadu</v>
      </c>
      <c r="R530" s="6" t="s">
        <v>414</v>
      </c>
      <c r="S530" s="6" t="str">
        <f t="shared" si="70"/>
        <v>Chennai</v>
      </c>
      <c r="T530" s="6" t="s">
        <v>20</v>
      </c>
      <c r="U530" s="8" t="str">
        <f t="shared" si="71"/>
        <v>Office Supplies</v>
      </c>
      <c r="V530" s="6" t="s">
        <v>22</v>
      </c>
      <c r="W530" s="6" t="str">
        <f t="shared" si="72"/>
        <v>Binders</v>
      </c>
      <c r="X530" s="6" t="s">
        <v>2653</v>
      </c>
      <c r="Y530" s="6" t="s">
        <v>34</v>
      </c>
      <c r="Z530" s="6" t="str">
        <f t="shared" si="73"/>
        <v>Standard Class</v>
      </c>
      <c r="AA530" s="6">
        <v>9</v>
      </c>
      <c r="AB530" s="6">
        <v>3457.09</v>
      </c>
      <c r="AC530" s="6">
        <v>0.05</v>
      </c>
      <c r="AD530" s="6">
        <v>29558.12</v>
      </c>
      <c r="AE530" s="6">
        <v>21302.13</v>
      </c>
      <c r="AF530" s="6">
        <v>8255.99</v>
      </c>
      <c r="AG530" s="6" t="s">
        <v>54</v>
      </c>
      <c r="AH530" s="6" t="str">
        <f t="shared" si="74"/>
        <v>Pending</v>
      </c>
      <c r="AI530" s="6" t="s">
        <v>59</v>
      </c>
      <c r="AJ530" s="6" t="str">
        <f t="shared" si="75"/>
        <v>Returned</v>
      </c>
      <c r="AK530" s="9" t="str">
        <f>_xlfn.TEXTJOIN("|",FALSE,A530,TEXT(B530,"mm-dd-yyyy"),TEXT(E530,"mm-dd-yyyy"),I530,J530,L530,N530,P530,R530,T530,V530,X530,Y530,AA530,AB530,AC530,AD530,AE530,AF530,AG530,AI530)</f>
        <v>ORD-2024-10529|10-07-2024|09-10-2024|CUST-2390|Diya Patel|Consumer|South|Tamil Nadu|Chennai|Office Supplies|Binders|Eco Binders 855|Standard Class|9|3457.09|0.05|29558.12|21302.13|8255.99|Pending|Returned</v>
      </c>
      <c r="AL530" s="27" t="str">
        <f>IF(COUNTIF($AK$2:AK530,AK530)&gt;1,"Remove exact duplicate copy","Keep")</f>
        <v>Keep</v>
      </c>
      <c r="AM530" s="9">
        <f t="shared" si="76"/>
        <v>1</v>
      </c>
      <c r="AN530" s="9" t="str">
        <f t="shared" si="77"/>
        <v>Unique</v>
      </c>
      <c r="AO530" s="9" t="str">
        <f t="shared" si="78"/>
        <v/>
      </c>
      <c r="AP530" s="9">
        <f t="shared" si="79"/>
        <v>0.05</v>
      </c>
      <c r="AQ530" s="10">
        <f t="shared" si="80"/>
        <v>29558.119500000001</v>
      </c>
      <c r="AR530" s="10">
        <f t="shared" si="81"/>
        <v>8255.9894999999997</v>
      </c>
      <c r="AS530" s="11">
        <f t="shared" si="82"/>
        <v>0.27931376013281223</v>
      </c>
      <c r="AT530" s="9">
        <f t="shared" si="83"/>
        <v>10</v>
      </c>
      <c r="AU530" s="9">
        <f t="shared" si="84"/>
        <v>2024</v>
      </c>
      <c r="AV530" s="9" t="b">
        <f t="shared" si="85"/>
        <v>0</v>
      </c>
      <c r="AW530" s="9" t="b">
        <f t="shared" si="86"/>
        <v>0</v>
      </c>
      <c r="AX530" s="9" t="str">
        <f t="shared" si="87"/>
        <v>No</v>
      </c>
      <c r="AY530" s="9" t="str">
        <f t="shared" si="89"/>
        <v>Returned order excluded</v>
      </c>
      <c r="AZ530" s="9" t="str">
        <f>IF(OR(G530="Missing date",G530="Invalid date",G530="Ship date before order date",NOT(ISNUMBER(AP530)),AP530&lt;0,AP530&gt;0.5,AV530=TRUE,AW530=TRUE),"Invalid",IF(OR(O530="Unknown",Z530="Unknown",AC530="",AH530&lt;&gt;"Paid",AJ530&lt;&gt;"Completed",AO530&lt;&gt;""),"Warning","Clean"))</f>
        <v>Warning</v>
      </c>
    </row>
    <row r="531" spans="1:52" ht="15.75" customHeight="1">
      <c r="A531" s="6" t="s">
        <v>2654</v>
      </c>
      <c r="B531" s="7" t="s">
        <v>2370</v>
      </c>
      <c r="C531" s="7" t="str">
        <f t="shared" si="88"/>
        <v>2024-02</v>
      </c>
      <c r="D531" s="7" cm="1">
        <f t="array" ref="D531">_xlfn.LET(_xlpm.x,B531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45328</v>
      </c>
      <c r="E531" s="7" t="s">
        <v>2655</v>
      </c>
      <c r="F531" s="7" cm="1">
        <f t="array" ref="F531">_xlfn.LET(_xlpm.x,E531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45330</v>
      </c>
      <c r="G531" s="8" t="str">
        <f t="shared" si="64"/>
        <v>OK</v>
      </c>
      <c r="H531" s="6">
        <f t="shared" si="65"/>
        <v>2</v>
      </c>
      <c r="I531" s="6" t="s">
        <v>1193</v>
      </c>
      <c r="J531" s="6" t="s">
        <v>129</v>
      </c>
      <c r="K531" s="6" t="str">
        <f t="shared" si="66"/>
        <v>Karan Malhotra</v>
      </c>
      <c r="L531" s="6" t="s">
        <v>43</v>
      </c>
      <c r="M531" s="8" t="str">
        <f t="shared" si="67"/>
        <v>Consumer</v>
      </c>
      <c r="N531" s="6" t="s">
        <v>8</v>
      </c>
      <c r="O531" s="6" t="str">
        <f t="shared" si="68"/>
        <v>East</v>
      </c>
      <c r="P531" s="6" t="s">
        <v>385</v>
      </c>
      <c r="Q531" s="6" t="str">
        <f t="shared" si="69"/>
        <v>Jharkhand</v>
      </c>
      <c r="R531" s="6" t="s">
        <v>386</v>
      </c>
      <c r="S531" s="6" t="str">
        <f t="shared" si="70"/>
        <v>Ranchi</v>
      </c>
      <c r="T531" s="6" t="s">
        <v>14</v>
      </c>
      <c r="U531" s="8" t="str">
        <f t="shared" si="71"/>
        <v>Furniture</v>
      </c>
      <c r="V531" s="6" t="s">
        <v>15</v>
      </c>
      <c r="W531" s="6" t="str">
        <f t="shared" si="72"/>
        <v>Bookcases</v>
      </c>
      <c r="X531" s="6" t="s">
        <v>2656</v>
      </c>
      <c r="Y531" s="6" t="s">
        <v>36</v>
      </c>
      <c r="Z531" s="6" t="str">
        <f t="shared" si="73"/>
        <v>Second Class</v>
      </c>
      <c r="AA531" s="6">
        <v>9</v>
      </c>
      <c r="AB531" s="6">
        <v>1822.25</v>
      </c>
      <c r="AC531" s="6">
        <v>0</v>
      </c>
      <c r="AD531" s="6">
        <v>16400.25</v>
      </c>
      <c r="AE531" s="6">
        <v>12146.96</v>
      </c>
      <c r="AF531" s="6">
        <v>4253.29</v>
      </c>
      <c r="AG531" s="6" t="s">
        <v>52</v>
      </c>
      <c r="AH531" s="6" t="str">
        <f t="shared" si="74"/>
        <v>Paid</v>
      </c>
      <c r="AI531" s="6" t="s">
        <v>134</v>
      </c>
      <c r="AJ531" s="6" t="str">
        <f t="shared" si="75"/>
        <v>Completed</v>
      </c>
      <c r="AK531" s="9" t="str">
        <f>_xlfn.TEXTJOIN("|",FALSE,A531,TEXT(B531,"mm-dd-yyyy"),TEXT(E531,"mm-dd-yyyy"),I531,J531,L531,N531,P531,R531,T531,V531,X531,Y531,AA531,AB531,AC531,AD531,AE531,AF531,AG531,AI531)</f>
        <v>ORD-2024-10530|02-06-2024|02-08-2024|CUST-3362|Karan Malhotra|Consumer|East|Jharkhand|Ranchi|Furniture|Bookcases|Classic Bookcases 947|Second Class|9|1822.25|0|16400.25|12146.96|4253.29|Paid|Completed</v>
      </c>
      <c r="AL531" s="27" t="str">
        <f>IF(COUNTIF($AK$2:AK531,AK531)&gt;1,"Remove exact duplicate copy","Keep")</f>
        <v>Keep</v>
      </c>
      <c r="AM531" s="9">
        <f t="shared" si="76"/>
        <v>1</v>
      </c>
      <c r="AN531" s="9" t="str">
        <f t="shared" si="77"/>
        <v>Unique</v>
      </c>
      <c r="AO531" s="9" t="str">
        <f t="shared" si="78"/>
        <v/>
      </c>
      <c r="AP531" s="9">
        <f t="shared" si="79"/>
        <v>0</v>
      </c>
      <c r="AQ531" s="10">
        <f t="shared" si="80"/>
        <v>16400.25</v>
      </c>
      <c r="AR531" s="10">
        <f t="shared" si="81"/>
        <v>4253.2900000000009</v>
      </c>
      <c r="AS531" s="11">
        <f t="shared" si="82"/>
        <v>0.25934299782015524</v>
      </c>
      <c r="AT531" s="9">
        <f t="shared" si="83"/>
        <v>2</v>
      </c>
      <c r="AU531" s="9">
        <f t="shared" si="84"/>
        <v>2024</v>
      </c>
      <c r="AV531" s="9" t="b">
        <f t="shared" si="85"/>
        <v>0</v>
      </c>
      <c r="AW531" s="9" t="b">
        <f t="shared" si="86"/>
        <v>0</v>
      </c>
      <c r="AX531" s="9" t="str">
        <f t="shared" si="87"/>
        <v>Yes</v>
      </c>
      <c r="AY531" s="9" t="str">
        <f t="shared" si="89"/>
        <v/>
      </c>
      <c r="AZ531" s="9" t="str">
        <f>IF(OR(G531="Missing date",G531="Invalid date",G531="Ship date before order date",NOT(ISNUMBER(AP531)),AP531&lt;0,AP531&gt;0.5,AV531=TRUE,AW531=TRUE),"Invalid",IF(OR(O531="Unknown",Z531="Unknown",AC531="",AH531&lt;&gt;"Paid",AJ531&lt;&gt;"Completed",AO531&lt;&gt;""),"Warning","Clean"))</f>
        <v>Clean</v>
      </c>
    </row>
    <row r="532" spans="1:52" ht="15.75" customHeight="1">
      <c r="A532" s="6" t="s">
        <v>2657</v>
      </c>
      <c r="B532" s="7" t="s">
        <v>2658</v>
      </c>
      <c r="C532" s="7" t="str">
        <f t="shared" si="88"/>
        <v>2025-05</v>
      </c>
      <c r="D532" s="7" cm="1">
        <f t="array" ref="D532">_xlfn.LET(_xlpm.x,B532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45807</v>
      </c>
      <c r="E532" s="7" t="s">
        <v>2659</v>
      </c>
      <c r="F532" s="7" cm="1">
        <f t="array" ref="F532">_xlfn.LET(_xlpm.x,E532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45809</v>
      </c>
      <c r="G532" s="8" t="str">
        <f t="shared" si="64"/>
        <v>OK</v>
      </c>
      <c r="H532" s="6">
        <f t="shared" si="65"/>
        <v>2</v>
      </c>
      <c r="I532" s="6" t="s">
        <v>2660</v>
      </c>
      <c r="J532" s="6" t="s">
        <v>226</v>
      </c>
      <c r="K532" s="6" t="str">
        <f t="shared" si="66"/>
        <v>Rahul Verma</v>
      </c>
      <c r="L532" s="6" t="s">
        <v>44</v>
      </c>
      <c r="M532" s="8" t="str">
        <f t="shared" si="67"/>
        <v>Home Office</v>
      </c>
      <c r="N532" s="6" t="s">
        <v>10</v>
      </c>
      <c r="O532" s="6" t="str">
        <f t="shared" si="68"/>
        <v>South</v>
      </c>
      <c r="P532" s="6" t="s">
        <v>413</v>
      </c>
      <c r="Q532" s="6" t="str">
        <f t="shared" si="69"/>
        <v>Tamil Nadu</v>
      </c>
      <c r="R532" s="6" t="s">
        <v>414</v>
      </c>
      <c r="S532" s="6" t="str">
        <f t="shared" si="70"/>
        <v>Chennai</v>
      </c>
      <c r="T532" s="6" t="s">
        <v>20</v>
      </c>
      <c r="U532" s="8" t="str">
        <f t="shared" si="71"/>
        <v>Office Supplies</v>
      </c>
      <c r="V532" s="6" t="s">
        <v>22</v>
      </c>
      <c r="W532" s="6" t="str">
        <f t="shared" si="72"/>
        <v>Binders</v>
      </c>
      <c r="X532" s="6" t="s">
        <v>2661</v>
      </c>
      <c r="Y532" s="6" t="s">
        <v>34</v>
      </c>
      <c r="Z532" s="6" t="str">
        <f t="shared" si="73"/>
        <v>Standard Class</v>
      </c>
      <c r="AA532" s="6">
        <v>9</v>
      </c>
      <c r="AB532" s="6">
        <v>1994.51</v>
      </c>
      <c r="AC532" s="6">
        <v>0.05</v>
      </c>
      <c r="AD532" s="6">
        <v>17053.060000000001</v>
      </c>
      <c r="AE532" s="6">
        <v>10742.38</v>
      </c>
      <c r="AF532" s="6">
        <v>6310.68</v>
      </c>
      <c r="AG532" s="6" t="s">
        <v>52</v>
      </c>
      <c r="AH532" s="6" t="str">
        <f t="shared" si="74"/>
        <v>Paid</v>
      </c>
      <c r="AI532" s="6" t="s">
        <v>134</v>
      </c>
      <c r="AJ532" s="6" t="str">
        <f t="shared" si="75"/>
        <v>Completed</v>
      </c>
      <c r="AK532" s="9" t="str">
        <f>_xlfn.TEXTJOIN("|",FALSE,A532,TEXT(B532,"mm-dd-yyyy"),TEXT(E532,"mm-dd-yyyy"),I532,J532,L532,N532,P532,R532,T532,V532,X532,Y532,AA532,AB532,AC532,AD532,AE532,AF532,AG532,AI532)</f>
        <v>ORD-2025-10531|05-30-2025|06-01-2025|CUST-8177|Rahul Verma|Home Office|South|Tamil Nadu|Chennai|Office Supplies|Binders|Eco Binders 352|Standard Class|9|1994.51|0.05|17053.06|10742.38|6310.68|Paid|Completed</v>
      </c>
      <c r="AL532" s="27" t="str">
        <f>IF(COUNTIF($AK$2:AK532,AK532)&gt;1,"Remove exact duplicate copy","Keep")</f>
        <v>Keep</v>
      </c>
      <c r="AM532" s="9">
        <f t="shared" si="76"/>
        <v>1</v>
      </c>
      <c r="AN532" s="9" t="str">
        <f t="shared" si="77"/>
        <v>Unique</v>
      </c>
      <c r="AO532" s="9" t="str">
        <f t="shared" si="78"/>
        <v/>
      </c>
      <c r="AP532" s="9">
        <f t="shared" si="79"/>
        <v>0.05</v>
      </c>
      <c r="AQ532" s="10">
        <f t="shared" si="80"/>
        <v>17053.0605</v>
      </c>
      <c r="AR532" s="10">
        <f t="shared" si="81"/>
        <v>6310.6805000000004</v>
      </c>
      <c r="AS532" s="11">
        <f t="shared" si="82"/>
        <v>0.37006146198801093</v>
      </c>
      <c r="AT532" s="9">
        <f t="shared" si="83"/>
        <v>5</v>
      </c>
      <c r="AU532" s="9">
        <f t="shared" si="84"/>
        <v>2025</v>
      </c>
      <c r="AV532" s="9" t="b">
        <f t="shared" si="85"/>
        <v>0</v>
      </c>
      <c r="AW532" s="9" t="b">
        <f t="shared" si="86"/>
        <v>0</v>
      </c>
      <c r="AX532" s="9" t="str">
        <f t="shared" si="87"/>
        <v>Yes</v>
      </c>
      <c r="AY532" s="9" t="str">
        <f t="shared" si="89"/>
        <v/>
      </c>
      <c r="AZ532" s="9" t="str">
        <f>IF(OR(G532="Missing date",G532="Invalid date",G532="Ship date before order date",NOT(ISNUMBER(AP532)),AP532&lt;0,AP532&gt;0.5,AV532=TRUE,AW532=TRUE),"Invalid",IF(OR(O532="Unknown",Z532="Unknown",AC532="",AH532&lt;&gt;"Paid",AJ532&lt;&gt;"Completed",AO532&lt;&gt;""),"Warning","Clean"))</f>
        <v>Clean</v>
      </c>
    </row>
    <row r="533" spans="1:52" ht="15.75" customHeight="1">
      <c r="A533" s="6" t="s">
        <v>2662</v>
      </c>
      <c r="B533" s="7" t="s">
        <v>1384</v>
      </c>
      <c r="C533" s="7" t="str">
        <f t="shared" si="88"/>
        <v>2024-08</v>
      </c>
      <c r="D533" s="7" cm="1">
        <f t="array" ref="D533">_xlfn.LET(_xlpm.x,B533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45505</v>
      </c>
      <c r="E533" s="7" t="s">
        <v>2663</v>
      </c>
      <c r="F533" s="7" cm="1">
        <f t="array" ref="F533">_xlfn.LET(_xlpm.x,E533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45512</v>
      </c>
      <c r="G533" s="8" t="str">
        <f t="shared" si="64"/>
        <v>OK</v>
      </c>
      <c r="H533" s="6">
        <f t="shared" si="65"/>
        <v>7</v>
      </c>
      <c r="I533" s="6" t="s">
        <v>2664</v>
      </c>
      <c r="J533" s="6" t="s">
        <v>284</v>
      </c>
      <c r="K533" s="6" t="str">
        <f t="shared" si="66"/>
        <v>Diya Patel</v>
      </c>
      <c r="L533" s="6" t="s">
        <v>46</v>
      </c>
      <c r="M533" s="8" t="str">
        <f t="shared" si="67"/>
        <v>Small Business</v>
      </c>
      <c r="N533" s="6" t="s">
        <v>9</v>
      </c>
      <c r="O533" s="6" t="str">
        <f t="shared" si="68"/>
        <v>West</v>
      </c>
      <c r="P533" s="6" t="s">
        <v>162</v>
      </c>
      <c r="Q533" s="6" t="str">
        <f t="shared" si="69"/>
        <v>Maharashtra</v>
      </c>
      <c r="R533" s="6" t="s">
        <v>163</v>
      </c>
      <c r="S533" s="6" t="str">
        <f t="shared" si="70"/>
        <v>Mumbai</v>
      </c>
      <c r="T533" s="6" t="s">
        <v>20</v>
      </c>
      <c r="U533" s="8" t="str">
        <f t="shared" si="71"/>
        <v>Office Supplies</v>
      </c>
      <c r="V533" s="6" t="s">
        <v>25</v>
      </c>
      <c r="W533" s="6" t="str">
        <f t="shared" si="72"/>
        <v>Storage</v>
      </c>
      <c r="X533" s="6" t="s">
        <v>2665</v>
      </c>
      <c r="Y533" s="6"/>
      <c r="Z533" s="6" t="str">
        <f t="shared" si="73"/>
        <v>Unknown</v>
      </c>
      <c r="AA533" s="6">
        <v>1</v>
      </c>
      <c r="AB533" s="6">
        <v>442.97</v>
      </c>
      <c r="AC533" s="6">
        <v>0.1</v>
      </c>
      <c r="AD533" s="6">
        <v>398.67</v>
      </c>
      <c r="AE533" s="6">
        <v>311.66000000000003</v>
      </c>
      <c r="AF533" s="6">
        <v>87.01</v>
      </c>
      <c r="AG533" s="6" t="s">
        <v>52</v>
      </c>
      <c r="AH533" s="6" t="str">
        <f t="shared" si="74"/>
        <v>Paid</v>
      </c>
      <c r="AI533" s="6" t="s">
        <v>134</v>
      </c>
      <c r="AJ533" s="6" t="str">
        <f t="shared" si="75"/>
        <v>Completed</v>
      </c>
      <c r="AK533" s="9" t="str">
        <f>_xlfn.TEXTJOIN("|",FALSE,A533,TEXT(B533,"mm-dd-yyyy"),TEXT(E533,"mm-dd-yyyy"),I533,J533,L533,N533,P533,R533,T533,V533,X533,Y533,AA533,AB533,AC533,AD533,AE533,AF533,AG533,AI533)</f>
        <v>ORD-2024-10532|08-01-2024|08-08-2024|CUST-6357|Diya Patel|Small Business|West|Maharashtra|Mumbai|Office Supplies|Storage|Pro Storage 364||1|442.97|0.1|398.67|311.66|87.01|Paid|Completed</v>
      </c>
      <c r="AL533" s="27" t="str">
        <f>IF(COUNTIF($AK$2:AK533,AK533)&gt;1,"Remove exact duplicate copy","Keep")</f>
        <v>Keep</v>
      </c>
      <c r="AM533" s="9">
        <f t="shared" si="76"/>
        <v>1</v>
      </c>
      <c r="AN533" s="9" t="str">
        <f t="shared" si="77"/>
        <v>Unique</v>
      </c>
      <c r="AO533" s="9" t="str">
        <f t="shared" si="78"/>
        <v/>
      </c>
      <c r="AP533" s="9">
        <f t="shared" si="79"/>
        <v>0.1</v>
      </c>
      <c r="AQ533" s="10">
        <f t="shared" si="80"/>
        <v>398.67300000000006</v>
      </c>
      <c r="AR533" s="10">
        <f t="shared" si="81"/>
        <v>87.013000000000034</v>
      </c>
      <c r="AS533" s="11">
        <f t="shared" si="82"/>
        <v>0.21825656615822997</v>
      </c>
      <c r="AT533" s="9">
        <f t="shared" si="83"/>
        <v>8</v>
      </c>
      <c r="AU533" s="9">
        <f t="shared" si="84"/>
        <v>2024</v>
      </c>
      <c r="AV533" s="9" t="b">
        <f t="shared" si="85"/>
        <v>0</v>
      </c>
      <c r="AW533" s="9" t="b">
        <f t="shared" si="86"/>
        <v>0</v>
      </c>
      <c r="AX533" s="9" t="str">
        <f t="shared" si="87"/>
        <v>Yes</v>
      </c>
      <c r="AY533" s="9" t="str">
        <f t="shared" si="89"/>
        <v>Missing ship mode filled as Unknown</v>
      </c>
      <c r="AZ533" s="9" t="str">
        <f>IF(OR(G533="Missing date",G533="Invalid date",G533="Ship date before order date",NOT(ISNUMBER(AP533)),AP533&lt;0,AP533&gt;0.5,AV533=TRUE,AW533=TRUE),"Invalid",IF(OR(O533="Unknown",Z533="Unknown",AC533="",AH533&lt;&gt;"Paid",AJ533&lt;&gt;"Completed",AO533&lt;&gt;""),"Warning","Clean"))</f>
        <v>Warning</v>
      </c>
    </row>
    <row r="534" spans="1:52" ht="15.75" customHeight="1">
      <c r="A534" s="6" t="s">
        <v>2666</v>
      </c>
      <c r="B534" s="7" t="s">
        <v>2646</v>
      </c>
      <c r="C534" s="7" t="str">
        <f t="shared" si="88"/>
        <v>2025-10</v>
      </c>
      <c r="D534" s="7" cm="1">
        <f t="array" ref="D534">_xlfn.LET(_xlpm.x,B534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45935</v>
      </c>
      <c r="E534" s="7" t="s">
        <v>382</v>
      </c>
      <c r="F534" s="7" cm="1">
        <f t="array" ref="F534">_xlfn.LET(_xlpm.x,E534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45940</v>
      </c>
      <c r="G534" s="8" t="str">
        <f t="shared" si="64"/>
        <v>OK</v>
      </c>
      <c r="H534" s="6">
        <f t="shared" si="65"/>
        <v>5</v>
      </c>
      <c r="I534" s="6" t="s">
        <v>2667</v>
      </c>
      <c r="J534" s="6" t="s">
        <v>220</v>
      </c>
      <c r="K534" s="6" t="str">
        <f t="shared" si="66"/>
        <v>Priya Menon</v>
      </c>
      <c r="L534" s="6" t="s">
        <v>45</v>
      </c>
      <c r="M534" s="8" t="str">
        <f t="shared" si="67"/>
        <v>Corporate</v>
      </c>
      <c r="N534" s="6" t="s">
        <v>8</v>
      </c>
      <c r="O534" s="6" t="str">
        <f t="shared" si="68"/>
        <v>East</v>
      </c>
      <c r="P534" s="6" t="s">
        <v>290</v>
      </c>
      <c r="Q534" s="6" t="str">
        <f t="shared" si="69"/>
        <v>Assam</v>
      </c>
      <c r="R534" s="6" t="s">
        <v>291</v>
      </c>
      <c r="S534" s="6" t="str">
        <f t="shared" si="70"/>
        <v>Guwahati</v>
      </c>
      <c r="T534" s="6" t="s">
        <v>14</v>
      </c>
      <c r="U534" s="8" t="str">
        <f t="shared" si="71"/>
        <v>Furniture</v>
      </c>
      <c r="V534" s="6" t="s">
        <v>18</v>
      </c>
      <c r="W534" s="6" t="str">
        <f t="shared" si="72"/>
        <v>Tables</v>
      </c>
      <c r="X534" s="6" t="s">
        <v>2668</v>
      </c>
      <c r="Y534" s="6" t="s">
        <v>36</v>
      </c>
      <c r="Z534" s="6" t="str">
        <f t="shared" si="73"/>
        <v>Second Class</v>
      </c>
      <c r="AA534" s="6">
        <v>9</v>
      </c>
      <c r="AB534" s="6">
        <v>2089.14</v>
      </c>
      <c r="AC534" s="6">
        <v>0.05</v>
      </c>
      <c r="AD534" s="6">
        <v>17862.150000000001</v>
      </c>
      <c r="AE534" s="6">
        <v>9892.2099999999991</v>
      </c>
      <c r="AF534" s="6">
        <v>7969.94</v>
      </c>
      <c r="AG534" s="6" t="s">
        <v>50</v>
      </c>
      <c r="AH534" s="6" t="str">
        <f t="shared" si="74"/>
        <v>Failed</v>
      </c>
      <c r="AI534" s="6" t="s">
        <v>58</v>
      </c>
      <c r="AJ534" s="6" t="str">
        <f t="shared" si="75"/>
        <v>Cancelled</v>
      </c>
      <c r="AK534" s="9" t="str">
        <f>_xlfn.TEXTJOIN("|",FALSE,A534,TEXT(B534,"mm-dd-yyyy"),TEXT(E534,"mm-dd-yyyy"),I534,J534,L534,N534,P534,R534,T534,V534,X534,Y534,AA534,AB534,AC534,AD534,AE534,AF534,AG534,AI534)</f>
        <v>ORD-2025-10533|10-05-2025|10-10-2025|CUST-7690|Priya Menon|Corporate|East|Assam|Guwahati|Furniture|Tables|Classic Tables 213|Second Class|9|2089.14|0.05|17862.15|9892.21|7969.94|Failed|Cancelled</v>
      </c>
      <c r="AL534" s="27" t="str">
        <f>IF(COUNTIF($AK$2:AK534,AK534)&gt;1,"Remove exact duplicate copy","Keep")</f>
        <v>Keep</v>
      </c>
      <c r="AM534" s="9">
        <f t="shared" si="76"/>
        <v>1</v>
      </c>
      <c r="AN534" s="9" t="str">
        <f t="shared" si="77"/>
        <v>Unique</v>
      </c>
      <c r="AO534" s="9" t="str">
        <f t="shared" si="78"/>
        <v/>
      </c>
      <c r="AP534" s="9">
        <f t="shared" si="79"/>
        <v>0.05</v>
      </c>
      <c r="AQ534" s="10">
        <f t="shared" si="80"/>
        <v>17862.146999999997</v>
      </c>
      <c r="AR534" s="10">
        <f t="shared" si="81"/>
        <v>7969.9369999999981</v>
      </c>
      <c r="AS534" s="11">
        <f t="shared" si="82"/>
        <v>0.44619143488182017</v>
      </c>
      <c r="AT534" s="9">
        <f t="shared" si="83"/>
        <v>10</v>
      </c>
      <c r="AU534" s="9">
        <f t="shared" si="84"/>
        <v>2025</v>
      </c>
      <c r="AV534" s="9" t="b">
        <f t="shared" si="85"/>
        <v>0</v>
      </c>
      <c r="AW534" s="9" t="b">
        <f t="shared" si="86"/>
        <v>0</v>
      </c>
      <c r="AX534" s="9" t="str">
        <f t="shared" si="87"/>
        <v>No</v>
      </c>
      <c r="AY534" s="9" t="str">
        <f t="shared" si="89"/>
        <v>Failed payment excluded; Cancelled order excluded</v>
      </c>
      <c r="AZ534" s="9" t="str">
        <f>IF(OR(G534="Missing date",G534="Invalid date",G534="Ship date before order date",NOT(ISNUMBER(AP534)),AP534&lt;0,AP534&gt;0.5,AV534=TRUE,AW534=TRUE),"Invalid",IF(OR(O534="Unknown",Z534="Unknown",AC534="",AH534&lt;&gt;"Paid",AJ534&lt;&gt;"Completed",AO534&lt;&gt;""),"Warning","Clean"))</f>
        <v>Warning</v>
      </c>
    </row>
    <row r="535" spans="1:52" ht="15.75" customHeight="1">
      <c r="A535" s="6" t="s">
        <v>2669</v>
      </c>
      <c r="B535" s="7" t="s">
        <v>2670</v>
      </c>
      <c r="C535" s="7" t="str">
        <f t="shared" si="88"/>
        <v>2024-08</v>
      </c>
      <c r="D535" s="7" cm="1">
        <f t="array" ref="D535">_xlfn.LET(_xlpm.x,B535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45529</v>
      </c>
      <c r="E535" s="7" t="s">
        <v>470</v>
      </c>
      <c r="F535" s="7" cm="1">
        <f t="array" ref="F535">_xlfn.LET(_xlpm.x,E535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45536</v>
      </c>
      <c r="G535" s="8" t="str">
        <f t="shared" si="64"/>
        <v>OK</v>
      </c>
      <c r="H535" s="6">
        <f t="shared" si="65"/>
        <v>7</v>
      </c>
      <c r="I535" s="6" t="s">
        <v>2671</v>
      </c>
      <c r="J535" s="6" t="s">
        <v>147</v>
      </c>
      <c r="K535" s="6" t="str">
        <f t="shared" si="66"/>
        <v>Isha Nair</v>
      </c>
      <c r="L535" s="6" t="s">
        <v>44</v>
      </c>
      <c r="M535" s="8" t="str">
        <f t="shared" si="67"/>
        <v>Home Office</v>
      </c>
      <c r="N535" s="6" t="s">
        <v>7</v>
      </c>
      <c r="O535" s="6" t="str">
        <f t="shared" si="68"/>
        <v>North</v>
      </c>
      <c r="P535" s="6" t="s">
        <v>131</v>
      </c>
      <c r="Q535" s="6" t="str">
        <f t="shared" si="69"/>
        <v>Rajasthan</v>
      </c>
      <c r="R535" s="6" t="s">
        <v>132</v>
      </c>
      <c r="S535" s="6" t="str">
        <f t="shared" si="70"/>
        <v>Jaipur</v>
      </c>
      <c r="T535" s="6" t="s">
        <v>14</v>
      </c>
      <c r="U535" s="8" t="str">
        <f t="shared" si="71"/>
        <v>Furniture</v>
      </c>
      <c r="V535" s="6" t="s">
        <v>18</v>
      </c>
      <c r="W535" s="6" t="str">
        <f t="shared" si="72"/>
        <v>Tables</v>
      </c>
      <c r="X535" s="6" t="s">
        <v>2672</v>
      </c>
      <c r="Y535" s="6" t="s">
        <v>37</v>
      </c>
      <c r="Z535" s="6" t="str">
        <f t="shared" si="73"/>
        <v>Same Day</v>
      </c>
      <c r="AA535" s="6">
        <v>6</v>
      </c>
      <c r="AB535" s="6">
        <v>481.3</v>
      </c>
      <c r="AC535" s="6">
        <v>0.25</v>
      </c>
      <c r="AD535" s="6">
        <v>2165.85</v>
      </c>
      <c r="AE535" s="6">
        <v>2124.48</v>
      </c>
      <c r="AF535" s="6">
        <v>430.45</v>
      </c>
      <c r="AG535" s="6" t="s">
        <v>52</v>
      </c>
      <c r="AH535" s="6" t="str">
        <f t="shared" si="74"/>
        <v>Paid</v>
      </c>
      <c r="AI535" s="6" t="s">
        <v>134</v>
      </c>
      <c r="AJ535" s="6" t="str">
        <f t="shared" si="75"/>
        <v>Completed</v>
      </c>
      <c r="AK535" s="9" t="str">
        <f>_xlfn.TEXTJOIN("|",FALSE,A535,TEXT(B535,"mm-dd-yyyy"),TEXT(E535,"mm-dd-yyyy"),I535,J535,L535,N535,P535,R535,T535,V535,X535,Y535,AA535,AB535,AC535,AD535,AE535,AF535,AG535,AI535)</f>
        <v>ORD-2024-10534|08-25-2024|09-01-2024|CUST-4487|Isha Nair|Home Office|North|Rajasthan|Jaipur|Furniture|Tables|Smart Tables 659|Same Day|6|481.3|0.25|2165.85|2124.48|430.45|Paid|Completed</v>
      </c>
      <c r="AL535" s="27" t="str">
        <f>IF(COUNTIF($AK$2:AK535,AK535)&gt;1,"Remove exact duplicate copy","Keep")</f>
        <v>Keep</v>
      </c>
      <c r="AM535" s="9">
        <f t="shared" si="76"/>
        <v>1</v>
      </c>
      <c r="AN535" s="9" t="str">
        <f t="shared" si="77"/>
        <v>Unique</v>
      </c>
      <c r="AO535" s="9" t="str">
        <f t="shared" si="78"/>
        <v/>
      </c>
      <c r="AP535" s="9">
        <f t="shared" si="79"/>
        <v>0.25</v>
      </c>
      <c r="AQ535" s="10">
        <f t="shared" si="80"/>
        <v>2165.8500000000004</v>
      </c>
      <c r="AR535" s="10">
        <f t="shared" si="81"/>
        <v>41.370000000000346</v>
      </c>
      <c r="AS535" s="11">
        <f t="shared" si="82"/>
        <v>1.91010457787937E-2</v>
      </c>
      <c r="AT535" s="9">
        <f t="shared" si="83"/>
        <v>8</v>
      </c>
      <c r="AU535" s="9">
        <f t="shared" si="84"/>
        <v>2024</v>
      </c>
      <c r="AV535" s="9" t="b">
        <f t="shared" si="85"/>
        <v>0</v>
      </c>
      <c r="AW535" s="9" t="b">
        <f t="shared" si="86"/>
        <v>1</v>
      </c>
      <c r="AX535" s="9" t="str">
        <f t="shared" si="87"/>
        <v>No</v>
      </c>
      <c r="AY535" s="9" t="str">
        <f t="shared" si="89"/>
        <v>Profit mismatch</v>
      </c>
      <c r="AZ535" s="9" t="str">
        <f>IF(OR(G535="Missing date",G535="Invalid date",G535="Ship date before order date",NOT(ISNUMBER(AP535)),AP535&lt;0,AP535&gt;0.5,AV535=TRUE,AW535=TRUE),"Invalid",IF(OR(O535="Unknown",Z535="Unknown",AC535="",AH535&lt;&gt;"Paid",AJ535&lt;&gt;"Completed",AO535&lt;&gt;""),"Warning","Clean"))</f>
        <v>Invalid</v>
      </c>
    </row>
    <row r="536" spans="1:52" ht="15.75" customHeight="1">
      <c r="A536" s="6" t="s">
        <v>2673</v>
      </c>
      <c r="B536" s="7" t="s">
        <v>2674</v>
      </c>
      <c r="C536" s="7" t="str">
        <f t="shared" si="88"/>
        <v>2025-04</v>
      </c>
      <c r="D536" s="7" cm="1">
        <f t="array" ref="D536">_xlfn.LET(_xlpm.x,B536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45774</v>
      </c>
      <c r="E536" s="7" t="s">
        <v>2675</v>
      </c>
      <c r="F536" s="7" cm="1">
        <f t="array" ref="F536">_xlfn.LET(_xlpm.x,E536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45782</v>
      </c>
      <c r="G536" s="8" t="str">
        <f t="shared" si="64"/>
        <v>OK</v>
      </c>
      <c r="H536" s="6">
        <f t="shared" si="65"/>
        <v>8</v>
      </c>
      <c r="I536" s="6" t="s">
        <v>2676</v>
      </c>
      <c r="J536" s="6" t="s">
        <v>257</v>
      </c>
      <c r="K536" s="6" t="str">
        <f t="shared" si="66"/>
        <v>Rohan Mehta</v>
      </c>
      <c r="L536" s="6" t="s">
        <v>44</v>
      </c>
      <c r="M536" s="8" t="str">
        <f t="shared" si="67"/>
        <v>Home Office</v>
      </c>
      <c r="N536" s="6" t="s">
        <v>8</v>
      </c>
      <c r="O536" s="6" t="str">
        <f t="shared" si="68"/>
        <v>East</v>
      </c>
      <c r="P536" s="6" t="s">
        <v>263</v>
      </c>
      <c r="Q536" s="6" t="str">
        <f t="shared" si="69"/>
        <v>Bihar</v>
      </c>
      <c r="R536" s="6" t="s">
        <v>264</v>
      </c>
      <c r="S536" s="6" t="str">
        <f t="shared" si="70"/>
        <v>Patna</v>
      </c>
      <c r="T536" s="6" t="s">
        <v>27</v>
      </c>
      <c r="U536" s="8" t="str">
        <f t="shared" si="71"/>
        <v>Technology</v>
      </c>
      <c r="V536" s="6" t="s">
        <v>28</v>
      </c>
      <c r="W536" s="6" t="str">
        <f t="shared" si="72"/>
        <v>Accessories</v>
      </c>
      <c r="X536" s="6" t="s">
        <v>2677</v>
      </c>
      <c r="Y536" s="6" t="s">
        <v>36</v>
      </c>
      <c r="Z536" s="6" t="str">
        <f t="shared" si="73"/>
        <v>Second Class</v>
      </c>
      <c r="AA536" s="6">
        <v>4</v>
      </c>
      <c r="AB536" s="6">
        <v>3963.39</v>
      </c>
      <c r="AC536" s="6">
        <v>0.1</v>
      </c>
      <c r="AD536" s="6">
        <v>14268.2</v>
      </c>
      <c r="AE536" s="6">
        <v>11705.3</v>
      </c>
      <c r="AF536" s="6">
        <v>2562.9</v>
      </c>
      <c r="AG536" s="6" t="s">
        <v>54</v>
      </c>
      <c r="AH536" s="6" t="str">
        <f t="shared" si="74"/>
        <v>Pending</v>
      </c>
      <c r="AI536" s="6" t="s">
        <v>59</v>
      </c>
      <c r="AJ536" s="6" t="str">
        <f t="shared" si="75"/>
        <v>Returned</v>
      </c>
      <c r="AK536" s="9" t="str">
        <f>_xlfn.TEXTJOIN("|",FALSE,A536,TEXT(B536,"mm-dd-yyyy"),TEXT(E536,"mm-dd-yyyy"),I536,J536,L536,N536,P536,R536,T536,V536,X536,Y536,AA536,AB536,AC536,AD536,AE536,AF536,AG536,AI536)</f>
        <v>ORD-2025-10535|04-27-2025|05-05-2025|CUST-8204|Rohan Mehta|Home Office|East|Bihar|Patna|Technology|Accessories|Classic Accessories 325|Second Class|4|3963.39|0.1|14268.2|11705.3|2562.9|Pending|Returned</v>
      </c>
      <c r="AL536" s="27" t="str">
        <f>IF(COUNTIF($AK$2:AK536,AK536)&gt;1,"Remove exact duplicate copy","Keep")</f>
        <v>Keep</v>
      </c>
      <c r="AM536" s="9">
        <f t="shared" si="76"/>
        <v>1</v>
      </c>
      <c r="AN536" s="9" t="str">
        <f t="shared" si="77"/>
        <v>Unique</v>
      </c>
      <c r="AO536" s="9" t="str">
        <f t="shared" si="78"/>
        <v/>
      </c>
      <c r="AP536" s="9">
        <f t="shared" si="79"/>
        <v>0.1</v>
      </c>
      <c r="AQ536" s="10">
        <f t="shared" si="80"/>
        <v>14268.204</v>
      </c>
      <c r="AR536" s="10">
        <f t="shared" si="81"/>
        <v>2562.9040000000005</v>
      </c>
      <c r="AS536" s="11">
        <f t="shared" si="82"/>
        <v>0.17962344805274724</v>
      </c>
      <c r="AT536" s="9">
        <f t="shared" si="83"/>
        <v>4</v>
      </c>
      <c r="AU536" s="9">
        <f t="shared" si="84"/>
        <v>2025</v>
      </c>
      <c r="AV536" s="9" t="b">
        <f t="shared" si="85"/>
        <v>0</v>
      </c>
      <c r="AW536" s="9" t="b">
        <f t="shared" si="86"/>
        <v>0</v>
      </c>
      <c r="AX536" s="9" t="str">
        <f t="shared" si="87"/>
        <v>No</v>
      </c>
      <c r="AY536" s="9" t="str">
        <f t="shared" si="89"/>
        <v>Returned order excluded</v>
      </c>
      <c r="AZ536" s="9" t="str">
        <f>IF(OR(G536="Missing date",G536="Invalid date",G536="Ship date before order date",NOT(ISNUMBER(AP536)),AP536&lt;0,AP536&gt;0.5,AV536=TRUE,AW536=TRUE),"Invalid",IF(OR(O536="Unknown",Z536="Unknown",AC536="",AH536&lt;&gt;"Paid",AJ536&lt;&gt;"Completed",AO536&lt;&gt;""),"Warning","Clean"))</f>
        <v>Warning</v>
      </c>
    </row>
    <row r="537" spans="1:52" ht="15.75" customHeight="1">
      <c r="A537" s="6" t="s">
        <v>2678</v>
      </c>
      <c r="B537" s="7" t="s">
        <v>2679</v>
      </c>
      <c r="C537" s="7" t="str">
        <f t="shared" si="88"/>
        <v>2024-05</v>
      </c>
      <c r="D537" s="7" cm="1">
        <f t="array" ref="D537">_xlfn.LET(_xlpm.x,B537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45431</v>
      </c>
      <c r="E537" s="7" t="s">
        <v>2680</v>
      </c>
      <c r="F537" s="7" cm="1">
        <f t="array" ref="F537">_xlfn.LET(_xlpm.x,E537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45433</v>
      </c>
      <c r="G537" s="8" t="str">
        <f t="shared" si="64"/>
        <v>OK</v>
      </c>
      <c r="H537" s="6">
        <f t="shared" si="65"/>
        <v>2</v>
      </c>
      <c r="I537" s="6" t="s">
        <v>2681</v>
      </c>
      <c r="J537" s="6" t="s">
        <v>284</v>
      </c>
      <c r="K537" s="6" t="str">
        <f t="shared" si="66"/>
        <v>Diya Patel</v>
      </c>
      <c r="L537" s="6" t="s">
        <v>46</v>
      </c>
      <c r="M537" s="8" t="str">
        <f t="shared" si="67"/>
        <v>Small Business</v>
      </c>
      <c r="N537" s="6" t="s">
        <v>9</v>
      </c>
      <c r="O537" s="6" t="str">
        <f t="shared" si="68"/>
        <v>West</v>
      </c>
      <c r="P537" s="6" t="s">
        <v>162</v>
      </c>
      <c r="Q537" s="6" t="str">
        <f t="shared" si="69"/>
        <v>Maharashtra</v>
      </c>
      <c r="R537" s="6" t="s">
        <v>163</v>
      </c>
      <c r="S537" s="6" t="str">
        <f t="shared" si="70"/>
        <v>Mumbai</v>
      </c>
      <c r="T537" s="6" t="s">
        <v>27</v>
      </c>
      <c r="U537" s="8" t="str">
        <f t="shared" si="71"/>
        <v>Technology</v>
      </c>
      <c r="V537" s="6" t="s">
        <v>29</v>
      </c>
      <c r="W537" s="6" t="str">
        <f t="shared" si="72"/>
        <v>Copiers</v>
      </c>
      <c r="X537" s="6" t="s">
        <v>2682</v>
      </c>
      <c r="Y537" s="6" t="s">
        <v>35</v>
      </c>
      <c r="Z537" s="6" t="str">
        <f t="shared" si="73"/>
        <v>First Class</v>
      </c>
      <c r="AA537" s="6">
        <v>3</v>
      </c>
      <c r="AB537" s="6">
        <v>4000.98</v>
      </c>
      <c r="AC537" s="6">
        <v>0.2</v>
      </c>
      <c r="AD537" s="6">
        <v>9602.35</v>
      </c>
      <c r="AE537" s="6">
        <v>7387.57</v>
      </c>
      <c r="AF537" s="6">
        <v>2214.7800000000002</v>
      </c>
      <c r="AG537" s="6" t="s">
        <v>52</v>
      </c>
      <c r="AH537" s="6" t="str">
        <f t="shared" si="74"/>
        <v>Paid</v>
      </c>
      <c r="AI537" s="6" t="s">
        <v>134</v>
      </c>
      <c r="AJ537" s="6" t="str">
        <f t="shared" si="75"/>
        <v>Completed</v>
      </c>
      <c r="AK537" s="9" t="str">
        <f>_xlfn.TEXTJOIN("|",FALSE,A537,TEXT(B537,"mm-dd-yyyy"),TEXT(E537,"mm-dd-yyyy"),I537,J537,L537,N537,P537,R537,T537,V537,X537,Y537,AA537,AB537,AC537,AD537,AE537,AF537,AG537,AI537)</f>
        <v>ORD-2024-10536|19-05-2024|05-21-2024|CUST-1729|Diya Patel|Small Business|West|Maharashtra|Mumbai|Technology|Copiers|Eco Copiers 243|First Class|3|4000.98|0.2|9602.35|7387.57|2214.78|Paid|Completed</v>
      </c>
      <c r="AL537" s="27" t="str">
        <f>IF(COUNTIF($AK$2:AK537,AK537)&gt;1,"Remove exact duplicate copy","Keep")</f>
        <v>Keep</v>
      </c>
      <c r="AM537" s="9">
        <f t="shared" si="76"/>
        <v>1</v>
      </c>
      <c r="AN537" s="9" t="str">
        <f t="shared" si="77"/>
        <v>Unique</v>
      </c>
      <c r="AO537" s="9" t="str">
        <f t="shared" si="78"/>
        <v/>
      </c>
      <c r="AP537" s="9">
        <f t="shared" si="79"/>
        <v>0.2</v>
      </c>
      <c r="AQ537" s="10">
        <f t="shared" si="80"/>
        <v>9602.3520000000008</v>
      </c>
      <c r="AR537" s="10">
        <f t="shared" si="81"/>
        <v>2214.7820000000011</v>
      </c>
      <c r="AS537" s="11">
        <f t="shared" si="82"/>
        <v>0.23064994909580494</v>
      </c>
      <c r="AT537" s="9">
        <f t="shared" si="83"/>
        <v>5</v>
      </c>
      <c r="AU537" s="9">
        <f t="shared" si="84"/>
        <v>2024</v>
      </c>
      <c r="AV537" s="9" t="b">
        <f t="shared" si="85"/>
        <v>0</v>
      </c>
      <c r="AW537" s="9" t="b">
        <f t="shared" si="86"/>
        <v>0</v>
      </c>
      <c r="AX537" s="9" t="str">
        <f t="shared" si="87"/>
        <v>Yes</v>
      </c>
      <c r="AY537" s="9" t="str">
        <f t="shared" si="89"/>
        <v/>
      </c>
      <c r="AZ537" s="9" t="str">
        <f>IF(OR(G537="Missing date",G537="Invalid date",G537="Ship date before order date",NOT(ISNUMBER(AP537)),AP537&lt;0,AP537&gt;0.5,AV537=TRUE,AW537=TRUE),"Invalid",IF(OR(O537="Unknown",Z537="Unknown",AC537="",AH537&lt;&gt;"Paid",AJ537&lt;&gt;"Completed",AO537&lt;&gt;""),"Warning","Clean"))</f>
        <v>Clean</v>
      </c>
    </row>
    <row r="538" spans="1:52" ht="15.75" customHeight="1">
      <c r="A538" s="6" t="s">
        <v>2683</v>
      </c>
      <c r="B538" s="7" t="s">
        <v>2684</v>
      </c>
      <c r="C538" s="7" t="str">
        <f t="shared" si="88"/>
        <v>2025-04</v>
      </c>
      <c r="D538" s="7" cm="1">
        <f t="array" ref="D538">_xlfn.LET(_xlpm.x,B538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45757</v>
      </c>
      <c r="E538" s="7" t="s">
        <v>2685</v>
      </c>
      <c r="F538" s="7" cm="1">
        <f t="array" ref="F538">_xlfn.LET(_xlpm.x,E538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45764</v>
      </c>
      <c r="G538" s="8" t="str">
        <f t="shared" si="64"/>
        <v>OK</v>
      </c>
      <c r="H538" s="6">
        <f t="shared" si="65"/>
        <v>7</v>
      </c>
      <c r="I538" s="6" t="s">
        <v>2686</v>
      </c>
      <c r="J538" s="6" t="s">
        <v>161</v>
      </c>
      <c r="K538" s="6" t="str">
        <f t="shared" si="66"/>
        <v>Ananya Rao</v>
      </c>
      <c r="L538" s="6" t="s">
        <v>46</v>
      </c>
      <c r="M538" s="8" t="str">
        <f t="shared" si="67"/>
        <v>Small Business</v>
      </c>
      <c r="N538" s="6" t="s">
        <v>9</v>
      </c>
      <c r="O538" s="6" t="str">
        <f t="shared" si="68"/>
        <v>West</v>
      </c>
      <c r="P538" s="6" t="s">
        <v>131</v>
      </c>
      <c r="Q538" s="6" t="str">
        <f t="shared" si="69"/>
        <v>Rajasthan</v>
      </c>
      <c r="R538" s="6" t="s">
        <v>214</v>
      </c>
      <c r="S538" s="6" t="str">
        <f t="shared" si="70"/>
        <v>Udaipur</v>
      </c>
      <c r="T538" s="6" t="s">
        <v>14</v>
      </c>
      <c r="U538" s="8" t="str">
        <f t="shared" si="71"/>
        <v>Furniture</v>
      </c>
      <c r="V538" s="6" t="s">
        <v>16</v>
      </c>
      <c r="W538" s="6" t="str">
        <f t="shared" si="72"/>
        <v>Chairs</v>
      </c>
      <c r="X538" s="6" t="s">
        <v>2687</v>
      </c>
      <c r="Y538" s="6" t="s">
        <v>35</v>
      </c>
      <c r="Z538" s="6" t="str">
        <f t="shared" si="73"/>
        <v>First Class</v>
      </c>
      <c r="AA538" s="6">
        <v>7</v>
      </c>
      <c r="AB538" s="6">
        <v>3788.9</v>
      </c>
      <c r="AC538" s="6">
        <v>0.25</v>
      </c>
      <c r="AD538" s="6">
        <v>19891.72</v>
      </c>
      <c r="AE538" s="6">
        <v>12295.76</v>
      </c>
      <c r="AF538" s="6">
        <v>7595.96</v>
      </c>
      <c r="AG538" s="6" t="s">
        <v>50</v>
      </c>
      <c r="AH538" s="6" t="str">
        <f t="shared" si="74"/>
        <v>Failed</v>
      </c>
      <c r="AI538" s="6" t="s">
        <v>58</v>
      </c>
      <c r="AJ538" s="6" t="str">
        <f t="shared" si="75"/>
        <v>Cancelled</v>
      </c>
      <c r="AK538" s="9" t="str">
        <f>_xlfn.TEXTJOIN("|",FALSE,A538,TEXT(B538,"mm-dd-yyyy"),TEXT(E538,"mm-dd-yyyy"),I538,J538,L538,N538,P538,R538,T538,V538,X538,Y538,AA538,AB538,AC538,AD538,AE538,AF538,AG538,AI538)</f>
        <v>ORD-2025-10537|04-10-2025|04-17-2025|CUST-4269|Ananya Rao|Small Business|West|Rajasthan|Udaipur|Furniture|Chairs|Elite Chairs 777|First Class|7|3788.9|0.25|19891.72|12295.76|7595.96|Failed|Cancelled</v>
      </c>
      <c r="AL538" s="27" t="str">
        <f>IF(COUNTIF($AK$2:AK538,AK538)&gt;1,"Remove exact duplicate copy","Keep")</f>
        <v>Keep</v>
      </c>
      <c r="AM538" s="9">
        <f t="shared" si="76"/>
        <v>1</v>
      </c>
      <c r="AN538" s="9" t="str">
        <f t="shared" si="77"/>
        <v>Unique</v>
      </c>
      <c r="AO538" s="9" t="str">
        <f t="shared" si="78"/>
        <v/>
      </c>
      <c r="AP538" s="9">
        <f t="shared" si="79"/>
        <v>0.25</v>
      </c>
      <c r="AQ538" s="10">
        <f t="shared" si="80"/>
        <v>19891.724999999999</v>
      </c>
      <c r="AR538" s="10">
        <f t="shared" si="81"/>
        <v>7595.9649999999983</v>
      </c>
      <c r="AS538" s="11">
        <f t="shared" si="82"/>
        <v>0.38186557475533162</v>
      </c>
      <c r="AT538" s="9">
        <f t="shared" si="83"/>
        <v>4</v>
      </c>
      <c r="AU538" s="9">
        <f t="shared" si="84"/>
        <v>2025</v>
      </c>
      <c r="AV538" s="9" t="b">
        <f t="shared" si="85"/>
        <v>0</v>
      </c>
      <c r="AW538" s="9" t="b">
        <f t="shared" si="86"/>
        <v>0</v>
      </c>
      <c r="AX538" s="9" t="str">
        <f t="shared" si="87"/>
        <v>No</v>
      </c>
      <c r="AY538" s="9" t="str">
        <f t="shared" si="89"/>
        <v>Failed payment excluded; Cancelled order excluded</v>
      </c>
      <c r="AZ538" s="9" t="str">
        <f>IF(OR(G538="Missing date",G538="Invalid date",G538="Ship date before order date",NOT(ISNUMBER(AP538)),AP538&lt;0,AP538&gt;0.5,AV538=TRUE,AW538=TRUE),"Invalid",IF(OR(O538="Unknown",Z538="Unknown",AC538="",AH538&lt;&gt;"Paid",AJ538&lt;&gt;"Completed",AO538&lt;&gt;""),"Warning","Clean"))</f>
        <v>Warning</v>
      </c>
    </row>
    <row r="539" spans="1:52" ht="15.75" customHeight="1">
      <c r="A539" s="6" t="s">
        <v>2688</v>
      </c>
      <c r="B539" s="7" t="s">
        <v>2126</v>
      </c>
      <c r="C539" s="7" t="str">
        <f t="shared" si="88"/>
        <v>2024-01</v>
      </c>
      <c r="D539" s="7" cm="1">
        <f t="array" ref="D539">_xlfn.LET(_xlpm.x,B539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45313</v>
      </c>
      <c r="E539" s="7" t="s">
        <v>2689</v>
      </c>
      <c r="F539" s="7" cm="1">
        <f t="array" ref="F539">_xlfn.LET(_xlpm.x,E539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45321</v>
      </c>
      <c r="G539" s="8" t="str">
        <f t="shared" si="64"/>
        <v>OK</v>
      </c>
      <c r="H539" s="6">
        <f t="shared" si="65"/>
        <v>8</v>
      </c>
      <c r="I539" s="6" t="s">
        <v>2690</v>
      </c>
      <c r="J539" s="6" t="s">
        <v>161</v>
      </c>
      <c r="K539" s="6" t="str">
        <f t="shared" si="66"/>
        <v>Ananya Rao</v>
      </c>
      <c r="L539" s="6" t="s">
        <v>46</v>
      </c>
      <c r="M539" s="8" t="str">
        <f t="shared" si="67"/>
        <v>Small Business</v>
      </c>
      <c r="N539" s="6" t="s">
        <v>7</v>
      </c>
      <c r="O539" s="6" t="str">
        <f t="shared" si="68"/>
        <v>North</v>
      </c>
      <c r="P539" s="6" t="s">
        <v>397</v>
      </c>
      <c r="Q539" s="6" t="str">
        <f t="shared" si="69"/>
        <v>Haryana</v>
      </c>
      <c r="R539" s="6" t="s">
        <v>398</v>
      </c>
      <c r="S539" s="6" t="str">
        <f t="shared" si="70"/>
        <v>Gurugram</v>
      </c>
      <c r="T539" s="6" t="s">
        <v>20</v>
      </c>
      <c r="U539" s="8" t="str">
        <f t="shared" si="71"/>
        <v>Office Supplies</v>
      </c>
      <c r="V539" s="6" t="s">
        <v>21</v>
      </c>
      <c r="W539" s="6" t="str">
        <f t="shared" si="72"/>
        <v>Art</v>
      </c>
      <c r="X539" s="6" t="s">
        <v>2691</v>
      </c>
      <c r="Y539" s="6" t="s">
        <v>37</v>
      </c>
      <c r="Z539" s="6" t="str">
        <f t="shared" si="73"/>
        <v>Same Day</v>
      </c>
      <c r="AA539" s="6">
        <v>3</v>
      </c>
      <c r="AB539" s="6">
        <v>676.37</v>
      </c>
      <c r="AC539" s="6">
        <v>0.05</v>
      </c>
      <c r="AD539" s="6">
        <v>1927.65</v>
      </c>
      <c r="AE539" s="6">
        <v>1460.6</v>
      </c>
      <c r="AF539" s="6">
        <v>467.05</v>
      </c>
      <c r="AG539" s="6" t="s">
        <v>50</v>
      </c>
      <c r="AH539" s="6" t="str">
        <f t="shared" si="74"/>
        <v>Failed</v>
      </c>
      <c r="AI539" s="6" t="s">
        <v>58</v>
      </c>
      <c r="AJ539" s="6" t="str">
        <f t="shared" si="75"/>
        <v>Cancelled</v>
      </c>
      <c r="AK539" s="9" t="str">
        <f>_xlfn.TEXTJOIN("|",FALSE,A539,TEXT(B539,"mm-dd-yyyy"),TEXT(E539,"mm-dd-yyyy"),I539,J539,L539,N539,P539,R539,T539,V539,X539,Y539,AA539,AB539,AC539,AD539,AE539,AF539,AG539,AI539)</f>
        <v>ORD-2024-10538|01-22-2024|01-30-2024|CUST-1370|Ananya Rao|Small Business|North|Haryana|Gurugram|Office Supplies|Art|Classic Art 772|Same Day|3|676.37|0.05|1927.65|1460.6|467.05|Failed|Cancelled</v>
      </c>
      <c r="AL539" s="27" t="str">
        <f>IF(COUNTIF($AK$2:AK539,AK539)&gt;1,"Remove exact duplicate copy","Keep")</f>
        <v>Keep</v>
      </c>
      <c r="AM539" s="9">
        <f t="shared" si="76"/>
        <v>1</v>
      </c>
      <c r="AN539" s="9" t="str">
        <f t="shared" si="77"/>
        <v>Unique</v>
      </c>
      <c r="AO539" s="9" t="str">
        <f t="shared" si="78"/>
        <v/>
      </c>
      <c r="AP539" s="9">
        <f t="shared" si="79"/>
        <v>0.05</v>
      </c>
      <c r="AQ539" s="10">
        <f t="shared" si="80"/>
        <v>1927.6545000000001</v>
      </c>
      <c r="AR539" s="10">
        <f t="shared" si="81"/>
        <v>467.05450000000019</v>
      </c>
      <c r="AS539" s="11">
        <f t="shared" si="82"/>
        <v>0.24229160360427668</v>
      </c>
      <c r="AT539" s="9">
        <f t="shared" si="83"/>
        <v>1</v>
      </c>
      <c r="AU539" s="9">
        <f t="shared" si="84"/>
        <v>2024</v>
      </c>
      <c r="AV539" s="9" t="b">
        <f t="shared" si="85"/>
        <v>0</v>
      </c>
      <c r="AW539" s="9" t="b">
        <f t="shared" si="86"/>
        <v>0</v>
      </c>
      <c r="AX539" s="9" t="str">
        <f t="shared" si="87"/>
        <v>No</v>
      </c>
      <c r="AY539" s="9" t="str">
        <f t="shared" si="89"/>
        <v>Failed payment excluded; Cancelled order excluded</v>
      </c>
      <c r="AZ539" s="9" t="str">
        <f>IF(OR(G539="Missing date",G539="Invalid date",G539="Ship date before order date",NOT(ISNUMBER(AP539)),AP539&lt;0,AP539&gt;0.5,AV539=TRUE,AW539=TRUE),"Invalid",IF(OR(O539="Unknown",Z539="Unknown",AC539="",AH539&lt;&gt;"Paid",AJ539&lt;&gt;"Completed",AO539&lt;&gt;""),"Warning","Clean"))</f>
        <v>Warning</v>
      </c>
    </row>
    <row r="540" spans="1:52" ht="15.75" customHeight="1">
      <c r="A540" s="6" t="s">
        <v>2692</v>
      </c>
      <c r="B540" s="7" t="s">
        <v>2356</v>
      </c>
      <c r="C540" s="7" t="str">
        <f t="shared" si="88"/>
        <v>2024-09</v>
      </c>
      <c r="D540" s="7" cm="1">
        <f t="array" ref="D540">_xlfn.LET(_xlpm.x,B540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45560</v>
      </c>
      <c r="E540" s="7" t="s">
        <v>2693</v>
      </c>
      <c r="F540" s="7" cm="1">
        <f t="array" ref="F540">_xlfn.LET(_xlpm.x,E540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45566</v>
      </c>
      <c r="G540" s="8" t="str">
        <f t="shared" si="64"/>
        <v>OK</v>
      </c>
      <c r="H540" s="6">
        <f t="shared" si="65"/>
        <v>6</v>
      </c>
      <c r="I540" s="6" t="s">
        <v>2694</v>
      </c>
      <c r="J540" s="6" t="s">
        <v>284</v>
      </c>
      <c r="K540" s="6" t="str">
        <f t="shared" si="66"/>
        <v>Diya Patel</v>
      </c>
      <c r="L540" s="6" t="s">
        <v>46</v>
      </c>
      <c r="M540" s="8" t="str">
        <f t="shared" si="67"/>
        <v>Small Business</v>
      </c>
      <c r="N540" s="6" t="s">
        <v>8</v>
      </c>
      <c r="O540" s="6" t="str">
        <f t="shared" si="68"/>
        <v>East</v>
      </c>
      <c r="P540" s="6" t="s">
        <v>385</v>
      </c>
      <c r="Q540" s="6" t="str">
        <f t="shared" si="69"/>
        <v>Jharkhand</v>
      </c>
      <c r="R540" s="6" t="s">
        <v>386</v>
      </c>
      <c r="S540" s="6" t="str">
        <f t="shared" si="70"/>
        <v>Ranchi</v>
      </c>
      <c r="T540" s="6" t="s">
        <v>14</v>
      </c>
      <c r="U540" s="8" t="str">
        <f t="shared" si="71"/>
        <v>Furniture</v>
      </c>
      <c r="V540" s="6" t="s">
        <v>18</v>
      </c>
      <c r="W540" s="6" t="str">
        <f t="shared" si="72"/>
        <v>Tables</v>
      </c>
      <c r="X540" s="6" t="s">
        <v>2695</v>
      </c>
      <c r="Y540" s="6" t="s">
        <v>36</v>
      </c>
      <c r="Z540" s="6" t="str">
        <f t="shared" si="73"/>
        <v>Second Class</v>
      </c>
      <c r="AA540" s="6">
        <v>9</v>
      </c>
      <c r="AB540" s="6">
        <v>3908.6</v>
      </c>
      <c r="AC540" s="6">
        <v>0.15</v>
      </c>
      <c r="AD540" s="6">
        <v>29900.79</v>
      </c>
      <c r="AE540" s="6">
        <v>24650.67</v>
      </c>
      <c r="AF540" s="6">
        <v>5250.12</v>
      </c>
      <c r="AG540" s="6" t="s">
        <v>52</v>
      </c>
      <c r="AH540" s="6" t="str">
        <f t="shared" si="74"/>
        <v>Paid</v>
      </c>
      <c r="AI540" s="6" t="s">
        <v>134</v>
      </c>
      <c r="AJ540" s="6" t="str">
        <f t="shared" si="75"/>
        <v>Completed</v>
      </c>
      <c r="AK540" s="9" t="str">
        <f>_xlfn.TEXTJOIN("|",FALSE,A540,TEXT(B540,"mm-dd-yyyy"),TEXT(E540,"mm-dd-yyyy"),I540,J540,L540,N540,P540,R540,T540,V540,X540,Y540,AA540,AB540,AC540,AD540,AE540,AF540,AG540,AI540)</f>
        <v>ORD-2024-10539|25-09-2024|01-10-2024|CUST-5381|Diya Patel|Small Business|East|Jharkhand|Ranchi|Furniture|Tables|Elite Tables 888|Second Class|9|3908.6|0.15|29900.79|24650.67|5250.12|Paid|Completed</v>
      </c>
      <c r="AL540" s="27" t="str">
        <f>IF(COUNTIF($AK$2:AK540,AK540)&gt;1,"Remove exact duplicate copy","Keep")</f>
        <v>Keep</v>
      </c>
      <c r="AM540" s="9">
        <f t="shared" si="76"/>
        <v>1</v>
      </c>
      <c r="AN540" s="9" t="str">
        <f t="shared" si="77"/>
        <v>Unique</v>
      </c>
      <c r="AO540" s="9" t="str">
        <f t="shared" si="78"/>
        <v/>
      </c>
      <c r="AP540" s="9">
        <f t="shared" si="79"/>
        <v>0.15</v>
      </c>
      <c r="AQ540" s="10">
        <f t="shared" si="80"/>
        <v>29900.79</v>
      </c>
      <c r="AR540" s="10">
        <f t="shared" si="81"/>
        <v>5250.1200000000026</v>
      </c>
      <c r="AS540" s="11">
        <f t="shared" si="82"/>
        <v>0.17558465846554563</v>
      </c>
      <c r="AT540" s="9">
        <f t="shared" si="83"/>
        <v>9</v>
      </c>
      <c r="AU540" s="9">
        <f t="shared" si="84"/>
        <v>2024</v>
      </c>
      <c r="AV540" s="9" t="b">
        <f t="shared" si="85"/>
        <v>0</v>
      </c>
      <c r="AW540" s="9" t="b">
        <f t="shared" si="86"/>
        <v>0</v>
      </c>
      <c r="AX540" s="9" t="str">
        <f t="shared" si="87"/>
        <v>Yes</v>
      </c>
      <c r="AY540" s="9" t="str">
        <f t="shared" si="89"/>
        <v/>
      </c>
      <c r="AZ540" s="9" t="str">
        <f>IF(OR(G540="Missing date",G540="Invalid date",G540="Ship date before order date",NOT(ISNUMBER(AP540)),AP540&lt;0,AP540&gt;0.5,AV540=TRUE,AW540=TRUE),"Invalid",IF(OR(O540="Unknown",Z540="Unknown",AC540="",AH540&lt;&gt;"Paid",AJ540&lt;&gt;"Completed",AO540&lt;&gt;""),"Warning","Clean"))</f>
        <v>Clean</v>
      </c>
    </row>
    <row r="541" spans="1:52" ht="15.75" customHeight="1">
      <c r="A541" s="6" t="s">
        <v>2696</v>
      </c>
      <c r="B541" s="7" t="s">
        <v>1301</v>
      </c>
      <c r="C541" s="7" t="str">
        <f t="shared" si="88"/>
        <v>2025-07</v>
      </c>
      <c r="D541" s="7" cm="1">
        <f t="array" ref="D541">_xlfn.LET(_xlpm.x,B541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45842</v>
      </c>
      <c r="E541" s="7" t="s">
        <v>2506</v>
      </c>
      <c r="F541" s="7" cm="1">
        <f t="array" ref="F541">_xlfn.LET(_xlpm.x,E541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45842</v>
      </c>
      <c r="G541" s="8" t="str">
        <f t="shared" si="64"/>
        <v>OK</v>
      </c>
      <c r="H541" s="6">
        <f t="shared" si="65"/>
        <v>0</v>
      </c>
      <c r="I541" s="6" t="s">
        <v>2697</v>
      </c>
      <c r="J541" s="6" t="s">
        <v>2698</v>
      </c>
      <c r="K541" s="6" t="str">
        <f t="shared" si="66"/>
        <v>Mira Das</v>
      </c>
      <c r="L541" s="6" t="s">
        <v>46</v>
      </c>
      <c r="M541" s="8" t="str">
        <f t="shared" si="67"/>
        <v>Small Business</v>
      </c>
      <c r="N541" s="6" t="s">
        <v>10</v>
      </c>
      <c r="O541" s="6" t="str">
        <f t="shared" si="68"/>
        <v>South</v>
      </c>
      <c r="P541" s="6" t="s">
        <v>413</v>
      </c>
      <c r="Q541" s="6" t="str">
        <f t="shared" si="69"/>
        <v>Tamil Nadu</v>
      </c>
      <c r="R541" s="6" t="s">
        <v>414</v>
      </c>
      <c r="S541" s="6" t="str">
        <f t="shared" si="70"/>
        <v>Chennai</v>
      </c>
      <c r="T541" s="6" t="s">
        <v>14</v>
      </c>
      <c r="U541" s="8" t="str">
        <f t="shared" si="71"/>
        <v>Furniture</v>
      </c>
      <c r="V541" s="6" t="s">
        <v>16</v>
      </c>
      <c r="W541" s="6" t="str">
        <f t="shared" si="72"/>
        <v>Chairs</v>
      </c>
      <c r="X541" s="6" t="s">
        <v>2699</v>
      </c>
      <c r="Y541" s="6" t="s">
        <v>34</v>
      </c>
      <c r="Z541" s="6" t="str">
        <f t="shared" si="73"/>
        <v>Standard Class</v>
      </c>
      <c r="AA541" s="6">
        <v>3</v>
      </c>
      <c r="AB541" s="6">
        <v>705.35</v>
      </c>
      <c r="AC541" s="6">
        <v>0.1</v>
      </c>
      <c r="AD541" s="6">
        <v>1904.45</v>
      </c>
      <c r="AE541" s="6">
        <v>1316.54</v>
      </c>
      <c r="AF541" s="6">
        <v>587.91</v>
      </c>
      <c r="AG541" s="6" t="s">
        <v>52</v>
      </c>
      <c r="AH541" s="6" t="str">
        <f t="shared" si="74"/>
        <v>Paid</v>
      </c>
      <c r="AI541" s="6" t="s">
        <v>58</v>
      </c>
      <c r="AJ541" s="6" t="str">
        <f t="shared" si="75"/>
        <v>Cancelled</v>
      </c>
      <c r="AK541" s="9" t="str">
        <f>_xlfn.TEXTJOIN("|",FALSE,A541,TEXT(B541,"mm-dd-yyyy"),TEXT(E541,"mm-dd-yyyy"),I541,J541,L541,N541,P541,R541,T541,V541,X541,Y541,AA541,AB541,AC541,AD541,AE541,AF541,AG541,AI541)</f>
        <v>ORD-2025-10540|07-04-2025|07-04-2025|CUST-3694|mira das|Small Business|South|Tamil Nadu|Chennai|Furniture|Chairs|Classic Chairs 666|Standard Class|3|705.35|0.1|1904.45|1316.54|587.91|Paid|Cancelled</v>
      </c>
      <c r="AL541" s="27" t="str">
        <f>IF(COUNTIF($AK$2:AK541,AK541)&gt;1,"Remove exact duplicate copy","Keep")</f>
        <v>Keep</v>
      </c>
      <c r="AM541" s="9">
        <f t="shared" si="76"/>
        <v>1</v>
      </c>
      <c r="AN541" s="9" t="str">
        <f t="shared" si="77"/>
        <v>Unique</v>
      </c>
      <c r="AO541" s="9" t="str">
        <f t="shared" si="78"/>
        <v/>
      </c>
      <c r="AP541" s="9">
        <f t="shared" si="79"/>
        <v>0.1</v>
      </c>
      <c r="AQ541" s="10">
        <f t="shared" si="80"/>
        <v>1904.4450000000002</v>
      </c>
      <c r="AR541" s="10">
        <f t="shared" si="81"/>
        <v>587.9050000000002</v>
      </c>
      <c r="AS541" s="11">
        <f t="shared" si="82"/>
        <v>0.30870148520960183</v>
      </c>
      <c r="AT541" s="9">
        <f t="shared" si="83"/>
        <v>7</v>
      </c>
      <c r="AU541" s="9">
        <f t="shared" si="84"/>
        <v>2025</v>
      </c>
      <c r="AV541" s="9" t="b">
        <f t="shared" si="85"/>
        <v>0</v>
      </c>
      <c r="AW541" s="9" t="b">
        <f t="shared" si="86"/>
        <v>0</v>
      </c>
      <c r="AX541" s="9" t="str">
        <f t="shared" si="87"/>
        <v>No</v>
      </c>
      <c r="AY541" s="9" t="str">
        <f t="shared" si="89"/>
        <v>Cancelled order excluded</v>
      </c>
      <c r="AZ541" s="9" t="str">
        <f>IF(OR(G541="Missing date",G541="Invalid date",G541="Ship date before order date",NOT(ISNUMBER(AP541)),AP541&lt;0,AP541&gt;0.5,AV541=TRUE,AW541=TRUE),"Invalid",IF(OR(O541="Unknown",Z541="Unknown",AC541="",AH541&lt;&gt;"Paid",AJ541&lt;&gt;"Completed",AO541&lt;&gt;""),"Warning","Clean"))</f>
        <v>Warning</v>
      </c>
    </row>
    <row r="542" spans="1:52" ht="15.75" customHeight="1">
      <c r="A542" s="6" t="s">
        <v>2700</v>
      </c>
      <c r="B542" s="7" t="s">
        <v>2701</v>
      </c>
      <c r="C542" s="7" t="str">
        <f t="shared" si="88"/>
        <v>2024-02</v>
      </c>
      <c r="D542" s="7" cm="1">
        <f t="array" ref="D542">_xlfn.LET(_xlpm.x,B542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45348</v>
      </c>
      <c r="E542" s="7" t="s">
        <v>2433</v>
      </c>
      <c r="F542" s="7" cm="1">
        <f t="array" ref="F542">_xlfn.LET(_xlpm.x,E542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45345</v>
      </c>
      <c r="G542" s="8" t="str">
        <f t="shared" si="64"/>
        <v>Ship date before order date</v>
      </c>
      <c r="H542" s="6">
        <f t="shared" si="65"/>
        <v>-3</v>
      </c>
      <c r="I542" s="6" t="s">
        <v>2702</v>
      </c>
      <c r="J542" s="6" t="s">
        <v>442</v>
      </c>
      <c r="K542" s="6" t="str">
        <f t="shared" si="66"/>
        <v>Kabir Singh</v>
      </c>
      <c r="L542" s="6" t="s">
        <v>43</v>
      </c>
      <c r="M542" s="8" t="str">
        <f t="shared" si="67"/>
        <v>Consumer</v>
      </c>
      <c r="N542" s="6" t="s">
        <v>9</v>
      </c>
      <c r="O542" s="6" t="str">
        <f t="shared" si="68"/>
        <v>West</v>
      </c>
      <c r="P542" s="6" t="s">
        <v>309</v>
      </c>
      <c r="Q542" s="6" t="str">
        <f t="shared" si="69"/>
        <v>Gujarat</v>
      </c>
      <c r="R542" s="6" t="s">
        <v>310</v>
      </c>
      <c r="S542" s="6" t="str">
        <f t="shared" si="70"/>
        <v>Ahmedabad</v>
      </c>
      <c r="T542" s="6" t="s">
        <v>14</v>
      </c>
      <c r="U542" s="8" t="str">
        <f t="shared" si="71"/>
        <v>Furniture</v>
      </c>
      <c r="V542" s="6" t="s">
        <v>17</v>
      </c>
      <c r="W542" s="6" t="str">
        <f t="shared" si="72"/>
        <v>Furnishings</v>
      </c>
      <c r="X542" s="6" t="s">
        <v>2703</v>
      </c>
      <c r="Y542" s="6" t="s">
        <v>34</v>
      </c>
      <c r="Z542" s="6" t="str">
        <f t="shared" si="73"/>
        <v>Standard Class</v>
      </c>
      <c r="AA542" s="6">
        <v>7</v>
      </c>
      <c r="AB542" s="6">
        <v>3852.07</v>
      </c>
      <c r="AC542" s="6">
        <v>0.2</v>
      </c>
      <c r="AD542" s="6">
        <v>21571.59</v>
      </c>
      <c r="AE542" s="6">
        <v>17118.07</v>
      </c>
      <c r="AF542" s="6">
        <v>4453.5200000000004</v>
      </c>
      <c r="AG542" s="6" t="s">
        <v>52</v>
      </c>
      <c r="AH542" s="6" t="str">
        <f t="shared" si="74"/>
        <v>Paid</v>
      </c>
      <c r="AI542" s="6" t="s">
        <v>134</v>
      </c>
      <c r="AJ542" s="6" t="str">
        <f t="shared" si="75"/>
        <v>Completed</v>
      </c>
      <c r="AK542" s="9" t="str">
        <f>_xlfn.TEXTJOIN("|",FALSE,A542,TEXT(B542,"mm-dd-yyyy"),TEXT(E542,"mm-dd-yyyy"),I542,J542,L542,N542,P542,R542,T542,V542,X542,Y542,AA542,AB542,AC542,AD542,AE542,AF542,AG542,AI542)</f>
        <v>ORD-2024-10541|26-02-2024|02-23-2024|CUST-7563|Kabir Singh|Consumer|West|Gujarat|Ahmedabad|Furniture|Furnishings|Basic Furnishings 350|Standard Class|7|3852.07|0.2|21571.59|17118.07|4453.52|Paid|Completed</v>
      </c>
      <c r="AL542" s="27" t="str">
        <f>IF(COUNTIF($AK$2:AK542,AK542)&gt;1,"Remove exact duplicate copy","Keep")</f>
        <v>Keep</v>
      </c>
      <c r="AM542" s="9">
        <f t="shared" si="76"/>
        <v>1</v>
      </c>
      <c r="AN542" s="9" t="str">
        <f t="shared" si="77"/>
        <v>Unique</v>
      </c>
      <c r="AO542" s="9" t="str">
        <f t="shared" si="78"/>
        <v/>
      </c>
      <c r="AP542" s="9">
        <f t="shared" si="79"/>
        <v>0.2</v>
      </c>
      <c r="AQ542" s="10">
        <f t="shared" si="80"/>
        <v>21571.592000000004</v>
      </c>
      <c r="AR542" s="10">
        <f t="shared" si="81"/>
        <v>4453.5220000000045</v>
      </c>
      <c r="AS542" s="11">
        <f t="shared" si="82"/>
        <v>0.20645309813017063</v>
      </c>
      <c r="AT542" s="9">
        <f t="shared" si="83"/>
        <v>2</v>
      </c>
      <c r="AU542" s="9">
        <f t="shared" si="84"/>
        <v>2024</v>
      </c>
      <c r="AV542" s="9" t="b">
        <f t="shared" si="85"/>
        <v>0</v>
      </c>
      <c r="AW542" s="9" t="b">
        <f t="shared" si="86"/>
        <v>0</v>
      </c>
      <c r="AX542" s="9" t="str">
        <f t="shared" si="87"/>
        <v>No</v>
      </c>
      <c r="AY542" s="9" t="str">
        <f t="shared" si="89"/>
        <v>Ship date before order date</v>
      </c>
      <c r="AZ542" s="9" t="str">
        <f>IF(OR(G542="Missing date",G542="Invalid date",G542="Ship date before order date",NOT(ISNUMBER(AP542)),AP542&lt;0,AP542&gt;0.5,AV542=TRUE,AW542=TRUE),"Invalid",IF(OR(O542="Unknown",Z542="Unknown",AC542="",AH542&lt;&gt;"Paid",AJ542&lt;&gt;"Completed",AO542&lt;&gt;""),"Warning","Clean"))</f>
        <v>Invalid</v>
      </c>
    </row>
    <row r="543" spans="1:52" ht="15.75" customHeight="1">
      <c r="A543" s="6" t="s">
        <v>2704</v>
      </c>
      <c r="B543" s="7" t="s">
        <v>2705</v>
      </c>
      <c r="C543" s="7" t="str">
        <f t="shared" si="88"/>
        <v>2025-07</v>
      </c>
      <c r="D543" s="7" cm="1">
        <f t="array" ref="D543">_xlfn.LET(_xlpm.x,B543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45846</v>
      </c>
      <c r="E543" s="7" t="s">
        <v>2706</v>
      </c>
      <c r="F543" s="7" cm="1">
        <f t="array" ref="F543">_xlfn.LET(_xlpm.x,E543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45847</v>
      </c>
      <c r="G543" s="8" t="str">
        <f t="shared" si="64"/>
        <v>OK</v>
      </c>
      <c r="H543" s="6">
        <f t="shared" si="65"/>
        <v>1</v>
      </c>
      <c r="I543" s="6" t="s">
        <v>2707</v>
      </c>
      <c r="J543" s="6" t="s">
        <v>245</v>
      </c>
      <c r="K543" s="6" t="str">
        <f t="shared" si="66"/>
        <v>Sneha Kapoor</v>
      </c>
      <c r="L543" s="6" t="s">
        <v>43</v>
      </c>
      <c r="M543" s="8" t="str">
        <f t="shared" si="67"/>
        <v>Consumer</v>
      </c>
      <c r="N543" s="6" t="s">
        <v>9</v>
      </c>
      <c r="O543" s="6" t="str">
        <f t="shared" si="68"/>
        <v>West</v>
      </c>
      <c r="P543" s="6" t="s">
        <v>162</v>
      </c>
      <c r="Q543" s="6" t="str">
        <f t="shared" si="69"/>
        <v>Maharashtra</v>
      </c>
      <c r="R543" s="6" t="s">
        <v>163</v>
      </c>
      <c r="S543" s="6" t="str">
        <f t="shared" si="70"/>
        <v>Mumbai</v>
      </c>
      <c r="T543" s="6" t="s">
        <v>27</v>
      </c>
      <c r="U543" s="8" t="str">
        <f t="shared" si="71"/>
        <v>Technology</v>
      </c>
      <c r="V543" s="6" t="s">
        <v>29</v>
      </c>
      <c r="W543" s="6" t="str">
        <f t="shared" si="72"/>
        <v>Copiers</v>
      </c>
      <c r="X543" s="6" t="s">
        <v>2708</v>
      </c>
      <c r="Y543" s="6" t="s">
        <v>37</v>
      </c>
      <c r="Z543" s="6" t="str">
        <f t="shared" si="73"/>
        <v>Same Day</v>
      </c>
      <c r="AA543" s="6">
        <v>3</v>
      </c>
      <c r="AB543" s="6">
        <v>2880.56</v>
      </c>
      <c r="AC543" s="6">
        <v>0</v>
      </c>
      <c r="AD543" s="6">
        <v>8641.68</v>
      </c>
      <c r="AE543" s="6">
        <v>5747.09</v>
      </c>
      <c r="AF543" s="6">
        <v>2894.59</v>
      </c>
      <c r="AG543" s="6" t="s">
        <v>52</v>
      </c>
      <c r="AH543" s="6" t="str">
        <f t="shared" si="74"/>
        <v>Paid</v>
      </c>
      <c r="AI543" s="6" t="s">
        <v>59</v>
      </c>
      <c r="AJ543" s="6" t="str">
        <f t="shared" si="75"/>
        <v>Returned</v>
      </c>
      <c r="AK543" s="9" t="str">
        <f>_xlfn.TEXTJOIN("|",FALSE,A543,TEXT(B543,"mm-dd-yyyy"),TEXT(E543,"mm-dd-yyyy"),I543,J543,L543,N543,P543,R543,T543,V543,X543,Y543,AA543,AB543,AC543,AD543,AE543,AF543,AG543,AI543)</f>
        <v>ORD-2025-10542|08-07-2025|07-09-2025|CUST-4188|Sneha Kapoor|Consumer|West|Maharashtra|Mumbai|Technology|Copiers|Elite Copiers 831|Same Day|3|2880.56|0|8641.68|5747.09|2894.59|Paid|Returned</v>
      </c>
      <c r="AL543" s="27" t="str">
        <f>IF(COUNTIF($AK$2:AK543,AK543)&gt;1,"Remove exact duplicate copy","Keep")</f>
        <v>Keep</v>
      </c>
      <c r="AM543" s="9">
        <f t="shared" si="76"/>
        <v>1</v>
      </c>
      <c r="AN543" s="9" t="str">
        <f t="shared" si="77"/>
        <v>Unique</v>
      </c>
      <c r="AO543" s="9" t="str">
        <f t="shared" si="78"/>
        <v/>
      </c>
      <c r="AP543" s="9">
        <f t="shared" si="79"/>
        <v>0</v>
      </c>
      <c r="AQ543" s="10">
        <f t="shared" si="80"/>
        <v>8641.68</v>
      </c>
      <c r="AR543" s="10">
        <f t="shared" si="81"/>
        <v>2894.59</v>
      </c>
      <c r="AS543" s="11">
        <f t="shared" si="82"/>
        <v>0.33495686024013849</v>
      </c>
      <c r="AT543" s="9">
        <f t="shared" si="83"/>
        <v>7</v>
      </c>
      <c r="AU543" s="9">
        <f t="shared" si="84"/>
        <v>2025</v>
      </c>
      <c r="AV543" s="9" t="b">
        <f t="shared" si="85"/>
        <v>0</v>
      </c>
      <c r="AW543" s="9" t="b">
        <f t="shared" si="86"/>
        <v>0</v>
      </c>
      <c r="AX543" s="9" t="str">
        <f t="shared" si="87"/>
        <v>No</v>
      </c>
      <c r="AY543" s="9" t="str">
        <f t="shared" si="89"/>
        <v>Returned order excluded</v>
      </c>
      <c r="AZ543" s="9" t="str">
        <f>IF(OR(G543="Missing date",G543="Invalid date",G543="Ship date before order date",NOT(ISNUMBER(AP543)),AP543&lt;0,AP543&gt;0.5,AV543=TRUE,AW543=TRUE),"Invalid",IF(OR(O543="Unknown",Z543="Unknown",AC543="",AH543&lt;&gt;"Paid",AJ543&lt;&gt;"Completed",AO543&lt;&gt;""),"Warning","Clean"))</f>
        <v>Warning</v>
      </c>
    </row>
    <row r="544" spans="1:52" ht="15.75" customHeight="1">
      <c r="A544" s="6" t="s">
        <v>2709</v>
      </c>
      <c r="B544" s="7" t="s">
        <v>2710</v>
      </c>
      <c r="C544" s="7" t="str">
        <f t="shared" si="88"/>
        <v>2024-09</v>
      </c>
      <c r="D544" s="7" cm="1">
        <f t="array" ref="D544">_xlfn.LET(_xlpm.x,B544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45552</v>
      </c>
      <c r="E544" s="7" t="s">
        <v>2711</v>
      </c>
      <c r="F544" s="7" cm="1">
        <f t="array" ref="F544">_xlfn.LET(_xlpm.x,E544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45558</v>
      </c>
      <c r="G544" s="8" t="str">
        <f t="shared" si="64"/>
        <v>OK</v>
      </c>
      <c r="H544" s="6">
        <f t="shared" si="65"/>
        <v>6</v>
      </c>
      <c r="I544" s="6" t="s">
        <v>2712</v>
      </c>
      <c r="J544" s="6" t="s">
        <v>226</v>
      </c>
      <c r="K544" s="6" t="str">
        <f t="shared" si="66"/>
        <v>Rahul Verma</v>
      </c>
      <c r="L544" s="6" t="s">
        <v>44</v>
      </c>
      <c r="M544" s="8" t="str">
        <f t="shared" si="67"/>
        <v>Home Office</v>
      </c>
      <c r="N544" s="6" t="s">
        <v>10</v>
      </c>
      <c r="O544" s="6" t="str">
        <f t="shared" si="68"/>
        <v>South</v>
      </c>
      <c r="P544" s="6" t="s">
        <v>316</v>
      </c>
      <c r="Q544" s="6" t="str">
        <f t="shared" si="69"/>
        <v>Kerala</v>
      </c>
      <c r="R544" s="6" t="s">
        <v>317</v>
      </c>
      <c r="S544" s="6" t="str">
        <f t="shared" si="70"/>
        <v>Kochi</v>
      </c>
      <c r="T544" s="6" t="s">
        <v>14</v>
      </c>
      <c r="U544" s="8" t="str">
        <f t="shared" si="71"/>
        <v>Furniture</v>
      </c>
      <c r="V544" s="6" t="s">
        <v>15</v>
      </c>
      <c r="W544" s="6" t="str">
        <f t="shared" si="72"/>
        <v>Bookcases</v>
      </c>
      <c r="X544" s="6" t="s">
        <v>2713</v>
      </c>
      <c r="Y544" s="6" t="s">
        <v>36</v>
      </c>
      <c r="Z544" s="6" t="str">
        <f t="shared" si="73"/>
        <v>Second Class</v>
      </c>
      <c r="AA544" s="6">
        <v>3</v>
      </c>
      <c r="AB544" s="6">
        <v>4067.62</v>
      </c>
      <c r="AC544" s="6">
        <v>0.2</v>
      </c>
      <c r="AD544" s="6">
        <v>9988.5300000000007</v>
      </c>
      <c r="AE544" s="6">
        <v>8368.24</v>
      </c>
      <c r="AF544" s="6">
        <v>1394.05</v>
      </c>
      <c r="AG544" s="6" t="s">
        <v>52</v>
      </c>
      <c r="AH544" s="6" t="str">
        <f t="shared" si="74"/>
        <v>Paid</v>
      </c>
      <c r="AI544" s="6" t="s">
        <v>2714</v>
      </c>
      <c r="AJ544" s="6" t="str">
        <f t="shared" si="75"/>
        <v>Cancelled</v>
      </c>
      <c r="AK544" s="9" t="str">
        <f>_xlfn.TEXTJOIN("|",FALSE,A544,TEXT(B544,"mm-dd-yyyy"),TEXT(E544,"mm-dd-yyyy"),I544,J544,L544,N544,P544,R544,T544,V544,X544,Y544,AA544,AB544,AC544,AD544,AE544,AF544,AG544,AI544)</f>
        <v>ORD-2024-10543|09-17-2024|09-23-2024|CUST-9376|Rahul Verma|Home Office|South|Kerala|Kochi|Furniture|Bookcases|Eco Bookcases 759|Second Class|3|4067.62|0.2|9988.53|8368.24|1394.05|Paid|CANCELLED</v>
      </c>
      <c r="AL544" s="27" t="str">
        <f>IF(COUNTIF($AK$2:AK544,AK544)&gt;1,"Remove exact duplicate copy","Keep")</f>
        <v>Keep</v>
      </c>
      <c r="AM544" s="9">
        <f t="shared" si="76"/>
        <v>1</v>
      </c>
      <c r="AN544" s="9" t="str">
        <f t="shared" si="77"/>
        <v>Unique</v>
      </c>
      <c r="AO544" s="9" t="str">
        <f t="shared" si="78"/>
        <v/>
      </c>
      <c r="AP544" s="9">
        <f t="shared" si="79"/>
        <v>0.2</v>
      </c>
      <c r="AQ544" s="10">
        <f t="shared" si="80"/>
        <v>9762.2880000000005</v>
      </c>
      <c r="AR544" s="10">
        <f t="shared" si="81"/>
        <v>1394.0480000000007</v>
      </c>
      <c r="AS544" s="11">
        <f t="shared" si="82"/>
        <v>0.14279931098119628</v>
      </c>
      <c r="AT544" s="9">
        <f t="shared" si="83"/>
        <v>9</v>
      </c>
      <c r="AU544" s="9">
        <f t="shared" si="84"/>
        <v>2024</v>
      </c>
      <c r="AV544" s="9" t="b">
        <f t="shared" si="85"/>
        <v>1</v>
      </c>
      <c r="AW544" s="9" t="b">
        <f t="shared" si="86"/>
        <v>0</v>
      </c>
      <c r="AX544" s="9" t="str">
        <f t="shared" si="87"/>
        <v>No</v>
      </c>
      <c r="AY544" s="9" t="str">
        <f t="shared" si="89"/>
        <v>Cancelled order excluded; Sales mismatch</v>
      </c>
      <c r="AZ544" s="9" t="str">
        <f>IF(OR(G544="Missing date",G544="Invalid date",G544="Ship date before order date",NOT(ISNUMBER(AP544)),AP544&lt;0,AP544&gt;0.5,AV544=TRUE,AW544=TRUE),"Invalid",IF(OR(O544="Unknown",Z544="Unknown",AC544="",AH544&lt;&gt;"Paid",AJ544&lt;&gt;"Completed",AO544&lt;&gt;""),"Warning","Clean"))</f>
        <v>Invalid</v>
      </c>
    </row>
    <row r="545" spans="1:52" ht="15.75" customHeight="1">
      <c r="A545" s="6" t="s">
        <v>2715</v>
      </c>
      <c r="B545" s="7" t="s">
        <v>2716</v>
      </c>
      <c r="C545" s="7" t="str">
        <f t="shared" si="88"/>
        <v>2024-07</v>
      </c>
      <c r="D545" s="7" cm="1">
        <f t="array" ref="D545">_xlfn.LET(_xlpm.x,B545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45487</v>
      </c>
      <c r="E545" s="7" t="s">
        <v>475</v>
      </c>
      <c r="F545" s="7" cm="1">
        <f t="array" ref="F545">_xlfn.LET(_xlpm.x,E545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45493</v>
      </c>
      <c r="G545" s="8" t="str">
        <f t="shared" si="64"/>
        <v>OK</v>
      </c>
      <c r="H545" s="6">
        <f t="shared" si="65"/>
        <v>6</v>
      </c>
      <c r="I545" s="6" t="s">
        <v>2717</v>
      </c>
      <c r="J545" s="6" t="s">
        <v>139</v>
      </c>
      <c r="K545" s="6" t="str">
        <f t="shared" si="66"/>
        <v>Mira Das</v>
      </c>
      <c r="L545" s="6" t="s">
        <v>43</v>
      </c>
      <c r="M545" s="8" t="str">
        <f t="shared" si="67"/>
        <v>Consumer</v>
      </c>
      <c r="N545" s="6" t="s">
        <v>8</v>
      </c>
      <c r="O545" s="6" t="str">
        <f t="shared" si="68"/>
        <v>East</v>
      </c>
      <c r="P545" s="6" t="s">
        <v>263</v>
      </c>
      <c r="Q545" s="6" t="str">
        <f t="shared" si="69"/>
        <v>Bihar</v>
      </c>
      <c r="R545" s="6" t="s">
        <v>264</v>
      </c>
      <c r="S545" s="6" t="str">
        <f t="shared" si="70"/>
        <v>Patna</v>
      </c>
      <c r="T545" s="6" t="s">
        <v>27</v>
      </c>
      <c r="U545" s="8" t="str">
        <f t="shared" si="71"/>
        <v>Technology</v>
      </c>
      <c r="V545" s="6" t="s">
        <v>29</v>
      </c>
      <c r="W545" s="6" t="str">
        <f t="shared" si="72"/>
        <v>Copiers</v>
      </c>
      <c r="X545" s="6" t="s">
        <v>2718</v>
      </c>
      <c r="Y545" s="6" t="s">
        <v>37</v>
      </c>
      <c r="Z545" s="6" t="str">
        <f t="shared" si="73"/>
        <v>Same Day</v>
      </c>
      <c r="AA545" s="6">
        <v>1</v>
      </c>
      <c r="AB545" s="6">
        <v>492.67</v>
      </c>
      <c r="AC545" s="6">
        <v>0.15</v>
      </c>
      <c r="AD545" s="6">
        <v>418.77</v>
      </c>
      <c r="AE545" s="6">
        <v>313.72000000000003</v>
      </c>
      <c r="AF545" s="6">
        <v>105.05</v>
      </c>
      <c r="AG545" s="6" t="s">
        <v>52</v>
      </c>
      <c r="AH545" s="6" t="str">
        <f t="shared" si="74"/>
        <v>Paid</v>
      </c>
      <c r="AI545" s="6" t="s">
        <v>134</v>
      </c>
      <c r="AJ545" s="6" t="str">
        <f t="shared" si="75"/>
        <v>Completed</v>
      </c>
      <c r="AK545" s="9" t="str">
        <f>_xlfn.TEXTJOIN("|",FALSE,A545,TEXT(B545,"mm-dd-yyyy"),TEXT(E545,"mm-dd-yyyy"),I545,J545,L545,N545,P545,R545,T545,V545,X545,Y545,AA545,AB545,AC545,AD545,AE545,AF545,AG545,AI545)</f>
        <v>ORD-2024-10544|07-14-2024|20-07-2024|CUST-9094|Mira Das|Consumer|East|Bihar|Patna|Technology|Copiers|Max Copiers 440|Same Day|1|492.67|0.15|418.77|313.72|105.05|Paid|Completed</v>
      </c>
      <c r="AL545" s="27" t="str">
        <f>IF(COUNTIF($AK$2:AK545,AK545)&gt;1,"Remove exact duplicate copy","Keep")</f>
        <v>Keep</v>
      </c>
      <c r="AM545" s="9">
        <f t="shared" si="76"/>
        <v>1</v>
      </c>
      <c r="AN545" s="9" t="str">
        <f t="shared" si="77"/>
        <v>Unique</v>
      </c>
      <c r="AO545" s="9" t="str">
        <f t="shared" si="78"/>
        <v/>
      </c>
      <c r="AP545" s="9">
        <f t="shared" si="79"/>
        <v>0.15</v>
      </c>
      <c r="AQ545" s="10">
        <f t="shared" si="80"/>
        <v>418.76949999999999</v>
      </c>
      <c r="AR545" s="10">
        <f t="shared" si="81"/>
        <v>105.04949999999997</v>
      </c>
      <c r="AS545" s="11">
        <f t="shared" si="82"/>
        <v>0.25085279610859906</v>
      </c>
      <c r="AT545" s="9">
        <f t="shared" si="83"/>
        <v>7</v>
      </c>
      <c r="AU545" s="9">
        <f t="shared" si="84"/>
        <v>2024</v>
      </c>
      <c r="AV545" s="9" t="b">
        <f t="shared" si="85"/>
        <v>0</v>
      </c>
      <c r="AW545" s="9" t="b">
        <f t="shared" si="86"/>
        <v>0</v>
      </c>
      <c r="AX545" s="9" t="str">
        <f t="shared" si="87"/>
        <v>Yes</v>
      </c>
      <c r="AY545" s="9" t="str">
        <f t="shared" si="89"/>
        <v/>
      </c>
      <c r="AZ545" s="9" t="str">
        <f>IF(OR(G545="Missing date",G545="Invalid date",G545="Ship date before order date",NOT(ISNUMBER(AP545)),AP545&lt;0,AP545&gt;0.5,AV545=TRUE,AW545=TRUE),"Invalid",IF(OR(O545="Unknown",Z545="Unknown",AC545="",AH545&lt;&gt;"Paid",AJ545&lt;&gt;"Completed",AO545&lt;&gt;""),"Warning","Clean"))</f>
        <v>Clean</v>
      </c>
    </row>
    <row r="546" spans="1:52" ht="15.75" customHeight="1">
      <c r="A546" s="6" t="s">
        <v>2719</v>
      </c>
      <c r="B546" s="7" t="s">
        <v>2720</v>
      </c>
      <c r="C546" s="7" t="str">
        <f t="shared" si="88"/>
        <v>2025-01</v>
      </c>
      <c r="D546" s="7" cm="1">
        <f t="array" ref="D546">_xlfn.LET(_xlpm.x,B546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45686</v>
      </c>
      <c r="E546" s="7" t="s">
        <v>2148</v>
      </c>
      <c r="F546" s="7" cm="1">
        <f t="array" ref="F546">_xlfn.LET(_xlpm.x,E546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45693</v>
      </c>
      <c r="G546" s="8" t="str">
        <f t="shared" si="64"/>
        <v>OK</v>
      </c>
      <c r="H546" s="6">
        <f t="shared" si="65"/>
        <v>7</v>
      </c>
      <c r="I546" s="6" t="s">
        <v>2721</v>
      </c>
      <c r="J546" s="6" t="s">
        <v>161</v>
      </c>
      <c r="K546" s="6" t="str">
        <f t="shared" si="66"/>
        <v>Ananya Rao</v>
      </c>
      <c r="L546" s="6" t="s">
        <v>43</v>
      </c>
      <c r="M546" s="8" t="str">
        <f t="shared" si="67"/>
        <v>Consumer</v>
      </c>
      <c r="N546" s="6" t="s">
        <v>10</v>
      </c>
      <c r="O546" s="6" t="str">
        <f t="shared" si="68"/>
        <v>South</v>
      </c>
      <c r="P546" s="6" t="s">
        <v>316</v>
      </c>
      <c r="Q546" s="6" t="str">
        <f t="shared" si="69"/>
        <v>Kerala</v>
      </c>
      <c r="R546" s="6" t="s">
        <v>317</v>
      </c>
      <c r="S546" s="6" t="str">
        <f t="shared" si="70"/>
        <v>Kochi</v>
      </c>
      <c r="T546" s="6" t="s">
        <v>20</v>
      </c>
      <c r="U546" s="8" t="str">
        <f t="shared" si="71"/>
        <v>Office Supplies</v>
      </c>
      <c r="V546" s="6" t="s">
        <v>21</v>
      </c>
      <c r="W546" s="6" t="str">
        <f t="shared" si="72"/>
        <v>Art</v>
      </c>
      <c r="X546" s="6" t="s">
        <v>2722</v>
      </c>
      <c r="Y546" s="6" t="s">
        <v>37</v>
      </c>
      <c r="Z546" s="6" t="str">
        <f t="shared" si="73"/>
        <v>Same Day</v>
      </c>
      <c r="AA546" s="6">
        <v>8</v>
      </c>
      <c r="AB546" s="6">
        <v>3643.62</v>
      </c>
      <c r="AC546" s="6">
        <v>0.25</v>
      </c>
      <c r="AD546" s="6">
        <v>21861.72</v>
      </c>
      <c r="AE546" s="6">
        <v>18464.34</v>
      </c>
      <c r="AF546" s="6">
        <v>3397.38</v>
      </c>
      <c r="AG546" s="6" t="s">
        <v>52</v>
      </c>
      <c r="AH546" s="6" t="str">
        <f t="shared" si="74"/>
        <v>Paid</v>
      </c>
      <c r="AI546" s="6" t="s">
        <v>58</v>
      </c>
      <c r="AJ546" s="6" t="str">
        <f t="shared" si="75"/>
        <v>Cancelled</v>
      </c>
      <c r="AK546" s="9" t="str">
        <f>_xlfn.TEXTJOIN("|",FALSE,A546,TEXT(B546,"mm-dd-yyyy"),TEXT(E546,"mm-dd-yyyy"),I546,J546,L546,N546,P546,R546,T546,V546,X546,Y546,AA546,AB546,AC546,AD546,AE546,AF546,AG546,AI546)</f>
        <v>ORD-2025-10545|01-29-2025|02-05-2025|CUST-2366|Ananya Rao|Consumer|South|Kerala|Kochi|Office Supplies|Art|Smart Art 201|Same Day|8|3643.62|0.25|21861.72|18464.34|3397.38|Paid|Cancelled</v>
      </c>
      <c r="AL546" s="27" t="str">
        <f>IF(COUNTIF($AK$2:AK546,AK546)&gt;1,"Remove exact duplicate copy","Keep")</f>
        <v>Keep</v>
      </c>
      <c r="AM546" s="9">
        <f t="shared" si="76"/>
        <v>1</v>
      </c>
      <c r="AN546" s="9" t="str">
        <f t="shared" si="77"/>
        <v>Unique</v>
      </c>
      <c r="AO546" s="9" t="str">
        <f t="shared" si="78"/>
        <v/>
      </c>
      <c r="AP546" s="9">
        <f t="shared" si="79"/>
        <v>0.25</v>
      </c>
      <c r="AQ546" s="10">
        <f t="shared" si="80"/>
        <v>21861.72</v>
      </c>
      <c r="AR546" s="10">
        <f t="shared" si="81"/>
        <v>3397.380000000001</v>
      </c>
      <c r="AS546" s="11">
        <f t="shared" si="82"/>
        <v>0.1554031430280875</v>
      </c>
      <c r="AT546" s="9">
        <f t="shared" si="83"/>
        <v>1</v>
      </c>
      <c r="AU546" s="9">
        <f t="shared" si="84"/>
        <v>2025</v>
      </c>
      <c r="AV546" s="9" t="b">
        <f t="shared" si="85"/>
        <v>0</v>
      </c>
      <c r="AW546" s="9" t="b">
        <f t="shared" si="86"/>
        <v>0</v>
      </c>
      <c r="AX546" s="9" t="str">
        <f t="shared" si="87"/>
        <v>No</v>
      </c>
      <c r="AY546" s="9" t="str">
        <f t="shared" si="89"/>
        <v>Cancelled order excluded</v>
      </c>
      <c r="AZ546" s="9" t="str">
        <f>IF(OR(G546="Missing date",G546="Invalid date",G546="Ship date before order date",NOT(ISNUMBER(AP546)),AP546&lt;0,AP546&gt;0.5,AV546=TRUE,AW546=TRUE),"Invalid",IF(OR(O546="Unknown",Z546="Unknown",AC546="",AH546&lt;&gt;"Paid",AJ546&lt;&gt;"Completed",AO546&lt;&gt;""),"Warning","Clean"))</f>
        <v>Warning</v>
      </c>
    </row>
    <row r="547" spans="1:52" ht="15.75" customHeight="1">
      <c r="A547" s="6" t="s">
        <v>2723</v>
      </c>
      <c r="B547" s="7" t="s">
        <v>2724</v>
      </c>
      <c r="C547" s="7" t="str">
        <f t="shared" si="88"/>
        <v>2024-05</v>
      </c>
      <c r="D547" s="7" cm="1">
        <f t="array" ref="D547">_xlfn.LET(_xlpm.x,B547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45439</v>
      </c>
      <c r="E547" s="7" t="s">
        <v>2725</v>
      </c>
      <c r="F547" s="7" cm="1">
        <f t="array" ref="F547">_xlfn.LET(_xlpm.x,E547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45442</v>
      </c>
      <c r="G547" s="8" t="str">
        <f t="shared" si="64"/>
        <v>OK</v>
      </c>
      <c r="H547" s="6">
        <f t="shared" si="65"/>
        <v>3</v>
      </c>
      <c r="I547" s="6" t="s">
        <v>2726</v>
      </c>
      <c r="J547" s="6" t="s">
        <v>442</v>
      </c>
      <c r="K547" s="6" t="str">
        <f t="shared" si="66"/>
        <v>Kabir Singh</v>
      </c>
      <c r="L547" s="6" t="s">
        <v>46</v>
      </c>
      <c r="M547" s="8" t="str">
        <f t="shared" si="67"/>
        <v>Small Business</v>
      </c>
      <c r="N547" s="6" t="s">
        <v>8</v>
      </c>
      <c r="O547" s="6" t="str">
        <f t="shared" si="68"/>
        <v>East</v>
      </c>
      <c r="P547" s="6" t="s">
        <v>385</v>
      </c>
      <c r="Q547" s="6" t="str">
        <f t="shared" si="69"/>
        <v>Jharkhand</v>
      </c>
      <c r="R547" s="6" t="s">
        <v>386</v>
      </c>
      <c r="S547" s="6" t="str">
        <f t="shared" si="70"/>
        <v>Ranchi</v>
      </c>
      <c r="T547" s="6" t="s">
        <v>20</v>
      </c>
      <c r="U547" s="8" t="str">
        <f t="shared" si="71"/>
        <v>Office Supplies</v>
      </c>
      <c r="V547" s="6" t="s">
        <v>25</v>
      </c>
      <c r="W547" s="6" t="str">
        <f t="shared" si="72"/>
        <v>Storage</v>
      </c>
      <c r="X547" s="6" t="s">
        <v>2727</v>
      </c>
      <c r="Y547" s="6" t="s">
        <v>37</v>
      </c>
      <c r="Z547" s="6" t="str">
        <f t="shared" si="73"/>
        <v>Same Day</v>
      </c>
      <c r="AA547" s="6">
        <v>7</v>
      </c>
      <c r="AB547" s="6">
        <v>2900.86</v>
      </c>
      <c r="AC547" s="6">
        <v>0.15</v>
      </c>
      <c r="AD547" s="6">
        <v>17260.12</v>
      </c>
      <c r="AE547" s="6">
        <v>13513.51</v>
      </c>
      <c r="AF547" s="6">
        <v>3746.61</v>
      </c>
      <c r="AG547" s="6" t="s">
        <v>52</v>
      </c>
      <c r="AH547" s="6" t="str">
        <f t="shared" si="74"/>
        <v>Paid</v>
      </c>
      <c r="AI547" s="6" t="s">
        <v>134</v>
      </c>
      <c r="AJ547" s="6" t="str">
        <f t="shared" si="75"/>
        <v>Completed</v>
      </c>
      <c r="AK547" s="9" t="str">
        <f>_xlfn.TEXTJOIN("|",FALSE,A547,TEXT(B547,"mm-dd-yyyy"),TEXT(E547,"mm-dd-yyyy"),I547,J547,L547,N547,P547,R547,T547,V547,X547,Y547,AA547,AB547,AC547,AD547,AE547,AF547,AG547,AI547)</f>
        <v>ORD-2024-10546|05-27-2024|05-30-2024|CUST-7168|Kabir Singh|Small Business|East|Jharkhand|Ranchi|Office Supplies|Storage|Classic Storage 755|Same Day|7|2900.86|0.15|17260.12|13513.51|3746.61|Paid|Completed</v>
      </c>
      <c r="AL547" s="27" t="str">
        <f>IF(COUNTIF($AK$2:AK547,AK547)&gt;1,"Remove exact duplicate copy","Keep")</f>
        <v>Keep</v>
      </c>
      <c r="AM547" s="9">
        <f t="shared" si="76"/>
        <v>1</v>
      </c>
      <c r="AN547" s="9" t="str">
        <f t="shared" si="77"/>
        <v>Unique</v>
      </c>
      <c r="AO547" s="9" t="str">
        <f t="shared" si="78"/>
        <v/>
      </c>
      <c r="AP547" s="9">
        <f t="shared" si="79"/>
        <v>0.15</v>
      </c>
      <c r="AQ547" s="10">
        <f t="shared" si="80"/>
        <v>17260.116999999998</v>
      </c>
      <c r="AR547" s="10">
        <f t="shared" si="81"/>
        <v>3746.6069999999982</v>
      </c>
      <c r="AS547" s="11">
        <f t="shared" si="82"/>
        <v>0.21706730029697935</v>
      </c>
      <c r="AT547" s="9">
        <f t="shared" si="83"/>
        <v>5</v>
      </c>
      <c r="AU547" s="9">
        <f t="shared" si="84"/>
        <v>2024</v>
      </c>
      <c r="AV547" s="9" t="b">
        <f t="shared" si="85"/>
        <v>0</v>
      </c>
      <c r="AW547" s="9" t="b">
        <f t="shared" si="86"/>
        <v>0</v>
      </c>
      <c r="AX547" s="9" t="str">
        <f t="shared" si="87"/>
        <v>Yes</v>
      </c>
      <c r="AY547" s="9" t="str">
        <f t="shared" si="89"/>
        <v/>
      </c>
      <c r="AZ547" s="9" t="str">
        <f>IF(OR(G547="Missing date",G547="Invalid date",G547="Ship date before order date",NOT(ISNUMBER(AP547)),AP547&lt;0,AP547&gt;0.5,AV547=TRUE,AW547=TRUE),"Invalid",IF(OR(O547="Unknown",Z547="Unknown",AC547="",AH547&lt;&gt;"Paid",AJ547&lt;&gt;"Completed",AO547&lt;&gt;""),"Warning","Clean"))</f>
        <v>Clean</v>
      </c>
    </row>
    <row r="548" spans="1:52" ht="15.75" customHeight="1">
      <c r="A548" s="6" t="s">
        <v>2728</v>
      </c>
      <c r="B548" s="7" t="s">
        <v>2729</v>
      </c>
      <c r="C548" s="7" t="str">
        <f t="shared" si="88"/>
        <v>2025-08</v>
      </c>
      <c r="D548" s="7" cm="1">
        <f t="array" ref="D548">_xlfn.LET(_xlpm.x,B548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45883</v>
      </c>
      <c r="E548" s="7" t="s">
        <v>1578</v>
      </c>
      <c r="F548" s="7" cm="1">
        <f t="array" ref="F548">_xlfn.LET(_xlpm.x,E548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45891</v>
      </c>
      <c r="G548" s="8" t="str">
        <f t="shared" si="64"/>
        <v>OK</v>
      </c>
      <c r="H548" s="6">
        <f t="shared" si="65"/>
        <v>8</v>
      </c>
      <c r="I548" s="6" t="s">
        <v>2730</v>
      </c>
      <c r="J548" s="6" t="s">
        <v>153</v>
      </c>
      <c r="K548" s="6" t="str">
        <f t="shared" si="66"/>
        <v>Arjun Bose</v>
      </c>
      <c r="L548" s="6" t="s">
        <v>45</v>
      </c>
      <c r="M548" s="8" t="str">
        <f t="shared" si="67"/>
        <v>Corporate</v>
      </c>
      <c r="N548" s="6" t="s">
        <v>9</v>
      </c>
      <c r="O548" s="6" t="str">
        <f t="shared" si="68"/>
        <v>West</v>
      </c>
      <c r="P548" s="6" t="s">
        <v>309</v>
      </c>
      <c r="Q548" s="6" t="str">
        <f t="shared" si="69"/>
        <v>Gujarat</v>
      </c>
      <c r="R548" s="6" t="s">
        <v>310</v>
      </c>
      <c r="S548" s="6" t="str">
        <f t="shared" si="70"/>
        <v>Ahmedabad</v>
      </c>
      <c r="T548" s="6" t="s">
        <v>2731</v>
      </c>
      <c r="U548" s="8" t="str">
        <f t="shared" si="71"/>
        <v>Office Supplies</v>
      </c>
      <c r="V548" s="6" t="s">
        <v>24</v>
      </c>
      <c r="W548" s="6" t="str">
        <f t="shared" si="72"/>
        <v>Paper</v>
      </c>
      <c r="X548" s="6" t="s">
        <v>2732</v>
      </c>
      <c r="Y548" s="6" t="s">
        <v>35</v>
      </c>
      <c r="Z548" s="6" t="str">
        <f t="shared" si="73"/>
        <v>First Class</v>
      </c>
      <c r="AA548" s="6">
        <v>5</v>
      </c>
      <c r="AB548" s="6">
        <v>2567.37</v>
      </c>
      <c r="AC548" s="6">
        <v>0.15</v>
      </c>
      <c r="AD548" s="6">
        <v>10911.32</v>
      </c>
      <c r="AE548" s="6">
        <v>6966.44</v>
      </c>
      <c r="AF548" s="6">
        <v>4395.17</v>
      </c>
      <c r="AG548" s="6" t="s">
        <v>52</v>
      </c>
      <c r="AH548" s="6" t="str">
        <f t="shared" si="74"/>
        <v>Paid</v>
      </c>
      <c r="AI548" s="6" t="s">
        <v>134</v>
      </c>
      <c r="AJ548" s="6" t="str">
        <f t="shared" si="75"/>
        <v>Completed</v>
      </c>
      <c r="AK548" s="9" t="str">
        <f>_xlfn.TEXTJOIN("|",FALSE,A548,TEXT(B548,"mm-dd-yyyy"),TEXT(E548,"mm-dd-yyyy"),I548,J548,L548,N548,P548,R548,T548,V548,X548,Y548,AA548,AB548,AC548,AD548,AE548,AF548,AG548,AI548)</f>
        <v>ORD-2025-10547|08-14-2025|08-22-2025|CUST-8157|Arjun Bose|Corporate|West|Gujarat|Ahmedabad|office supplies|Paper|Prime Paper 143|First Class|5|2567.37|0.15|10911.32|6966.44|4395.17|Paid|Completed</v>
      </c>
      <c r="AL548" s="27" t="str">
        <f>IF(COUNTIF($AK$2:AK548,AK548)&gt;1,"Remove exact duplicate copy","Keep")</f>
        <v>Keep</v>
      </c>
      <c r="AM548" s="9">
        <f t="shared" si="76"/>
        <v>1</v>
      </c>
      <c r="AN548" s="9" t="str">
        <f t="shared" si="77"/>
        <v>Unique</v>
      </c>
      <c r="AO548" s="9" t="str">
        <f t="shared" si="78"/>
        <v/>
      </c>
      <c r="AP548" s="9">
        <f t="shared" si="79"/>
        <v>0.15</v>
      </c>
      <c r="AQ548" s="10">
        <f t="shared" si="80"/>
        <v>10911.322499999998</v>
      </c>
      <c r="AR548" s="10">
        <f t="shared" si="81"/>
        <v>3944.8824999999988</v>
      </c>
      <c r="AS548" s="11">
        <f t="shared" si="82"/>
        <v>0.36154027158486052</v>
      </c>
      <c r="AT548" s="9">
        <f t="shared" si="83"/>
        <v>8</v>
      </c>
      <c r="AU548" s="9">
        <f t="shared" si="84"/>
        <v>2025</v>
      </c>
      <c r="AV548" s="9" t="b">
        <f t="shared" si="85"/>
        <v>0</v>
      </c>
      <c r="AW548" s="9" t="b">
        <f t="shared" si="86"/>
        <v>1</v>
      </c>
      <c r="AX548" s="9" t="str">
        <f t="shared" si="87"/>
        <v>No</v>
      </c>
      <c r="AY548" s="9" t="str">
        <f t="shared" si="89"/>
        <v>Profit mismatch</v>
      </c>
      <c r="AZ548" s="9" t="str">
        <f>IF(OR(G548="Missing date",G548="Invalid date",G548="Ship date before order date",NOT(ISNUMBER(AP548)),AP548&lt;0,AP548&gt;0.5,AV548=TRUE,AW548=TRUE),"Invalid",IF(OR(O548="Unknown",Z548="Unknown",AC548="",AH548&lt;&gt;"Paid",AJ548&lt;&gt;"Completed",AO548&lt;&gt;""),"Warning","Clean"))</f>
        <v>Invalid</v>
      </c>
    </row>
    <row r="549" spans="1:52" ht="15.75" customHeight="1">
      <c r="A549" s="6" t="s">
        <v>2733</v>
      </c>
      <c r="B549" s="7" t="s">
        <v>2734</v>
      </c>
      <c r="C549" s="7" t="str">
        <f t="shared" si="88"/>
        <v>2024-05</v>
      </c>
      <c r="D549" s="7" cm="1">
        <f t="array" ref="D549">_xlfn.LET(_xlpm.x,B549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45428</v>
      </c>
      <c r="E549" s="7" t="s">
        <v>2735</v>
      </c>
      <c r="F549" s="7" cm="1">
        <f t="array" ref="F549">_xlfn.LET(_xlpm.x,E549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45435</v>
      </c>
      <c r="G549" s="8" t="str">
        <f t="shared" si="64"/>
        <v>OK</v>
      </c>
      <c r="H549" s="6">
        <f t="shared" si="65"/>
        <v>7</v>
      </c>
      <c r="I549" s="6" t="s">
        <v>2736</v>
      </c>
      <c r="J549" s="6" t="s">
        <v>177</v>
      </c>
      <c r="K549" s="6" t="str">
        <f t="shared" si="66"/>
        <v>Neha Gupta</v>
      </c>
      <c r="L549" s="6" t="s">
        <v>46</v>
      </c>
      <c r="M549" s="8" t="str">
        <f t="shared" si="67"/>
        <v>Small Business</v>
      </c>
      <c r="N549" s="6" t="s">
        <v>7</v>
      </c>
      <c r="O549" s="6" t="str">
        <f t="shared" si="68"/>
        <v>North</v>
      </c>
      <c r="P549" s="6" t="s">
        <v>251</v>
      </c>
      <c r="Q549" s="6" t="str">
        <f t="shared" si="69"/>
        <v>Uttar Pradesh</v>
      </c>
      <c r="R549" s="6" t="s">
        <v>252</v>
      </c>
      <c r="S549" s="6" t="str">
        <f t="shared" si="70"/>
        <v>Noida</v>
      </c>
      <c r="T549" s="6" t="s">
        <v>27</v>
      </c>
      <c r="U549" s="8" t="str">
        <f t="shared" si="71"/>
        <v>Technology</v>
      </c>
      <c r="V549" s="6" t="s">
        <v>29</v>
      </c>
      <c r="W549" s="6" t="str">
        <f t="shared" si="72"/>
        <v>Copiers</v>
      </c>
      <c r="X549" s="6" t="s">
        <v>2737</v>
      </c>
      <c r="Y549" s="6" t="s">
        <v>34</v>
      </c>
      <c r="Z549" s="6" t="str">
        <f t="shared" si="73"/>
        <v>Standard Class</v>
      </c>
      <c r="AA549" s="6">
        <v>9</v>
      </c>
      <c r="AB549" s="6">
        <v>3722.09</v>
      </c>
      <c r="AC549" s="6">
        <v>0.1</v>
      </c>
      <c r="AD549" s="6">
        <v>30148.93</v>
      </c>
      <c r="AE549" s="6">
        <v>25155.07</v>
      </c>
      <c r="AF549" s="6">
        <v>4993.8599999999997</v>
      </c>
      <c r="AG549" s="6" t="s">
        <v>52</v>
      </c>
      <c r="AH549" s="6" t="str">
        <f t="shared" si="74"/>
        <v>Paid</v>
      </c>
      <c r="AI549" s="6" t="s">
        <v>134</v>
      </c>
      <c r="AJ549" s="6" t="str">
        <f t="shared" si="75"/>
        <v>Completed</v>
      </c>
      <c r="AK549" s="9" t="str">
        <f>_xlfn.TEXTJOIN("|",FALSE,A549,TEXT(B549,"mm-dd-yyyy"),TEXT(E549,"mm-dd-yyyy"),I549,J549,L549,N549,P549,R549,T549,V549,X549,Y549,AA549,AB549,AC549,AD549,AE549,AF549,AG549,AI549)</f>
        <v>ORD-2024-10548|05-16-2024|05-23-2024|CUST-9146|Neha Gupta|Small Business|North|Uttar Pradesh|Noida|Technology|Copiers|Max Copiers 607|Standard Class|9|3722.09|0.1|30148.93|25155.07|4993.86|Paid|Completed</v>
      </c>
      <c r="AL549" s="27" t="str">
        <f>IF(COUNTIF($AK$2:AK549,AK549)&gt;1,"Remove exact duplicate copy","Keep")</f>
        <v>Keep</v>
      </c>
      <c r="AM549" s="9">
        <f t="shared" si="76"/>
        <v>1</v>
      </c>
      <c r="AN549" s="9" t="str">
        <f t="shared" si="77"/>
        <v>Unique</v>
      </c>
      <c r="AO549" s="9" t="str">
        <f t="shared" si="78"/>
        <v/>
      </c>
      <c r="AP549" s="9">
        <f t="shared" si="79"/>
        <v>0.1</v>
      </c>
      <c r="AQ549" s="10">
        <f t="shared" si="80"/>
        <v>30148.929</v>
      </c>
      <c r="AR549" s="10">
        <f t="shared" si="81"/>
        <v>4993.8590000000004</v>
      </c>
      <c r="AS549" s="11">
        <f t="shared" si="82"/>
        <v>0.16563968159532302</v>
      </c>
      <c r="AT549" s="9">
        <f t="shared" si="83"/>
        <v>5</v>
      </c>
      <c r="AU549" s="9">
        <f t="shared" si="84"/>
        <v>2024</v>
      </c>
      <c r="AV549" s="9" t="b">
        <f t="shared" si="85"/>
        <v>0</v>
      </c>
      <c r="AW549" s="9" t="b">
        <f t="shared" si="86"/>
        <v>0</v>
      </c>
      <c r="AX549" s="9" t="str">
        <f t="shared" si="87"/>
        <v>Yes</v>
      </c>
      <c r="AY549" s="9" t="str">
        <f t="shared" si="89"/>
        <v/>
      </c>
      <c r="AZ549" s="9" t="str">
        <f>IF(OR(G549="Missing date",G549="Invalid date",G549="Ship date before order date",NOT(ISNUMBER(AP549)),AP549&lt;0,AP549&gt;0.5,AV549=TRUE,AW549=TRUE),"Invalid",IF(OR(O549="Unknown",Z549="Unknown",AC549="",AH549&lt;&gt;"Paid",AJ549&lt;&gt;"Completed",AO549&lt;&gt;""),"Warning","Clean"))</f>
        <v>Clean</v>
      </c>
    </row>
    <row r="550" spans="1:52" ht="15.75" customHeight="1">
      <c r="A550" s="6" t="s">
        <v>2738</v>
      </c>
      <c r="B550" s="7" t="s">
        <v>348</v>
      </c>
      <c r="C550" s="7" t="str">
        <f t="shared" si="88"/>
        <v>2024-05</v>
      </c>
      <c r="D550" s="7" cm="1">
        <f t="array" ref="D550">_xlfn.LET(_xlpm.x,B550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45441</v>
      </c>
      <c r="E550" s="7" t="s">
        <v>347</v>
      </c>
      <c r="F550" s="7" cm="1">
        <f t="array" ref="F550">_xlfn.LET(_xlpm.x,E550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45441</v>
      </c>
      <c r="G550" s="8" t="str">
        <f t="shared" si="64"/>
        <v>OK</v>
      </c>
      <c r="H550" s="6">
        <f t="shared" si="65"/>
        <v>0</v>
      </c>
      <c r="I550" s="6" t="s">
        <v>2739</v>
      </c>
      <c r="J550" s="6" t="s">
        <v>257</v>
      </c>
      <c r="K550" s="6" t="str">
        <f t="shared" si="66"/>
        <v>Rohan Mehta</v>
      </c>
      <c r="L550" s="6" t="s">
        <v>45</v>
      </c>
      <c r="M550" s="8" t="str">
        <f t="shared" si="67"/>
        <v>Corporate</v>
      </c>
      <c r="N550" s="6" t="s">
        <v>8</v>
      </c>
      <c r="O550" s="6" t="str">
        <f t="shared" si="68"/>
        <v>East</v>
      </c>
      <c r="P550" s="6" t="s">
        <v>263</v>
      </c>
      <c r="Q550" s="6" t="str">
        <f t="shared" si="69"/>
        <v>Bihar</v>
      </c>
      <c r="R550" s="6" t="s">
        <v>264</v>
      </c>
      <c r="S550" s="6" t="str">
        <f t="shared" si="70"/>
        <v>Patna</v>
      </c>
      <c r="T550" s="6" t="s">
        <v>14</v>
      </c>
      <c r="U550" s="8" t="str">
        <f t="shared" si="71"/>
        <v>Furniture</v>
      </c>
      <c r="V550" s="6" t="s">
        <v>15</v>
      </c>
      <c r="W550" s="6" t="str">
        <f t="shared" si="72"/>
        <v>Bookcases</v>
      </c>
      <c r="X550" s="6" t="s">
        <v>2740</v>
      </c>
      <c r="Y550" s="6" t="s">
        <v>37</v>
      </c>
      <c r="Z550" s="6" t="str">
        <f t="shared" si="73"/>
        <v>Same Day</v>
      </c>
      <c r="AA550" s="6">
        <v>1</v>
      </c>
      <c r="AB550" s="6">
        <v>1072.01</v>
      </c>
      <c r="AC550" s="6">
        <v>0</v>
      </c>
      <c r="AD550" s="6">
        <v>1072.01</v>
      </c>
      <c r="AE550" s="6">
        <v>852.62</v>
      </c>
      <c r="AF550" s="6">
        <v>219.39</v>
      </c>
      <c r="AG550" s="6" t="s">
        <v>54</v>
      </c>
      <c r="AH550" s="6" t="str">
        <f t="shared" si="74"/>
        <v>Pending</v>
      </c>
      <c r="AI550" s="6" t="s">
        <v>58</v>
      </c>
      <c r="AJ550" s="6" t="str">
        <f t="shared" si="75"/>
        <v>Cancelled</v>
      </c>
      <c r="AK550" s="9" t="str">
        <f>_xlfn.TEXTJOIN("|",FALSE,A550,TEXT(B550,"mm-dd-yyyy"),TEXT(E550,"mm-dd-yyyy"),I550,J550,L550,N550,P550,R550,T550,V550,X550,Y550,AA550,AB550,AC550,AD550,AE550,AF550,AG550,AI550)</f>
        <v>ORD-2024-10549|05-29-2024|29-05-2024|CUST-5129|Rohan Mehta|Corporate|East|Bihar|Patna|Furniture|Bookcases|Prime Bookcases 402|Same Day|1|1072.01|0|1072.01|852.62|219.39|Pending|Cancelled</v>
      </c>
      <c r="AL550" s="27" t="str">
        <f>IF(COUNTIF($AK$2:AK550,AK550)&gt;1,"Remove exact duplicate copy","Keep")</f>
        <v>Keep</v>
      </c>
      <c r="AM550" s="9">
        <f t="shared" si="76"/>
        <v>1</v>
      </c>
      <c r="AN550" s="9" t="str">
        <f t="shared" si="77"/>
        <v>Unique</v>
      </c>
      <c r="AO550" s="9" t="str">
        <f t="shared" si="78"/>
        <v/>
      </c>
      <c r="AP550" s="9">
        <f t="shared" si="79"/>
        <v>0</v>
      </c>
      <c r="AQ550" s="10">
        <f t="shared" si="80"/>
        <v>1072.01</v>
      </c>
      <c r="AR550" s="10">
        <f t="shared" si="81"/>
        <v>219.39</v>
      </c>
      <c r="AS550" s="11">
        <f t="shared" si="82"/>
        <v>0.20465294167032022</v>
      </c>
      <c r="AT550" s="9">
        <f t="shared" si="83"/>
        <v>5</v>
      </c>
      <c r="AU550" s="9">
        <f t="shared" si="84"/>
        <v>2024</v>
      </c>
      <c r="AV550" s="9" t="b">
        <f t="shared" si="85"/>
        <v>0</v>
      </c>
      <c r="AW550" s="9" t="b">
        <f t="shared" si="86"/>
        <v>0</v>
      </c>
      <c r="AX550" s="9" t="str">
        <f t="shared" si="87"/>
        <v>No</v>
      </c>
      <c r="AY550" s="9" t="str">
        <f t="shared" si="89"/>
        <v>Cancelled order excluded</v>
      </c>
      <c r="AZ550" s="9" t="str">
        <f>IF(OR(G550="Missing date",G550="Invalid date",G550="Ship date before order date",NOT(ISNUMBER(AP550)),AP550&lt;0,AP550&gt;0.5,AV550=TRUE,AW550=TRUE),"Invalid",IF(OR(O550="Unknown",Z550="Unknown",AC550="",AH550&lt;&gt;"Paid",AJ550&lt;&gt;"Completed",AO550&lt;&gt;""),"Warning","Clean"))</f>
        <v>Warning</v>
      </c>
    </row>
    <row r="551" spans="1:52" ht="15.75" customHeight="1">
      <c r="A551" s="6" t="s">
        <v>2741</v>
      </c>
      <c r="B551" s="7" t="s">
        <v>2742</v>
      </c>
      <c r="C551" s="7" t="str">
        <f t="shared" si="88"/>
        <v>2025-10</v>
      </c>
      <c r="D551" s="7" cm="1">
        <f t="array" ref="D551">_xlfn.LET(_xlpm.x,B551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45941</v>
      </c>
      <c r="E551" s="7" t="s">
        <v>2743</v>
      </c>
      <c r="F551" s="7" cm="1">
        <f t="array" ref="F551">_xlfn.LET(_xlpm.x,E551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45943</v>
      </c>
      <c r="G551" s="8" t="str">
        <f t="shared" si="64"/>
        <v>OK</v>
      </c>
      <c r="H551" s="6">
        <f t="shared" si="65"/>
        <v>2</v>
      </c>
      <c r="I551" s="6" t="s">
        <v>2744</v>
      </c>
      <c r="J551" s="6" t="s">
        <v>139</v>
      </c>
      <c r="K551" s="6" t="str">
        <f t="shared" si="66"/>
        <v>Mira Das</v>
      </c>
      <c r="L551" s="6" t="s">
        <v>45</v>
      </c>
      <c r="M551" s="8" t="str">
        <f t="shared" si="67"/>
        <v>Corporate</v>
      </c>
      <c r="N551" s="6" t="s">
        <v>10</v>
      </c>
      <c r="O551" s="6" t="str">
        <f t="shared" si="68"/>
        <v>South</v>
      </c>
      <c r="P551" s="6" t="s">
        <v>154</v>
      </c>
      <c r="Q551" s="6" t="str">
        <f t="shared" si="69"/>
        <v>Telangana</v>
      </c>
      <c r="R551" s="6" t="s">
        <v>155</v>
      </c>
      <c r="S551" s="6" t="str">
        <f t="shared" si="70"/>
        <v>Hyderabad</v>
      </c>
      <c r="T551" s="6" t="s">
        <v>20</v>
      </c>
      <c r="U551" s="8" t="str">
        <f t="shared" si="71"/>
        <v>Office Supplies</v>
      </c>
      <c r="V551" s="6" t="s">
        <v>21</v>
      </c>
      <c r="W551" s="6" t="str">
        <f t="shared" si="72"/>
        <v>Art</v>
      </c>
      <c r="X551" s="6" t="s">
        <v>2745</v>
      </c>
      <c r="Y551" s="6" t="s">
        <v>36</v>
      </c>
      <c r="Z551" s="6" t="str">
        <f t="shared" si="73"/>
        <v>Second Class</v>
      </c>
      <c r="AA551" s="6">
        <v>3</v>
      </c>
      <c r="AB551" s="6">
        <v>3804.27</v>
      </c>
      <c r="AC551" s="6">
        <v>0.1</v>
      </c>
      <c r="AD551" s="6">
        <v>10271.530000000001</v>
      </c>
      <c r="AE551" s="6">
        <v>8272.24</v>
      </c>
      <c r="AF551" s="6">
        <v>1999.29</v>
      </c>
      <c r="AG551" s="6" t="s">
        <v>52</v>
      </c>
      <c r="AH551" s="6" t="str">
        <f t="shared" si="74"/>
        <v>Paid</v>
      </c>
      <c r="AI551" s="6" t="s">
        <v>134</v>
      </c>
      <c r="AJ551" s="6" t="str">
        <f t="shared" si="75"/>
        <v>Completed</v>
      </c>
      <c r="AK551" s="9" t="str">
        <f>_xlfn.TEXTJOIN("|",FALSE,A551,TEXT(B551,"mm-dd-yyyy"),TEXT(E551,"mm-dd-yyyy"),I551,J551,L551,N551,P551,R551,T551,V551,X551,Y551,AA551,AB551,AC551,AD551,AE551,AF551,AG551,AI551)</f>
        <v>ORD-2025-10550|10-11-2025|10-13-2025|CUST-6028|Mira Das|Corporate|South|Telangana|Hyderabad|Office Supplies|Art|Pro Art 287|Second Class|3|3804.27|0.1|10271.53|8272.24|1999.29|Paid|Completed</v>
      </c>
      <c r="AL551" s="27" t="str">
        <f>IF(COUNTIF($AK$2:AK551,AK551)&gt;1,"Remove exact duplicate copy","Keep")</f>
        <v>Keep</v>
      </c>
      <c r="AM551" s="9">
        <f t="shared" si="76"/>
        <v>1</v>
      </c>
      <c r="AN551" s="9" t="str">
        <f t="shared" si="77"/>
        <v>Unique</v>
      </c>
      <c r="AO551" s="9" t="str">
        <f t="shared" si="78"/>
        <v/>
      </c>
      <c r="AP551" s="9">
        <f t="shared" si="79"/>
        <v>0.1</v>
      </c>
      <c r="AQ551" s="10">
        <f t="shared" si="80"/>
        <v>10271.529</v>
      </c>
      <c r="AR551" s="10">
        <f t="shared" si="81"/>
        <v>1999.2890000000007</v>
      </c>
      <c r="AS551" s="11">
        <f t="shared" si="82"/>
        <v>0.19464375751652949</v>
      </c>
      <c r="AT551" s="9">
        <f t="shared" si="83"/>
        <v>10</v>
      </c>
      <c r="AU551" s="9">
        <f t="shared" si="84"/>
        <v>2025</v>
      </c>
      <c r="AV551" s="9" t="b">
        <f t="shared" si="85"/>
        <v>0</v>
      </c>
      <c r="AW551" s="9" t="b">
        <f t="shared" si="86"/>
        <v>0</v>
      </c>
      <c r="AX551" s="9" t="str">
        <f t="shared" si="87"/>
        <v>Yes</v>
      </c>
      <c r="AY551" s="9" t="str">
        <f t="shared" si="89"/>
        <v/>
      </c>
      <c r="AZ551" s="9" t="str">
        <f>IF(OR(G551="Missing date",G551="Invalid date",G551="Ship date before order date",NOT(ISNUMBER(AP551)),AP551&lt;0,AP551&gt;0.5,AV551=TRUE,AW551=TRUE),"Invalid",IF(OR(O551="Unknown",Z551="Unknown",AC551="",AH551&lt;&gt;"Paid",AJ551&lt;&gt;"Completed",AO551&lt;&gt;""),"Warning","Clean"))</f>
        <v>Clean</v>
      </c>
    </row>
    <row r="552" spans="1:52" ht="15.75" customHeight="1">
      <c r="A552" s="6" t="s">
        <v>2746</v>
      </c>
      <c r="B552" s="7" t="s">
        <v>616</v>
      </c>
      <c r="C552" s="7" t="str">
        <f t="shared" si="88"/>
        <v>2024-08</v>
      </c>
      <c r="D552" s="7" cm="1">
        <f t="array" ref="D552">_xlfn.LET(_xlpm.x,B552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45506</v>
      </c>
      <c r="E552" s="7" t="s">
        <v>2747</v>
      </c>
      <c r="F552" s="7" cm="1">
        <f t="array" ref="F552">_xlfn.LET(_xlpm.x,E552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45514</v>
      </c>
      <c r="G552" s="8" t="str">
        <f t="shared" si="64"/>
        <v>OK</v>
      </c>
      <c r="H552" s="6">
        <f t="shared" si="65"/>
        <v>8</v>
      </c>
      <c r="I552" s="6" t="s">
        <v>2748</v>
      </c>
      <c r="J552" s="6" t="s">
        <v>139</v>
      </c>
      <c r="K552" s="6" t="str">
        <f t="shared" si="66"/>
        <v>Mira Das</v>
      </c>
      <c r="L552" s="6" t="s">
        <v>44</v>
      </c>
      <c r="M552" s="8" t="str">
        <f t="shared" si="67"/>
        <v>Home Office</v>
      </c>
      <c r="N552" s="6" t="s">
        <v>8</v>
      </c>
      <c r="O552" s="6" t="str">
        <f t="shared" si="68"/>
        <v>East</v>
      </c>
      <c r="P552" s="6" t="s">
        <v>140</v>
      </c>
      <c r="Q552" s="6" t="str">
        <f t="shared" si="69"/>
        <v>Odisha</v>
      </c>
      <c r="R552" s="6" t="s">
        <v>141</v>
      </c>
      <c r="S552" s="6" t="str">
        <f t="shared" si="70"/>
        <v>Bhubaneswar</v>
      </c>
      <c r="T552" s="6" t="s">
        <v>27</v>
      </c>
      <c r="U552" s="8" t="str">
        <f t="shared" si="71"/>
        <v>Technology</v>
      </c>
      <c r="V552" s="6" t="s">
        <v>28</v>
      </c>
      <c r="W552" s="6" t="str">
        <f t="shared" si="72"/>
        <v>Accessories</v>
      </c>
      <c r="X552" s="6" t="s">
        <v>2749</v>
      </c>
      <c r="Y552" s="6" t="s">
        <v>34</v>
      </c>
      <c r="Z552" s="6" t="str">
        <f t="shared" si="73"/>
        <v>Standard Class</v>
      </c>
      <c r="AA552" s="6">
        <v>6</v>
      </c>
      <c r="AB552" s="6">
        <v>2126.44</v>
      </c>
      <c r="AC552" s="6">
        <v>0.2</v>
      </c>
      <c r="AD552" s="6">
        <v>10206.91</v>
      </c>
      <c r="AE552" s="6">
        <v>6764.53</v>
      </c>
      <c r="AF552" s="6">
        <v>3442.38</v>
      </c>
      <c r="AG552" s="6" t="s">
        <v>52</v>
      </c>
      <c r="AH552" s="6" t="str">
        <f t="shared" si="74"/>
        <v>Paid</v>
      </c>
      <c r="AI552" s="6" t="s">
        <v>134</v>
      </c>
      <c r="AJ552" s="6" t="str">
        <f t="shared" si="75"/>
        <v>Completed</v>
      </c>
      <c r="AK552" s="9" t="str">
        <f>_xlfn.TEXTJOIN("|",FALSE,A552,TEXT(B552,"mm-dd-yyyy"),TEXT(E552,"mm-dd-yyyy"),I552,J552,L552,N552,P552,R552,T552,V552,X552,Y552,AA552,AB552,AC552,AD552,AE552,AF552,AG552,AI552)</f>
        <v>ORD-2024-10551|02-08-2024|08-10-2024|CUST-8687|Mira Das|Home Office|East|Odisha|Bhubaneswar|Technology|Accessories|Max Accessories 591|Standard Class|6|2126.44|0.2|10206.91|6764.53|3442.38|Paid|Completed</v>
      </c>
      <c r="AL552" s="27" t="str">
        <f>IF(COUNTIF($AK$2:AK552,AK552)&gt;1,"Remove exact duplicate copy","Keep")</f>
        <v>Keep</v>
      </c>
      <c r="AM552" s="9">
        <f t="shared" si="76"/>
        <v>1</v>
      </c>
      <c r="AN552" s="9" t="str">
        <f t="shared" si="77"/>
        <v>Unique</v>
      </c>
      <c r="AO552" s="9" t="str">
        <f t="shared" si="78"/>
        <v/>
      </c>
      <c r="AP552" s="9">
        <f t="shared" si="79"/>
        <v>0.2</v>
      </c>
      <c r="AQ552" s="10">
        <f t="shared" si="80"/>
        <v>10206.912</v>
      </c>
      <c r="AR552" s="10">
        <f t="shared" si="81"/>
        <v>3442.3820000000005</v>
      </c>
      <c r="AS552" s="11">
        <f t="shared" si="82"/>
        <v>0.33725988820125036</v>
      </c>
      <c r="AT552" s="9">
        <f t="shared" si="83"/>
        <v>8</v>
      </c>
      <c r="AU552" s="9">
        <f t="shared" si="84"/>
        <v>2024</v>
      </c>
      <c r="AV552" s="9" t="b">
        <f t="shared" si="85"/>
        <v>0</v>
      </c>
      <c r="AW552" s="9" t="b">
        <f t="shared" si="86"/>
        <v>0</v>
      </c>
      <c r="AX552" s="9" t="str">
        <f t="shared" si="87"/>
        <v>Yes</v>
      </c>
      <c r="AY552" s="9" t="str">
        <f t="shared" si="89"/>
        <v/>
      </c>
      <c r="AZ552" s="9" t="str">
        <f>IF(OR(G552="Missing date",G552="Invalid date",G552="Ship date before order date",NOT(ISNUMBER(AP552)),AP552&lt;0,AP552&gt;0.5,AV552=TRUE,AW552=TRUE),"Invalid",IF(OR(O552="Unknown",Z552="Unknown",AC552="",AH552&lt;&gt;"Paid",AJ552&lt;&gt;"Completed",AO552&lt;&gt;""),"Warning","Clean"))</f>
        <v>Clean</v>
      </c>
    </row>
    <row r="553" spans="1:52" ht="15.75" customHeight="1">
      <c r="A553" s="6" t="s">
        <v>2750</v>
      </c>
      <c r="B553" s="7" t="s">
        <v>2177</v>
      </c>
      <c r="C553" s="7" t="str">
        <f t="shared" si="88"/>
        <v>2024-02</v>
      </c>
      <c r="D553" s="7" cm="1">
        <f t="array" ref="D553">_xlfn.LET(_xlpm.x,B553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45349</v>
      </c>
      <c r="E553" s="7" t="s">
        <v>2751</v>
      </c>
      <c r="F553" s="7" cm="1">
        <f t="array" ref="F553">_xlfn.LET(_xlpm.x,E553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45349</v>
      </c>
      <c r="G553" s="8" t="str">
        <f t="shared" si="64"/>
        <v>OK</v>
      </c>
      <c r="H553" s="6">
        <f t="shared" si="65"/>
        <v>0</v>
      </c>
      <c r="I553" s="6" t="s">
        <v>2752</v>
      </c>
      <c r="J553" s="6" t="s">
        <v>245</v>
      </c>
      <c r="K553" s="6" t="str">
        <f t="shared" si="66"/>
        <v>Sneha Kapoor</v>
      </c>
      <c r="L553" s="6" t="s">
        <v>43</v>
      </c>
      <c r="M553" s="8" t="str">
        <f t="shared" si="67"/>
        <v>Consumer</v>
      </c>
      <c r="N553" s="6" t="s">
        <v>8</v>
      </c>
      <c r="O553" s="6" t="str">
        <f t="shared" si="68"/>
        <v>East</v>
      </c>
      <c r="P553" s="6" t="s">
        <v>385</v>
      </c>
      <c r="Q553" s="6" t="str">
        <f t="shared" si="69"/>
        <v>Jharkhand</v>
      </c>
      <c r="R553" s="6" t="s">
        <v>386</v>
      </c>
      <c r="S553" s="6" t="str">
        <f t="shared" si="70"/>
        <v>Ranchi</v>
      </c>
      <c r="T553" s="6" t="s">
        <v>14</v>
      </c>
      <c r="U553" s="8" t="str">
        <f t="shared" si="71"/>
        <v>Furniture</v>
      </c>
      <c r="V553" s="6" t="s">
        <v>16</v>
      </c>
      <c r="W553" s="6" t="str">
        <f t="shared" si="72"/>
        <v>Chairs</v>
      </c>
      <c r="X553" s="6" t="s">
        <v>2753</v>
      </c>
      <c r="Y553" s="6" t="s">
        <v>36</v>
      </c>
      <c r="Z553" s="6" t="str">
        <f t="shared" si="73"/>
        <v>Second Class</v>
      </c>
      <c r="AA553" s="6">
        <v>3</v>
      </c>
      <c r="AB553" s="6">
        <v>3148.09</v>
      </c>
      <c r="AC553" s="6">
        <v>0.15</v>
      </c>
      <c r="AD553" s="6">
        <v>8027.63</v>
      </c>
      <c r="AE553" s="6">
        <v>5496.09</v>
      </c>
      <c r="AF553" s="6">
        <v>2531.54</v>
      </c>
      <c r="AG553" s="6" t="s">
        <v>52</v>
      </c>
      <c r="AH553" s="6" t="str">
        <f t="shared" si="74"/>
        <v>Paid</v>
      </c>
      <c r="AI553" s="6" t="s">
        <v>134</v>
      </c>
      <c r="AJ553" s="6" t="str">
        <f t="shared" si="75"/>
        <v>Completed</v>
      </c>
      <c r="AK553" s="9" t="str">
        <f>_xlfn.TEXTJOIN("|",FALSE,A553,TEXT(B553,"mm-dd-yyyy"),TEXT(E553,"mm-dd-yyyy"),I553,J553,L553,N553,P553,R553,T553,V553,X553,Y553,AA553,AB553,AC553,AD553,AE553,AF553,AG553,AI553)</f>
        <v>ORD-2024-10552|27-02-2024|02-27-2024|CUST-8172|Sneha Kapoor|Consumer|East|Jharkhand|Ranchi|Furniture|Chairs|Elite Chairs 314|Second Class|3|3148.09|0.15|8027.63|5496.09|2531.54|Paid|Completed</v>
      </c>
      <c r="AL553" s="27" t="str">
        <f>IF(COUNTIF($AK$2:AK553,AK553)&gt;1,"Remove exact duplicate copy","Keep")</f>
        <v>Keep</v>
      </c>
      <c r="AM553" s="9">
        <f t="shared" si="76"/>
        <v>1</v>
      </c>
      <c r="AN553" s="9" t="str">
        <f t="shared" si="77"/>
        <v>Unique</v>
      </c>
      <c r="AO553" s="9" t="str">
        <f t="shared" si="78"/>
        <v/>
      </c>
      <c r="AP553" s="9">
        <f t="shared" si="79"/>
        <v>0.15</v>
      </c>
      <c r="AQ553" s="10">
        <f t="shared" si="80"/>
        <v>8027.6295</v>
      </c>
      <c r="AR553" s="10">
        <f t="shared" si="81"/>
        <v>2531.5394999999999</v>
      </c>
      <c r="AS553" s="11">
        <f t="shared" si="82"/>
        <v>0.31535330572991688</v>
      </c>
      <c r="AT553" s="9">
        <f t="shared" si="83"/>
        <v>2</v>
      </c>
      <c r="AU553" s="9">
        <f t="shared" si="84"/>
        <v>2024</v>
      </c>
      <c r="AV553" s="9" t="b">
        <f t="shared" si="85"/>
        <v>0</v>
      </c>
      <c r="AW553" s="9" t="b">
        <f t="shared" si="86"/>
        <v>0</v>
      </c>
      <c r="AX553" s="9" t="str">
        <f t="shared" si="87"/>
        <v>Yes</v>
      </c>
      <c r="AY553" s="9" t="str">
        <f t="shared" si="89"/>
        <v/>
      </c>
      <c r="AZ553" s="9" t="str">
        <f>IF(OR(G553="Missing date",G553="Invalid date",G553="Ship date before order date",NOT(ISNUMBER(AP553)),AP553&lt;0,AP553&gt;0.5,AV553=TRUE,AW553=TRUE),"Invalid",IF(OR(O553="Unknown",Z553="Unknown",AC553="",AH553&lt;&gt;"Paid",AJ553&lt;&gt;"Completed",AO553&lt;&gt;""),"Warning","Clean"))</f>
        <v>Clean</v>
      </c>
    </row>
    <row r="554" spans="1:52" ht="15.75" customHeight="1">
      <c r="A554" s="6" t="s">
        <v>2754</v>
      </c>
      <c r="B554" s="7" t="s">
        <v>267</v>
      </c>
      <c r="C554" s="7" t="str">
        <f t="shared" si="88"/>
        <v>2025-01</v>
      </c>
      <c r="D554" s="7" cm="1">
        <f t="array" ref="D554">_xlfn.LET(_xlpm.x,B554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45681</v>
      </c>
      <c r="E554" s="7" t="s">
        <v>417</v>
      </c>
      <c r="F554" s="7" cm="1">
        <f t="array" ref="F554">_xlfn.LET(_xlpm.x,E554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45687</v>
      </c>
      <c r="G554" s="8" t="str">
        <f t="shared" si="64"/>
        <v>OK</v>
      </c>
      <c r="H554" s="6">
        <f t="shared" si="65"/>
        <v>6</v>
      </c>
      <c r="I554" s="6" t="s">
        <v>2755</v>
      </c>
      <c r="J554" s="6" t="s">
        <v>161</v>
      </c>
      <c r="K554" s="6" t="str">
        <f t="shared" si="66"/>
        <v>Ananya Rao</v>
      </c>
      <c r="L554" s="6" t="s">
        <v>45</v>
      </c>
      <c r="M554" s="8" t="str">
        <f t="shared" si="67"/>
        <v>Corporate</v>
      </c>
      <c r="N554" s="6" t="s">
        <v>8</v>
      </c>
      <c r="O554" s="6" t="str">
        <f t="shared" si="68"/>
        <v>East</v>
      </c>
      <c r="P554" s="6" t="s">
        <v>201</v>
      </c>
      <c r="Q554" s="6" t="str">
        <f t="shared" si="69"/>
        <v>West Bengal</v>
      </c>
      <c r="R554" s="6" t="s">
        <v>202</v>
      </c>
      <c r="S554" s="6" t="str">
        <f t="shared" si="70"/>
        <v>Kolkata</v>
      </c>
      <c r="T554" s="6" t="s">
        <v>27</v>
      </c>
      <c r="U554" s="8" t="str">
        <f t="shared" si="71"/>
        <v>Technology</v>
      </c>
      <c r="V554" s="6" t="s">
        <v>29</v>
      </c>
      <c r="W554" s="6" t="str">
        <f t="shared" si="72"/>
        <v>Copiers</v>
      </c>
      <c r="X554" s="6" t="s">
        <v>2756</v>
      </c>
      <c r="Y554" s="6" t="s">
        <v>34</v>
      </c>
      <c r="Z554" s="6" t="str">
        <f t="shared" si="73"/>
        <v>Standard Class</v>
      </c>
      <c r="AA554" s="6">
        <v>8</v>
      </c>
      <c r="AB554" s="6">
        <v>312.52999999999997</v>
      </c>
      <c r="AC554" s="6" t="s">
        <v>761</v>
      </c>
      <c r="AD554" s="6">
        <v>1875.18</v>
      </c>
      <c r="AE554" s="6">
        <v>1579.17</v>
      </c>
      <c r="AF554" s="6">
        <v>296.01</v>
      </c>
      <c r="AG554" s="6" t="s">
        <v>52</v>
      </c>
      <c r="AH554" s="6" t="str">
        <f t="shared" si="74"/>
        <v>Paid</v>
      </c>
      <c r="AI554" s="6" t="s">
        <v>134</v>
      </c>
      <c r="AJ554" s="6" t="str">
        <f t="shared" si="75"/>
        <v>Completed</v>
      </c>
      <c r="AK554" s="9" t="str">
        <f>_xlfn.TEXTJOIN("|",FALSE,A554,TEXT(B554,"mm-dd-yyyy"),TEXT(E554,"mm-dd-yyyy"),I554,J554,L554,N554,P554,R554,T554,V554,X554,Y554,AA554,AB554,AC554,AD554,AE554,AF554,AG554,AI554)</f>
        <v>ORD-2025-10553|24-01-2025|01-30-2025|CUST-8861|Ananya Rao|Corporate|East|West Bengal|Kolkata|Technology|Copiers|Pro Copiers 246|Standard Class|8|312.53|70%|1875.18|1579.17|296.01|Paid|Completed</v>
      </c>
      <c r="AL554" s="27" t="str">
        <f>IF(COUNTIF($AK$2:AK554,AK554)&gt;1,"Remove exact duplicate copy","Keep")</f>
        <v>Keep</v>
      </c>
      <c r="AM554" s="9">
        <f t="shared" si="76"/>
        <v>1</v>
      </c>
      <c r="AN554" s="9" t="str">
        <f t="shared" si="77"/>
        <v>Unique</v>
      </c>
      <c r="AO554" s="9" t="str">
        <f t="shared" si="78"/>
        <v/>
      </c>
      <c r="AP554" s="9">
        <f t="shared" si="79"/>
        <v>0.7</v>
      </c>
      <c r="AQ554" s="10">
        <f t="shared" si="80"/>
        <v>750.072</v>
      </c>
      <c r="AR554" s="10">
        <f t="shared" si="81"/>
        <v>-829.09800000000007</v>
      </c>
      <c r="AS554" s="11">
        <f t="shared" si="82"/>
        <v>-1.1053578856429784</v>
      </c>
      <c r="AT554" s="9">
        <f t="shared" si="83"/>
        <v>1</v>
      </c>
      <c r="AU554" s="9">
        <f t="shared" si="84"/>
        <v>2025</v>
      </c>
      <c r="AV554" s="9" t="b">
        <f t="shared" si="85"/>
        <v>1</v>
      </c>
      <c r="AW554" s="9" t="b">
        <f t="shared" si="86"/>
        <v>1</v>
      </c>
      <c r="AX554" s="9" t="str">
        <f t="shared" si="87"/>
        <v>No</v>
      </c>
      <c r="AY554" s="9" t="str">
        <f t="shared" si="89"/>
        <v>Discount above 50%; Sales mismatch; Profit mismatch</v>
      </c>
      <c r="AZ554" s="9" t="str">
        <f>IF(OR(G554="Missing date",G554="Invalid date",G554="Ship date before order date",NOT(ISNUMBER(AP554)),AP554&lt;0,AP554&gt;0.5,AV554=TRUE,AW554=TRUE),"Invalid",IF(OR(O554="Unknown",Z554="Unknown",AC554="",AH554&lt;&gt;"Paid",AJ554&lt;&gt;"Completed",AO554&lt;&gt;""),"Warning","Clean"))</f>
        <v>Invalid</v>
      </c>
    </row>
    <row r="555" spans="1:52" ht="15.75" customHeight="1">
      <c r="A555" s="6" t="s">
        <v>2757</v>
      </c>
      <c r="B555" s="7" t="s">
        <v>2758</v>
      </c>
      <c r="C555" s="7" t="str">
        <f t="shared" si="88"/>
        <v>2025-04</v>
      </c>
      <c r="D555" s="7" cm="1">
        <f t="array" ref="D555">_xlfn.LET(_xlpm.x,B555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45772</v>
      </c>
      <c r="E555" s="7" t="s">
        <v>2759</v>
      </c>
      <c r="F555" s="7" cm="1">
        <f t="array" ref="F555">_xlfn.LET(_xlpm.x,E555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45775</v>
      </c>
      <c r="G555" s="8" t="str">
        <f t="shared" si="64"/>
        <v>OK</v>
      </c>
      <c r="H555" s="6">
        <f t="shared" si="65"/>
        <v>3</v>
      </c>
      <c r="I555" s="6" t="s">
        <v>2760</v>
      </c>
      <c r="J555" s="6" t="s">
        <v>239</v>
      </c>
      <c r="K555" s="6" t="str">
        <f t="shared" si="66"/>
        <v>Aarav Sharma</v>
      </c>
      <c r="L555" s="6" t="s">
        <v>46</v>
      </c>
      <c r="M555" s="8" t="str">
        <f t="shared" si="67"/>
        <v>Small Business</v>
      </c>
      <c r="N555" s="6" t="s">
        <v>9</v>
      </c>
      <c r="O555" s="6" t="str">
        <f t="shared" si="68"/>
        <v>West</v>
      </c>
      <c r="P555" s="6" t="s">
        <v>309</v>
      </c>
      <c r="Q555" s="6" t="str">
        <f t="shared" si="69"/>
        <v>Gujarat</v>
      </c>
      <c r="R555" s="6" t="s">
        <v>310</v>
      </c>
      <c r="S555" s="6" t="str">
        <f t="shared" si="70"/>
        <v>Ahmedabad</v>
      </c>
      <c r="T555" s="6" t="s">
        <v>20</v>
      </c>
      <c r="U555" s="8" t="str">
        <f t="shared" si="71"/>
        <v>Office Supplies</v>
      </c>
      <c r="V555" s="6" t="s">
        <v>25</v>
      </c>
      <c r="W555" s="6" t="str">
        <f t="shared" si="72"/>
        <v>Storage</v>
      </c>
      <c r="X555" s="6" t="s">
        <v>2761</v>
      </c>
      <c r="Y555" s="6" t="s">
        <v>35</v>
      </c>
      <c r="Z555" s="6" t="str">
        <f t="shared" si="73"/>
        <v>First Class</v>
      </c>
      <c r="AA555" s="6">
        <v>9</v>
      </c>
      <c r="AB555" s="6">
        <v>1294.1099999999999</v>
      </c>
      <c r="AC555" s="6">
        <v>0.25</v>
      </c>
      <c r="AD555" s="6">
        <v>8735.24</v>
      </c>
      <c r="AE555" s="6">
        <v>6620.07</v>
      </c>
      <c r="AF555" s="6">
        <v>2115.17</v>
      </c>
      <c r="AG555" s="6" t="s">
        <v>52</v>
      </c>
      <c r="AH555" s="6" t="str">
        <f t="shared" si="74"/>
        <v>Paid</v>
      </c>
      <c r="AI555" s="6" t="s">
        <v>134</v>
      </c>
      <c r="AJ555" s="6" t="str">
        <f t="shared" si="75"/>
        <v>Completed</v>
      </c>
      <c r="AK555" s="9" t="str">
        <f>_xlfn.TEXTJOIN("|",FALSE,A555,TEXT(B555,"mm-dd-yyyy"),TEXT(E555,"mm-dd-yyyy"),I555,J555,L555,N555,P555,R555,T555,V555,X555,Y555,AA555,AB555,AC555,AD555,AE555,AF555,AG555,AI555)</f>
        <v>ORD-2025-10554|04-25-2025|04-28-2025|CUST-9241|Aarav Sharma|Small Business|West|Gujarat|Ahmedabad|Office Supplies|Storage|Pro Storage 128|First Class|9|1294.11|0.25|8735.24|6620.07|2115.17|Paid|Completed</v>
      </c>
      <c r="AL555" s="27" t="str">
        <f>IF(COUNTIF($AK$2:AK555,AK555)&gt;1,"Remove exact duplicate copy","Keep")</f>
        <v>Keep</v>
      </c>
      <c r="AM555" s="9">
        <f t="shared" si="76"/>
        <v>1</v>
      </c>
      <c r="AN555" s="9" t="str">
        <f t="shared" si="77"/>
        <v>Unique</v>
      </c>
      <c r="AO555" s="9" t="str">
        <f t="shared" si="78"/>
        <v/>
      </c>
      <c r="AP555" s="9">
        <f t="shared" si="79"/>
        <v>0.25</v>
      </c>
      <c r="AQ555" s="10">
        <f t="shared" si="80"/>
        <v>8735.2425000000003</v>
      </c>
      <c r="AR555" s="10">
        <f t="shared" si="81"/>
        <v>2115.1725000000006</v>
      </c>
      <c r="AS555" s="11">
        <f t="shared" si="82"/>
        <v>0.24214239043735769</v>
      </c>
      <c r="AT555" s="9">
        <f t="shared" si="83"/>
        <v>4</v>
      </c>
      <c r="AU555" s="9">
        <f t="shared" si="84"/>
        <v>2025</v>
      </c>
      <c r="AV555" s="9" t="b">
        <f t="shared" si="85"/>
        <v>0</v>
      </c>
      <c r="AW555" s="9" t="b">
        <f t="shared" si="86"/>
        <v>0</v>
      </c>
      <c r="AX555" s="9" t="str">
        <f t="shared" si="87"/>
        <v>Yes</v>
      </c>
      <c r="AY555" s="9" t="str">
        <f t="shared" si="89"/>
        <v/>
      </c>
      <c r="AZ555" s="9" t="str">
        <f>IF(OR(G555="Missing date",G555="Invalid date",G555="Ship date before order date",NOT(ISNUMBER(AP555)),AP555&lt;0,AP555&gt;0.5,AV555=TRUE,AW555=TRUE),"Invalid",IF(OR(O555="Unknown",Z555="Unknown",AC555="",AH555&lt;&gt;"Paid",AJ555&lt;&gt;"Completed",AO555&lt;&gt;""),"Warning","Clean"))</f>
        <v>Clean</v>
      </c>
    </row>
    <row r="556" spans="1:52" ht="15.75" customHeight="1">
      <c r="A556" s="6" t="s">
        <v>2762</v>
      </c>
      <c r="B556" s="7" t="s">
        <v>2763</v>
      </c>
      <c r="C556" s="7" t="str">
        <f t="shared" si="88"/>
        <v>2024-10</v>
      </c>
      <c r="D556" s="7" cm="1">
        <f t="array" ref="D556">_xlfn.LET(_xlpm.x,B556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45577</v>
      </c>
      <c r="E556" s="7" t="s">
        <v>2764</v>
      </c>
      <c r="F556" s="7" cm="1">
        <f t="array" ref="F556">_xlfn.LET(_xlpm.x,E556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45582</v>
      </c>
      <c r="G556" s="8" t="str">
        <f t="shared" si="64"/>
        <v>OK</v>
      </c>
      <c r="H556" s="6">
        <f t="shared" si="65"/>
        <v>5</v>
      </c>
      <c r="I556" s="6" t="s">
        <v>2765</v>
      </c>
      <c r="J556" s="6" t="s">
        <v>153</v>
      </c>
      <c r="K556" s="6" t="str">
        <f t="shared" si="66"/>
        <v>Arjun Bose</v>
      </c>
      <c r="L556" s="6" t="s">
        <v>43</v>
      </c>
      <c r="M556" s="8" t="str">
        <f t="shared" si="67"/>
        <v>Consumer</v>
      </c>
      <c r="N556" s="6"/>
      <c r="O556" s="6" t="str">
        <f t="shared" si="68"/>
        <v>Unknown</v>
      </c>
      <c r="P556" s="6" t="s">
        <v>385</v>
      </c>
      <c r="Q556" s="6" t="str">
        <f t="shared" si="69"/>
        <v>Jharkhand</v>
      </c>
      <c r="R556" s="6" t="s">
        <v>386</v>
      </c>
      <c r="S556" s="6" t="str">
        <f t="shared" si="70"/>
        <v>Ranchi</v>
      </c>
      <c r="T556" s="6" t="s">
        <v>14</v>
      </c>
      <c r="U556" s="8" t="str">
        <f t="shared" si="71"/>
        <v>Furniture</v>
      </c>
      <c r="V556" s="6" t="s">
        <v>17</v>
      </c>
      <c r="W556" s="6" t="str">
        <f t="shared" si="72"/>
        <v>Furnishings</v>
      </c>
      <c r="X556" s="6" t="s">
        <v>2766</v>
      </c>
      <c r="Y556" s="6" t="s">
        <v>34</v>
      </c>
      <c r="Z556" s="6" t="str">
        <f t="shared" si="73"/>
        <v>Standard Class</v>
      </c>
      <c r="AA556" s="6">
        <v>4</v>
      </c>
      <c r="AB556" s="6">
        <v>1071.22</v>
      </c>
      <c r="AC556" s="6">
        <v>0.05</v>
      </c>
      <c r="AD556" s="6">
        <v>4070.64</v>
      </c>
      <c r="AE556" s="6">
        <v>2831.62</v>
      </c>
      <c r="AF556" s="6">
        <v>1239.02</v>
      </c>
      <c r="AG556" s="6" t="s">
        <v>52</v>
      </c>
      <c r="AH556" s="6" t="str">
        <f t="shared" si="74"/>
        <v>Paid</v>
      </c>
      <c r="AI556" s="6" t="s">
        <v>134</v>
      </c>
      <c r="AJ556" s="6" t="str">
        <f t="shared" si="75"/>
        <v>Completed</v>
      </c>
      <c r="AK556" s="9" t="str">
        <f>_xlfn.TEXTJOIN("|",FALSE,A556,TEXT(B556,"mm-dd-yyyy"),TEXT(E556,"mm-dd-yyyy"),I556,J556,L556,N556,P556,R556,T556,V556,X556,Y556,AA556,AB556,AC556,AD556,AE556,AF556,AG556,AI556)</f>
        <v>ORD-2024-10555|10-12-2024|10-17-2024|CUST-2126|Arjun Bose|Consumer||Jharkhand|Ranchi|Furniture|Furnishings|Prime Furnishings 892|Standard Class|4|1071.22|0.05|4070.64|2831.62|1239.02|Paid|Completed</v>
      </c>
      <c r="AL556" s="27" t="str">
        <f>IF(COUNTIF($AK$2:AK556,AK556)&gt;1,"Remove exact duplicate copy","Keep")</f>
        <v>Keep</v>
      </c>
      <c r="AM556" s="9">
        <f t="shared" si="76"/>
        <v>1</v>
      </c>
      <c r="AN556" s="9" t="str">
        <f t="shared" si="77"/>
        <v>Unique</v>
      </c>
      <c r="AO556" s="9" t="str">
        <f t="shared" si="78"/>
        <v/>
      </c>
      <c r="AP556" s="9">
        <f t="shared" si="79"/>
        <v>0.05</v>
      </c>
      <c r="AQ556" s="10">
        <f t="shared" si="80"/>
        <v>4070.636</v>
      </c>
      <c r="AR556" s="10">
        <f t="shared" si="81"/>
        <v>1239.0160000000001</v>
      </c>
      <c r="AS556" s="11">
        <f t="shared" si="82"/>
        <v>0.30437897173807732</v>
      </c>
      <c r="AT556" s="9">
        <f t="shared" si="83"/>
        <v>10</v>
      </c>
      <c r="AU556" s="9">
        <f t="shared" si="84"/>
        <v>2024</v>
      </c>
      <c r="AV556" s="9" t="b">
        <f t="shared" si="85"/>
        <v>0</v>
      </c>
      <c r="AW556" s="9" t="b">
        <f t="shared" si="86"/>
        <v>0</v>
      </c>
      <c r="AX556" s="9" t="str">
        <f t="shared" si="87"/>
        <v>Yes</v>
      </c>
      <c r="AY556" s="9" t="str">
        <f t="shared" si="89"/>
        <v>Missing region filled as Unknown</v>
      </c>
      <c r="AZ556" s="9" t="str">
        <f>IF(OR(G556="Missing date",G556="Invalid date",G556="Ship date before order date",NOT(ISNUMBER(AP556)),AP556&lt;0,AP556&gt;0.5,AV556=TRUE,AW556=TRUE),"Invalid",IF(OR(O556="Unknown",Z556="Unknown",AC556="",AH556&lt;&gt;"Paid",AJ556&lt;&gt;"Completed",AO556&lt;&gt;""),"Warning","Clean"))</f>
        <v>Warning</v>
      </c>
    </row>
    <row r="557" spans="1:52" ht="15.75" customHeight="1">
      <c r="A557" s="6" t="s">
        <v>2767</v>
      </c>
      <c r="B557" s="7" t="s">
        <v>965</v>
      </c>
      <c r="C557" s="7" t="str">
        <f t="shared" si="88"/>
        <v>2025-02</v>
      </c>
      <c r="D557" s="7" cm="1">
        <f t="array" ref="D557">_xlfn.LET(_xlpm.x,B557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45692</v>
      </c>
      <c r="E557" s="7" t="s">
        <v>2768</v>
      </c>
      <c r="F557" s="7" cm="1">
        <f t="array" ref="F557">_xlfn.LET(_xlpm.x,E557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45698</v>
      </c>
      <c r="G557" s="8" t="str">
        <f t="shared" si="64"/>
        <v>OK</v>
      </c>
      <c r="H557" s="6">
        <f t="shared" si="65"/>
        <v>6</v>
      </c>
      <c r="I557" s="6" t="s">
        <v>2769</v>
      </c>
      <c r="J557" s="6" t="s">
        <v>161</v>
      </c>
      <c r="K557" s="6" t="str">
        <f t="shared" si="66"/>
        <v>Ananya Rao</v>
      </c>
      <c r="L557" s="6" t="s">
        <v>46</v>
      </c>
      <c r="M557" s="8" t="str">
        <f t="shared" si="67"/>
        <v>Small Business</v>
      </c>
      <c r="N557" s="6" t="s">
        <v>10</v>
      </c>
      <c r="O557" s="6" t="str">
        <f t="shared" si="68"/>
        <v>South</v>
      </c>
      <c r="P557" s="6" t="s">
        <v>154</v>
      </c>
      <c r="Q557" s="6" t="str">
        <f t="shared" si="69"/>
        <v>Telangana</v>
      </c>
      <c r="R557" s="6" t="s">
        <v>155</v>
      </c>
      <c r="S557" s="6" t="str">
        <f t="shared" si="70"/>
        <v>Hyderabad</v>
      </c>
      <c r="T557" s="6" t="s">
        <v>20</v>
      </c>
      <c r="U557" s="8" t="str">
        <f t="shared" si="71"/>
        <v>Office Supplies</v>
      </c>
      <c r="V557" s="6" t="s">
        <v>25</v>
      </c>
      <c r="W557" s="6" t="str">
        <f t="shared" si="72"/>
        <v>Storage</v>
      </c>
      <c r="X557" s="6" t="s">
        <v>2770</v>
      </c>
      <c r="Y557" s="6" t="s">
        <v>34</v>
      </c>
      <c r="Z557" s="6" t="str">
        <f t="shared" si="73"/>
        <v>Standard Class</v>
      </c>
      <c r="AA557" s="6">
        <v>6</v>
      </c>
      <c r="AB557" s="6">
        <v>1042.8</v>
      </c>
      <c r="AC557" s="6">
        <v>0.05</v>
      </c>
      <c r="AD557" s="6">
        <v>5943.96</v>
      </c>
      <c r="AE557" s="6">
        <v>3604.14</v>
      </c>
      <c r="AF557" s="6">
        <v>2339.8200000000002</v>
      </c>
      <c r="AG557" s="6" t="s">
        <v>52</v>
      </c>
      <c r="AH557" s="6" t="str">
        <f t="shared" si="74"/>
        <v>Paid</v>
      </c>
      <c r="AI557" s="6" t="s">
        <v>134</v>
      </c>
      <c r="AJ557" s="6" t="str">
        <f t="shared" si="75"/>
        <v>Completed</v>
      </c>
      <c r="AK557" s="9" t="str">
        <f>_xlfn.TEXTJOIN("|",FALSE,A557,TEXT(B557,"mm-dd-yyyy"),TEXT(E557,"mm-dd-yyyy"),I557,J557,L557,N557,P557,R557,T557,V557,X557,Y557,AA557,AB557,AC557,AD557,AE557,AF557,AG557,AI557)</f>
        <v>ORD-2025-10556|04-02-2025|02-10-2025|CUST-7513|Ananya Rao|Small Business|South|Telangana|Hyderabad|Office Supplies|Storage|Prime Storage 689|Standard Class|6|1042.8|0.05|5943.96|3604.14|2339.82|Paid|Completed</v>
      </c>
      <c r="AL557" s="27" t="str">
        <f>IF(COUNTIF($AK$2:AK557,AK557)&gt;1,"Remove exact duplicate copy","Keep")</f>
        <v>Keep</v>
      </c>
      <c r="AM557" s="9">
        <f t="shared" si="76"/>
        <v>1</v>
      </c>
      <c r="AN557" s="9" t="str">
        <f t="shared" si="77"/>
        <v>Unique</v>
      </c>
      <c r="AO557" s="9" t="str">
        <f t="shared" si="78"/>
        <v/>
      </c>
      <c r="AP557" s="9">
        <f t="shared" si="79"/>
        <v>0.05</v>
      </c>
      <c r="AQ557" s="10">
        <f t="shared" si="80"/>
        <v>5943.9599999999991</v>
      </c>
      <c r="AR557" s="10">
        <f t="shared" si="81"/>
        <v>2339.8199999999993</v>
      </c>
      <c r="AS557" s="11">
        <f t="shared" si="82"/>
        <v>0.39364665980255581</v>
      </c>
      <c r="AT557" s="9">
        <f t="shared" si="83"/>
        <v>2</v>
      </c>
      <c r="AU557" s="9">
        <f t="shared" si="84"/>
        <v>2025</v>
      </c>
      <c r="AV557" s="9" t="b">
        <f t="shared" si="85"/>
        <v>0</v>
      </c>
      <c r="AW557" s="9" t="b">
        <f t="shared" si="86"/>
        <v>0</v>
      </c>
      <c r="AX557" s="9" t="str">
        <f t="shared" si="87"/>
        <v>Yes</v>
      </c>
      <c r="AY557" s="9" t="str">
        <f t="shared" si="89"/>
        <v/>
      </c>
      <c r="AZ557" s="9" t="str">
        <f>IF(OR(G557="Missing date",G557="Invalid date",G557="Ship date before order date",NOT(ISNUMBER(AP557)),AP557&lt;0,AP557&gt;0.5,AV557=TRUE,AW557=TRUE),"Invalid",IF(OR(O557="Unknown",Z557="Unknown",AC557="",AH557&lt;&gt;"Paid",AJ557&lt;&gt;"Completed",AO557&lt;&gt;""),"Warning","Clean"))</f>
        <v>Clean</v>
      </c>
    </row>
    <row r="558" spans="1:52" ht="15.75" customHeight="1">
      <c r="A558" s="6" t="s">
        <v>2771</v>
      </c>
      <c r="B558" s="7" t="s">
        <v>1640</v>
      </c>
      <c r="C558" s="7" t="str">
        <f t="shared" si="88"/>
        <v>2024-06</v>
      </c>
      <c r="D558" s="7" cm="1">
        <f t="array" ref="D558">_xlfn.LET(_xlpm.x,B558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45466</v>
      </c>
      <c r="E558" s="7" t="s">
        <v>2183</v>
      </c>
      <c r="F558" s="7" cm="1">
        <f t="array" ref="F558">_xlfn.LET(_xlpm.x,E558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45472</v>
      </c>
      <c r="G558" s="8" t="str">
        <f t="shared" si="64"/>
        <v>OK</v>
      </c>
      <c r="H558" s="6">
        <f t="shared" si="65"/>
        <v>6</v>
      </c>
      <c r="I558" s="6" t="s">
        <v>2772</v>
      </c>
      <c r="J558" s="6" t="s">
        <v>177</v>
      </c>
      <c r="K558" s="6" t="str">
        <f t="shared" si="66"/>
        <v>Neha Gupta</v>
      </c>
      <c r="L558" s="6" t="s">
        <v>43</v>
      </c>
      <c r="M558" s="8" t="str">
        <f t="shared" si="67"/>
        <v>Consumer</v>
      </c>
      <c r="N558" s="6" t="s">
        <v>7</v>
      </c>
      <c r="O558" s="6" t="str">
        <f t="shared" si="68"/>
        <v>North</v>
      </c>
      <c r="P558" s="6" t="s">
        <v>397</v>
      </c>
      <c r="Q558" s="6" t="str">
        <f t="shared" si="69"/>
        <v>Haryana</v>
      </c>
      <c r="R558" s="6" t="s">
        <v>398</v>
      </c>
      <c r="S558" s="6" t="str">
        <f t="shared" si="70"/>
        <v>Gurugram</v>
      </c>
      <c r="T558" s="6" t="s">
        <v>14</v>
      </c>
      <c r="U558" s="8" t="str">
        <f t="shared" si="71"/>
        <v>Furniture</v>
      </c>
      <c r="V558" s="6" t="s">
        <v>18</v>
      </c>
      <c r="W558" s="6" t="str">
        <f t="shared" si="72"/>
        <v>Tables</v>
      </c>
      <c r="X558" s="6" t="s">
        <v>2773</v>
      </c>
      <c r="Y558" s="6" t="s">
        <v>35</v>
      </c>
      <c r="Z558" s="6" t="str">
        <f t="shared" si="73"/>
        <v>First Class</v>
      </c>
      <c r="AA558" s="6">
        <v>1</v>
      </c>
      <c r="AB558" s="6">
        <v>4426.66</v>
      </c>
      <c r="AC558" s="6">
        <v>0</v>
      </c>
      <c r="AD558" s="6">
        <v>4426.66</v>
      </c>
      <c r="AE558" s="6">
        <v>3035.2</v>
      </c>
      <c r="AF558" s="6">
        <v>1816.23</v>
      </c>
      <c r="AG558" s="6" t="s">
        <v>52</v>
      </c>
      <c r="AH558" s="6" t="str">
        <f t="shared" si="74"/>
        <v>Paid</v>
      </c>
      <c r="AI558" s="6" t="s">
        <v>59</v>
      </c>
      <c r="AJ558" s="6" t="str">
        <f t="shared" si="75"/>
        <v>Returned</v>
      </c>
      <c r="AK558" s="9" t="str">
        <f>_xlfn.TEXTJOIN("|",FALSE,A558,TEXT(B558,"mm-dd-yyyy"),TEXT(E558,"mm-dd-yyyy"),I558,J558,L558,N558,P558,R558,T558,V558,X558,Y558,AA558,AB558,AC558,AD558,AE558,AF558,AG558,AI558)</f>
        <v>ORD-2024-10557|06-23-2024|06-29-2024|CUST-1992|Neha Gupta|Consumer|North|Haryana|Gurugram|Furniture|Tables|Classic Tables 769|First Class|1|4426.66|0|4426.66|3035.2|1816.23|Paid|Returned</v>
      </c>
      <c r="AL558" s="27" t="str">
        <f>IF(COUNTIF($AK$2:AK558,AK558)&gt;1,"Remove exact duplicate copy","Keep")</f>
        <v>Keep</v>
      </c>
      <c r="AM558" s="9">
        <f t="shared" si="76"/>
        <v>1</v>
      </c>
      <c r="AN558" s="9" t="str">
        <f t="shared" si="77"/>
        <v>Unique</v>
      </c>
      <c r="AO558" s="9" t="str">
        <f t="shared" si="78"/>
        <v/>
      </c>
      <c r="AP558" s="9">
        <f t="shared" si="79"/>
        <v>0</v>
      </c>
      <c r="AQ558" s="10">
        <f t="shared" si="80"/>
        <v>4426.66</v>
      </c>
      <c r="AR558" s="10">
        <f t="shared" si="81"/>
        <v>1391.46</v>
      </c>
      <c r="AS558" s="11">
        <f t="shared" si="82"/>
        <v>0.31433631677156143</v>
      </c>
      <c r="AT558" s="9">
        <f t="shared" si="83"/>
        <v>6</v>
      </c>
      <c r="AU558" s="9">
        <f t="shared" si="84"/>
        <v>2024</v>
      </c>
      <c r="AV558" s="9" t="b">
        <f t="shared" si="85"/>
        <v>0</v>
      </c>
      <c r="AW558" s="9" t="b">
        <f t="shared" si="86"/>
        <v>1</v>
      </c>
      <c r="AX558" s="9" t="str">
        <f t="shared" si="87"/>
        <v>No</v>
      </c>
      <c r="AY558" s="9" t="str">
        <f t="shared" si="89"/>
        <v>Returned order excluded; Profit mismatch</v>
      </c>
      <c r="AZ558" s="9" t="str">
        <f>IF(OR(G558="Missing date",G558="Invalid date",G558="Ship date before order date",NOT(ISNUMBER(AP558)),AP558&lt;0,AP558&gt;0.5,AV558=TRUE,AW558=TRUE),"Invalid",IF(OR(O558="Unknown",Z558="Unknown",AC558="",AH558&lt;&gt;"Paid",AJ558&lt;&gt;"Completed",AO558&lt;&gt;""),"Warning","Clean"))</f>
        <v>Invalid</v>
      </c>
    </row>
    <row r="559" spans="1:52" ht="15.75" customHeight="1">
      <c r="A559" s="6" t="s">
        <v>2774</v>
      </c>
      <c r="B559" s="7" t="s">
        <v>2775</v>
      </c>
      <c r="C559" s="7" t="str">
        <f t="shared" si="88"/>
        <v>2024-05</v>
      </c>
      <c r="D559" s="7" cm="1">
        <f t="array" ref="D559">_xlfn.LET(_xlpm.x,B559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45420</v>
      </c>
      <c r="E559" s="7" t="s">
        <v>2776</v>
      </c>
      <c r="F559" s="7" cm="1">
        <f t="array" ref="F559">_xlfn.LET(_xlpm.x,E559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45426</v>
      </c>
      <c r="G559" s="8" t="str">
        <f t="shared" si="64"/>
        <v>OK</v>
      </c>
      <c r="H559" s="6">
        <f t="shared" si="65"/>
        <v>6</v>
      </c>
      <c r="I559" s="6" t="s">
        <v>2777</v>
      </c>
      <c r="J559" s="6" t="s">
        <v>169</v>
      </c>
      <c r="K559" s="6" t="str">
        <f t="shared" si="66"/>
        <v>Vikram Iyer</v>
      </c>
      <c r="L559" s="6" t="s">
        <v>44</v>
      </c>
      <c r="M559" s="8" t="str">
        <f t="shared" si="67"/>
        <v>Home Office</v>
      </c>
      <c r="N559" s="6" t="s">
        <v>7</v>
      </c>
      <c r="O559" s="6" t="str">
        <f t="shared" si="68"/>
        <v>North</v>
      </c>
      <c r="P559" s="6" t="s">
        <v>397</v>
      </c>
      <c r="Q559" s="6" t="str">
        <f t="shared" si="69"/>
        <v>Haryana</v>
      </c>
      <c r="R559" s="6" t="s">
        <v>398</v>
      </c>
      <c r="S559" s="6" t="str">
        <f t="shared" si="70"/>
        <v>Gurugram</v>
      </c>
      <c r="T559" s="6" t="s">
        <v>27</v>
      </c>
      <c r="U559" s="8" t="str">
        <f t="shared" si="71"/>
        <v>Technology</v>
      </c>
      <c r="V559" s="6" t="s">
        <v>31</v>
      </c>
      <c r="W559" s="6" t="str">
        <f t="shared" si="72"/>
        <v>Phones</v>
      </c>
      <c r="X559" s="6" t="s">
        <v>2778</v>
      </c>
      <c r="Y559" s="6" t="s">
        <v>35</v>
      </c>
      <c r="Z559" s="6" t="str">
        <f t="shared" si="73"/>
        <v>First Class</v>
      </c>
      <c r="AA559" s="6">
        <v>9</v>
      </c>
      <c r="AB559" s="6">
        <v>3769.46</v>
      </c>
      <c r="AC559" s="6">
        <v>0.05</v>
      </c>
      <c r="AD559" s="6">
        <v>32228.880000000001</v>
      </c>
      <c r="AE559" s="6">
        <v>24971.360000000001</v>
      </c>
      <c r="AF559" s="6">
        <v>7257.52</v>
      </c>
      <c r="AG559" s="6" t="s">
        <v>52</v>
      </c>
      <c r="AH559" s="6" t="str">
        <f t="shared" si="74"/>
        <v>Paid</v>
      </c>
      <c r="AI559" s="6" t="s">
        <v>58</v>
      </c>
      <c r="AJ559" s="6" t="str">
        <f t="shared" si="75"/>
        <v>Cancelled</v>
      </c>
      <c r="AK559" s="9" t="str">
        <f>_xlfn.TEXTJOIN("|",FALSE,A559,TEXT(B559,"mm-dd-yyyy"),TEXT(E559,"mm-dd-yyyy"),I559,J559,L559,N559,P559,R559,T559,V559,X559,Y559,AA559,AB559,AC559,AD559,AE559,AF559,AG559,AI559)</f>
        <v>ORD-2024-10558|05-08-2024|14-05-2024|CUST-8848|Vikram Iyer|Home Office|North|Haryana|Gurugram|Technology|Phones|Prime Phones 503|First Class|9|3769.46|0.05|32228.88|24971.36|7257.52|Paid|Cancelled</v>
      </c>
      <c r="AL559" s="27" t="str">
        <f>IF(COUNTIF($AK$2:AK559,AK559)&gt;1,"Remove exact duplicate copy","Keep")</f>
        <v>Keep</v>
      </c>
      <c r="AM559" s="9">
        <f t="shared" si="76"/>
        <v>1</v>
      </c>
      <c r="AN559" s="9" t="str">
        <f t="shared" si="77"/>
        <v>Unique</v>
      </c>
      <c r="AO559" s="9" t="str">
        <f t="shared" si="78"/>
        <v/>
      </c>
      <c r="AP559" s="9">
        <f t="shared" si="79"/>
        <v>0.05</v>
      </c>
      <c r="AQ559" s="10">
        <f t="shared" si="80"/>
        <v>32228.882999999998</v>
      </c>
      <c r="AR559" s="10">
        <f t="shared" si="81"/>
        <v>7257.5229999999974</v>
      </c>
      <c r="AS559" s="11">
        <f t="shared" si="82"/>
        <v>0.22518692317074712</v>
      </c>
      <c r="AT559" s="9">
        <f t="shared" si="83"/>
        <v>5</v>
      </c>
      <c r="AU559" s="9">
        <f t="shared" si="84"/>
        <v>2024</v>
      </c>
      <c r="AV559" s="9" t="b">
        <f t="shared" si="85"/>
        <v>0</v>
      </c>
      <c r="AW559" s="9" t="b">
        <f t="shared" si="86"/>
        <v>0</v>
      </c>
      <c r="AX559" s="9" t="str">
        <f t="shared" si="87"/>
        <v>No</v>
      </c>
      <c r="AY559" s="9" t="str">
        <f t="shared" si="89"/>
        <v>Cancelled order excluded</v>
      </c>
      <c r="AZ559" s="9" t="str">
        <f>IF(OR(G559="Missing date",G559="Invalid date",G559="Ship date before order date",NOT(ISNUMBER(AP559)),AP559&lt;0,AP559&gt;0.5,AV559=TRUE,AW559=TRUE),"Invalid",IF(OR(O559="Unknown",Z559="Unknown",AC559="",AH559&lt;&gt;"Paid",AJ559&lt;&gt;"Completed",AO559&lt;&gt;""),"Warning","Clean"))</f>
        <v>Warning</v>
      </c>
    </row>
    <row r="560" spans="1:52" ht="15.75" customHeight="1">
      <c r="A560" s="6" t="s">
        <v>2779</v>
      </c>
      <c r="B560" s="7" t="s">
        <v>2780</v>
      </c>
      <c r="C560" s="7" t="str">
        <f t="shared" si="88"/>
        <v>2025-09</v>
      </c>
      <c r="D560" s="7" cm="1">
        <f t="array" ref="D560">_xlfn.LET(_xlpm.x,B560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45904</v>
      </c>
      <c r="E560" s="7" t="s">
        <v>2781</v>
      </c>
      <c r="F560" s="7" cm="1">
        <f t="array" ref="F560">_xlfn.LET(_xlpm.x,E560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45904</v>
      </c>
      <c r="G560" s="8" t="str">
        <f t="shared" si="64"/>
        <v>OK</v>
      </c>
      <c r="H560" s="6">
        <f t="shared" si="65"/>
        <v>0</v>
      </c>
      <c r="I560" s="6" t="s">
        <v>2782</v>
      </c>
      <c r="J560" s="6" t="s">
        <v>190</v>
      </c>
      <c r="K560" s="6" t="str">
        <f t="shared" si="66"/>
        <v>Aditi Sen</v>
      </c>
      <c r="L560" s="6" t="s">
        <v>45</v>
      </c>
      <c r="M560" s="8" t="str">
        <f t="shared" si="67"/>
        <v>Corporate</v>
      </c>
      <c r="N560" s="6" t="s">
        <v>7</v>
      </c>
      <c r="O560" s="6" t="str">
        <f t="shared" si="68"/>
        <v>North</v>
      </c>
      <c r="P560" s="6" t="s">
        <v>232</v>
      </c>
      <c r="Q560" s="6" t="str">
        <f t="shared" si="69"/>
        <v>Punjab</v>
      </c>
      <c r="R560" s="6" t="s">
        <v>233</v>
      </c>
      <c r="S560" s="6" t="str">
        <f t="shared" si="70"/>
        <v>Ludhiana</v>
      </c>
      <c r="T560" s="6" t="s">
        <v>27</v>
      </c>
      <c r="U560" s="8" t="str">
        <f t="shared" si="71"/>
        <v>Technology</v>
      </c>
      <c r="V560" s="6" t="s">
        <v>30</v>
      </c>
      <c r="W560" s="6" t="str">
        <f t="shared" si="72"/>
        <v>Machines</v>
      </c>
      <c r="X560" s="6" t="s">
        <v>2783</v>
      </c>
      <c r="Y560" s="6" t="s">
        <v>35</v>
      </c>
      <c r="Z560" s="6" t="str">
        <f t="shared" si="73"/>
        <v>First Class</v>
      </c>
      <c r="AA560" s="6">
        <v>8</v>
      </c>
      <c r="AB560" s="6">
        <v>3079.95</v>
      </c>
      <c r="AC560" s="6">
        <v>0.2</v>
      </c>
      <c r="AD560" s="6">
        <v>19711.68</v>
      </c>
      <c r="AE560" s="6">
        <v>14461.8</v>
      </c>
      <c r="AF560" s="6">
        <v>5249.88</v>
      </c>
      <c r="AG560" s="6" t="s">
        <v>52</v>
      </c>
      <c r="AH560" s="6" t="str">
        <f t="shared" si="74"/>
        <v>Paid</v>
      </c>
      <c r="AI560" s="6" t="s">
        <v>134</v>
      </c>
      <c r="AJ560" s="6" t="str">
        <f t="shared" si="75"/>
        <v>Completed</v>
      </c>
      <c r="AK560" s="9" t="str">
        <f>_xlfn.TEXTJOIN("|",FALSE,A560,TEXT(B560,"mm-dd-yyyy"),TEXT(E560,"mm-dd-yyyy"),I560,J560,L560,N560,P560,R560,T560,V560,X560,Y560,AA560,AB560,AC560,AD560,AE560,AF560,AG560,AI560)</f>
        <v>ORD-2025-10559|09-04-2025|09-04-2025|CUST-9368|Aditi Sen|Corporate|North|Punjab|Ludhiana|Technology|Machines|Basic Machines 136|First Class|8|3079.95|0.2|19711.68|14461.8|5249.88|Paid|Completed</v>
      </c>
      <c r="AL560" s="27" t="str">
        <f>IF(COUNTIF($AK$2:AK560,AK560)&gt;1,"Remove exact duplicate copy","Keep")</f>
        <v>Keep</v>
      </c>
      <c r="AM560" s="9">
        <f t="shared" si="76"/>
        <v>1</v>
      </c>
      <c r="AN560" s="9" t="str">
        <f t="shared" si="77"/>
        <v>Unique</v>
      </c>
      <c r="AO560" s="9" t="str">
        <f t="shared" si="78"/>
        <v/>
      </c>
      <c r="AP560" s="9">
        <f t="shared" si="79"/>
        <v>0.2</v>
      </c>
      <c r="AQ560" s="10">
        <f t="shared" si="80"/>
        <v>19711.68</v>
      </c>
      <c r="AR560" s="10">
        <f t="shared" si="81"/>
        <v>5249.880000000001</v>
      </c>
      <c r="AS560" s="11">
        <f t="shared" si="82"/>
        <v>0.26633346320557155</v>
      </c>
      <c r="AT560" s="9">
        <f t="shared" si="83"/>
        <v>9</v>
      </c>
      <c r="AU560" s="9">
        <f t="shared" si="84"/>
        <v>2025</v>
      </c>
      <c r="AV560" s="9" t="b">
        <f t="shared" si="85"/>
        <v>0</v>
      </c>
      <c r="AW560" s="9" t="b">
        <f t="shared" si="86"/>
        <v>0</v>
      </c>
      <c r="AX560" s="9" t="str">
        <f t="shared" si="87"/>
        <v>Yes</v>
      </c>
      <c r="AY560" s="9" t="str">
        <f t="shared" si="89"/>
        <v/>
      </c>
      <c r="AZ560" s="9" t="str">
        <f>IF(OR(G560="Missing date",G560="Invalid date",G560="Ship date before order date",NOT(ISNUMBER(AP560)),AP560&lt;0,AP560&gt;0.5,AV560=TRUE,AW560=TRUE),"Invalid",IF(OR(O560="Unknown",Z560="Unknown",AC560="",AH560&lt;&gt;"Paid",AJ560&lt;&gt;"Completed",AO560&lt;&gt;""),"Warning","Clean"))</f>
        <v>Clean</v>
      </c>
    </row>
    <row r="561" spans="1:52" ht="15.75" customHeight="1">
      <c r="A561" s="6" t="s">
        <v>2784</v>
      </c>
      <c r="B561" s="7" t="s">
        <v>2347</v>
      </c>
      <c r="C561" s="7" t="str">
        <f t="shared" si="88"/>
        <v>2025-09</v>
      </c>
      <c r="D561" s="7" cm="1">
        <f t="array" ref="D561">_xlfn.LET(_xlpm.x,B561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45930</v>
      </c>
      <c r="E561" s="7" t="s">
        <v>2785</v>
      </c>
      <c r="F561" s="7" cm="1">
        <f t="array" ref="F561">_xlfn.LET(_xlpm.x,E561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45937</v>
      </c>
      <c r="G561" s="8" t="str">
        <f t="shared" si="64"/>
        <v>OK</v>
      </c>
      <c r="H561" s="6">
        <f t="shared" si="65"/>
        <v>7</v>
      </c>
      <c r="I561" s="6" t="s">
        <v>2786</v>
      </c>
      <c r="J561" s="6" t="s">
        <v>284</v>
      </c>
      <c r="K561" s="6" t="str">
        <f t="shared" si="66"/>
        <v>Diya Patel</v>
      </c>
      <c r="L561" s="6" t="s">
        <v>45</v>
      </c>
      <c r="M561" s="8" t="str">
        <f t="shared" si="67"/>
        <v>Corporate</v>
      </c>
      <c r="N561" s="6" t="s">
        <v>8</v>
      </c>
      <c r="O561" s="6" t="str">
        <f t="shared" si="68"/>
        <v>East</v>
      </c>
      <c r="P561" s="6" t="s">
        <v>263</v>
      </c>
      <c r="Q561" s="6" t="str">
        <f t="shared" si="69"/>
        <v>Bihar</v>
      </c>
      <c r="R561" s="6" t="s">
        <v>264</v>
      </c>
      <c r="S561" s="6" t="str">
        <f t="shared" si="70"/>
        <v>Patna</v>
      </c>
      <c r="T561" s="6" t="s">
        <v>27</v>
      </c>
      <c r="U561" s="8" t="str">
        <f t="shared" si="71"/>
        <v>Technology</v>
      </c>
      <c r="V561" s="6" t="s">
        <v>29</v>
      </c>
      <c r="W561" s="6" t="str">
        <f t="shared" si="72"/>
        <v>Copiers</v>
      </c>
      <c r="X561" s="6" t="s">
        <v>2787</v>
      </c>
      <c r="Y561" s="6" t="s">
        <v>36</v>
      </c>
      <c r="Z561" s="6" t="str">
        <f t="shared" si="73"/>
        <v>Second Class</v>
      </c>
      <c r="AA561" s="6">
        <v>5</v>
      </c>
      <c r="AB561" s="6">
        <v>3277.82</v>
      </c>
      <c r="AC561" s="6">
        <v>0.1</v>
      </c>
      <c r="AD561" s="6">
        <v>14750.19</v>
      </c>
      <c r="AE561" s="6">
        <v>9482.58</v>
      </c>
      <c r="AF561" s="6">
        <v>5267.61</v>
      </c>
      <c r="AG561" s="6" t="s">
        <v>52</v>
      </c>
      <c r="AH561" s="6" t="str">
        <f t="shared" si="74"/>
        <v>Paid</v>
      </c>
      <c r="AI561" s="6" t="s">
        <v>59</v>
      </c>
      <c r="AJ561" s="6" t="str">
        <f t="shared" si="75"/>
        <v>Returned</v>
      </c>
      <c r="AK561" s="9" t="str">
        <f>_xlfn.TEXTJOIN("|",FALSE,A561,TEXT(B561,"mm-dd-yyyy"),TEXT(E561,"mm-dd-yyyy"),I561,J561,L561,N561,P561,R561,T561,V561,X561,Y561,AA561,AB561,AC561,AD561,AE561,AF561,AG561,AI561)</f>
        <v>ORD-2025-10560|09-30-2025|10-07-2025|CUST-6797|Diya Patel|Corporate|East|Bihar|Patna|Technology|Copiers|Basic Copiers 512|Second Class|5|3277.82|0.1|14750.19|9482.58|5267.61|Paid|Returned</v>
      </c>
      <c r="AL561" s="27" t="str">
        <f>IF(COUNTIF($AK$2:AK561,AK561)&gt;1,"Remove exact duplicate copy","Keep")</f>
        <v>Keep</v>
      </c>
      <c r="AM561" s="9">
        <f t="shared" si="76"/>
        <v>1</v>
      </c>
      <c r="AN561" s="9" t="str">
        <f t="shared" si="77"/>
        <v>Unique</v>
      </c>
      <c r="AO561" s="9" t="str">
        <f t="shared" si="78"/>
        <v/>
      </c>
      <c r="AP561" s="9">
        <f t="shared" si="79"/>
        <v>0.1</v>
      </c>
      <c r="AQ561" s="10">
        <f t="shared" si="80"/>
        <v>14750.190000000002</v>
      </c>
      <c r="AR561" s="10">
        <f t="shared" si="81"/>
        <v>5267.6100000000024</v>
      </c>
      <c r="AS561" s="11">
        <f t="shared" si="82"/>
        <v>0.35712150148574368</v>
      </c>
      <c r="AT561" s="9">
        <f t="shared" si="83"/>
        <v>9</v>
      </c>
      <c r="AU561" s="9">
        <f t="shared" si="84"/>
        <v>2025</v>
      </c>
      <c r="AV561" s="9" t="b">
        <f t="shared" si="85"/>
        <v>0</v>
      </c>
      <c r="AW561" s="9" t="b">
        <f t="shared" si="86"/>
        <v>0</v>
      </c>
      <c r="AX561" s="9" t="str">
        <f t="shared" si="87"/>
        <v>No</v>
      </c>
      <c r="AY561" s="9" t="str">
        <f t="shared" si="89"/>
        <v>Returned order excluded</v>
      </c>
      <c r="AZ561" s="9" t="str">
        <f>IF(OR(G561="Missing date",G561="Invalid date",G561="Ship date before order date",NOT(ISNUMBER(AP561)),AP561&lt;0,AP561&gt;0.5,AV561=TRUE,AW561=TRUE),"Invalid",IF(OR(O561="Unknown",Z561="Unknown",AC561="",AH561&lt;&gt;"Paid",AJ561&lt;&gt;"Completed",AO561&lt;&gt;""),"Warning","Clean"))</f>
        <v>Warning</v>
      </c>
    </row>
    <row r="562" spans="1:52" ht="15.75" customHeight="1">
      <c r="A562" s="6" t="s">
        <v>2788</v>
      </c>
      <c r="B562" s="7" t="s">
        <v>2789</v>
      </c>
      <c r="C562" s="7" t="str">
        <f t="shared" si="88"/>
        <v>2024-01</v>
      </c>
      <c r="D562" s="7" cm="1">
        <f t="array" ref="D562">_xlfn.LET(_xlpm.x,B562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45307</v>
      </c>
      <c r="E562" s="7" t="s">
        <v>1141</v>
      </c>
      <c r="F562" s="7" cm="1">
        <f t="array" ref="F562">_xlfn.LET(_xlpm.x,E562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45313</v>
      </c>
      <c r="G562" s="8" t="str">
        <f t="shared" si="64"/>
        <v>OK</v>
      </c>
      <c r="H562" s="6">
        <f t="shared" si="65"/>
        <v>6</v>
      </c>
      <c r="I562" s="6" t="s">
        <v>2790</v>
      </c>
      <c r="J562" s="6" t="s">
        <v>153</v>
      </c>
      <c r="K562" s="6" t="str">
        <f t="shared" si="66"/>
        <v>Arjun Bose</v>
      </c>
      <c r="L562" s="6" t="s">
        <v>43</v>
      </c>
      <c r="M562" s="8" t="str">
        <f t="shared" si="67"/>
        <v>Consumer</v>
      </c>
      <c r="N562" s="6" t="s">
        <v>9</v>
      </c>
      <c r="O562" s="6" t="str">
        <f t="shared" si="68"/>
        <v>West</v>
      </c>
      <c r="P562" s="6" t="s">
        <v>323</v>
      </c>
      <c r="Q562" s="6" t="str">
        <f t="shared" si="69"/>
        <v>Goa</v>
      </c>
      <c r="R562" s="6" t="s">
        <v>324</v>
      </c>
      <c r="S562" s="6" t="str">
        <f t="shared" si="70"/>
        <v>Panaji</v>
      </c>
      <c r="T562" s="6" t="s">
        <v>20</v>
      </c>
      <c r="U562" s="8" t="str">
        <f t="shared" si="71"/>
        <v>Office Supplies</v>
      </c>
      <c r="V562" s="6" t="s">
        <v>25</v>
      </c>
      <c r="W562" s="6" t="str">
        <f t="shared" si="72"/>
        <v>Storage</v>
      </c>
      <c r="X562" s="6" t="s">
        <v>2791</v>
      </c>
      <c r="Y562" s="6" t="s">
        <v>34</v>
      </c>
      <c r="Z562" s="6" t="str">
        <f t="shared" si="73"/>
        <v>Standard Class</v>
      </c>
      <c r="AA562" s="6">
        <v>4</v>
      </c>
      <c r="AB562" s="6">
        <v>282.52999999999997</v>
      </c>
      <c r="AC562" s="6">
        <v>0</v>
      </c>
      <c r="AD562" s="6">
        <v>1130.1199999999999</v>
      </c>
      <c r="AE562" s="6">
        <v>848.62</v>
      </c>
      <c r="AF562" s="6">
        <v>281.5</v>
      </c>
      <c r="AG562" s="6" t="s">
        <v>52</v>
      </c>
      <c r="AH562" s="6" t="str">
        <f t="shared" si="74"/>
        <v>Paid</v>
      </c>
      <c r="AI562" s="6" t="s">
        <v>58</v>
      </c>
      <c r="AJ562" s="6" t="str">
        <f t="shared" si="75"/>
        <v>Cancelled</v>
      </c>
      <c r="AK562" s="9" t="str">
        <f>_xlfn.TEXTJOIN("|",FALSE,A562,TEXT(B562,"mm-dd-yyyy"),TEXT(E562,"mm-dd-yyyy"),I562,J562,L562,N562,P562,R562,T562,V562,X562,Y562,AA562,AB562,AC562,AD562,AE562,AF562,AG562,AI562)</f>
        <v>ORD-2024-10561|01-16-2024|22-01-2024|CUST-9333|Arjun Bose|Consumer|West|Goa|Panaji|Office Supplies|Storage|Smart Storage 767|Standard Class|4|282.53|0|1130.12|848.62|281.5|Paid|Cancelled</v>
      </c>
      <c r="AL562" s="27" t="str">
        <f>IF(COUNTIF($AK$2:AK562,AK562)&gt;1,"Remove exact duplicate copy","Keep")</f>
        <v>Keep</v>
      </c>
      <c r="AM562" s="9">
        <f t="shared" si="76"/>
        <v>1</v>
      </c>
      <c r="AN562" s="9" t="str">
        <f t="shared" si="77"/>
        <v>Unique</v>
      </c>
      <c r="AO562" s="9" t="str">
        <f t="shared" si="78"/>
        <v/>
      </c>
      <c r="AP562" s="9">
        <f t="shared" si="79"/>
        <v>0</v>
      </c>
      <c r="AQ562" s="10">
        <f t="shared" si="80"/>
        <v>1130.1199999999999</v>
      </c>
      <c r="AR562" s="10">
        <f t="shared" si="81"/>
        <v>281.49999999999989</v>
      </c>
      <c r="AS562" s="11">
        <f t="shared" si="82"/>
        <v>0.249088592361873</v>
      </c>
      <c r="AT562" s="9">
        <f t="shared" si="83"/>
        <v>1</v>
      </c>
      <c r="AU562" s="9">
        <f t="shared" si="84"/>
        <v>2024</v>
      </c>
      <c r="AV562" s="9" t="b">
        <f t="shared" si="85"/>
        <v>0</v>
      </c>
      <c r="AW562" s="9" t="b">
        <f t="shared" si="86"/>
        <v>0</v>
      </c>
      <c r="AX562" s="9" t="str">
        <f t="shared" si="87"/>
        <v>No</v>
      </c>
      <c r="AY562" s="9" t="str">
        <f t="shared" si="89"/>
        <v>Cancelled order excluded</v>
      </c>
      <c r="AZ562" s="9" t="str">
        <f>IF(OR(G562="Missing date",G562="Invalid date",G562="Ship date before order date",NOT(ISNUMBER(AP562)),AP562&lt;0,AP562&gt;0.5,AV562=TRUE,AW562=TRUE),"Invalid",IF(OR(O562="Unknown",Z562="Unknown",AC562="",AH562&lt;&gt;"Paid",AJ562&lt;&gt;"Completed",AO562&lt;&gt;""),"Warning","Clean"))</f>
        <v>Warning</v>
      </c>
    </row>
    <row r="563" spans="1:52" ht="15.75" customHeight="1">
      <c r="A563" s="6" t="s">
        <v>2792</v>
      </c>
      <c r="B563" s="7" t="s">
        <v>844</v>
      </c>
      <c r="C563" s="7" t="str">
        <f t="shared" si="88"/>
        <v>2025-07</v>
      </c>
      <c r="D563" s="7" cm="1">
        <f t="array" ref="D563">_xlfn.LET(_xlpm.x,B563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45852</v>
      </c>
      <c r="E563" s="7" t="s">
        <v>2793</v>
      </c>
      <c r="F563" s="7" cm="1">
        <f t="array" ref="F563">_xlfn.LET(_xlpm.x,E563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45856</v>
      </c>
      <c r="G563" s="8" t="str">
        <f t="shared" si="64"/>
        <v>OK</v>
      </c>
      <c r="H563" s="6">
        <f t="shared" si="65"/>
        <v>4</v>
      </c>
      <c r="I563" s="6" t="s">
        <v>2794</v>
      </c>
      <c r="J563" s="6" t="s">
        <v>190</v>
      </c>
      <c r="K563" s="6" t="str">
        <f t="shared" si="66"/>
        <v>Aditi Sen</v>
      </c>
      <c r="L563" s="6" t="s">
        <v>43</v>
      </c>
      <c r="M563" s="8" t="str">
        <f t="shared" si="67"/>
        <v>Consumer</v>
      </c>
      <c r="N563" s="6" t="s">
        <v>7</v>
      </c>
      <c r="O563" s="6" t="str">
        <f t="shared" si="68"/>
        <v>North</v>
      </c>
      <c r="P563" s="6" t="s">
        <v>232</v>
      </c>
      <c r="Q563" s="6" t="str">
        <f t="shared" si="69"/>
        <v>Punjab</v>
      </c>
      <c r="R563" s="6" t="s">
        <v>233</v>
      </c>
      <c r="S563" s="6" t="str">
        <f t="shared" si="70"/>
        <v>Ludhiana</v>
      </c>
      <c r="T563" s="6" t="s">
        <v>27</v>
      </c>
      <c r="U563" s="8" t="str">
        <f t="shared" si="71"/>
        <v>Technology</v>
      </c>
      <c r="V563" s="6" t="s">
        <v>29</v>
      </c>
      <c r="W563" s="6" t="str">
        <f t="shared" si="72"/>
        <v>Copiers</v>
      </c>
      <c r="X563" s="6" t="s">
        <v>2795</v>
      </c>
      <c r="Y563" s="6" t="s">
        <v>35</v>
      </c>
      <c r="Z563" s="6" t="str">
        <f t="shared" si="73"/>
        <v>First Class</v>
      </c>
      <c r="AA563" s="6">
        <v>4</v>
      </c>
      <c r="AB563" s="6">
        <v>725.22</v>
      </c>
      <c r="AC563" s="6">
        <v>0</v>
      </c>
      <c r="AD563" s="6">
        <v>2900.88</v>
      </c>
      <c r="AE563" s="6">
        <v>2391.85</v>
      </c>
      <c r="AF563" s="6">
        <v>509.03</v>
      </c>
      <c r="AG563" s="6" t="s">
        <v>54</v>
      </c>
      <c r="AH563" s="6" t="str">
        <f t="shared" si="74"/>
        <v>Pending</v>
      </c>
      <c r="AI563" s="6" t="s">
        <v>59</v>
      </c>
      <c r="AJ563" s="6" t="str">
        <f t="shared" si="75"/>
        <v>Returned</v>
      </c>
      <c r="AK563" s="9" t="str">
        <f>_xlfn.TEXTJOIN("|",FALSE,A563,TEXT(B563,"mm-dd-yyyy"),TEXT(E563,"mm-dd-yyyy"),I563,J563,L563,N563,P563,R563,T563,V563,X563,Y563,AA563,AB563,AC563,AD563,AE563,AF563,AG563,AI563)</f>
        <v>ORD-2025-10562|07-14-2025|07-18-2025|CUST-6654|Aditi Sen|Consumer|North|Punjab|Ludhiana|Technology|Copiers|Eco Copiers 954|First Class|4|725.22|0|2900.88|2391.85|509.03|Pending|Returned</v>
      </c>
      <c r="AL563" s="27" t="str">
        <f>IF(COUNTIF($AK$2:AK563,AK563)&gt;1,"Remove exact duplicate copy","Keep")</f>
        <v>Keep</v>
      </c>
      <c r="AM563" s="9">
        <f t="shared" si="76"/>
        <v>1</v>
      </c>
      <c r="AN563" s="9" t="str">
        <f t="shared" si="77"/>
        <v>Unique</v>
      </c>
      <c r="AO563" s="9" t="str">
        <f t="shared" si="78"/>
        <v/>
      </c>
      <c r="AP563" s="9">
        <f t="shared" si="79"/>
        <v>0</v>
      </c>
      <c r="AQ563" s="10">
        <f t="shared" si="80"/>
        <v>2900.88</v>
      </c>
      <c r="AR563" s="10">
        <f t="shared" si="81"/>
        <v>509.0300000000002</v>
      </c>
      <c r="AS563" s="11">
        <f t="shared" si="82"/>
        <v>0.17547433882132324</v>
      </c>
      <c r="AT563" s="9">
        <f t="shared" si="83"/>
        <v>7</v>
      </c>
      <c r="AU563" s="9">
        <f t="shared" si="84"/>
        <v>2025</v>
      </c>
      <c r="AV563" s="9" t="b">
        <f t="shared" si="85"/>
        <v>0</v>
      </c>
      <c r="AW563" s="9" t="b">
        <f t="shared" si="86"/>
        <v>0</v>
      </c>
      <c r="AX563" s="9" t="str">
        <f t="shared" si="87"/>
        <v>No</v>
      </c>
      <c r="AY563" s="9" t="str">
        <f t="shared" si="89"/>
        <v>Returned order excluded</v>
      </c>
      <c r="AZ563" s="9" t="str">
        <f>IF(OR(G563="Missing date",G563="Invalid date",G563="Ship date before order date",NOT(ISNUMBER(AP563)),AP563&lt;0,AP563&gt;0.5,AV563=TRUE,AW563=TRUE),"Invalid",IF(OR(O563="Unknown",Z563="Unknown",AC563="",AH563&lt;&gt;"Paid",AJ563&lt;&gt;"Completed",AO563&lt;&gt;""),"Warning","Clean"))</f>
        <v>Warning</v>
      </c>
    </row>
    <row r="564" spans="1:52" ht="15.75" customHeight="1">
      <c r="A564" s="6" t="s">
        <v>2796</v>
      </c>
      <c r="B564" s="7" t="s">
        <v>2797</v>
      </c>
      <c r="C564" s="7" t="str">
        <f t="shared" si="88"/>
        <v>2024-05</v>
      </c>
      <c r="D564" s="7" cm="1">
        <f t="array" ref="D564">_xlfn.LET(_xlpm.x,B564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45422</v>
      </c>
      <c r="E564" s="7" t="s">
        <v>2734</v>
      </c>
      <c r="F564" s="7" cm="1">
        <f t="array" ref="F564">_xlfn.LET(_xlpm.x,E564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45428</v>
      </c>
      <c r="G564" s="8" t="str">
        <f t="shared" si="64"/>
        <v>OK</v>
      </c>
      <c r="H564" s="6">
        <f t="shared" si="65"/>
        <v>6</v>
      </c>
      <c r="I564" s="6" t="s">
        <v>2798</v>
      </c>
      <c r="J564" s="6" t="s">
        <v>129</v>
      </c>
      <c r="K564" s="6" t="str">
        <f t="shared" si="66"/>
        <v>Karan Malhotra</v>
      </c>
      <c r="L564" s="6" t="s">
        <v>43</v>
      </c>
      <c r="M564" s="8" t="str">
        <f t="shared" si="67"/>
        <v>Consumer</v>
      </c>
      <c r="N564" s="6" t="s">
        <v>7</v>
      </c>
      <c r="O564" s="6" t="str">
        <f t="shared" si="68"/>
        <v>North</v>
      </c>
      <c r="P564" s="6" t="s">
        <v>232</v>
      </c>
      <c r="Q564" s="6" t="str">
        <f t="shared" si="69"/>
        <v>Punjab</v>
      </c>
      <c r="R564" s="6" t="s">
        <v>233</v>
      </c>
      <c r="S564" s="6" t="str">
        <f t="shared" si="70"/>
        <v>Ludhiana</v>
      </c>
      <c r="T564" s="6" t="s">
        <v>20</v>
      </c>
      <c r="U564" s="8" t="str">
        <f t="shared" si="71"/>
        <v>Office Supplies</v>
      </c>
      <c r="V564" s="6" t="s">
        <v>22</v>
      </c>
      <c r="W564" s="6" t="str">
        <f t="shared" si="72"/>
        <v>Binders</v>
      </c>
      <c r="X564" s="6" t="s">
        <v>2799</v>
      </c>
      <c r="Y564" s="6" t="s">
        <v>37</v>
      </c>
      <c r="Z564" s="6" t="str">
        <f t="shared" si="73"/>
        <v>Same Day</v>
      </c>
      <c r="AA564" s="6">
        <v>7</v>
      </c>
      <c r="AB564" s="6">
        <v>121.54</v>
      </c>
      <c r="AC564" s="6">
        <v>0.2</v>
      </c>
      <c r="AD564" s="6">
        <v>680.62</v>
      </c>
      <c r="AE564" s="6">
        <v>463.49</v>
      </c>
      <c r="AF564" s="6">
        <v>217.13</v>
      </c>
      <c r="AG564" s="6" t="s">
        <v>50</v>
      </c>
      <c r="AH564" s="6" t="str">
        <f t="shared" si="74"/>
        <v>Failed</v>
      </c>
      <c r="AI564" s="6" t="s">
        <v>59</v>
      </c>
      <c r="AJ564" s="6" t="str">
        <f t="shared" si="75"/>
        <v>Returned</v>
      </c>
      <c r="AK564" s="9" t="str">
        <f>_xlfn.TEXTJOIN("|",FALSE,A564,TEXT(B564,"mm-dd-yyyy"),TEXT(E564,"mm-dd-yyyy"),I564,J564,L564,N564,P564,R564,T564,V564,X564,Y564,AA564,AB564,AC564,AD564,AE564,AF564,AG564,AI564)</f>
        <v>ORD-2024-10563|05-10-2024|05-16-2024|CUST-8622|Karan Malhotra|Consumer|North|Punjab|Ludhiana|Office Supplies|Binders|Elite Binders 143|Same Day|7|121.54|0.2|680.62|463.49|217.13|Failed|Returned</v>
      </c>
      <c r="AL564" s="27" t="str">
        <f>IF(COUNTIF($AK$2:AK564,AK564)&gt;1,"Remove exact duplicate copy","Keep")</f>
        <v>Keep</v>
      </c>
      <c r="AM564" s="9">
        <f t="shared" si="76"/>
        <v>1</v>
      </c>
      <c r="AN564" s="9" t="str">
        <f t="shared" si="77"/>
        <v>Unique</v>
      </c>
      <c r="AO564" s="9" t="str">
        <f t="shared" si="78"/>
        <v/>
      </c>
      <c r="AP564" s="9">
        <f t="shared" si="79"/>
        <v>0.2</v>
      </c>
      <c r="AQ564" s="10">
        <f t="shared" si="80"/>
        <v>680.62400000000014</v>
      </c>
      <c r="AR564" s="10">
        <f t="shared" si="81"/>
        <v>217.13400000000013</v>
      </c>
      <c r="AS564" s="11">
        <f t="shared" si="82"/>
        <v>0.31902195632243363</v>
      </c>
      <c r="AT564" s="9">
        <f t="shared" si="83"/>
        <v>5</v>
      </c>
      <c r="AU564" s="9">
        <f t="shared" si="84"/>
        <v>2024</v>
      </c>
      <c r="AV564" s="9" t="b">
        <f t="shared" si="85"/>
        <v>0</v>
      </c>
      <c r="AW564" s="9" t="b">
        <f t="shared" si="86"/>
        <v>0</v>
      </c>
      <c r="AX564" s="9" t="str">
        <f t="shared" si="87"/>
        <v>No</v>
      </c>
      <c r="AY564" s="9" t="str">
        <f t="shared" si="89"/>
        <v>Failed payment excluded; Returned order excluded</v>
      </c>
      <c r="AZ564" s="9" t="str">
        <f>IF(OR(G564="Missing date",G564="Invalid date",G564="Ship date before order date",NOT(ISNUMBER(AP564)),AP564&lt;0,AP564&gt;0.5,AV564=TRUE,AW564=TRUE),"Invalid",IF(OR(O564="Unknown",Z564="Unknown",AC564="",AH564&lt;&gt;"Paid",AJ564&lt;&gt;"Completed",AO564&lt;&gt;""),"Warning","Clean"))</f>
        <v>Warning</v>
      </c>
    </row>
    <row r="565" spans="1:52" ht="15.75" customHeight="1">
      <c r="A565" s="6" t="s">
        <v>2800</v>
      </c>
      <c r="B565" s="7" t="s">
        <v>2801</v>
      </c>
      <c r="C565" s="7" t="str">
        <f t="shared" si="88"/>
        <v>2024-05</v>
      </c>
      <c r="D565" s="7" cm="1">
        <f t="array" ref="D565">_xlfn.LET(_xlpm.x,B565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45418</v>
      </c>
      <c r="E565" s="7" t="s">
        <v>1871</v>
      </c>
      <c r="F565" s="7" cm="1">
        <f t="array" ref="F565">_xlfn.LET(_xlpm.x,E565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45424</v>
      </c>
      <c r="G565" s="8" t="str">
        <f t="shared" si="64"/>
        <v>OK</v>
      </c>
      <c r="H565" s="6">
        <f t="shared" si="65"/>
        <v>6</v>
      </c>
      <c r="I565" s="6" t="s">
        <v>2802</v>
      </c>
      <c r="J565" s="6" t="s">
        <v>153</v>
      </c>
      <c r="K565" s="6" t="str">
        <f t="shared" si="66"/>
        <v>Arjun Bose</v>
      </c>
      <c r="L565" s="6" t="s">
        <v>45</v>
      </c>
      <c r="M565" s="8" t="str">
        <f t="shared" si="67"/>
        <v>Corporate</v>
      </c>
      <c r="N565" s="6" t="s">
        <v>9</v>
      </c>
      <c r="O565" s="6" t="str">
        <f t="shared" si="68"/>
        <v>West</v>
      </c>
      <c r="P565" s="6" t="s">
        <v>323</v>
      </c>
      <c r="Q565" s="6" t="str">
        <f t="shared" si="69"/>
        <v>Goa</v>
      </c>
      <c r="R565" s="6" t="s">
        <v>324</v>
      </c>
      <c r="S565" s="6" t="str">
        <f t="shared" si="70"/>
        <v>Panaji</v>
      </c>
      <c r="T565" s="6" t="s">
        <v>14</v>
      </c>
      <c r="U565" s="8" t="str">
        <f t="shared" si="71"/>
        <v>Furniture</v>
      </c>
      <c r="V565" s="6" t="s">
        <v>18</v>
      </c>
      <c r="W565" s="6" t="str">
        <f t="shared" si="72"/>
        <v>Tables</v>
      </c>
      <c r="X565" s="6" t="s">
        <v>2803</v>
      </c>
      <c r="Y565" s="6" t="s">
        <v>34</v>
      </c>
      <c r="Z565" s="6" t="str">
        <f t="shared" si="73"/>
        <v>Standard Class</v>
      </c>
      <c r="AA565" s="6">
        <v>9</v>
      </c>
      <c r="AB565" s="6">
        <v>790.97</v>
      </c>
      <c r="AC565" s="6">
        <v>0.2</v>
      </c>
      <c r="AD565" s="6">
        <v>5694.98</v>
      </c>
      <c r="AE565" s="6">
        <v>4618.33</v>
      </c>
      <c r="AF565" s="6">
        <v>1076.6500000000001</v>
      </c>
      <c r="AG565" s="6" t="s">
        <v>54</v>
      </c>
      <c r="AH565" s="6" t="str">
        <f t="shared" si="74"/>
        <v>Pending</v>
      </c>
      <c r="AI565" s="6" t="s">
        <v>58</v>
      </c>
      <c r="AJ565" s="6" t="str">
        <f t="shared" si="75"/>
        <v>Cancelled</v>
      </c>
      <c r="AK565" s="9" t="str">
        <f>_xlfn.TEXTJOIN("|",FALSE,A565,TEXT(B565,"mm-dd-yyyy"),TEXT(E565,"mm-dd-yyyy"),I565,J565,L565,N565,P565,R565,T565,V565,X565,Y565,AA565,AB565,AC565,AD565,AE565,AF565,AG565,AI565)</f>
        <v>ORD-2024-10564|05-06-2024|12-05-2024|CUST-8776|Arjun Bose|Corporate|West|Goa|Panaji|Furniture|Tables|Classic Tables 560|Standard Class|9|790.97|0.2|5694.98|4618.33|1076.65|Pending|Cancelled</v>
      </c>
      <c r="AL565" s="27" t="str">
        <f>IF(COUNTIF($AK$2:AK565,AK565)&gt;1,"Remove exact duplicate copy","Keep")</f>
        <v>Keep</v>
      </c>
      <c r="AM565" s="9">
        <f t="shared" si="76"/>
        <v>1</v>
      </c>
      <c r="AN565" s="9" t="str">
        <f t="shared" si="77"/>
        <v>Unique</v>
      </c>
      <c r="AO565" s="9" t="str">
        <f t="shared" si="78"/>
        <v/>
      </c>
      <c r="AP565" s="9">
        <f t="shared" si="79"/>
        <v>0.2</v>
      </c>
      <c r="AQ565" s="10">
        <f t="shared" si="80"/>
        <v>5694.9840000000004</v>
      </c>
      <c r="AR565" s="10">
        <f t="shared" si="81"/>
        <v>1076.6540000000005</v>
      </c>
      <c r="AS565" s="11">
        <f t="shared" si="82"/>
        <v>0.1890530333360024</v>
      </c>
      <c r="AT565" s="9">
        <f t="shared" si="83"/>
        <v>5</v>
      </c>
      <c r="AU565" s="9">
        <f t="shared" si="84"/>
        <v>2024</v>
      </c>
      <c r="AV565" s="9" t="b">
        <f t="shared" si="85"/>
        <v>0</v>
      </c>
      <c r="AW565" s="9" t="b">
        <f t="shared" si="86"/>
        <v>0</v>
      </c>
      <c r="AX565" s="9" t="str">
        <f t="shared" si="87"/>
        <v>No</v>
      </c>
      <c r="AY565" s="9" t="str">
        <f t="shared" si="89"/>
        <v>Cancelled order excluded</v>
      </c>
      <c r="AZ565" s="9" t="str">
        <f>IF(OR(G565="Missing date",G565="Invalid date",G565="Ship date before order date",NOT(ISNUMBER(AP565)),AP565&lt;0,AP565&gt;0.5,AV565=TRUE,AW565=TRUE),"Invalid",IF(OR(O565="Unknown",Z565="Unknown",AC565="",AH565&lt;&gt;"Paid",AJ565&lt;&gt;"Completed",AO565&lt;&gt;""),"Warning","Clean"))</f>
        <v>Warning</v>
      </c>
    </row>
    <row r="566" spans="1:52" ht="15.75" customHeight="1">
      <c r="A566" s="6" t="s">
        <v>2804</v>
      </c>
      <c r="B566" s="7" t="s">
        <v>188</v>
      </c>
      <c r="C566" s="7" t="str">
        <f t="shared" si="88"/>
        <v>2024-11</v>
      </c>
      <c r="D566" s="7" cm="1">
        <f t="array" ref="D566">_xlfn.LET(_xlpm.x,B566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45606</v>
      </c>
      <c r="E566" s="7" t="s">
        <v>2805</v>
      </c>
      <c r="F566" s="7" cm="1">
        <f t="array" ref="F566">_xlfn.LET(_xlpm.x,E566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45610</v>
      </c>
      <c r="G566" s="8" t="str">
        <f t="shared" si="64"/>
        <v>OK</v>
      </c>
      <c r="H566" s="6">
        <f t="shared" si="65"/>
        <v>4</v>
      </c>
      <c r="I566" s="6" t="s">
        <v>2806</v>
      </c>
      <c r="J566" s="6" t="s">
        <v>245</v>
      </c>
      <c r="K566" s="6" t="str">
        <f t="shared" si="66"/>
        <v>Sneha Kapoor</v>
      </c>
      <c r="L566" s="6" t="s">
        <v>45</v>
      </c>
      <c r="M566" s="8" t="str">
        <f t="shared" si="67"/>
        <v>Corporate</v>
      </c>
      <c r="N566" s="6" t="s">
        <v>10</v>
      </c>
      <c r="O566" s="6" t="str">
        <f t="shared" si="68"/>
        <v>South</v>
      </c>
      <c r="P566" s="6" t="s">
        <v>183</v>
      </c>
      <c r="Q566" s="6" t="str">
        <f t="shared" si="69"/>
        <v>Andhra Pradesh</v>
      </c>
      <c r="R566" s="6" t="s">
        <v>184</v>
      </c>
      <c r="S566" s="6" t="str">
        <f t="shared" si="70"/>
        <v>Vijayawada</v>
      </c>
      <c r="T566" s="6" t="s">
        <v>14</v>
      </c>
      <c r="U566" s="8" t="str">
        <f t="shared" si="71"/>
        <v>Furniture</v>
      </c>
      <c r="V566" s="6" t="s">
        <v>18</v>
      </c>
      <c r="W566" s="6" t="str">
        <f t="shared" si="72"/>
        <v>Tables</v>
      </c>
      <c r="X566" s="6" t="s">
        <v>2807</v>
      </c>
      <c r="Y566" s="6" t="s">
        <v>35</v>
      </c>
      <c r="Z566" s="6" t="str">
        <f t="shared" si="73"/>
        <v>First Class</v>
      </c>
      <c r="AA566" s="6">
        <v>2</v>
      </c>
      <c r="AB566" s="6">
        <v>921.34</v>
      </c>
      <c r="AC566" s="6">
        <v>0.2</v>
      </c>
      <c r="AD566" s="6">
        <v>1474.14</v>
      </c>
      <c r="AE566" s="6">
        <v>968.46</v>
      </c>
      <c r="AF566" s="6">
        <v>505.68</v>
      </c>
      <c r="AG566" s="6" t="s">
        <v>52</v>
      </c>
      <c r="AH566" s="6" t="str">
        <f t="shared" si="74"/>
        <v>Paid</v>
      </c>
      <c r="AI566" s="6" t="s">
        <v>134</v>
      </c>
      <c r="AJ566" s="6" t="str">
        <f t="shared" si="75"/>
        <v>Completed</v>
      </c>
      <c r="AK566" s="9" t="str">
        <f>_xlfn.TEXTJOIN("|",FALSE,A566,TEXT(B566,"mm-dd-yyyy"),TEXT(E566,"mm-dd-yyyy"),I566,J566,L566,N566,P566,R566,T566,V566,X566,Y566,AA566,AB566,AC566,AD566,AE566,AF566,AG566,AI566)</f>
        <v>ORD-2024-10565|11-10-2024|14-11-2024|CUST-9100|Sneha Kapoor|Corporate|South|Andhra Pradesh|Vijayawada|Furniture|Tables|Basic Tables 759|First Class|2|921.34|0.2|1474.14|968.46|505.68|Paid|Completed</v>
      </c>
      <c r="AL566" s="27" t="str">
        <f>IF(COUNTIF($AK$2:AK566,AK566)&gt;1,"Remove exact duplicate copy","Keep")</f>
        <v>Keep</v>
      </c>
      <c r="AM566" s="9">
        <f t="shared" si="76"/>
        <v>1</v>
      </c>
      <c r="AN566" s="9" t="str">
        <f t="shared" si="77"/>
        <v>Unique</v>
      </c>
      <c r="AO566" s="9" t="str">
        <f t="shared" si="78"/>
        <v/>
      </c>
      <c r="AP566" s="9">
        <f t="shared" si="79"/>
        <v>0.2</v>
      </c>
      <c r="AQ566" s="10">
        <f t="shared" si="80"/>
        <v>1474.1440000000002</v>
      </c>
      <c r="AR566" s="10">
        <f t="shared" si="81"/>
        <v>505.6840000000002</v>
      </c>
      <c r="AS566" s="11">
        <f t="shared" si="82"/>
        <v>0.34303568715132315</v>
      </c>
      <c r="AT566" s="9">
        <f t="shared" si="83"/>
        <v>11</v>
      </c>
      <c r="AU566" s="9">
        <f t="shared" si="84"/>
        <v>2024</v>
      </c>
      <c r="AV566" s="9" t="b">
        <f t="shared" si="85"/>
        <v>0</v>
      </c>
      <c r="AW566" s="9" t="b">
        <f t="shared" si="86"/>
        <v>0</v>
      </c>
      <c r="AX566" s="9" t="str">
        <f t="shared" si="87"/>
        <v>Yes</v>
      </c>
      <c r="AY566" s="9" t="str">
        <f t="shared" si="89"/>
        <v/>
      </c>
      <c r="AZ566" s="9" t="str">
        <f>IF(OR(G566="Missing date",G566="Invalid date",G566="Ship date before order date",NOT(ISNUMBER(AP566)),AP566&lt;0,AP566&gt;0.5,AV566=TRUE,AW566=TRUE),"Invalid",IF(OR(O566="Unknown",Z566="Unknown",AC566="",AH566&lt;&gt;"Paid",AJ566&lt;&gt;"Completed",AO566&lt;&gt;""),"Warning","Clean"))</f>
        <v>Clean</v>
      </c>
    </row>
    <row r="567" spans="1:52" ht="15.75" customHeight="1">
      <c r="A567" s="6" t="s">
        <v>2808</v>
      </c>
      <c r="B567" s="7" t="s">
        <v>2809</v>
      </c>
      <c r="C567" s="7" t="str">
        <f t="shared" si="88"/>
        <v>2025-08</v>
      </c>
      <c r="D567" s="7" cm="1">
        <f t="array" ref="D567">_xlfn.LET(_xlpm.x,B567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45876</v>
      </c>
      <c r="E567" s="7" t="s">
        <v>314</v>
      </c>
      <c r="F567" s="7" cm="1">
        <f t="array" ref="F567">_xlfn.LET(_xlpm.x,E567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45882</v>
      </c>
      <c r="G567" s="8" t="str">
        <f t="shared" si="64"/>
        <v>OK</v>
      </c>
      <c r="H567" s="6">
        <f t="shared" si="65"/>
        <v>6</v>
      </c>
      <c r="I567" s="6" t="s">
        <v>2810</v>
      </c>
      <c r="J567" s="6" t="s">
        <v>139</v>
      </c>
      <c r="K567" s="6" t="str">
        <f t="shared" si="66"/>
        <v>Mira Das</v>
      </c>
      <c r="L567" s="6" t="s">
        <v>45</v>
      </c>
      <c r="M567" s="8" t="str">
        <f t="shared" si="67"/>
        <v>Corporate</v>
      </c>
      <c r="N567" s="6" t="s">
        <v>7</v>
      </c>
      <c r="O567" s="6" t="str">
        <f t="shared" si="68"/>
        <v>North</v>
      </c>
      <c r="P567" s="6" t="s">
        <v>583</v>
      </c>
      <c r="Q567" s="6" t="str">
        <f t="shared" si="69"/>
        <v>Delhi</v>
      </c>
      <c r="R567" s="6" t="s">
        <v>584</v>
      </c>
      <c r="S567" s="6" t="str">
        <f t="shared" si="70"/>
        <v>New Delhi</v>
      </c>
      <c r="T567" s="6" t="s">
        <v>27</v>
      </c>
      <c r="U567" s="8" t="str">
        <f t="shared" si="71"/>
        <v>Technology</v>
      </c>
      <c r="V567" s="6" t="s">
        <v>31</v>
      </c>
      <c r="W567" s="6" t="str">
        <f t="shared" si="72"/>
        <v>Phones</v>
      </c>
      <c r="X567" s="6" t="s">
        <v>2811</v>
      </c>
      <c r="Y567" s="6" t="s">
        <v>34</v>
      </c>
      <c r="Z567" s="6" t="str">
        <f t="shared" si="73"/>
        <v>Standard Class</v>
      </c>
      <c r="AA567" s="6">
        <v>6</v>
      </c>
      <c r="AB567" s="6">
        <v>1921.86</v>
      </c>
      <c r="AC567" s="6">
        <v>0.2</v>
      </c>
      <c r="AD567" s="6">
        <v>9224.93</v>
      </c>
      <c r="AE567" s="6">
        <v>7005.2</v>
      </c>
      <c r="AF567" s="6">
        <v>2219.73</v>
      </c>
      <c r="AG567" s="6" t="s">
        <v>56</v>
      </c>
      <c r="AH567" s="6" t="str">
        <f t="shared" si="74"/>
        <v>Refunded</v>
      </c>
      <c r="AI567" s="6" t="s">
        <v>58</v>
      </c>
      <c r="AJ567" s="6" t="str">
        <f t="shared" si="75"/>
        <v>Cancelled</v>
      </c>
      <c r="AK567" s="9" t="str">
        <f>_xlfn.TEXTJOIN("|",FALSE,A567,TEXT(B567,"mm-dd-yyyy"),TEXT(E567,"mm-dd-yyyy"),I567,J567,L567,N567,P567,R567,T567,V567,X567,Y567,AA567,AB567,AC567,AD567,AE567,AF567,AG567,AI567)</f>
        <v>ORD-2025-10566|08-07-2025|13-08-2025|CUST-5601|Mira Das|Corporate|North|Delhi|New Delhi|Technology|Phones|Prime Phones 564|Standard Class|6|1921.86|0.2|9224.93|7005.2|2219.73|Refunded|Cancelled</v>
      </c>
      <c r="AL567" s="27" t="str">
        <f>IF(COUNTIF($AK$2:AK567,AK567)&gt;1,"Remove exact duplicate copy","Keep")</f>
        <v>Keep</v>
      </c>
      <c r="AM567" s="9">
        <f t="shared" si="76"/>
        <v>1</v>
      </c>
      <c r="AN567" s="9" t="str">
        <f t="shared" si="77"/>
        <v>Unique</v>
      </c>
      <c r="AO567" s="9" t="str">
        <f t="shared" si="78"/>
        <v/>
      </c>
      <c r="AP567" s="9">
        <f t="shared" si="79"/>
        <v>0.2</v>
      </c>
      <c r="AQ567" s="10">
        <f t="shared" si="80"/>
        <v>9224.9279999999999</v>
      </c>
      <c r="AR567" s="10">
        <f t="shared" si="81"/>
        <v>2219.7280000000001</v>
      </c>
      <c r="AS567" s="11">
        <f t="shared" si="82"/>
        <v>0.24062279944081949</v>
      </c>
      <c r="AT567" s="9">
        <f t="shared" si="83"/>
        <v>8</v>
      </c>
      <c r="AU567" s="9">
        <f t="shared" si="84"/>
        <v>2025</v>
      </c>
      <c r="AV567" s="9" t="b">
        <f t="shared" si="85"/>
        <v>0</v>
      </c>
      <c r="AW567" s="9" t="b">
        <f t="shared" si="86"/>
        <v>0</v>
      </c>
      <c r="AX567" s="9" t="str">
        <f t="shared" si="87"/>
        <v>No</v>
      </c>
      <c r="AY567" s="9" t="str">
        <f t="shared" si="89"/>
        <v>Refunded order summarized separately; Cancelled order excluded</v>
      </c>
      <c r="AZ567" s="9" t="str">
        <f>IF(OR(G567="Missing date",G567="Invalid date",G567="Ship date before order date",NOT(ISNUMBER(AP567)),AP567&lt;0,AP567&gt;0.5,AV567=TRUE,AW567=TRUE),"Invalid",IF(OR(O567="Unknown",Z567="Unknown",AC567="",AH567&lt;&gt;"Paid",AJ567&lt;&gt;"Completed",AO567&lt;&gt;""),"Warning","Clean"))</f>
        <v>Warning</v>
      </c>
    </row>
    <row r="568" spans="1:52" ht="15.75" customHeight="1">
      <c r="A568" s="6" t="s">
        <v>2812</v>
      </c>
      <c r="B568" s="7" t="s">
        <v>2529</v>
      </c>
      <c r="C568" s="7" t="str">
        <f t="shared" si="88"/>
        <v>2024-08</v>
      </c>
      <c r="D568" s="7" cm="1">
        <f t="array" ref="D568">_xlfn.LET(_xlpm.x,B568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45515</v>
      </c>
      <c r="E568" s="7" t="s">
        <v>2813</v>
      </c>
      <c r="F568" s="7" cm="1">
        <f t="array" ref="F568">_xlfn.LET(_xlpm.x,E568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45523</v>
      </c>
      <c r="G568" s="8" t="str">
        <f t="shared" si="64"/>
        <v>OK</v>
      </c>
      <c r="H568" s="6">
        <f t="shared" si="65"/>
        <v>8</v>
      </c>
      <c r="I568" s="6" t="s">
        <v>2814</v>
      </c>
      <c r="J568" s="6" t="s">
        <v>245</v>
      </c>
      <c r="K568" s="6" t="str">
        <f t="shared" si="66"/>
        <v>Sneha Kapoor</v>
      </c>
      <c r="L568" s="6" t="s">
        <v>46</v>
      </c>
      <c r="M568" s="8" t="str">
        <f t="shared" si="67"/>
        <v>Small Business</v>
      </c>
      <c r="N568" s="6" t="s">
        <v>9</v>
      </c>
      <c r="O568" s="6" t="str">
        <f t="shared" si="68"/>
        <v>West</v>
      </c>
      <c r="P568" s="6" t="s">
        <v>162</v>
      </c>
      <c r="Q568" s="6" t="str">
        <f t="shared" si="69"/>
        <v>Maharashtra</v>
      </c>
      <c r="R568" s="6" t="s">
        <v>163</v>
      </c>
      <c r="S568" s="6" t="str">
        <f t="shared" si="70"/>
        <v>Mumbai</v>
      </c>
      <c r="T568" s="6" t="s">
        <v>20</v>
      </c>
      <c r="U568" s="8" t="str">
        <f t="shared" si="71"/>
        <v>Office Supplies</v>
      </c>
      <c r="V568" s="6" t="s">
        <v>24</v>
      </c>
      <c r="W568" s="6" t="str">
        <f t="shared" si="72"/>
        <v>Paper</v>
      </c>
      <c r="X568" s="6" t="s">
        <v>2815</v>
      </c>
      <c r="Y568" s="6" t="s">
        <v>37</v>
      </c>
      <c r="Z568" s="6" t="str">
        <f t="shared" si="73"/>
        <v>Same Day</v>
      </c>
      <c r="AA568" s="6">
        <v>2</v>
      </c>
      <c r="AB568" s="6">
        <v>2617.89</v>
      </c>
      <c r="AC568" s="6">
        <v>0.1</v>
      </c>
      <c r="AD568" s="6">
        <v>4712.2</v>
      </c>
      <c r="AE568" s="6">
        <v>3851.91</v>
      </c>
      <c r="AF568" s="6">
        <v>860.29</v>
      </c>
      <c r="AG568" s="6" t="s">
        <v>50</v>
      </c>
      <c r="AH568" s="6" t="str">
        <f t="shared" si="74"/>
        <v>Failed</v>
      </c>
      <c r="AI568" s="6" t="s">
        <v>59</v>
      </c>
      <c r="AJ568" s="6" t="str">
        <f t="shared" si="75"/>
        <v>Returned</v>
      </c>
      <c r="AK568" s="9" t="str">
        <f>_xlfn.TEXTJOIN("|",FALSE,A568,TEXT(B568,"mm-dd-yyyy"),TEXT(E568,"mm-dd-yyyy"),I568,J568,L568,N568,P568,R568,T568,V568,X568,Y568,AA568,AB568,AC568,AD568,AE568,AF568,AG568,AI568)</f>
        <v>ORD-2024-10567|08-11-2024|08-19-2024|CUST-5246|Sneha Kapoor|Small Business|West|Maharashtra|Mumbai|Office Supplies|Paper|Smart Paper 807|Same Day|2|2617.89|0.1|4712.2|3851.91|860.29|Failed|Returned</v>
      </c>
      <c r="AL568" s="27" t="str">
        <f>IF(COUNTIF($AK$2:AK568,AK568)&gt;1,"Remove exact duplicate copy","Keep")</f>
        <v>Keep</v>
      </c>
      <c r="AM568" s="9">
        <f t="shared" si="76"/>
        <v>1</v>
      </c>
      <c r="AN568" s="9" t="str">
        <f t="shared" si="77"/>
        <v>Unique</v>
      </c>
      <c r="AO568" s="9" t="str">
        <f t="shared" si="78"/>
        <v/>
      </c>
      <c r="AP568" s="9">
        <f t="shared" si="79"/>
        <v>0.1</v>
      </c>
      <c r="AQ568" s="10">
        <f t="shared" si="80"/>
        <v>4712.2020000000002</v>
      </c>
      <c r="AR568" s="10">
        <f t="shared" si="81"/>
        <v>860.29200000000037</v>
      </c>
      <c r="AS568" s="11">
        <f t="shared" si="82"/>
        <v>0.18256687637754077</v>
      </c>
      <c r="AT568" s="9">
        <f t="shared" si="83"/>
        <v>8</v>
      </c>
      <c r="AU568" s="9">
        <f t="shared" si="84"/>
        <v>2024</v>
      </c>
      <c r="AV568" s="9" t="b">
        <f t="shared" si="85"/>
        <v>0</v>
      </c>
      <c r="AW568" s="9" t="b">
        <f t="shared" si="86"/>
        <v>0</v>
      </c>
      <c r="AX568" s="9" t="str">
        <f t="shared" si="87"/>
        <v>No</v>
      </c>
      <c r="AY568" s="9" t="str">
        <f t="shared" si="89"/>
        <v>Failed payment excluded; Returned order excluded</v>
      </c>
      <c r="AZ568" s="9" t="str">
        <f>IF(OR(G568="Missing date",G568="Invalid date",G568="Ship date before order date",NOT(ISNUMBER(AP568)),AP568&lt;0,AP568&gt;0.5,AV568=TRUE,AW568=TRUE),"Invalid",IF(OR(O568="Unknown",Z568="Unknown",AC568="",AH568&lt;&gt;"Paid",AJ568&lt;&gt;"Completed",AO568&lt;&gt;""),"Warning","Clean"))</f>
        <v>Warning</v>
      </c>
    </row>
    <row r="569" spans="1:52" ht="15.75" customHeight="1">
      <c r="A569" s="6" t="s">
        <v>2816</v>
      </c>
      <c r="B569" s="7" t="s">
        <v>2817</v>
      </c>
      <c r="C569" s="7" t="str">
        <f t="shared" si="88"/>
        <v>2024-02</v>
      </c>
      <c r="D569" s="7" cm="1">
        <f t="array" ref="D569">_xlfn.LET(_xlpm.x,B569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45328</v>
      </c>
      <c r="E569" s="7" t="s">
        <v>2818</v>
      </c>
      <c r="F569" s="7" cm="1">
        <f t="array" ref="F569">_xlfn.LET(_xlpm.x,E569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45332</v>
      </c>
      <c r="G569" s="8" t="str">
        <f t="shared" si="64"/>
        <v>OK</v>
      </c>
      <c r="H569" s="6">
        <f t="shared" si="65"/>
        <v>4</v>
      </c>
      <c r="I569" s="6" t="s">
        <v>2819</v>
      </c>
      <c r="J569" s="6" t="s">
        <v>153</v>
      </c>
      <c r="K569" s="6" t="str">
        <f t="shared" si="66"/>
        <v>Arjun Bose</v>
      </c>
      <c r="L569" s="6" t="s">
        <v>44</v>
      </c>
      <c r="M569" s="8" t="str">
        <f t="shared" si="67"/>
        <v>Home Office</v>
      </c>
      <c r="N569" s="6" t="s">
        <v>7</v>
      </c>
      <c r="O569" s="6" t="str">
        <f t="shared" si="68"/>
        <v>North</v>
      </c>
      <c r="P569" s="6" t="s">
        <v>251</v>
      </c>
      <c r="Q569" s="6" t="str">
        <f t="shared" si="69"/>
        <v>Uttar Pradesh</v>
      </c>
      <c r="R569" s="6" t="s">
        <v>252</v>
      </c>
      <c r="S569" s="6" t="str">
        <f t="shared" si="70"/>
        <v>Noida</v>
      </c>
      <c r="T569" s="6" t="s">
        <v>14</v>
      </c>
      <c r="U569" s="8" t="str">
        <f t="shared" si="71"/>
        <v>Furniture</v>
      </c>
      <c r="V569" s="6" t="s">
        <v>17</v>
      </c>
      <c r="W569" s="6" t="str">
        <f t="shared" si="72"/>
        <v>Furnishings</v>
      </c>
      <c r="X569" s="6" t="s">
        <v>982</v>
      </c>
      <c r="Y569" s="6" t="s">
        <v>37</v>
      </c>
      <c r="Z569" s="6" t="str">
        <f t="shared" si="73"/>
        <v>Same Day</v>
      </c>
      <c r="AA569" s="6">
        <v>1</v>
      </c>
      <c r="AB569" s="6">
        <v>1374.06</v>
      </c>
      <c r="AC569" s="6">
        <v>0.05</v>
      </c>
      <c r="AD569" s="6">
        <v>1305.3599999999999</v>
      </c>
      <c r="AE569" s="6">
        <v>731.89</v>
      </c>
      <c r="AF569" s="6">
        <v>573.47</v>
      </c>
      <c r="AG569" s="6" t="s">
        <v>52</v>
      </c>
      <c r="AH569" s="6" t="str">
        <f t="shared" si="74"/>
        <v>Paid</v>
      </c>
      <c r="AI569" s="6" t="s">
        <v>134</v>
      </c>
      <c r="AJ569" s="6" t="str">
        <f t="shared" si="75"/>
        <v>Completed</v>
      </c>
      <c r="AK569" s="9" t="str">
        <f>_xlfn.TEXTJOIN("|",FALSE,A569,TEXT(B569,"mm-dd-yyyy"),TEXT(E569,"mm-dd-yyyy"),I569,J569,L569,N569,P569,R569,T569,V569,X569,Y569,AA569,AB569,AC569,AD569,AE569,AF569,AG569,AI569)</f>
        <v>ORD-2024-10568|02-06-2024|10-02-2024|CUST-3128|Arjun Bose|Home Office|North|Uttar Pradesh|Noida|Furniture|Furnishings|Pro Furnishings 108|Same Day|1|1374.06|0.05|1305.36|731.89|573.47|Paid|Completed</v>
      </c>
      <c r="AL569" s="27" t="str">
        <f>IF(COUNTIF($AK$2:AK569,AK569)&gt;1,"Remove exact duplicate copy","Keep")</f>
        <v>Keep</v>
      </c>
      <c r="AM569" s="9">
        <f t="shared" si="76"/>
        <v>1</v>
      </c>
      <c r="AN569" s="9" t="str">
        <f t="shared" si="77"/>
        <v>Unique</v>
      </c>
      <c r="AO569" s="9" t="str">
        <f t="shared" si="78"/>
        <v/>
      </c>
      <c r="AP569" s="9">
        <f t="shared" si="79"/>
        <v>0.05</v>
      </c>
      <c r="AQ569" s="10">
        <f t="shared" si="80"/>
        <v>1305.357</v>
      </c>
      <c r="AR569" s="10">
        <f t="shared" si="81"/>
        <v>573.46699999999998</v>
      </c>
      <c r="AS569" s="11">
        <f t="shared" si="82"/>
        <v>0.4393181328939133</v>
      </c>
      <c r="AT569" s="9">
        <f t="shared" si="83"/>
        <v>2</v>
      </c>
      <c r="AU569" s="9">
        <f t="shared" si="84"/>
        <v>2024</v>
      </c>
      <c r="AV569" s="9" t="b">
        <f t="shared" si="85"/>
        <v>0</v>
      </c>
      <c r="AW569" s="9" t="b">
        <f t="shared" si="86"/>
        <v>0</v>
      </c>
      <c r="AX569" s="9" t="str">
        <f t="shared" si="87"/>
        <v>Yes</v>
      </c>
      <c r="AY569" s="9" t="str">
        <f t="shared" si="89"/>
        <v/>
      </c>
      <c r="AZ569" s="9" t="str">
        <f>IF(OR(G569="Missing date",G569="Invalid date",G569="Ship date before order date",NOT(ISNUMBER(AP569)),AP569&lt;0,AP569&gt;0.5,AV569=TRUE,AW569=TRUE),"Invalid",IF(OR(O569="Unknown",Z569="Unknown",AC569="",AH569&lt;&gt;"Paid",AJ569&lt;&gt;"Completed",AO569&lt;&gt;""),"Warning","Clean"))</f>
        <v>Clean</v>
      </c>
    </row>
    <row r="570" spans="1:52" ht="15.75" customHeight="1">
      <c r="A570" s="6" t="s">
        <v>2820</v>
      </c>
      <c r="B570" s="7" t="s">
        <v>1806</v>
      </c>
      <c r="C570" s="7" t="str">
        <f t="shared" si="88"/>
        <v>2024-01</v>
      </c>
      <c r="D570" s="7" cm="1">
        <f t="array" ref="D570">_xlfn.LET(_xlpm.x,B570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45312</v>
      </c>
      <c r="E570" s="7" t="s">
        <v>2821</v>
      </c>
      <c r="F570" s="7" cm="1">
        <f t="array" ref="F570">_xlfn.LET(_xlpm.x,E570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45315</v>
      </c>
      <c r="G570" s="8" t="str">
        <f t="shared" si="64"/>
        <v>OK</v>
      </c>
      <c r="H570" s="6">
        <f t="shared" si="65"/>
        <v>3</v>
      </c>
      <c r="I570" s="6" t="s">
        <v>2822</v>
      </c>
      <c r="J570" s="6" t="s">
        <v>442</v>
      </c>
      <c r="K570" s="6" t="str">
        <f t="shared" si="66"/>
        <v>Kabir Singh</v>
      </c>
      <c r="L570" s="6" t="s">
        <v>45</v>
      </c>
      <c r="M570" s="8" t="str">
        <f t="shared" si="67"/>
        <v>Corporate</v>
      </c>
      <c r="N570" s="6" t="s">
        <v>7</v>
      </c>
      <c r="O570" s="6" t="str">
        <f t="shared" si="68"/>
        <v>North</v>
      </c>
      <c r="P570" s="6" t="s">
        <v>232</v>
      </c>
      <c r="Q570" s="6" t="str">
        <f t="shared" si="69"/>
        <v>Punjab</v>
      </c>
      <c r="R570" s="6" t="s">
        <v>233</v>
      </c>
      <c r="S570" s="6" t="str">
        <f t="shared" si="70"/>
        <v>Ludhiana</v>
      </c>
      <c r="T570" s="6" t="s">
        <v>27</v>
      </c>
      <c r="U570" s="8" t="str">
        <f t="shared" si="71"/>
        <v>Technology</v>
      </c>
      <c r="V570" s="6" t="s">
        <v>30</v>
      </c>
      <c r="W570" s="6" t="str">
        <f t="shared" si="72"/>
        <v>Machines</v>
      </c>
      <c r="X570" s="6" t="s">
        <v>2823</v>
      </c>
      <c r="Y570" s="6" t="s">
        <v>37</v>
      </c>
      <c r="Z570" s="6" t="str">
        <f t="shared" si="73"/>
        <v>Same Day</v>
      </c>
      <c r="AA570" s="6">
        <v>1</v>
      </c>
      <c r="AB570" s="6">
        <v>3806.3</v>
      </c>
      <c r="AC570" s="6">
        <v>0.25</v>
      </c>
      <c r="AD570" s="6">
        <v>2854.73</v>
      </c>
      <c r="AE570" s="6">
        <v>1968.12</v>
      </c>
      <c r="AF570" s="6">
        <v>886.61</v>
      </c>
      <c r="AG570" s="6" t="s">
        <v>52</v>
      </c>
      <c r="AH570" s="6" t="str">
        <f t="shared" si="74"/>
        <v>Paid</v>
      </c>
      <c r="AI570" s="6" t="s">
        <v>134</v>
      </c>
      <c r="AJ570" s="6" t="str">
        <f t="shared" si="75"/>
        <v>Completed</v>
      </c>
      <c r="AK570" s="9" t="str">
        <f>_xlfn.TEXTJOIN("|",FALSE,A570,TEXT(B570,"mm-dd-yyyy"),TEXT(E570,"mm-dd-yyyy"),I570,J570,L570,N570,P570,R570,T570,V570,X570,Y570,AA570,AB570,AC570,AD570,AE570,AF570,AG570,AI570)</f>
        <v>ORD-2024-10569|01-21-2024|01-24-2024|CUST-4604|Kabir Singh|Corporate|North|Punjab|Ludhiana|Technology|Machines|Classic Machines 522|Same Day|1|3806.3|0.25|2854.73|1968.12|886.61|Paid|Completed</v>
      </c>
      <c r="AL570" s="27" t="str">
        <f>IF(COUNTIF($AK$2:AK570,AK570)&gt;1,"Remove exact duplicate copy","Keep")</f>
        <v>Keep</v>
      </c>
      <c r="AM570" s="9">
        <f t="shared" si="76"/>
        <v>1</v>
      </c>
      <c r="AN570" s="9" t="str">
        <f t="shared" si="77"/>
        <v>Unique</v>
      </c>
      <c r="AO570" s="9" t="str">
        <f t="shared" si="78"/>
        <v/>
      </c>
      <c r="AP570" s="9">
        <f t="shared" si="79"/>
        <v>0.25</v>
      </c>
      <c r="AQ570" s="10">
        <f t="shared" si="80"/>
        <v>2854.7250000000004</v>
      </c>
      <c r="AR570" s="10">
        <f t="shared" si="81"/>
        <v>886.60500000000047</v>
      </c>
      <c r="AS570" s="11">
        <f t="shared" si="82"/>
        <v>0.31057457373302172</v>
      </c>
      <c r="AT570" s="9">
        <f t="shared" si="83"/>
        <v>1</v>
      </c>
      <c r="AU570" s="9">
        <f t="shared" si="84"/>
        <v>2024</v>
      </c>
      <c r="AV570" s="9" t="b">
        <f t="shared" si="85"/>
        <v>0</v>
      </c>
      <c r="AW570" s="9" t="b">
        <f t="shared" si="86"/>
        <v>0</v>
      </c>
      <c r="AX570" s="9" t="str">
        <f t="shared" si="87"/>
        <v>Yes</v>
      </c>
      <c r="AY570" s="9" t="str">
        <f t="shared" si="89"/>
        <v/>
      </c>
      <c r="AZ570" s="9" t="str">
        <f>IF(OR(G570="Missing date",G570="Invalid date",G570="Ship date before order date",NOT(ISNUMBER(AP570)),AP570&lt;0,AP570&gt;0.5,AV570=TRUE,AW570=TRUE),"Invalid",IF(OR(O570="Unknown",Z570="Unknown",AC570="",AH570&lt;&gt;"Paid",AJ570&lt;&gt;"Completed",AO570&lt;&gt;""),"Warning","Clean"))</f>
        <v>Clean</v>
      </c>
    </row>
    <row r="571" spans="1:52" ht="15.75" customHeight="1">
      <c r="A571" s="6" t="s">
        <v>2824</v>
      </c>
      <c r="B571" s="7" t="s">
        <v>2825</v>
      </c>
      <c r="C571" s="7" t="str">
        <f t="shared" si="88"/>
        <v>2025-09</v>
      </c>
      <c r="D571" s="7" cm="1">
        <f t="array" ref="D571">_xlfn.LET(_xlpm.x,B571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45908</v>
      </c>
      <c r="E571" s="7" t="s">
        <v>2826</v>
      </c>
      <c r="F571" s="7" cm="1">
        <f t="array" ref="F571">_xlfn.LET(_xlpm.x,E571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45910</v>
      </c>
      <c r="G571" s="8" t="str">
        <f t="shared" si="64"/>
        <v>OK</v>
      </c>
      <c r="H571" s="6">
        <f t="shared" si="65"/>
        <v>2</v>
      </c>
      <c r="I571" s="6" t="s">
        <v>2827</v>
      </c>
      <c r="J571" s="6" t="s">
        <v>226</v>
      </c>
      <c r="K571" s="6" t="str">
        <f t="shared" si="66"/>
        <v>Rahul Verma</v>
      </c>
      <c r="L571" s="6" t="s">
        <v>44</v>
      </c>
      <c r="M571" s="8" t="str">
        <f t="shared" si="67"/>
        <v>Home Office</v>
      </c>
      <c r="N571" s="6" t="s">
        <v>9</v>
      </c>
      <c r="O571" s="6" t="str">
        <f t="shared" si="68"/>
        <v>West</v>
      </c>
      <c r="P571" s="6" t="s">
        <v>162</v>
      </c>
      <c r="Q571" s="6" t="str">
        <f t="shared" si="69"/>
        <v>Maharashtra</v>
      </c>
      <c r="R571" s="6" t="s">
        <v>163</v>
      </c>
      <c r="S571" s="6" t="str">
        <f t="shared" si="70"/>
        <v>Mumbai</v>
      </c>
      <c r="T571" s="6" t="s">
        <v>14</v>
      </c>
      <c r="U571" s="8" t="str">
        <f t="shared" si="71"/>
        <v>Furniture</v>
      </c>
      <c r="V571" s="6" t="s">
        <v>17</v>
      </c>
      <c r="W571" s="6" t="str">
        <f t="shared" si="72"/>
        <v>Furnishings</v>
      </c>
      <c r="X571" s="6" t="s">
        <v>2828</v>
      </c>
      <c r="Y571" s="6" t="s">
        <v>34</v>
      </c>
      <c r="Z571" s="6" t="str">
        <f t="shared" si="73"/>
        <v>Standard Class</v>
      </c>
      <c r="AA571" s="6">
        <v>6</v>
      </c>
      <c r="AB571" s="6">
        <v>3251.17</v>
      </c>
      <c r="AC571" s="6">
        <v>0.25</v>
      </c>
      <c r="AD571" s="6">
        <v>14630.26</v>
      </c>
      <c r="AE571" s="6">
        <v>11906.36</v>
      </c>
      <c r="AF571" s="6">
        <v>2723.9</v>
      </c>
      <c r="AG571" s="6" t="s">
        <v>56</v>
      </c>
      <c r="AH571" s="6" t="str">
        <f t="shared" si="74"/>
        <v>Refunded</v>
      </c>
      <c r="AI571" s="6" t="s">
        <v>59</v>
      </c>
      <c r="AJ571" s="6" t="str">
        <f t="shared" si="75"/>
        <v>Returned</v>
      </c>
      <c r="AK571" s="9" t="str">
        <f>_xlfn.TEXTJOIN("|",FALSE,A571,TEXT(B571,"mm-dd-yyyy"),TEXT(E571,"mm-dd-yyyy"),I571,J571,L571,N571,P571,R571,T571,V571,X571,Y571,AA571,AB571,AC571,AD571,AE571,AF571,AG571,AI571)</f>
        <v>ORD-2025-10570|09-08-2025|09-10-2025|CUST-2586|Rahul Verma|Home Office|West|Maharashtra|Mumbai|Furniture|Furnishings|Elite Furnishings 822|Standard Class|6|3251.17|0.25|14630.26|11906.36|2723.9|Refunded|Returned</v>
      </c>
      <c r="AL571" s="27" t="str">
        <f>IF(COUNTIF($AK$2:AK571,AK571)&gt;1,"Remove exact duplicate copy","Keep")</f>
        <v>Keep</v>
      </c>
      <c r="AM571" s="9">
        <f t="shared" si="76"/>
        <v>1</v>
      </c>
      <c r="AN571" s="9" t="str">
        <f t="shared" si="77"/>
        <v>Unique</v>
      </c>
      <c r="AO571" s="9" t="str">
        <f t="shared" si="78"/>
        <v/>
      </c>
      <c r="AP571" s="9">
        <f t="shared" si="79"/>
        <v>0.25</v>
      </c>
      <c r="AQ571" s="10">
        <f t="shared" si="80"/>
        <v>14630.264999999999</v>
      </c>
      <c r="AR571" s="10">
        <f t="shared" si="81"/>
        <v>2723.9049999999988</v>
      </c>
      <c r="AS571" s="11">
        <f t="shared" si="82"/>
        <v>0.18618288868998606</v>
      </c>
      <c r="AT571" s="9">
        <f t="shared" si="83"/>
        <v>9</v>
      </c>
      <c r="AU571" s="9">
        <f t="shared" si="84"/>
        <v>2025</v>
      </c>
      <c r="AV571" s="9" t="b">
        <f t="shared" si="85"/>
        <v>0</v>
      </c>
      <c r="AW571" s="9" t="b">
        <f t="shared" si="86"/>
        <v>0</v>
      </c>
      <c r="AX571" s="9" t="str">
        <f t="shared" si="87"/>
        <v>No</v>
      </c>
      <c r="AY571" s="9" t="str">
        <f t="shared" si="89"/>
        <v>Refunded order summarized separately; Returned order excluded</v>
      </c>
      <c r="AZ571" s="9" t="str">
        <f>IF(OR(G571="Missing date",G571="Invalid date",G571="Ship date before order date",NOT(ISNUMBER(AP571)),AP571&lt;0,AP571&gt;0.5,AV571=TRUE,AW571=TRUE),"Invalid",IF(OR(O571="Unknown",Z571="Unknown",AC571="",AH571&lt;&gt;"Paid",AJ571&lt;&gt;"Completed",AO571&lt;&gt;""),"Warning","Clean"))</f>
        <v>Warning</v>
      </c>
    </row>
    <row r="572" spans="1:52" ht="15.75" customHeight="1">
      <c r="A572" s="6" t="s">
        <v>2829</v>
      </c>
      <c r="B572" s="7" t="s">
        <v>1003</v>
      </c>
      <c r="C572" s="7" t="str">
        <f t="shared" si="88"/>
        <v>2025-08</v>
      </c>
      <c r="D572" s="7" cm="1">
        <f t="array" ref="D572">_xlfn.LET(_xlpm.x,B572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45887</v>
      </c>
      <c r="E572" s="7" t="s">
        <v>779</v>
      </c>
      <c r="F572" s="7" cm="1">
        <f t="array" ref="F572">_xlfn.LET(_xlpm.x,E572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45891</v>
      </c>
      <c r="G572" s="8" t="str">
        <f t="shared" si="64"/>
        <v>OK</v>
      </c>
      <c r="H572" s="6">
        <f t="shared" si="65"/>
        <v>4</v>
      </c>
      <c r="I572" s="6" t="s">
        <v>2830</v>
      </c>
      <c r="J572" s="6" t="s">
        <v>153</v>
      </c>
      <c r="K572" s="6" t="str">
        <f t="shared" si="66"/>
        <v>Arjun Bose</v>
      </c>
      <c r="L572" s="6" t="s">
        <v>43</v>
      </c>
      <c r="M572" s="8" t="str">
        <f t="shared" si="67"/>
        <v>Consumer</v>
      </c>
      <c r="N572" s="6" t="s">
        <v>8</v>
      </c>
      <c r="O572" s="6" t="str">
        <f t="shared" si="68"/>
        <v>East</v>
      </c>
      <c r="P572" s="6" t="s">
        <v>385</v>
      </c>
      <c r="Q572" s="6" t="str">
        <f t="shared" si="69"/>
        <v>Jharkhand</v>
      </c>
      <c r="R572" s="6" t="s">
        <v>386</v>
      </c>
      <c r="S572" s="6" t="str">
        <f t="shared" si="70"/>
        <v>Ranchi</v>
      </c>
      <c r="T572" s="6" t="s">
        <v>14</v>
      </c>
      <c r="U572" s="8" t="str">
        <f t="shared" si="71"/>
        <v>Furniture</v>
      </c>
      <c r="V572" s="6" t="s">
        <v>17</v>
      </c>
      <c r="W572" s="6" t="str">
        <f t="shared" si="72"/>
        <v>Furnishings</v>
      </c>
      <c r="X572" s="6" t="s">
        <v>2831</v>
      </c>
      <c r="Y572" s="6" t="s">
        <v>36</v>
      </c>
      <c r="Z572" s="6" t="str">
        <f t="shared" si="73"/>
        <v>Second Class</v>
      </c>
      <c r="AA572" s="6">
        <v>3</v>
      </c>
      <c r="AB572" s="6">
        <v>3946.44</v>
      </c>
      <c r="AC572" s="6">
        <v>0.25</v>
      </c>
      <c r="AD572" s="6">
        <v>8879.49</v>
      </c>
      <c r="AE572" s="6">
        <v>6344.57</v>
      </c>
      <c r="AF572" s="6">
        <v>2534.92</v>
      </c>
      <c r="AG572" s="6" t="s">
        <v>50</v>
      </c>
      <c r="AH572" s="6" t="str">
        <f t="shared" si="74"/>
        <v>Failed</v>
      </c>
      <c r="AI572" s="6" t="s">
        <v>59</v>
      </c>
      <c r="AJ572" s="6" t="str">
        <f t="shared" si="75"/>
        <v>Returned</v>
      </c>
      <c r="AK572" s="9" t="str">
        <f>_xlfn.TEXTJOIN("|",FALSE,A572,TEXT(B572,"mm-dd-yyyy"),TEXT(E572,"mm-dd-yyyy"),I572,J572,L572,N572,P572,R572,T572,V572,X572,Y572,AA572,AB572,AC572,AD572,AE572,AF572,AG572,AI572)</f>
        <v>ORD-2025-10571|08-18-2025|08-22-2025|CUST-6585|Arjun Bose|Consumer|East|Jharkhand|Ranchi|Furniture|Furnishings|Max Furnishings 647|Second Class|3|3946.44|0.25|8879.49|6344.57|2534.92|Failed|Returned</v>
      </c>
      <c r="AL572" s="27" t="str">
        <f>IF(COUNTIF($AK$2:AK572,AK572)&gt;1,"Remove exact duplicate copy","Keep")</f>
        <v>Keep</v>
      </c>
      <c r="AM572" s="9">
        <f t="shared" si="76"/>
        <v>1</v>
      </c>
      <c r="AN572" s="9" t="str">
        <f t="shared" si="77"/>
        <v>Unique</v>
      </c>
      <c r="AO572" s="9" t="str">
        <f t="shared" si="78"/>
        <v/>
      </c>
      <c r="AP572" s="9">
        <f t="shared" si="79"/>
        <v>0.25</v>
      </c>
      <c r="AQ572" s="10">
        <f t="shared" si="80"/>
        <v>8879.49</v>
      </c>
      <c r="AR572" s="10">
        <f t="shared" si="81"/>
        <v>2534.92</v>
      </c>
      <c r="AS572" s="11">
        <f t="shared" si="82"/>
        <v>0.28548035979543873</v>
      </c>
      <c r="AT572" s="9">
        <f t="shared" si="83"/>
        <v>8</v>
      </c>
      <c r="AU572" s="9">
        <f t="shared" si="84"/>
        <v>2025</v>
      </c>
      <c r="AV572" s="9" t="b">
        <f t="shared" si="85"/>
        <v>0</v>
      </c>
      <c r="AW572" s="9" t="b">
        <f t="shared" si="86"/>
        <v>0</v>
      </c>
      <c r="AX572" s="9" t="str">
        <f t="shared" si="87"/>
        <v>No</v>
      </c>
      <c r="AY572" s="9" t="str">
        <f t="shared" si="89"/>
        <v>Failed payment excluded; Returned order excluded</v>
      </c>
      <c r="AZ572" s="9" t="str">
        <f>IF(OR(G572="Missing date",G572="Invalid date",G572="Ship date before order date",NOT(ISNUMBER(AP572)),AP572&lt;0,AP572&gt;0.5,AV572=TRUE,AW572=TRUE),"Invalid",IF(OR(O572="Unknown",Z572="Unknown",AC572="",AH572&lt;&gt;"Paid",AJ572&lt;&gt;"Completed",AO572&lt;&gt;""),"Warning","Clean"))</f>
        <v>Warning</v>
      </c>
    </row>
    <row r="573" spans="1:52" ht="15.75" customHeight="1">
      <c r="A573" s="6" t="s">
        <v>2832</v>
      </c>
      <c r="B573" s="7" t="s">
        <v>2768</v>
      </c>
      <c r="C573" s="7" t="str">
        <f t="shared" si="88"/>
        <v>2025-02</v>
      </c>
      <c r="D573" s="7" cm="1">
        <f t="array" ref="D573">_xlfn.LET(_xlpm.x,B573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45698</v>
      </c>
      <c r="E573" s="7" t="s">
        <v>2833</v>
      </c>
      <c r="F573" s="7" cm="1">
        <f t="array" ref="F573">_xlfn.LET(_xlpm.x,E573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45702</v>
      </c>
      <c r="G573" s="8" t="str">
        <f t="shared" si="64"/>
        <v>OK</v>
      </c>
      <c r="H573" s="6">
        <f t="shared" si="65"/>
        <v>4</v>
      </c>
      <c r="I573" s="6" t="s">
        <v>2834</v>
      </c>
      <c r="J573" s="6" t="s">
        <v>220</v>
      </c>
      <c r="K573" s="6" t="str">
        <f t="shared" si="66"/>
        <v>Priya Menon</v>
      </c>
      <c r="L573" s="6" t="s">
        <v>46</v>
      </c>
      <c r="M573" s="8" t="str">
        <f t="shared" si="67"/>
        <v>Small Business</v>
      </c>
      <c r="N573" s="6" t="s">
        <v>7</v>
      </c>
      <c r="O573" s="6" t="str">
        <f t="shared" si="68"/>
        <v>North</v>
      </c>
      <c r="P573" s="6" t="s">
        <v>251</v>
      </c>
      <c r="Q573" s="6" t="str">
        <f t="shared" si="69"/>
        <v>Uttar Pradesh</v>
      </c>
      <c r="R573" s="6" t="s">
        <v>252</v>
      </c>
      <c r="S573" s="6" t="str">
        <f t="shared" si="70"/>
        <v>Noida</v>
      </c>
      <c r="T573" s="6" t="s">
        <v>27</v>
      </c>
      <c r="U573" s="8" t="str">
        <f t="shared" si="71"/>
        <v>Technology</v>
      </c>
      <c r="V573" s="6" t="s">
        <v>31</v>
      </c>
      <c r="W573" s="6" t="str">
        <f t="shared" si="72"/>
        <v>Phones</v>
      </c>
      <c r="X573" s="6" t="s">
        <v>2835</v>
      </c>
      <c r="Y573" s="6"/>
      <c r="Z573" s="6" t="str">
        <f t="shared" si="73"/>
        <v>Unknown</v>
      </c>
      <c r="AA573" s="6">
        <v>5</v>
      </c>
      <c r="AB573" s="6">
        <v>4276.29</v>
      </c>
      <c r="AC573" s="6">
        <v>0</v>
      </c>
      <c r="AD573" s="6">
        <v>21381.45</v>
      </c>
      <c r="AE573" s="6">
        <v>13240.21</v>
      </c>
      <c r="AF573" s="6">
        <v>8141.24</v>
      </c>
      <c r="AG573" s="6" t="s">
        <v>50</v>
      </c>
      <c r="AH573" s="6" t="str">
        <f t="shared" si="74"/>
        <v>Failed</v>
      </c>
      <c r="AI573" s="6" t="s">
        <v>59</v>
      </c>
      <c r="AJ573" s="6" t="str">
        <f t="shared" si="75"/>
        <v>Returned</v>
      </c>
      <c r="AK573" s="9" t="str">
        <f>_xlfn.TEXTJOIN("|",FALSE,A573,TEXT(B573,"mm-dd-yyyy"),TEXT(E573,"mm-dd-yyyy"),I573,J573,L573,N573,P573,R573,T573,V573,X573,Y573,AA573,AB573,AC573,AD573,AE573,AF573,AG573,AI573)</f>
        <v>ORD-2025-10572|02-10-2025|02-14-2025|CUST-3425|Priya Menon|Small Business|North|Uttar Pradesh|Noida|Technology|Phones|Prime Phones 895||5|4276.29|0|21381.45|13240.21|8141.24|Failed|Returned</v>
      </c>
      <c r="AL573" s="27" t="str">
        <f>IF(COUNTIF($AK$2:AK573,AK573)&gt;1,"Remove exact duplicate copy","Keep")</f>
        <v>Keep</v>
      </c>
      <c r="AM573" s="9">
        <f t="shared" si="76"/>
        <v>2</v>
      </c>
      <c r="AN573" s="9" t="str">
        <f t="shared" si="77"/>
        <v>Duplicate order_id</v>
      </c>
      <c r="AO573" s="9" t="str">
        <f t="shared" si="78"/>
        <v>Review conflicting duplicate</v>
      </c>
      <c r="AP573" s="9">
        <f t="shared" si="79"/>
        <v>0</v>
      </c>
      <c r="AQ573" s="10">
        <f t="shared" si="80"/>
        <v>21381.45</v>
      </c>
      <c r="AR573" s="10">
        <f t="shared" si="81"/>
        <v>8141.2400000000016</v>
      </c>
      <c r="AS573" s="11">
        <f t="shared" si="82"/>
        <v>0.38076182859441249</v>
      </c>
      <c r="AT573" s="9">
        <f t="shared" si="83"/>
        <v>2</v>
      </c>
      <c r="AU573" s="9">
        <f t="shared" si="84"/>
        <v>2025</v>
      </c>
      <c r="AV573" s="9" t="b">
        <f t="shared" si="85"/>
        <v>0</v>
      </c>
      <c r="AW573" s="9" t="b">
        <f t="shared" si="86"/>
        <v>0</v>
      </c>
      <c r="AX573" s="9" t="str">
        <f t="shared" si="87"/>
        <v>No</v>
      </c>
      <c r="AY573" s="9" t="str">
        <f t="shared" si="89"/>
        <v>Missing ship mode filled as Unknown; Failed payment excluded; Returned order excluded; Duplicate order ID conflict</v>
      </c>
      <c r="AZ573" s="9" t="str">
        <f>IF(OR(G573="Missing date",G573="Invalid date",G573="Ship date before order date",NOT(ISNUMBER(AP573)),AP573&lt;0,AP573&gt;0.5,AV573=TRUE,AW573=TRUE),"Invalid",IF(OR(O573="Unknown",Z573="Unknown",AC573="",AH573&lt;&gt;"Paid",AJ573&lt;&gt;"Completed",AO573&lt;&gt;""),"Warning","Clean"))</f>
        <v>Warning</v>
      </c>
    </row>
    <row r="574" spans="1:52" ht="15.75" customHeight="1">
      <c r="A574" s="6" t="s">
        <v>2836</v>
      </c>
      <c r="B574" s="7" t="s">
        <v>2837</v>
      </c>
      <c r="C574" s="7" t="str">
        <f t="shared" si="88"/>
        <v>2024-01</v>
      </c>
      <c r="D574" s="7" cm="1">
        <f t="array" ref="D574">_xlfn.LET(_xlpm.x,B574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45293</v>
      </c>
      <c r="E574" s="7" t="s">
        <v>2838</v>
      </c>
      <c r="F574" s="7" cm="1">
        <f t="array" ref="F574">_xlfn.LET(_xlpm.x,E574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45300</v>
      </c>
      <c r="G574" s="8" t="str">
        <f t="shared" si="64"/>
        <v>OK</v>
      </c>
      <c r="H574" s="6">
        <f t="shared" si="65"/>
        <v>7</v>
      </c>
      <c r="I574" s="6" t="s">
        <v>2839</v>
      </c>
      <c r="J574" s="6" t="s">
        <v>2840</v>
      </c>
      <c r="K574" s="6" t="str">
        <f t="shared" si="66"/>
        <v>Diya Patel</v>
      </c>
      <c r="L574" s="6" t="s">
        <v>45</v>
      </c>
      <c r="M574" s="8" t="str">
        <f t="shared" si="67"/>
        <v>Corporate</v>
      </c>
      <c r="N574" s="6" t="s">
        <v>7</v>
      </c>
      <c r="O574" s="6" t="str">
        <f t="shared" si="68"/>
        <v>North</v>
      </c>
      <c r="P574" s="6" t="s">
        <v>583</v>
      </c>
      <c r="Q574" s="6" t="str">
        <f t="shared" si="69"/>
        <v>Delhi</v>
      </c>
      <c r="R574" s="6" t="s">
        <v>584</v>
      </c>
      <c r="S574" s="6" t="str">
        <f t="shared" si="70"/>
        <v>New Delhi</v>
      </c>
      <c r="T574" s="6" t="s">
        <v>27</v>
      </c>
      <c r="U574" s="8" t="str">
        <f t="shared" si="71"/>
        <v>Technology</v>
      </c>
      <c r="V574" s="6" t="s">
        <v>31</v>
      </c>
      <c r="W574" s="6" t="str">
        <f t="shared" si="72"/>
        <v>Phones</v>
      </c>
      <c r="X574" s="6" t="s">
        <v>2841</v>
      </c>
      <c r="Y574" s="6" t="s">
        <v>34</v>
      </c>
      <c r="Z574" s="6" t="str">
        <f t="shared" si="73"/>
        <v>Standard Class</v>
      </c>
      <c r="AA574" s="6">
        <v>3</v>
      </c>
      <c r="AB574" s="6">
        <v>739.56</v>
      </c>
      <c r="AC574" s="6">
        <v>0.2</v>
      </c>
      <c r="AD574" s="6">
        <v>1774.94</v>
      </c>
      <c r="AE574" s="6">
        <v>1007.4</v>
      </c>
      <c r="AF574" s="6">
        <v>767.54</v>
      </c>
      <c r="AG574" s="6" t="s">
        <v>52</v>
      </c>
      <c r="AH574" s="6" t="str">
        <f t="shared" si="74"/>
        <v>Paid</v>
      </c>
      <c r="AI574" s="6" t="s">
        <v>134</v>
      </c>
      <c r="AJ574" s="6" t="str">
        <f t="shared" si="75"/>
        <v>Completed</v>
      </c>
      <c r="AK574" s="9" t="str">
        <f>_xlfn.TEXTJOIN("|",FALSE,A574,TEXT(B574,"mm-dd-yyyy"),TEXT(E574,"mm-dd-yyyy"),I574,J574,L574,N574,P574,R574,T574,V574,X574,Y574,AA574,AB574,AC574,AD574,AE574,AF574,AG574,AI574)</f>
        <v>ORD-2024-10573|01-02-2024|09-01-2024|CUST-8633|  Diya Patel |Corporate|North|Delhi|New Delhi|Technology|Phones|Eco Phones 368|Standard Class|3|739.56|0.2|1774.94|1007.4|767.54|Paid|Completed</v>
      </c>
      <c r="AL574" s="27" t="str">
        <f>IF(COUNTIF($AK$2:AK574,AK574)&gt;1,"Remove exact duplicate copy","Keep")</f>
        <v>Keep</v>
      </c>
      <c r="AM574" s="9">
        <f t="shared" si="76"/>
        <v>1</v>
      </c>
      <c r="AN574" s="9" t="str">
        <f t="shared" si="77"/>
        <v>Unique</v>
      </c>
      <c r="AO574" s="9" t="str">
        <f t="shared" si="78"/>
        <v/>
      </c>
      <c r="AP574" s="9">
        <f t="shared" si="79"/>
        <v>0.2</v>
      </c>
      <c r="AQ574" s="10">
        <f t="shared" si="80"/>
        <v>1774.944</v>
      </c>
      <c r="AR574" s="10">
        <f t="shared" si="81"/>
        <v>767.54399999999998</v>
      </c>
      <c r="AS574" s="11">
        <f t="shared" si="82"/>
        <v>0.43243279787982042</v>
      </c>
      <c r="AT574" s="9">
        <f t="shared" si="83"/>
        <v>1</v>
      </c>
      <c r="AU574" s="9">
        <f t="shared" si="84"/>
        <v>2024</v>
      </c>
      <c r="AV574" s="9" t="b">
        <f t="shared" si="85"/>
        <v>0</v>
      </c>
      <c r="AW574" s="9" t="b">
        <f t="shared" si="86"/>
        <v>0</v>
      </c>
      <c r="AX574" s="9" t="str">
        <f t="shared" si="87"/>
        <v>Yes</v>
      </c>
      <c r="AY574" s="9" t="str">
        <f t="shared" si="89"/>
        <v/>
      </c>
      <c r="AZ574" s="9" t="str">
        <f>IF(OR(G574="Missing date",G574="Invalid date",G574="Ship date before order date",NOT(ISNUMBER(AP574)),AP574&lt;0,AP574&gt;0.5,AV574=TRUE,AW574=TRUE),"Invalid",IF(OR(O574="Unknown",Z574="Unknown",AC574="",AH574&lt;&gt;"Paid",AJ574&lt;&gt;"Completed",AO574&lt;&gt;""),"Warning","Clean"))</f>
        <v>Clean</v>
      </c>
    </row>
    <row r="575" spans="1:52" ht="15.75" customHeight="1">
      <c r="A575" s="6" t="s">
        <v>2842</v>
      </c>
      <c r="B575" s="7" t="s">
        <v>2843</v>
      </c>
      <c r="C575" s="7" t="str">
        <f t="shared" si="88"/>
        <v>2025-09</v>
      </c>
      <c r="D575" s="7" cm="1">
        <f t="array" ref="D575">_xlfn.LET(_xlpm.x,B575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45922</v>
      </c>
      <c r="E575" s="7" t="s">
        <v>2844</v>
      </c>
      <c r="F575" s="7" cm="1">
        <f t="array" ref="F575">_xlfn.LET(_xlpm.x,E575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45926</v>
      </c>
      <c r="G575" s="8" t="str">
        <f t="shared" si="64"/>
        <v>OK</v>
      </c>
      <c r="H575" s="6">
        <f t="shared" si="65"/>
        <v>4</v>
      </c>
      <c r="I575" s="6" t="s">
        <v>2845</v>
      </c>
      <c r="J575" s="6" t="s">
        <v>147</v>
      </c>
      <c r="K575" s="6" t="str">
        <f t="shared" si="66"/>
        <v>Isha Nair</v>
      </c>
      <c r="L575" s="6" t="s">
        <v>43</v>
      </c>
      <c r="M575" s="8" t="str">
        <f t="shared" si="67"/>
        <v>Consumer</v>
      </c>
      <c r="N575" s="6" t="s">
        <v>10</v>
      </c>
      <c r="O575" s="6" t="str">
        <f t="shared" si="68"/>
        <v>South</v>
      </c>
      <c r="P575" s="6" t="s">
        <v>183</v>
      </c>
      <c r="Q575" s="6" t="str">
        <f t="shared" si="69"/>
        <v>Andhra Pradesh</v>
      </c>
      <c r="R575" s="6" t="s">
        <v>184</v>
      </c>
      <c r="S575" s="6" t="str">
        <f t="shared" si="70"/>
        <v>Vijayawada</v>
      </c>
      <c r="T575" s="6" t="s">
        <v>27</v>
      </c>
      <c r="U575" s="8" t="str">
        <f t="shared" si="71"/>
        <v>Technology</v>
      </c>
      <c r="V575" s="6" t="s">
        <v>31</v>
      </c>
      <c r="W575" s="6" t="str">
        <f t="shared" si="72"/>
        <v>Phones</v>
      </c>
      <c r="X575" s="6" t="s">
        <v>2846</v>
      </c>
      <c r="Y575" s="6" t="s">
        <v>34</v>
      </c>
      <c r="Z575" s="6" t="str">
        <f t="shared" si="73"/>
        <v>Standard Class</v>
      </c>
      <c r="AA575" s="6">
        <v>1</v>
      </c>
      <c r="AB575" s="6">
        <v>573.65</v>
      </c>
      <c r="AC575" s="6">
        <v>0</v>
      </c>
      <c r="AD575" s="6">
        <v>573.65</v>
      </c>
      <c r="AE575" s="6">
        <v>322.67</v>
      </c>
      <c r="AF575" s="6">
        <v>250.98</v>
      </c>
      <c r="AG575" s="6" t="s">
        <v>52</v>
      </c>
      <c r="AH575" s="6" t="str">
        <f t="shared" si="74"/>
        <v>Paid</v>
      </c>
      <c r="AI575" s="6" t="s">
        <v>134</v>
      </c>
      <c r="AJ575" s="6" t="str">
        <f t="shared" si="75"/>
        <v>Completed</v>
      </c>
      <c r="AK575" s="9" t="str">
        <f>_xlfn.TEXTJOIN("|",FALSE,A575,TEXT(B575,"mm-dd-yyyy"),TEXT(E575,"mm-dd-yyyy"),I575,J575,L575,N575,P575,R575,T575,V575,X575,Y575,AA575,AB575,AC575,AD575,AE575,AF575,AG575,AI575)</f>
        <v>ORD-2025-10574|09-22-2025|09-26-2025|CUST-8243|Isha Nair|Consumer|South|Andhra Pradesh|Vijayawada|Technology|Phones|Pro Phones 644|Standard Class|1|573.65|0|573.65|322.67|250.98|Paid|Completed</v>
      </c>
      <c r="AL575" s="27" t="str">
        <f>IF(COUNTIF($AK$2:AK575,AK575)&gt;1,"Remove exact duplicate copy","Keep")</f>
        <v>Keep</v>
      </c>
      <c r="AM575" s="9">
        <f t="shared" si="76"/>
        <v>1</v>
      </c>
      <c r="AN575" s="9" t="str">
        <f t="shared" si="77"/>
        <v>Unique</v>
      </c>
      <c r="AO575" s="9" t="str">
        <f t="shared" si="78"/>
        <v/>
      </c>
      <c r="AP575" s="9">
        <f t="shared" si="79"/>
        <v>0</v>
      </c>
      <c r="AQ575" s="10">
        <f t="shared" si="80"/>
        <v>573.65</v>
      </c>
      <c r="AR575" s="10">
        <f t="shared" si="81"/>
        <v>250.97999999999996</v>
      </c>
      <c r="AS575" s="11">
        <f t="shared" si="82"/>
        <v>0.43751416368866031</v>
      </c>
      <c r="AT575" s="9">
        <f t="shared" si="83"/>
        <v>9</v>
      </c>
      <c r="AU575" s="9">
        <f t="shared" si="84"/>
        <v>2025</v>
      </c>
      <c r="AV575" s="9" t="b">
        <f t="shared" si="85"/>
        <v>0</v>
      </c>
      <c r="AW575" s="9" t="b">
        <f t="shared" si="86"/>
        <v>0</v>
      </c>
      <c r="AX575" s="9" t="str">
        <f t="shared" si="87"/>
        <v>Yes</v>
      </c>
      <c r="AY575" s="9" t="str">
        <f t="shared" si="89"/>
        <v/>
      </c>
      <c r="AZ575" s="9" t="str">
        <f>IF(OR(G575="Missing date",G575="Invalid date",G575="Ship date before order date",NOT(ISNUMBER(AP575)),AP575&lt;0,AP575&gt;0.5,AV575=TRUE,AW575=TRUE),"Invalid",IF(OR(O575="Unknown",Z575="Unknown",AC575="",AH575&lt;&gt;"Paid",AJ575&lt;&gt;"Completed",AO575&lt;&gt;""),"Warning","Clean"))</f>
        <v>Clean</v>
      </c>
    </row>
    <row r="576" spans="1:52" ht="15.75" customHeight="1">
      <c r="A576" s="6" t="s">
        <v>2847</v>
      </c>
      <c r="B576" s="7" t="s">
        <v>2848</v>
      </c>
      <c r="C576" s="7" t="str">
        <f t="shared" si="88"/>
        <v>2024-02</v>
      </c>
      <c r="D576" s="7" cm="1">
        <f t="array" ref="D576">_xlfn.LET(_xlpm.x,B576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45342</v>
      </c>
      <c r="E576" s="7" t="s">
        <v>1732</v>
      </c>
      <c r="F576" s="7" cm="1">
        <f t="array" ref="F576">_xlfn.LET(_xlpm.x,E576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45347</v>
      </c>
      <c r="G576" s="8" t="str">
        <f t="shared" si="64"/>
        <v>OK</v>
      </c>
      <c r="H576" s="6">
        <f t="shared" si="65"/>
        <v>5</v>
      </c>
      <c r="I576" s="6" t="s">
        <v>1311</v>
      </c>
      <c r="J576" s="6" t="s">
        <v>284</v>
      </c>
      <c r="K576" s="6" t="str">
        <f t="shared" si="66"/>
        <v>Diya Patel</v>
      </c>
      <c r="L576" s="6" t="s">
        <v>44</v>
      </c>
      <c r="M576" s="8" t="str">
        <f t="shared" si="67"/>
        <v>Home Office</v>
      </c>
      <c r="N576" s="6" t="s">
        <v>7</v>
      </c>
      <c r="O576" s="6" t="str">
        <f t="shared" si="68"/>
        <v>North</v>
      </c>
      <c r="P576" s="6" t="s">
        <v>232</v>
      </c>
      <c r="Q576" s="6" t="str">
        <f t="shared" si="69"/>
        <v>Punjab</v>
      </c>
      <c r="R576" s="6" t="s">
        <v>233</v>
      </c>
      <c r="S576" s="6" t="str">
        <f t="shared" si="70"/>
        <v>Ludhiana</v>
      </c>
      <c r="T576" s="6" t="s">
        <v>27</v>
      </c>
      <c r="U576" s="8" t="str">
        <f t="shared" si="71"/>
        <v>Technology</v>
      </c>
      <c r="V576" s="6" t="s">
        <v>30</v>
      </c>
      <c r="W576" s="6" t="str">
        <f t="shared" si="72"/>
        <v>Machines</v>
      </c>
      <c r="X576" s="6" t="s">
        <v>2849</v>
      </c>
      <c r="Y576" s="6" t="s">
        <v>34</v>
      </c>
      <c r="Z576" s="6" t="str">
        <f t="shared" si="73"/>
        <v>Standard Class</v>
      </c>
      <c r="AA576" s="6">
        <v>4</v>
      </c>
      <c r="AB576" s="6">
        <v>1355.8</v>
      </c>
      <c r="AC576" s="6">
        <v>0</v>
      </c>
      <c r="AD576" s="6">
        <v>5423.2</v>
      </c>
      <c r="AE576" s="6">
        <v>4072.44</v>
      </c>
      <c r="AF576" s="6">
        <v>1350.76</v>
      </c>
      <c r="AG576" s="6" t="s">
        <v>52</v>
      </c>
      <c r="AH576" s="6" t="str">
        <f t="shared" si="74"/>
        <v>Paid</v>
      </c>
      <c r="AI576" s="6" t="s">
        <v>134</v>
      </c>
      <c r="AJ576" s="6" t="str">
        <f t="shared" si="75"/>
        <v>Completed</v>
      </c>
      <c r="AK576" s="9" t="str">
        <f>_xlfn.TEXTJOIN("|",FALSE,A576,TEXT(B576,"mm-dd-yyyy"),TEXT(E576,"mm-dd-yyyy"),I576,J576,L576,N576,P576,R576,T576,V576,X576,Y576,AA576,AB576,AC576,AD576,AE576,AF576,AG576,AI576)</f>
        <v>ORD-2024-10575|02-20-2024|25-02-2024|CUST-9139|Diya Patel|Home Office|North|Punjab|Ludhiana|Technology|Machines|Smart Machines 566|Standard Class|4|1355.8|0|5423.2|4072.44|1350.76|Paid|Completed</v>
      </c>
      <c r="AL576" s="27" t="str">
        <f>IF(COUNTIF($AK$2:AK576,AK576)&gt;1,"Remove exact duplicate copy","Keep")</f>
        <v>Keep</v>
      </c>
      <c r="AM576" s="9">
        <f t="shared" si="76"/>
        <v>1</v>
      </c>
      <c r="AN576" s="9" t="str">
        <f t="shared" si="77"/>
        <v>Unique</v>
      </c>
      <c r="AO576" s="9" t="str">
        <f t="shared" si="78"/>
        <v/>
      </c>
      <c r="AP576" s="9">
        <f t="shared" si="79"/>
        <v>0</v>
      </c>
      <c r="AQ576" s="10">
        <f t="shared" si="80"/>
        <v>5423.2</v>
      </c>
      <c r="AR576" s="10">
        <f t="shared" si="81"/>
        <v>1350.7599999999998</v>
      </c>
      <c r="AS576" s="11">
        <f t="shared" si="82"/>
        <v>0.24907065938929043</v>
      </c>
      <c r="AT576" s="9">
        <f t="shared" si="83"/>
        <v>2</v>
      </c>
      <c r="AU576" s="9">
        <f t="shared" si="84"/>
        <v>2024</v>
      </c>
      <c r="AV576" s="9" t="b">
        <f t="shared" si="85"/>
        <v>0</v>
      </c>
      <c r="AW576" s="9" t="b">
        <f t="shared" si="86"/>
        <v>0</v>
      </c>
      <c r="AX576" s="9" t="str">
        <f t="shared" si="87"/>
        <v>Yes</v>
      </c>
      <c r="AY576" s="9" t="str">
        <f t="shared" si="89"/>
        <v/>
      </c>
      <c r="AZ576" s="9" t="str">
        <f>IF(OR(G576="Missing date",G576="Invalid date",G576="Ship date before order date",NOT(ISNUMBER(AP576)),AP576&lt;0,AP576&gt;0.5,AV576=TRUE,AW576=TRUE),"Invalid",IF(OR(O576="Unknown",Z576="Unknown",AC576="",AH576&lt;&gt;"Paid",AJ576&lt;&gt;"Completed",AO576&lt;&gt;""),"Warning","Clean"))</f>
        <v>Clean</v>
      </c>
    </row>
    <row r="577" spans="1:52" ht="15.75" customHeight="1">
      <c r="A577" s="6" t="s">
        <v>2850</v>
      </c>
      <c r="B577" s="7" t="s">
        <v>2851</v>
      </c>
      <c r="C577" s="7" t="str">
        <f t="shared" si="88"/>
        <v>2025-03</v>
      </c>
      <c r="D577" s="7" cm="1">
        <f t="array" ref="D577">_xlfn.LET(_xlpm.x,B577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45727</v>
      </c>
      <c r="E577" s="7" t="s">
        <v>2852</v>
      </c>
      <c r="F577" s="7" cm="1">
        <f t="array" ref="F577">_xlfn.LET(_xlpm.x,E577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45730</v>
      </c>
      <c r="G577" s="8" t="str">
        <f t="shared" si="64"/>
        <v>OK</v>
      </c>
      <c r="H577" s="6">
        <f t="shared" si="65"/>
        <v>3</v>
      </c>
      <c r="I577" s="6" t="s">
        <v>2853</v>
      </c>
      <c r="J577" s="6" t="s">
        <v>245</v>
      </c>
      <c r="K577" s="6" t="str">
        <f t="shared" si="66"/>
        <v>Sneha Kapoor</v>
      </c>
      <c r="L577" s="6" t="s">
        <v>44</v>
      </c>
      <c r="M577" s="8" t="str">
        <f t="shared" si="67"/>
        <v>Home Office</v>
      </c>
      <c r="N577" s="6" t="s">
        <v>10</v>
      </c>
      <c r="O577" s="6" t="str">
        <f t="shared" si="68"/>
        <v>South</v>
      </c>
      <c r="P577" s="6" t="s">
        <v>316</v>
      </c>
      <c r="Q577" s="6" t="str">
        <f t="shared" si="69"/>
        <v>Kerala</v>
      </c>
      <c r="R577" s="6" t="s">
        <v>317</v>
      </c>
      <c r="S577" s="6" t="str">
        <f t="shared" si="70"/>
        <v>Kochi</v>
      </c>
      <c r="T577" s="6" t="s">
        <v>14</v>
      </c>
      <c r="U577" s="8" t="str">
        <f t="shared" si="71"/>
        <v>Furniture</v>
      </c>
      <c r="V577" s="6" t="s">
        <v>17</v>
      </c>
      <c r="W577" s="6" t="str">
        <f t="shared" si="72"/>
        <v>Furnishings</v>
      </c>
      <c r="X577" s="6" t="s">
        <v>2854</v>
      </c>
      <c r="Y577" s="6" t="s">
        <v>37</v>
      </c>
      <c r="Z577" s="6" t="str">
        <f t="shared" si="73"/>
        <v>Same Day</v>
      </c>
      <c r="AA577" s="6">
        <v>4</v>
      </c>
      <c r="AB577" s="6">
        <v>1244.82</v>
      </c>
      <c r="AC577" s="6">
        <v>0.2</v>
      </c>
      <c r="AD577" s="6">
        <v>3983.42</v>
      </c>
      <c r="AE577" s="6">
        <v>3174.91</v>
      </c>
      <c r="AF577" s="6">
        <v>808.51</v>
      </c>
      <c r="AG577" s="6" t="s">
        <v>50</v>
      </c>
      <c r="AH577" s="6" t="str">
        <f t="shared" si="74"/>
        <v>Failed</v>
      </c>
      <c r="AI577" s="6" t="s">
        <v>59</v>
      </c>
      <c r="AJ577" s="6" t="str">
        <f t="shared" si="75"/>
        <v>Returned</v>
      </c>
      <c r="AK577" s="9" t="str">
        <f>_xlfn.TEXTJOIN("|",FALSE,A577,TEXT(B577,"mm-dd-yyyy"),TEXT(E577,"mm-dd-yyyy"),I577,J577,L577,N577,P577,R577,T577,V577,X577,Y577,AA577,AB577,AC577,AD577,AE577,AF577,AG577,AI577)</f>
        <v>ORD-2025-10576|03-11-2025|03-14-2025|CUST-5496|Sneha Kapoor|Home Office|South|Kerala|Kochi|Furniture|Furnishings|Elite Furnishings 173|Same Day|4|1244.82|0.2|3983.42|3174.91|808.51|Failed|Returned</v>
      </c>
      <c r="AL577" s="27" t="str">
        <f>IF(COUNTIF($AK$2:AK577,AK577)&gt;1,"Remove exact duplicate copy","Keep")</f>
        <v>Keep</v>
      </c>
      <c r="AM577" s="9">
        <f t="shared" si="76"/>
        <v>1</v>
      </c>
      <c r="AN577" s="9" t="str">
        <f t="shared" si="77"/>
        <v>Unique</v>
      </c>
      <c r="AO577" s="9" t="str">
        <f t="shared" si="78"/>
        <v/>
      </c>
      <c r="AP577" s="9">
        <f t="shared" si="79"/>
        <v>0.2</v>
      </c>
      <c r="AQ577" s="10">
        <f t="shared" si="80"/>
        <v>3983.424</v>
      </c>
      <c r="AR577" s="10">
        <f t="shared" si="81"/>
        <v>808.51400000000012</v>
      </c>
      <c r="AS577" s="11">
        <f t="shared" si="82"/>
        <v>0.2029696060474607</v>
      </c>
      <c r="AT577" s="9">
        <f t="shared" si="83"/>
        <v>3</v>
      </c>
      <c r="AU577" s="9">
        <f t="shared" si="84"/>
        <v>2025</v>
      </c>
      <c r="AV577" s="9" t="b">
        <f t="shared" si="85"/>
        <v>0</v>
      </c>
      <c r="AW577" s="9" t="b">
        <f t="shared" si="86"/>
        <v>0</v>
      </c>
      <c r="AX577" s="9" t="str">
        <f t="shared" si="87"/>
        <v>No</v>
      </c>
      <c r="AY577" s="9" t="str">
        <f t="shared" si="89"/>
        <v>Failed payment excluded; Returned order excluded</v>
      </c>
      <c r="AZ577" s="9" t="str">
        <f>IF(OR(G577="Missing date",G577="Invalid date",G577="Ship date before order date",NOT(ISNUMBER(AP577)),AP577&lt;0,AP577&gt;0.5,AV577=TRUE,AW577=TRUE),"Invalid",IF(OR(O577="Unknown",Z577="Unknown",AC577="",AH577&lt;&gt;"Paid",AJ577&lt;&gt;"Completed",AO577&lt;&gt;""),"Warning","Clean"))</f>
        <v>Warning</v>
      </c>
    </row>
    <row r="578" spans="1:52" ht="15.75" customHeight="1">
      <c r="A578" s="6" t="s">
        <v>2855</v>
      </c>
      <c r="B578" s="7" t="s">
        <v>2856</v>
      </c>
      <c r="C578" s="7" t="str">
        <f t="shared" ref="C578:C641" si="90">TEXT(D578, "yyyy-mm")</f>
        <v>2024-02</v>
      </c>
      <c r="D578" s="7" cm="1">
        <f t="array" ref="D578">_xlfn.LET(_xlpm.x,B578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45339</v>
      </c>
      <c r="E578" s="7" t="s">
        <v>2857</v>
      </c>
      <c r="F578" s="7" cm="1">
        <f t="array" ref="F578">_xlfn.LET(_xlpm.x,E578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45345</v>
      </c>
      <c r="G578" s="8" t="str">
        <f t="shared" si="64"/>
        <v>OK</v>
      </c>
      <c r="H578" s="6">
        <f t="shared" si="65"/>
        <v>6</v>
      </c>
      <c r="I578" s="6" t="s">
        <v>2858</v>
      </c>
      <c r="J578" s="6" t="s">
        <v>257</v>
      </c>
      <c r="K578" s="6" t="str">
        <f t="shared" si="66"/>
        <v>Rohan Mehta</v>
      </c>
      <c r="L578" s="6" t="s">
        <v>44</v>
      </c>
      <c r="M578" s="8" t="str">
        <f t="shared" si="67"/>
        <v>Home Office</v>
      </c>
      <c r="N578" s="6"/>
      <c r="O578" s="6" t="str">
        <f t="shared" si="68"/>
        <v>Unknown</v>
      </c>
      <c r="P578" s="6" t="s">
        <v>263</v>
      </c>
      <c r="Q578" s="6" t="str">
        <f t="shared" si="69"/>
        <v>Bihar</v>
      </c>
      <c r="R578" s="6" t="s">
        <v>264</v>
      </c>
      <c r="S578" s="6" t="str">
        <f t="shared" si="70"/>
        <v>Patna</v>
      </c>
      <c r="T578" s="6" t="s">
        <v>20</v>
      </c>
      <c r="U578" s="8" t="str">
        <f t="shared" si="71"/>
        <v>Office Supplies</v>
      </c>
      <c r="V578" s="6" t="s">
        <v>22</v>
      </c>
      <c r="W578" s="6" t="str">
        <f t="shared" si="72"/>
        <v>Binders</v>
      </c>
      <c r="X578" s="6" t="s">
        <v>2859</v>
      </c>
      <c r="Y578" s="6" t="s">
        <v>34</v>
      </c>
      <c r="Z578" s="6" t="str">
        <f t="shared" si="73"/>
        <v>Standard Class</v>
      </c>
      <c r="AA578" s="6">
        <v>9</v>
      </c>
      <c r="AB578" s="6">
        <v>2614.46</v>
      </c>
      <c r="AC578" s="6">
        <v>0</v>
      </c>
      <c r="AD578" s="6">
        <v>23530.14</v>
      </c>
      <c r="AE578" s="6">
        <v>19537.79</v>
      </c>
      <c r="AF578" s="6">
        <v>3992.35</v>
      </c>
      <c r="AG578" s="6" t="s">
        <v>56</v>
      </c>
      <c r="AH578" s="6" t="str">
        <f t="shared" si="74"/>
        <v>Refunded</v>
      </c>
      <c r="AI578" s="6" t="s">
        <v>59</v>
      </c>
      <c r="AJ578" s="6" t="str">
        <f t="shared" si="75"/>
        <v>Returned</v>
      </c>
      <c r="AK578" s="9" t="str">
        <f>_xlfn.TEXTJOIN("|",FALSE,A578,TEXT(B578,"mm-dd-yyyy"),TEXT(E578,"mm-dd-yyyy"),I578,J578,L578,N578,P578,R578,T578,V578,X578,Y578,AA578,AB578,AC578,AD578,AE578,AF578,AG578,AI578)</f>
        <v>ORD-2024-10577|17-02-2024|02-23-2024|CUST-2228|Rohan Mehta|Home Office||Bihar|Patna|Office Supplies|Binders|Smart Binders 417|Standard Class|9|2614.46|0|23530.14|19537.79|3992.35|Refunded|Returned</v>
      </c>
      <c r="AL578" s="27" t="str">
        <f>IF(COUNTIF($AK$2:AK578,AK578)&gt;1,"Remove exact duplicate copy","Keep")</f>
        <v>Keep</v>
      </c>
      <c r="AM578" s="9">
        <f t="shared" si="76"/>
        <v>1</v>
      </c>
      <c r="AN578" s="9" t="str">
        <f t="shared" si="77"/>
        <v>Unique</v>
      </c>
      <c r="AO578" s="9" t="str">
        <f t="shared" si="78"/>
        <v/>
      </c>
      <c r="AP578" s="9">
        <f t="shared" si="79"/>
        <v>0</v>
      </c>
      <c r="AQ578" s="10">
        <f t="shared" si="80"/>
        <v>23530.14</v>
      </c>
      <c r="AR578" s="10">
        <f t="shared" si="81"/>
        <v>3992.3499999999985</v>
      </c>
      <c r="AS578" s="11">
        <f t="shared" si="82"/>
        <v>0.16966962372514566</v>
      </c>
      <c r="AT578" s="9">
        <f t="shared" si="83"/>
        <v>2</v>
      </c>
      <c r="AU578" s="9">
        <f t="shared" si="84"/>
        <v>2024</v>
      </c>
      <c r="AV578" s="9" t="b">
        <f t="shared" si="85"/>
        <v>0</v>
      </c>
      <c r="AW578" s="9" t="b">
        <f t="shared" si="86"/>
        <v>0</v>
      </c>
      <c r="AX578" s="9" t="str">
        <f t="shared" si="87"/>
        <v>No</v>
      </c>
      <c r="AY578" s="9" t="str">
        <f t="shared" si="89"/>
        <v>Missing region filled as Unknown; Refunded order summarized separately; Returned order excluded</v>
      </c>
      <c r="AZ578" s="9" t="str">
        <f>IF(OR(G578="Missing date",G578="Invalid date",G578="Ship date before order date",NOT(ISNUMBER(AP578)),AP578&lt;0,AP578&gt;0.5,AV578=TRUE,AW578=TRUE),"Invalid",IF(OR(O578="Unknown",Z578="Unknown",AC578="",AH578&lt;&gt;"Paid",AJ578&lt;&gt;"Completed",AO578&lt;&gt;""),"Warning","Clean"))</f>
        <v>Warning</v>
      </c>
    </row>
    <row r="579" spans="1:52" ht="15.75" customHeight="1">
      <c r="A579" s="6" t="s">
        <v>2860</v>
      </c>
      <c r="B579" s="7" t="s">
        <v>510</v>
      </c>
      <c r="C579" s="7" t="str">
        <f t="shared" si="90"/>
        <v>2025-08</v>
      </c>
      <c r="D579" s="7" cm="1">
        <f t="array" ref="D579">_xlfn.LET(_xlpm.x,B579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45897</v>
      </c>
      <c r="E579" s="7" t="s">
        <v>2861</v>
      </c>
      <c r="F579" s="7" cm="1">
        <f t="array" ref="F579">_xlfn.LET(_xlpm.x,E579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45903</v>
      </c>
      <c r="G579" s="8" t="str">
        <f t="shared" si="64"/>
        <v>OK</v>
      </c>
      <c r="H579" s="6">
        <f t="shared" si="65"/>
        <v>6</v>
      </c>
      <c r="I579" s="6" t="s">
        <v>2862</v>
      </c>
      <c r="J579" s="6" t="s">
        <v>220</v>
      </c>
      <c r="K579" s="6" t="str">
        <f t="shared" si="66"/>
        <v>Priya Menon</v>
      </c>
      <c r="L579" s="6" t="s">
        <v>45</v>
      </c>
      <c r="M579" s="8" t="str">
        <f t="shared" si="67"/>
        <v>Corporate</v>
      </c>
      <c r="N579" s="6" t="s">
        <v>9</v>
      </c>
      <c r="O579" s="6" t="str">
        <f t="shared" si="68"/>
        <v>West</v>
      </c>
      <c r="P579" s="6" t="s">
        <v>170</v>
      </c>
      <c r="Q579" s="6" t="str">
        <f t="shared" si="69"/>
        <v>Madhya Pradesh</v>
      </c>
      <c r="R579" s="6" t="s">
        <v>171</v>
      </c>
      <c r="S579" s="6" t="str">
        <f t="shared" si="70"/>
        <v>Indore</v>
      </c>
      <c r="T579" s="6" t="s">
        <v>14</v>
      </c>
      <c r="U579" s="8" t="str">
        <f t="shared" si="71"/>
        <v>Furniture</v>
      </c>
      <c r="V579" s="6" t="s">
        <v>17</v>
      </c>
      <c r="W579" s="6" t="str">
        <f t="shared" si="72"/>
        <v>Furnishings</v>
      </c>
      <c r="X579" s="6" t="s">
        <v>2863</v>
      </c>
      <c r="Y579" s="6" t="s">
        <v>34</v>
      </c>
      <c r="Z579" s="6" t="str">
        <f t="shared" si="73"/>
        <v>Standard Class</v>
      </c>
      <c r="AA579" s="6">
        <v>7</v>
      </c>
      <c r="AB579" s="6">
        <v>268.45</v>
      </c>
      <c r="AC579" s="6">
        <v>0</v>
      </c>
      <c r="AD579" s="6">
        <v>1879.15</v>
      </c>
      <c r="AE579" s="6">
        <v>1134.9000000000001</v>
      </c>
      <c r="AF579" s="6">
        <v>744.25</v>
      </c>
      <c r="AG579" s="6" t="s">
        <v>52</v>
      </c>
      <c r="AH579" s="6" t="str">
        <f t="shared" si="74"/>
        <v>Paid</v>
      </c>
      <c r="AI579" s="6" t="s">
        <v>134</v>
      </c>
      <c r="AJ579" s="6" t="str">
        <f t="shared" si="75"/>
        <v>Completed</v>
      </c>
      <c r="AK579" s="9" t="str">
        <f>_xlfn.TEXTJOIN("|",FALSE,A579,TEXT(B579,"mm-dd-yyyy"),TEXT(E579,"mm-dd-yyyy"),I579,J579,L579,N579,P579,R579,T579,V579,X579,Y579,AA579,AB579,AC579,AD579,AE579,AF579,AG579,AI579)</f>
        <v>ORD-2025-10578|08-28-2025|09-03-2025|CUST-4151|Priya Menon|Corporate|West|Madhya Pradesh|Indore|Furniture|Furnishings|Smart Furnishings 714|Standard Class|7|268.45|0|1879.15|1134.9|744.25|Paid|Completed</v>
      </c>
      <c r="AL579" s="27" t="str">
        <f>IF(COUNTIF($AK$2:AK579,AK579)&gt;1,"Remove exact duplicate copy","Keep")</f>
        <v>Keep</v>
      </c>
      <c r="AM579" s="9">
        <f t="shared" si="76"/>
        <v>1</v>
      </c>
      <c r="AN579" s="9" t="str">
        <f t="shared" si="77"/>
        <v>Unique</v>
      </c>
      <c r="AO579" s="9" t="str">
        <f t="shared" si="78"/>
        <v/>
      </c>
      <c r="AP579" s="9">
        <f t="shared" si="79"/>
        <v>0</v>
      </c>
      <c r="AQ579" s="10">
        <f t="shared" si="80"/>
        <v>1879.1499999999999</v>
      </c>
      <c r="AR579" s="10">
        <f t="shared" si="81"/>
        <v>744.24999999999977</v>
      </c>
      <c r="AS579" s="11">
        <f t="shared" si="82"/>
        <v>0.39605672777585599</v>
      </c>
      <c r="AT579" s="9">
        <f t="shared" si="83"/>
        <v>8</v>
      </c>
      <c r="AU579" s="9">
        <f t="shared" si="84"/>
        <v>2025</v>
      </c>
      <c r="AV579" s="9" t="b">
        <f t="shared" si="85"/>
        <v>0</v>
      </c>
      <c r="AW579" s="9" t="b">
        <f t="shared" si="86"/>
        <v>0</v>
      </c>
      <c r="AX579" s="9" t="str">
        <f t="shared" si="87"/>
        <v>Yes</v>
      </c>
      <c r="AY579" s="9" t="str">
        <f t="shared" ref="AY579:AY642" si="91">_xlfn.TEXTJOIN("; ",TRUE,IF(O579="Unknown","Missing region filled as Unknown",""),IF(Z579="Unknown","Missing ship mode filled as Unknown",""),IF(AND(AC579="",AP579=0),"Missing discount treated as 0",""),IF(AP579&lt;0,"Negative discount",""),IF(AP579&gt;0.5,"Discount above 50%",""),IF(G579="Ship date before order date","Ship date before order date",""),IF(AH579="Failed","Failed payment excluded",""),IF(AH579="Refunded","Refunded order summarized separately",""),IF(AJ579="Cancelled","Cancelled order excluded",""),IF(AJ579="Returned","Returned order excluded",""),IF(AO579&lt;&gt;"","Duplicate order ID conflict",""),IF(AV579=TRUE,"Sales mismatch",""),IF(AW579=TRUE,"Profit mismatch",""))</f>
        <v/>
      </c>
      <c r="AZ579" s="9" t="str">
        <f>IF(OR(G579="Missing date",G579="Invalid date",G579="Ship date before order date",NOT(ISNUMBER(AP579)),AP579&lt;0,AP579&gt;0.5,AV579=TRUE,AW579=TRUE),"Invalid",IF(OR(O579="Unknown",Z579="Unknown",AC579="",AH579&lt;&gt;"Paid",AJ579&lt;&gt;"Completed",AO579&lt;&gt;""),"Warning","Clean"))</f>
        <v>Clean</v>
      </c>
    </row>
    <row r="580" spans="1:52" ht="15.75" customHeight="1">
      <c r="A580" s="6" t="s">
        <v>2864</v>
      </c>
      <c r="B580" s="7" t="s">
        <v>2865</v>
      </c>
      <c r="C580" s="7" t="str">
        <f t="shared" si="90"/>
        <v>2024-02</v>
      </c>
      <c r="D580" s="7" cm="1">
        <f t="array" ref="D580">_xlfn.LET(_xlpm.x,B580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45343</v>
      </c>
      <c r="E580" s="7" t="s">
        <v>2866</v>
      </c>
      <c r="F580" s="7" cm="1">
        <f t="array" ref="F580">_xlfn.LET(_xlpm.x,E580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45345</v>
      </c>
      <c r="G580" s="8" t="str">
        <f t="shared" si="64"/>
        <v>OK</v>
      </c>
      <c r="H580" s="6">
        <f t="shared" si="65"/>
        <v>2</v>
      </c>
      <c r="I580" s="6" t="s">
        <v>492</v>
      </c>
      <c r="J580" s="6" t="s">
        <v>177</v>
      </c>
      <c r="K580" s="6" t="str">
        <f t="shared" si="66"/>
        <v>Neha Gupta</v>
      </c>
      <c r="L580" s="6" t="s">
        <v>46</v>
      </c>
      <c r="M580" s="8" t="str">
        <f t="shared" si="67"/>
        <v>Small Business</v>
      </c>
      <c r="N580" s="6" t="s">
        <v>9</v>
      </c>
      <c r="O580" s="6" t="str">
        <f t="shared" si="68"/>
        <v>West</v>
      </c>
      <c r="P580" s="6" t="s">
        <v>309</v>
      </c>
      <c r="Q580" s="6" t="str">
        <f t="shared" si="69"/>
        <v>Gujarat</v>
      </c>
      <c r="R580" s="6" t="s">
        <v>310</v>
      </c>
      <c r="S580" s="6" t="str">
        <f t="shared" si="70"/>
        <v>Ahmedabad</v>
      </c>
      <c r="T580" s="6" t="s">
        <v>27</v>
      </c>
      <c r="U580" s="8" t="str">
        <f t="shared" si="71"/>
        <v>Technology</v>
      </c>
      <c r="V580" s="6" t="s">
        <v>29</v>
      </c>
      <c r="W580" s="6" t="str">
        <f t="shared" si="72"/>
        <v>Copiers</v>
      </c>
      <c r="X580" s="6" t="s">
        <v>2867</v>
      </c>
      <c r="Y580" s="6" t="s">
        <v>35</v>
      </c>
      <c r="Z580" s="6" t="str">
        <f t="shared" si="73"/>
        <v>First Class</v>
      </c>
      <c r="AA580" s="6">
        <v>6</v>
      </c>
      <c r="AB580" s="6">
        <v>2633.65</v>
      </c>
      <c r="AC580" s="6">
        <v>0.05</v>
      </c>
      <c r="AD580" s="6">
        <v>15011.81</v>
      </c>
      <c r="AE580" s="6">
        <v>9660.36</v>
      </c>
      <c r="AF580" s="6">
        <v>5351.45</v>
      </c>
      <c r="AG580" s="6" t="s">
        <v>52</v>
      </c>
      <c r="AH580" s="6" t="str">
        <f t="shared" si="74"/>
        <v>Paid</v>
      </c>
      <c r="AI580" s="6" t="s">
        <v>134</v>
      </c>
      <c r="AJ580" s="6" t="str">
        <f t="shared" si="75"/>
        <v>Completed</v>
      </c>
      <c r="AK580" s="9" t="str">
        <f>_xlfn.TEXTJOIN("|",FALSE,A580,TEXT(B580,"mm-dd-yyyy"),TEXT(E580,"mm-dd-yyyy"),I580,J580,L580,N580,P580,R580,T580,V580,X580,Y580,AA580,AB580,AC580,AD580,AE580,AF580,AG580,AI580)</f>
        <v>ORD-2024-10579|02-21-2024|23-02-2024|CUST-4900|Neha Gupta|Small Business|West|Gujarat|Ahmedabad|Technology|Copiers|Elite Copiers 682|First Class|6|2633.65|0.05|15011.81|9660.36|5351.45|Paid|Completed</v>
      </c>
      <c r="AL580" s="27" t="str">
        <f>IF(COUNTIF($AK$2:AK580,AK580)&gt;1,"Remove exact duplicate copy","Keep")</f>
        <v>Keep</v>
      </c>
      <c r="AM580" s="9">
        <f t="shared" si="76"/>
        <v>1</v>
      </c>
      <c r="AN580" s="9" t="str">
        <f t="shared" si="77"/>
        <v>Unique</v>
      </c>
      <c r="AO580" s="9" t="str">
        <f t="shared" si="78"/>
        <v/>
      </c>
      <c r="AP580" s="9">
        <f t="shared" si="79"/>
        <v>0.05</v>
      </c>
      <c r="AQ580" s="10">
        <f t="shared" si="80"/>
        <v>15011.805</v>
      </c>
      <c r="AR580" s="10">
        <f t="shared" si="81"/>
        <v>5351.4449999999997</v>
      </c>
      <c r="AS580" s="11">
        <f t="shared" si="82"/>
        <v>0.35648244831317749</v>
      </c>
      <c r="AT580" s="9">
        <f t="shared" si="83"/>
        <v>2</v>
      </c>
      <c r="AU580" s="9">
        <f t="shared" si="84"/>
        <v>2024</v>
      </c>
      <c r="AV580" s="9" t="b">
        <f t="shared" si="85"/>
        <v>0</v>
      </c>
      <c r="AW580" s="9" t="b">
        <f t="shared" si="86"/>
        <v>0</v>
      </c>
      <c r="AX580" s="9" t="str">
        <f t="shared" si="87"/>
        <v>Yes</v>
      </c>
      <c r="AY580" s="9" t="str">
        <f t="shared" si="91"/>
        <v/>
      </c>
      <c r="AZ580" s="9" t="str">
        <f>IF(OR(G580="Missing date",G580="Invalid date",G580="Ship date before order date",NOT(ISNUMBER(AP580)),AP580&lt;0,AP580&gt;0.5,AV580=TRUE,AW580=TRUE),"Invalid",IF(OR(O580="Unknown",Z580="Unknown",AC580="",AH580&lt;&gt;"Paid",AJ580&lt;&gt;"Completed",AO580&lt;&gt;""),"Warning","Clean"))</f>
        <v>Clean</v>
      </c>
    </row>
    <row r="581" spans="1:52" ht="15.75" customHeight="1">
      <c r="A581" s="6" t="s">
        <v>2868</v>
      </c>
      <c r="B581" s="7" t="s">
        <v>2869</v>
      </c>
      <c r="C581" s="7" t="str">
        <f t="shared" si="90"/>
        <v>2024-06</v>
      </c>
      <c r="D581" s="7" cm="1">
        <f t="array" ref="D581">_xlfn.LET(_xlpm.x,B581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45462</v>
      </c>
      <c r="E581" s="7" t="s">
        <v>2870</v>
      </c>
      <c r="F581" s="7" cm="1">
        <f t="array" ref="F581">_xlfn.LET(_xlpm.x,E581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45467</v>
      </c>
      <c r="G581" s="8" t="str">
        <f t="shared" si="64"/>
        <v>OK</v>
      </c>
      <c r="H581" s="6">
        <f t="shared" si="65"/>
        <v>5</v>
      </c>
      <c r="I581" s="6" t="s">
        <v>2871</v>
      </c>
      <c r="J581" s="6" t="s">
        <v>239</v>
      </c>
      <c r="K581" s="6" t="str">
        <f t="shared" si="66"/>
        <v>Aarav Sharma</v>
      </c>
      <c r="L581" s="6" t="s">
        <v>46</v>
      </c>
      <c r="M581" s="8" t="str">
        <f t="shared" si="67"/>
        <v>Small Business</v>
      </c>
      <c r="N581" s="6" t="s">
        <v>10</v>
      </c>
      <c r="O581" s="6" t="str">
        <f t="shared" si="68"/>
        <v>South</v>
      </c>
      <c r="P581" s="6" t="s">
        <v>413</v>
      </c>
      <c r="Q581" s="6" t="str">
        <f t="shared" si="69"/>
        <v>Tamil Nadu</v>
      </c>
      <c r="R581" s="6" t="s">
        <v>414</v>
      </c>
      <c r="S581" s="6" t="str">
        <f t="shared" si="70"/>
        <v>Chennai</v>
      </c>
      <c r="T581" s="6" t="s">
        <v>20</v>
      </c>
      <c r="U581" s="8" t="str">
        <f t="shared" si="71"/>
        <v>Office Supplies</v>
      </c>
      <c r="V581" s="6" t="s">
        <v>25</v>
      </c>
      <c r="W581" s="6" t="str">
        <f t="shared" si="72"/>
        <v>Storage</v>
      </c>
      <c r="X581" s="6" t="s">
        <v>2872</v>
      </c>
      <c r="Y581" s="6" t="s">
        <v>37</v>
      </c>
      <c r="Z581" s="6" t="str">
        <f t="shared" si="73"/>
        <v>Same Day</v>
      </c>
      <c r="AA581" s="6">
        <v>1</v>
      </c>
      <c r="AB581" s="6">
        <v>3202.41</v>
      </c>
      <c r="AC581" s="6">
        <v>0</v>
      </c>
      <c r="AD581" s="6">
        <v>3202.41</v>
      </c>
      <c r="AE581" s="6">
        <v>2608.44</v>
      </c>
      <c r="AF581" s="6">
        <v>593.97</v>
      </c>
      <c r="AG581" s="6" t="s">
        <v>52</v>
      </c>
      <c r="AH581" s="6" t="str">
        <f t="shared" si="74"/>
        <v>Paid</v>
      </c>
      <c r="AI581" s="6" t="s">
        <v>134</v>
      </c>
      <c r="AJ581" s="6" t="str">
        <f t="shared" si="75"/>
        <v>Completed</v>
      </c>
      <c r="AK581" s="9" t="str">
        <f>_xlfn.TEXTJOIN("|",FALSE,A581,TEXT(B581,"mm-dd-yyyy"),TEXT(E581,"mm-dd-yyyy"),I581,J581,L581,N581,P581,R581,T581,V581,X581,Y581,AA581,AB581,AC581,AD581,AE581,AF581,AG581,AI581)</f>
        <v>ORD-2024-10580|19-06-2024|06-24-2024|CUST-9617|Aarav Sharma|Small Business|South|Tamil Nadu|Chennai|Office Supplies|Storage|Pro Storage 482|Same Day|1|3202.41|0|3202.41|2608.44|593.97|Paid|Completed</v>
      </c>
      <c r="AL581" s="27" t="str">
        <f>IF(COUNTIF($AK$2:AK581,AK581)&gt;1,"Remove exact duplicate copy","Keep")</f>
        <v>Keep</v>
      </c>
      <c r="AM581" s="9">
        <f t="shared" si="76"/>
        <v>1</v>
      </c>
      <c r="AN581" s="9" t="str">
        <f t="shared" si="77"/>
        <v>Unique</v>
      </c>
      <c r="AO581" s="9" t="str">
        <f t="shared" si="78"/>
        <v/>
      </c>
      <c r="AP581" s="9">
        <f t="shared" si="79"/>
        <v>0</v>
      </c>
      <c r="AQ581" s="10">
        <f t="shared" si="80"/>
        <v>3202.41</v>
      </c>
      <c r="AR581" s="10">
        <f t="shared" si="81"/>
        <v>593.9699999999998</v>
      </c>
      <c r="AS581" s="11">
        <f t="shared" si="82"/>
        <v>0.18547593843386695</v>
      </c>
      <c r="AT581" s="9">
        <f t="shared" si="83"/>
        <v>6</v>
      </c>
      <c r="AU581" s="9">
        <f t="shared" si="84"/>
        <v>2024</v>
      </c>
      <c r="AV581" s="9" t="b">
        <f t="shared" si="85"/>
        <v>0</v>
      </c>
      <c r="AW581" s="9" t="b">
        <f t="shared" si="86"/>
        <v>0</v>
      </c>
      <c r="AX581" s="9" t="str">
        <f t="shared" si="87"/>
        <v>Yes</v>
      </c>
      <c r="AY581" s="9" t="str">
        <f t="shared" si="91"/>
        <v/>
      </c>
      <c r="AZ581" s="9" t="str">
        <f>IF(OR(G581="Missing date",G581="Invalid date",G581="Ship date before order date",NOT(ISNUMBER(AP581)),AP581&lt;0,AP581&gt;0.5,AV581=TRUE,AW581=TRUE),"Invalid",IF(OR(O581="Unknown",Z581="Unknown",AC581="",AH581&lt;&gt;"Paid",AJ581&lt;&gt;"Completed",AO581&lt;&gt;""),"Warning","Clean"))</f>
        <v>Clean</v>
      </c>
    </row>
    <row r="582" spans="1:52" ht="15.75" customHeight="1">
      <c r="A582" s="6" t="s">
        <v>2873</v>
      </c>
      <c r="B582" s="7" t="s">
        <v>2874</v>
      </c>
      <c r="C582" s="7" t="str">
        <f t="shared" si="90"/>
        <v>2025-03</v>
      </c>
      <c r="D582" s="7" cm="1">
        <f t="array" ref="D582">_xlfn.LET(_xlpm.x,B582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45722</v>
      </c>
      <c r="E582" s="7" t="s">
        <v>1546</v>
      </c>
      <c r="F582" s="7" cm="1">
        <f t="array" ref="F582">_xlfn.LET(_xlpm.x,E582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45729</v>
      </c>
      <c r="G582" s="8" t="str">
        <f t="shared" si="64"/>
        <v>OK</v>
      </c>
      <c r="H582" s="6">
        <f t="shared" si="65"/>
        <v>7</v>
      </c>
      <c r="I582" s="6" t="s">
        <v>2875</v>
      </c>
      <c r="J582" s="6" t="s">
        <v>442</v>
      </c>
      <c r="K582" s="6" t="str">
        <f t="shared" si="66"/>
        <v>Kabir Singh</v>
      </c>
      <c r="L582" s="6" t="s">
        <v>43</v>
      </c>
      <c r="M582" s="8" t="str">
        <f t="shared" si="67"/>
        <v>Consumer</v>
      </c>
      <c r="N582" s="6" t="s">
        <v>10</v>
      </c>
      <c r="O582" s="6" t="str">
        <f t="shared" si="68"/>
        <v>South</v>
      </c>
      <c r="P582" s="6" t="s">
        <v>316</v>
      </c>
      <c r="Q582" s="6" t="str">
        <f t="shared" si="69"/>
        <v>Kerala</v>
      </c>
      <c r="R582" s="6" t="s">
        <v>317</v>
      </c>
      <c r="S582" s="6" t="str">
        <f t="shared" si="70"/>
        <v>Kochi</v>
      </c>
      <c r="T582" s="6" t="s">
        <v>14</v>
      </c>
      <c r="U582" s="8" t="str">
        <f t="shared" si="71"/>
        <v>Furniture</v>
      </c>
      <c r="V582" s="6" t="s">
        <v>16</v>
      </c>
      <c r="W582" s="6" t="str">
        <f t="shared" si="72"/>
        <v>Chairs</v>
      </c>
      <c r="X582" s="6" t="s">
        <v>2876</v>
      </c>
      <c r="Y582" s="6" t="s">
        <v>34</v>
      </c>
      <c r="Z582" s="6" t="str">
        <f t="shared" si="73"/>
        <v>Standard Class</v>
      </c>
      <c r="AA582" s="6">
        <v>3</v>
      </c>
      <c r="AB582" s="6">
        <v>163.72</v>
      </c>
      <c r="AC582" s="6">
        <v>0.15</v>
      </c>
      <c r="AD582" s="6">
        <v>417.49</v>
      </c>
      <c r="AE582" s="6">
        <v>261.67</v>
      </c>
      <c r="AF582" s="6">
        <v>155.82</v>
      </c>
      <c r="AG582" s="6" t="s">
        <v>50</v>
      </c>
      <c r="AH582" s="6" t="str">
        <f t="shared" si="74"/>
        <v>Failed</v>
      </c>
      <c r="AI582" s="6" t="s">
        <v>59</v>
      </c>
      <c r="AJ582" s="6" t="str">
        <f t="shared" si="75"/>
        <v>Returned</v>
      </c>
      <c r="AK582" s="9" t="str">
        <f>_xlfn.TEXTJOIN("|",FALSE,A582,TEXT(B582,"mm-dd-yyyy"),TEXT(E582,"mm-dd-yyyy"),I582,J582,L582,N582,P582,R582,T582,V582,X582,Y582,AA582,AB582,AC582,AD582,AE582,AF582,AG582,AI582)</f>
        <v>ORD-2025-10581|06-03-2025|03-13-2025|CUST-7958|Kabir Singh|Consumer|South|Kerala|Kochi|Furniture|Chairs|Pro Chairs 888|Standard Class|3|163.72|0.15|417.49|261.67|155.82|Failed|Returned</v>
      </c>
      <c r="AL582" s="27" t="str">
        <f>IF(COUNTIF($AK$2:AK582,AK582)&gt;1,"Remove exact duplicate copy","Keep")</f>
        <v>Keep</v>
      </c>
      <c r="AM582" s="9">
        <f t="shared" si="76"/>
        <v>1</v>
      </c>
      <c r="AN582" s="9" t="str">
        <f t="shared" si="77"/>
        <v>Unique</v>
      </c>
      <c r="AO582" s="9" t="str">
        <f t="shared" si="78"/>
        <v/>
      </c>
      <c r="AP582" s="9">
        <f t="shared" si="79"/>
        <v>0.15</v>
      </c>
      <c r="AQ582" s="10">
        <f t="shared" si="80"/>
        <v>417.48599999999999</v>
      </c>
      <c r="AR582" s="10">
        <f t="shared" si="81"/>
        <v>155.81599999999997</v>
      </c>
      <c r="AS582" s="11">
        <f t="shared" si="82"/>
        <v>0.37322449136018926</v>
      </c>
      <c r="AT582" s="9">
        <f t="shared" si="83"/>
        <v>3</v>
      </c>
      <c r="AU582" s="9">
        <f t="shared" si="84"/>
        <v>2025</v>
      </c>
      <c r="AV582" s="9" t="b">
        <f t="shared" si="85"/>
        <v>0</v>
      </c>
      <c r="AW582" s="9" t="b">
        <f t="shared" si="86"/>
        <v>0</v>
      </c>
      <c r="AX582" s="9" t="str">
        <f t="shared" si="87"/>
        <v>No</v>
      </c>
      <c r="AY582" s="9" t="str">
        <f t="shared" si="91"/>
        <v>Failed payment excluded; Returned order excluded</v>
      </c>
      <c r="AZ582" s="9" t="str">
        <f>IF(OR(G582="Missing date",G582="Invalid date",G582="Ship date before order date",NOT(ISNUMBER(AP582)),AP582&lt;0,AP582&gt;0.5,AV582=TRUE,AW582=TRUE),"Invalid",IF(OR(O582="Unknown",Z582="Unknown",AC582="",AH582&lt;&gt;"Paid",AJ582&lt;&gt;"Completed",AO582&lt;&gt;""),"Warning","Clean"))</f>
        <v>Warning</v>
      </c>
    </row>
    <row r="583" spans="1:52" ht="15.75" customHeight="1">
      <c r="A583" s="6" t="s">
        <v>2877</v>
      </c>
      <c r="B583" s="7" t="s">
        <v>1428</v>
      </c>
      <c r="C583" s="7" t="str">
        <f t="shared" si="90"/>
        <v>2025-08</v>
      </c>
      <c r="D583" s="7" cm="1">
        <f t="array" ref="D583">_xlfn.LET(_xlpm.x,B583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45878</v>
      </c>
      <c r="E583" s="7" t="s">
        <v>2878</v>
      </c>
      <c r="F583" s="7" cm="1">
        <f t="array" ref="F583">_xlfn.LET(_xlpm.x,E583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45879</v>
      </c>
      <c r="G583" s="8" t="str">
        <f t="shared" si="64"/>
        <v>OK</v>
      </c>
      <c r="H583" s="6">
        <f t="shared" si="65"/>
        <v>1</v>
      </c>
      <c r="I583" s="6" t="s">
        <v>2879</v>
      </c>
      <c r="J583" s="6" t="s">
        <v>177</v>
      </c>
      <c r="K583" s="6" t="str">
        <f t="shared" si="66"/>
        <v>Neha Gupta</v>
      </c>
      <c r="L583" s="6" t="s">
        <v>43</v>
      </c>
      <c r="M583" s="8" t="str">
        <f t="shared" si="67"/>
        <v>Consumer</v>
      </c>
      <c r="N583" s="6" t="s">
        <v>7</v>
      </c>
      <c r="O583" s="6" t="str">
        <f t="shared" si="68"/>
        <v>North</v>
      </c>
      <c r="P583" s="6" t="s">
        <v>583</v>
      </c>
      <c r="Q583" s="6" t="str">
        <f t="shared" si="69"/>
        <v>Delhi</v>
      </c>
      <c r="R583" s="6" t="s">
        <v>584</v>
      </c>
      <c r="S583" s="6" t="str">
        <f t="shared" si="70"/>
        <v>New Delhi</v>
      </c>
      <c r="T583" s="6" t="s">
        <v>20</v>
      </c>
      <c r="U583" s="8" t="str">
        <f t="shared" si="71"/>
        <v>Office Supplies</v>
      </c>
      <c r="V583" s="6" t="s">
        <v>21</v>
      </c>
      <c r="W583" s="6" t="str">
        <f t="shared" si="72"/>
        <v>Art</v>
      </c>
      <c r="X583" s="6" t="s">
        <v>2880</v>
      </c>
      <c r="Y583" s="6" t="s">
        <v>36</v>
      </c>
      <c r="Z583" s="6" t="str">
        <f t="shared" si="73"/>
        <v>Second Class</v>
      </c>
      <c r="AA583" s="6">
        <v>4</v>
      </c>
      <c r="AB583" s="6">
        <v>4080.95</v>
      </c>
      <c r="AC583" s="6">
        <v>0</v>
      </c>
      <c r="AD583" s="6">
        <v>16323.8</v>
      </c>
      <c r="AE583" s="6">
        <v>9965.7900000000009</v>
      </c>
      <c r="AF583" s="6">
        <v>6358.01</v>
      </c>
      <c r="AG583" s="6" t="s">
        <v>56</v>
      </c>
      <c r="AH583" s="6" t="str">
        <f t="shared" si="74"/>
        <v>Refunded</v>
      </c>
      <c r="AI583" s="6" t="s">
        <v>59</v>
      </c>
      <c r="AJ583" s="6" t="str">
        <f t="shared" si="75"/>
        <v>Returned</v>
      </c>
      <c r="AK583" s="9" t="str">
        <f>_xlfn.TEXTJOIN("|",FALSE,A583,TEXT(B583,"mm-dd-yyyy"),TEXT(E583,"mm-dd-yyyy"),I583,J583,L583,N583,P583,R583,T583,V583,X583,Y583,AA583,AB583,AC583,AD583,AE583,AF583,AG583,AI583)</f>
        <v>ORD-2025-10582|08-09-2025|08-10-2025|CUST-9931|Neha Gupta|Consumer|North|Delhi|New Delhi|Office Supplies|Art|Classic Art 611|Second Class|4|4080.95|0|16323.8|9965.79|6358.01|Refunded|Returned</v>
      </c>
      <c r="AL583" s="27" t="str">
        <f>IF(COUNTIF($AK$2:AK583,AK583)&gt;1,"Remove exact duplicate copy","Keep")</f>
        <v>Keep</v>
      </c>
      <c r="AM583" s="9">
        <f t="shared" si="76"/>
        <v>1</v>
      </c>
      <c r="AN583" s="9" t="str">
        <f t="shared" si="77"/>
        <v>Unique</v>
      </c>
      <c r="AO583" s="9" t="str">
        <f t="shared" si="78"/>
        <v/>
      </c>
      <c r="AP583" s="9">
        <f t="shared" si="79"/>
        <v>0</v>
      </c>
      <c r="AQ583" s="10">
        <f t="shared" si="80"/>
        <v>16323.8</v>
      </c>
      <c r="AR583" s="10">
        <f t="shared" si="81"/>
        <v>6358.0099999999984</v>
      </c>
      <c r="AS583" s="11">
        <f t="shared" si="82"/>
        <v>0.38949325524693995</v>
      </c>
      <c r="AT583" s="9">
        <f t="shared" si="83"/>
        <v>8</v>
      </c>
      <c r="AU583" s="9">
        <f t="shared" si="84"/>
        <v>2025</v>
      </c>
      <c r="AV583" s="9" t="b">
        <f t="shared" si="85"/>
        <v>0</v>
      </c>
      <c r="AW583" s="9" t="b">
        <f t="shared" si="86"/>
        <v>0</v>
      </c>
      <c r="AX583" s="9" t="str">
        <f t="shared" si="87"/>
        <v>No</v>
      </c>
      <c r="AY583" s="9" t="str">
        <f t="shared" si="91"/>
        <v>Refunded order summarized separately; Returned order excluded</v>
      </c>
      <c r="AZ583" s="9" t="str">
        <f>IF(OR(G583="Missing date",G583="Invalid date",G583="Ship date before order date",NOT(ISNUMBER(AP583)),AP583&lt;0,AP583&gt;0.5,AV583=TRUE,AW583=TRUE),"Invalid",IF(OR(O583="Unknown",Z583="Unknown",AC583="",AH583&lt;&gt;"Paid",AJ583&lt;&gt;"Completed",AO583&lt;&gt;""),"Warning","Clean"))</f>
        <v>Warning</v>
      </c>
    </row>
    <row r="584" spans="1:52" ht="15.75" customHeight="1">
      <c r="A584" s="6" t="s">
        <v>2881</v>
      </c>
      <c r="B584" s="7" t="s">
        <v>2882</v>
      </c>
      <c r="C584" s="7" t="str">
        <f t="shared" si="90"/>
        <v>2024-10</v>
      </c>
      <c r="D584" s="7" cm="1">
        <f t="array" ref="D584">_xlfn.LET(_xlpm.x,B584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45580</v>
      </c>
      <c r="E584" s="7" t="s">
        <v>2883</v>
      </c>
      <c r="F584" s="7" cm="1">
        <f t="array" ref="F584">_xlfn.LET(_xlpm.x,E584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45585</v>
      </c>
      <c r="G584" s="8" t="str">
        <f t="shared" si="64"/>
        <v>OK</v>
      </c>
      <c r="H584" s="6">
        <f t="shared" si="65"/>
        <v>5</v>
      </c>
      <c r="I584" s="6" t="s">
        <v>2884</v>
      </c>
      <c r="J584" s="6" t="s">
        <v>161</v>
      </c>
      <c r="K584" s="6" t="str">
        <f t="shared" si="66"/>
        <v>Ananya Rao</v>
      </c>
      <c r="L584" s="6" t="s">
        <v>43</v>
      </c>
      <c r="M584" s="8" t="str">
        <f t="shared" si="67"/>
        <v>Consumer</v>
      </c>
      <c r="N584" s="6" t="s">
        <v>8</v>
      </c>
      <c r="O584" s="6" t="str">
        <f t="shared" si="68"/>
        <v>East</v>
      </c>
      <c r="P584" s="6" t="s">
        <v>140</v>
      </c>
      <c r="Q584" s="6" t="str">
        <f t="shared" si="69"/>
        <v>Odisha</v>
      </c>
      <c r="R584" s="6" t="s">
        <v>141</v>
      </c>
      <c r="S584" s="6" t="str">
        <f t="shared" si="70"/>
        <v>Bhubaneswar</v>
      </c>
      <c r="T584" s="6" t="s">
        <v>20</v>
      </c>
      <c r="U584" s="8" t="str">
        <f t="shared" si="71"/>
        <v>Office Supplies</v>
      </c>
      <c r="V584" s="6" t="s">
        <v>21</v>
      </c>
      <c r="W584" s="6" t="str">
        <f t="shared" si="72"/>
        <v>Art</v>
      </c>
      <c r="X584" s="6" t="s">
        <v>2885</v>
      </c>
      <c r="Y584" s="6" t="s">
        <v>35</v>
      </c>
      <c r="Z584" s="6" t="str">
        <f t="shared" si="73"/>
        <v>First Class</v>
      </c>
      <c r="AA584" s="6">
        <v>5</v>
      </c>
      <c r="AB584" s="6">
        <v>671.24</v>
      </c>
      <c r="AC584" s="6">
        <v>0</v>
      </c>
      <c r="AD584" s="6">
        <v>3356.2</v>
      </c>
      <c r="AE584" s="6">
        <v>2205.7199999999998</v>
      </c>
      <c r="AF584" s="6">
        <v>1150.48</v>
      </c>
      <c r="AG584" s="6" t="s">
        <v>54</v>
      </c>
      <c r="AH584" s="6" t="str">
        <f t="shared" si="74"/>
        <v>Pending</v>
      </c>
      <c r="AI584" s="6" t="s">
        <v>59</v>
      </c>
      <c r="AJ584" s="6" t="str">
        <f t="shared" si="75"/>
        <v>Returned</v>
      </c>
      <c r="AK584" s="9" t="str">
        <f>_xlfn.TEXTJOIN("|",FALSE,A584,TEXT(B584,"mm-dd-yyyy"),TEXT(E584,"mm-dd-yyyy"),I584,J584,L584,N584,P584,R584,T584,V584,X584,Y584,AA584,AB584,AC584,AD584,AE584,AF584,AG584,AI584)</f>
        <v>ORD-2024-10583|10-15-2024|10-20-2024|CUST-2088|Ananya Rao|Consumer|East|Odisha|Bhubaneswar|Office Supplies|Art|Basic Art 174|First Class|5|671.24|0|3356.2|2205.72|1150.48|Pending|Returned</v>
      </c>
      <c r="AL584" s="27" t="str">
        <f>IF(COUNTIF($AK$2:AK584,AK584)&gt;1,"Remove exact duplicate copy","Keep")</f>
        <v>Keep</v>
      </c>
      <c r="AM584" s="9">
        <f t="shared" si="76"/>
        <v>1</v>
      </c>
      <c r="AN584" s="9" t="str">
        <f t="shared" si="77"/>
        <v>Unique</v>
      </c>
      <c r="AO584" s="9" t="str">
        <f t="shared" si="78"/>
        <v/>
      </c>
      <c r="AP584" s="9">
        <f t="shared" si="79"/>
        <v>0</v>
      </c>
      <c r="AQ584" s="10">
        <f t="shared" si="80"/>
        <v>3356.2</v>
      </c>
      <c r="AR584" s="10">
        <f t="shared" si="81"/>
        <v>1150.48</v>
      </c>
      <c r="AS584" s="11">
        <f t="shared" si="82"/>
        <v>0.34279244383528995</v>
      </c>
      <c r="AT584" s="9">
        <f t="shared" si="83"/>
        <v>10</v>
      </c>
      <c r="AU584" s="9">
        <f t="shared" si="84"/>
        <v>2024</v>
      </c>
      <c r="AV584" s="9" t="b">
        <f t="shared" si="85"/>
        <v>0</v>
      </c>
      <c r="AW584" s="9" t="b">
        <f t="shared" si="86"/>
        <v>0</v>
      </c>
      <c r="AX584" s="9" t="str">
        <f t="shared" si="87"/>
        <v>No</v>
      </c>
      <c r="AY584" s="9" t="str">
        <f t="shared" si="91"/>
        <v>Returned order excluded</v>
      </c>
      <c r="AZ584" s="9" t="str">
        <f>IF(OR(G584="Missing date",G584="Invalid date",G584="Ship date before order date",NOT(ISNUMBER(AP584)),AP584&lt;0,AP584&gt;0.5,AV584=TRUE,AW584=TRUE),"Invalid",IF(OR(O584="Unknown",Z584="Unknown",AC584="",AH584&lt;&gt;"Paid",AJ584&lt;&gt;"Completed",AO584&lt;&gt;""),"Warning","Clean"))</f>
        <v>Warning</v>
      </c>
    </row>
    <row r="585" spans="1:52" ht="15.75" customHeight="1">
      <c r="A585" s="6" t="s">
        <v>2886</v>
      </c>
      <c r="B585" s="7" t="s">
        <v>705</v>
      </c>
      <c r="C585" s="7" t="str">
        <f t="shared" si="90"/>
        <v>2024-02</v>
      </c>
      <c r="D585" s="7" cm="1">
        <f t="array" ref="D585">_xlfn.LET(_xlpm.x,B585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45350</v>
      </c>
      <c r="E585" s="7" t="s">
        <v>2887</v>
      </c>
      <c r="F585" s="7" cm="1">
        <f t="array" ref="F585">_xlfn.LET(_xlpm.x,E585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45350</v>
      </c>
      <c r="G585" s="8" t="str">
        <f t="shared" si="64"/>
        <v>OK</v>
      </c>
      <c r="H585" s="6">
        <f t="shared" si="65"/>
        <v>0</v>
      </c>
      <c r="I585" s="6" t="s">
        <v>2888</v>
      </c>
      <c r="J585" s="6" t="s">
        <v>257</v>
      </c>
      <c r="K585" s="6" t="str">
        <f t="shared" si="66"/>
        <v>Rohan Mehta</v>
      </c>
      <c r="L585" s="6" t="s">
        <v>46</v>
      </c>
      <c r="M585" s="8" t="str">
        <f t="shared" si="67"/>
        <v>Small Business</v>
      </c>
      <c r="N585" s="6" t="s">
        <v>8</v>
      </c>
      <c r="O585" s="6" t="str">
        <f t="shared" si="68"/>
        <v>East</v>
      </c>
      <c r="P585" s="6" t="s">
        <v>201</v>
      </c>
      <c r="Q585" s="6" t="str">
        <f t="shared" si="69"/>
        <v>West Bengal</v>
      </c>
      <c r="R585" s="6" t="s">
        <v>202</v>
      </c>
      <c r="S585" s="6" t="str">
        <f t="shared" si="70"/>
        <v>Kolkata</v>
      </c>
      <c r="T585" s="6" t="s">
        <v>20</v>
      </c>
      <c r="U585" s="8" t="str">
        <f t="shared" si="71"/>
        <v>Office Supplies</v>
      </c>
      <c r="V585" s="6" t="s">
        <v>25</v>
      </c>
      <c r="W585" s="6" t="str">
        <f t="shared" si="72"/>
        <v>Storage</v>
      </c>
      <c r="X585" s="6" t="s">
        <v>2889</v>
      </c>
      <c r="Y585" s="6" t="s">
        <v>35</v>
      </c>
      <c r="Z585" s="6" t="str">
        <f t="shared" si="73"/>
        <v>First Class</v>
      </c>
      <c r="AA585" s="6">
        <v>1</v>
      </c>
      <c r="AB585" s="6">
        <v>2626.84</v>
      </c>
      <c r="AC585" s="6">
        <v>0.2</v>
      </c>
      <c r="AD585" s="6">
        <v>2101.4699999999998</v>
      </c>
      <c r="AE585" s="6">
        <v>1217.83</v>
      </c>
      <c r="AF585" s="6">
        <v>883.64</v>
      </c>
      <c r="AG585" s="6" t="s">
        <v>50</v>
      </c>
      <c r="AH585" s="6" t="str">
        <f t="shared" si="74"/>
        <v>Failed</v>
      </c>
      <c r="AI585" s="6" t="s">
        <v>59</v>
      </c>
      <c r="AJ585" s="6" t="str">
        <f t="shared" si="75"/>
        <v>Returned</v>
      </c>
      <c r="AK585" s="9" t="str">
        <f>_xlfn.TEXTJOIN("|",FALSE,A585,TEXT(B585,"mm-dd-yyyy"),TEXT(E585,"mm-dd-yyyy"),I585,J585,L585,N585,P585,R585,T585,V585,X585,Y585,AA585,AB585,AC585,AD585,AE585,AF585,AG585,AI585)</f>
        <v>ORD-2024-10584|02-28-2024|02-28-2024|CUST-1686|Rohan Mehta|Small Business|East|West Bengal|Kolkata|Office Supplies|Storage|Classic Storage 451|First Class|1|2626.84|0.2|2101.47|1217.83|883.64|Failed|Returned</v>
      </c>
      <c r="AL585" s="27" t="str">
        <f>IF(COUNTIF($AK$2:AK585,AK585)&gt;1,"Remove exact duplicate copy","Keep")</f>
        <v>Keep</v>
      </c>
      <c r="AM585" s="9">
        <f t="shared" si="76"/>
        <v>1</v>
      </c>
      <c r="AN585" s="9" t="str">
        <f t="shared" si="77"/>
        <v>Unique</v>
      </c>
      <c r="AO585" s="9" t="str">
        <f t="shared" si="78"/>
        <v/>
      </c>
      <c r="AP585" s="9">
        <f t="shared" si="79"/>
        <v>0.2</v>
      </c>
      <c r="AQ585" s="10">
        <f t="shared" si="80"/>
        <v>2101.4720000000002</v>
      </c>
      <c r="AR585" s="10">
        <f t="shared" si="81"/>
        <v>883.64200000000028</v>
      </c>
      <c r="AS585" s="11">
        <f t="shared" si="82"/>
        <v>0.42048716328364127</v>
      </c>
      <c r="AT585" s="9">
        <f t="shared" si="83"/>
        <v>2</v>
      </c>
      <c r="AU585" s="9">
        <f t="shared" si="84"/>
        <v>2024</v>
      </c>
      <c r="AV585" s="9" t="b">
        <f t="shared" si="85"/>
        <v>0</v>
      </c>
      <c r="AW585" s="9" t="b">
        <f t="shared" si="86"/>
        <v>0</v>
      </c>
      <c r="AX585" s="9" t="str">
        <f t="shared" si="87"/>
        <v>No</v>
      </c>
      <c r="AY585" s="9" t="str">
        <f t="shared" si="91"/>
        <v>Failed payment excluded; Returned order excluded</v>
      </c>
      <c r="AZ585" s="9" t="str">
        <f>IF(OR(G585="Missing date",G585="Invalid date",G585="Ship date before order date",NOT(ISNUMBER(AP585)),AP585&lt;0,AP585&gt;0.5,AV585=TRUE,AW585=TRUE),"Invalid",IF(OR(O585="Unknown",Z585="Unknown",AC585="",AH585&lt;&gt;"Paid",AJ585&lt;&gt;"Completed",AO585&lt;&gt;""),"Warning","Clean"))</f>
        <v>Warning</v>
      </c>
    </row>
    <row r="586" spans="1:52" ht="15.75" customHeight="1">
      <c r="A586" s="6" t="s">
        <v>2890</v>
      </c>
      <c r="B586" s="7" t="s">
        <v>2891</v>
      </c>
      <c r="C586" s="7" t="str">
        <f t="shared" si="90"/>
        <v>2024-08</v>
      </c>
      <c r="D586" s="7" cm="1">
        <f t="array" ref="D586">_xlfn.LET(_xlpm.x,B586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45508</v>
      </c>
      <c r="E586" s="7" t="s">
        <v>2892</v>
      </c>
      <c r="F586" s="7" cm="1">
        <f t="array" ref="F586">_xlfn.LET(_xlpm.x,E586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45514</v>
      </c>
      <c r="G586" s="8" t="str">
        <f t="shared" si="64"/>
        <v>OK</v>
      </c>
      <c r="H586" s="6">
        <f t="shared" si="65"/>
        <v>6</v>
      </c>
      <c r="I586" s="6" t="s">
        <v>2893</v>
      </c>
      <c r="J586" s="6" t="s">
        <v>169</v>
      </c>
      <c r="K586" s="6" t="str">
        <f t="shared" si="66"/>
        <v>Vikram Iyer</v>
      </c>
      <c r="L586" s="6" t="s">
        <v>43</v>
      </c>
      <c r="M586" s="8" t="str">
        <f t="shared" si="67"/>
        <v>Consumer</v>
      </c>
      <c r="N586" s="6" t="s">
        <v>8</v>
      </c>
      <c r="O586" s="6" t="str">
        <f t="shared" si="68"/>
        <v>East</v>
      </c>
      <c r="P586" s="6" t="s">
        <v>263</v>
      </c>
      <c r="Q586" s="6" t="str">
        <f t="shared" si="69"/>
        <v>Bihar</v>
      </c>
      <c r="R586" s="6" t="s">
        <v>264</v>
      </c>
      <c r="S586" s="6" t="str">
        <f t="shared" si="70"/>
        <v>Patna</v>
      </c>
      <c r="T586" s="6" t="s">
        <v>20</v>
      </c>
      <c r="U586" s="8" t="str">
        <f t="shared" si="71"/>
        <v>Office Supplies</v>
      </c>
      <c r="V586" s="6" t="s">
        <v>21</v>
      </c>
      <c r="W586" s="6" t="str">
        <f t="shared" si="72"/>
        <v>Art</v>
      </c>
      <c r="X586" s="6" t="s">
        <v>2894</v>
      </c>
      <c r="Y586" s="6" t="s">
        <v>37</v>
      </c>
      <c r="Z586" s="6" t="str">
        <f t="shared" si="73"/>
        <v>Same Day</v>
      </c>
      <c r="AA586" s="6">
        <v>1</v>
      </c>
      <c r="AB586" s="6">
        <v>984.93</v>
      </c>
      <c r="AC586" s="6">
        <v>0.15</v>
      </c>
      <c r="AD586" s="6">
        <v>837.19</v>
      </c>
      <c r="AE586" s="6">
        <v>583.79</v>
      </c>
      <c r="AF586" s="6">
        <v>253.4</v>
      </c>
      <c r="AG586" s="6" t="s">
        <v>54</v>
      </c>
      <c r="AH586" s="6" t="str">
        <f t="shared" si="74"/>
        <v>Pending</v>
      </c>
      <c r="AI586" s="6" t="s">
        <v>59</v>
      </c>
      <c r="AJ586" s="6" t="str">
        <f t="shared" si="75"/>
        <v>Returned</v>
      </c>
      <c r="AK586" s="9" t="str">
        <f>_xlfn.TEXTJOIN("|",FALSE,A586,TEXT(B586,"mm-dd-yyyy"),TEXT(E586,"mm-dd-yyyy"),I586,J586,L586,N586,P586,R586,T586,V586,X586,Y586,AA586,AB586,AC586,AD586,AE586,AF586,AG586,AI586)</f>
        <v>ORD-2024-10585|08-04-2024|10-08-2024|CUST-4894|Vikram Iyer|Consumer|East|Bihar|Patna|Office Supplies|Art|Pro Art 172|Same Day|1|984.93|0.15|837.19|583.79|253.4|Pending|Returned</v>
      </c>
      <c r="AL586" s="27" t="str">
        <f>IF(COUNTIF($AK$2:AK586,AK586)&gt;1,"Remove exact duplicate copy","Keep")</f>
        <v>Keep</v>
      </c>
      <c r="AM586" s="9">
        <f t="shared" si="76"/>
        <v>1</v>
      </c>
      <c r="AN586" s="9" t="str">
        <f t="shared" si="77"/>
        <v>Unique</v>
      </c>
      <c r="AO586" s="9" t="str">
        <f t="shared" si="78"/>
        <v/>
      </c>
      <c r="AP586" s="9">
        <f t="shared" si="79"/>
        <v>0.15</v>
      </c>
      <c r="AQ586" s="10">
        <f t="shared" si="80"/>
        <v>837.19049999999993</v>
      </c>
      <c r="AR586" s="10">
        <f t="shared" si="81"/>
        <v>253.40049999999997</v>
      </c>
      <c r="AS586" s="11">
        <f t="shared" si="82"/>
        <v>0.30267961712417901</v>
      </c>
      <c r="AT586" s="9">
        <f t="shared" si="83"/>
        <v>8</v>
      </c>
      <c r="AU586" s="9">
        <f t="shared" si="84"/>
        <v>2024</v>
      </c>
      <c r="AV586" s="9" t="b">
        <f t="shared" si="85"/>
        <v>0</v>
      </c>
      <c r="AW586" s="9" t="b">
        <f t="shared" si="86"/>
        <v>0</v>
      </c>
      <c r="AX586" s="9" t="str">
        <f t="shared" si="87"/>
        <v>No</v>
      </c>
      <c r="AY586" s="9" t="str">
        <f t="shared" si="91"/>
        <v>Returned order excluded</v>
      </c>
      <c r="AZ586" s="9" t="str">
        <f>IF(OR(G586="Missing date",G586="Invalid date",G586="Ship date before order date",NOT(ISNUMBER(AP586)),AP586&lt;0,AP586&gt;0.5,AV586=TRUE,AW586=TRUE),"Invalid",IF(OR(O586="Unknown",Z586="Unknown",AC586="",AH586&lt;&gt;"Paid",AJ586&lt;&gt;"Completed",AO586&lt;&gt;""),"Warning","Clean"))</f>
        <v>Warning</v>
      </c>
    </row>
    <row r="587" spans="1:52" ht="15.75" customHeight="1">
      <c r="A587" s="6" t="s">
        <v>2895</v>
      </c>
      <c r="B587" s="7" t="s">
        <v>1775</v>
      </c>
      <c r="C587" s="7" t="str">
        <f t="shared" si="90"/>
        <v>2025-06</v>
      </c>
      <c r="D587" s="7" cm="1">
        <f t="array" ref="D587">_xlfn.LET(_xlpm.x,B587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45830</v>
      </c>
      <c r="E587" s="7" t="s">
        <v>2896</v>
      </c>
      <c r="F587" s="7" cm="1">
        <f t="array" ref="F587">_xlfn.LET(_xlpm.x,E587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45833</v>
      </c>
      <c r="G587" s="8" t="str">
        <f t="shared" si="64"/>
        <v>OK</v>
      </c>
      <c r="H587" s="6">
        <f t="shared" si="65"/>
        <v>3</v>
      </c>
      <c r="I587" s="6" t="s">
        <v>2897</v>
      </c>
      <c r="J587" s="6" t="s">
        <v>284</v>
      </c>
      <c r="K587" s="6" t="str">
        <f t="shared" si="66"/>
        <v>Diya Patel</v>
      </c>
      <c r="L587" s="6" t="s">
        <v>46</v>
      </c>
      <c r="M587" s="8" t="str">
        <f t="shared" si="67"/>
        <v>Small Business</v>
      </c>
      <c r="N587" s="6" t="s">
        <v>1133</v>
      </c>
      <c r="O587" s="6" t="str">
        <f t="shared" si="68"/>
        <v>West</v>
      </c>
      <c r="P587" s="6" t="s">
        <v>162</v>
      </c>
      <c r="Q587" s="6" t="str">
        <f t="shared" si="69"/>
        <v>Maharashtra</v>
      </c>
      <c r="R587" s="6" t="s">
        <v>163</v>
      </c>
      <c r="S587" s="6" t="str">
        <f t="shared" si="70"/>
        <v>Mumbai</v>
      </c>
      <c r="T587" s="6" t="s">
        <v>27</v>
      </c>
      <c r="U587" s="8" t="str">
        <f t="shared" si="71"/>
        <v>Technology</v>
      </c>
      <c r="V587" s="6" t="s">
        <v>31</v>
      </c>
      <c r="W587" s="6" t="str">
        <f t="shared" si="72"/>
        <v>Phones</v>
      </c>
      <c r="X587" s="6" t="s">
        <v>2898</v>
      </c>
      <c r="Y587" s="6" t="s">
        <v>35</v>
      </c>
      <c r="Z587" s="6" t="str">
        <f t="shared" si="73"/>
        <v>First Class</v>
      </c>
      <c r="AA587" s="6">
        <v>8</v>
      </c>
      <c r="AB587" s="6">
        <v>3453.66</v>
      </c>
      <c r="AC587" s="6">
        <v>0</v>
      </c>
      <c r="AD587" s="6">
        <v>27629.279999999999</v>
      </c>
      <c r="AE587" s="6">
        <v>22026.48</v>
      </c>
      <c r="AF587" s="6">
        <v>5602.8</v>
      </c>
      <c r="AG587" s="6" t="s">
        <v>52</v>
      </c>
      <c r="AH587" s="6" t="str">
        <f t="shared" si="74"/>
        <v>Paid</v>
      </c>
      <c r="AI587" s="6" t="s">
        <v>134</v>
      </c>
      <c r="AJ587" s="6" t="str">
        <f t="shared" si="75"/>
        <v>Completed</v>
      </c>
      <c r="AK587" s="9" t="str">
        <f>_xlfn.TEXTJOIN("|",FALSE,A587,TEXT(B587,"mm-dd-yyyy"),TEXT(E587,"mm-dd-yyyy"),I587,J587,L587,N587,P587,R587,T587,V587,X587,Y587,AA587,AB587,AC587,AD587,AE587,AF587,AG587,AI587)</f>
        <v>ORD-2025-10586|06-22-2025|06-25-2025|CUST-5201|Diya Patel|Small Business|WEST|Maharashtra|Mumbai|Technology|Phones|Prime Phones 744|First Class|8|3453.66|0|27629.28|22026.48|5602.8|Paid|Completed</v>
      </c>
      <c r="AL587" s="27" t="str">
        <f>IF(COUNTIF($AK$2:AK587,AK587)&gt;1,"Remove exact duplicate copy","Keep")</f>
        <v>Keep</v>
      </c>
      <c r="AM587" s="9">
        <f t="shared" si="76"/>
        <v>1</v>
      </c>
      <c r="AN587" s="9" t="str">
        <f t="shared" si="77"/>
        <v>Unique</v>
      </c>
      <c r="AO587" s="9" t="str">
        <f t="shared" si="78"/>
        <v/>
      </c>
      <c r="AP587" s="9">
        <f t="shared" si="79"/>
        <v>0</v>
      </c>
      <c r="AQ587" s="10">
        <f t="shared" si="80"/>
        <v>27629.279999999999</v>
      </c>
      <c r="AR587" s="10">
        <f t="shared" si="81"/>
        <v>5602.7999999999993</v>
      </c>
      <c r="AS587" s="11">
        <f t="shared" si="82"/>
        <v>0.20278487170132553</v>
      </c>
      <c r="AT587" s="9">
        <f t="shared" si="83"/>
        <v>6</v>
      </c>
      <c r="AU587" s="9">
        <f t="shared" si="84"/>
        <v>2025</v>
      </c>
      <c r="AV587" s="9" t="b">
        <f t="shared" si="85"/>
        <v>0</v>
      </c>
      <c r="AW587" s="9" t="b">
        <f t="shared" si="86"/>
        <v>0</v>
      </c>
      <c r="AX587" s="9" t="str">
        <f t="shared" si="87"/>
        <v>Yes</v>
      </c>
      <c r="AY587" s="9" t="str">
        <f t="shared" si="91"/>
        <v/>
      </c>
      <c r="AZ587" s="9" t="str">
        <f>IF(OR(G587="Missing date",G587="Invalid date",G587="Ship date before order date",NOT(ISNUMBER(AP587)),AP587&lt;0,AP587&gt;0.5,AV587=TRUE,AW587=TRUE),"Invalid",IF(OR(O587="Unknown",Z587="Unknown",AC587="",AH587&lt;&gt;"Paid",AJ587&lt;&gt;"Completed",AO587&lt;&gt;""),"Warning","Clean"))</f>
        <v>Clean</v>
      </c>
    </row>
    <row r="588" spans="1:52" ht="15.75" customHeight="1">
      <c r="A588" s="6" t="s">
        <v>2899</v>
      </c>
      <c r="B588" s="7" t="s">
        <v>2900</v>
      </c>
      <c r="C588" s="7" t="str">
        <f t="shared" si="90"/>
        <v>2025-04</v>
      </c>
      <c r="D588" s="7" cm="1">
        <f t="array" ref="D588">_xlfn.LET(_xlpm.x,B588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45759</v>
      </c>
      <c r="E588" s="7" t="s">
        <v>2901</v>
      </c>
      <c r="F588" s="7" cm="1">
        <f t="array" ref="F588">_xlfn.LET(_xlpm.x,E588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45759</v>
      </c>
      <c r="G588" s="8" t="str">
        <f t="shared" si="64"/>
        <v>OK</v>
      </c>
      <c r="H588" s="6">
        <f t="shared" si="65"/>
        <v>0</v>
      </c>
      <c r="I588" s="6" t="s">
        <v>2902</v>
      </c>
      <c r="J588" s="6" t="s">
        <v>139</v>
      </c>
      <c r="K588" s="6" t="str">
        <f t="shared" si="66"/>
        <v>Mira Das</v>
      </c>
      <c r="L588" s="6" t="s">
        <v>44</v>
      </c>
      <c r="M588" s="8" t="str">
        <f t="shared" si="67"/>
        <v>Home Office</v>
      </c>
      <c r="N588" s="6" t="s">
        <v>7</v>
      </c>
      <c r="O588" s="6" t="str">
        <f t="shared" si="68"/>
        <v>North</v>
      </c>
      <c r="P588" s="6" t="s">
        <v>232</v>
      </c>
      <c r="Q588" s="6" t="str">
        <f t="shared" si="69"/>
        <v>Punjab</v>
      </c>
      <c r="R588" s="6" t="s">
        <v>233</v>
      </c>
      <c r="S588" s="6" t="str">
        <f t="shared" si="70"/>
        <v>Ludhiana</v>
      </c>
      <c r="T588" s="6" t="s">
        <v>20</v>
      </c>
      <c r="U588" s="8" t="str">
        <f t="shared" si="71"/>
        <v>Office Supplies</v>
      </c>
      <c r="V588" s="6" t="s">
        <v>22</v>
      </c>
      <c r="W588" s="6" t="str">
        <f t="shared" si="72"/>
        <v>Binders</v>
      </c>
      <c r="X588" s="6" t="s">
        <v>2903</v>
      </c>
      <c r="Y588" s="6" t="s">
        <v>36</v>
      </c>
      <c r="Z588" s="6" t="str">
        <f t="shared" si="73"/>
        <v>Second Class</v>
      </c>
      <c r="AA588" s="6">
        <v>7</v>
      </c>
      <c r="AB588" s="6">
        <v>1334.2</v>
      </c>
      <c r="AC588" s="6">
        <v>0.2</v>
      </c>
      <c r="AD588" s="6">
        <v>7471.52</v>
      </c>
      <c r="AE588" s="6">
        <v>6184.32</v>
      </c>
      <c r="AF588" s="6">
        <v>1287.2</v>
      </c>
      <c r="AG588" s="6" t="s">
        <v>52</v>
      </c>
      <c r="AH588" s="6" t="str">
        <f t="shared" si="74"/>
        <v>Paid</v>
      </c>
      <c r="AI588" s="6" t="s">
        <v>134</v>
      </c>
      <c r="AJ588" s="6" t="str">
        <f t="shared" si="75"/>
        <v>Completed</v>
      </c>
      <c r="AK588" s="9" t="str">
        <f>_xlfn.TEXTJOIN("|",FALSE,A588,TEXT(B588,"mm-dd-yyyy"),TEXT(E588,"mm-dd-yyyy"),I588,J588,L588,N588,P588,R588,T588,V588,X588,Y588,AA588,AB588,AC588,AD588,AE588,AF588,AG588,AI588)</f>
        <v>ORD-2025-10587|12-04-2025|04-12-2025|CUST-8626|Mira Das|Home Office|North|Punjab|Ludhiana|Office Supplies|Binders|Prime Binders 249|Second Class|7|1334.2|0.2|7471.52|6184.32|1287.2|Paid|Completed</v>
      </c>
      <c r="AL588" s="27" t="str">
        <f>IF(COUNTIF($AK$2:AK588,AK588)&gt;1,"Remove exact duplicate copy","Keep")</f>
        <v>Keep</v>
      </c>
      <c r="AM588" s="9">
        <f t="shared" si="76"/>
        <v>1</v>
      </c>
      <c r="AN588" s="9" t="str">
        <f t="shared" si="77"/>
        <v>Unique</v>
      </c>
      <c r="AO588" s="9" t="str">
        <f t="shared" si="78"/>
        <v/>
      </c>
      <c r="AP588" s="9">
        <f t="shared" si="79"/>
        <v>0.2</v>
      </c>
      <c r="AQ588" s="10">
        <f t="shared" si="80"/>
        <v>7471.52</v>
      </c>
      <c r="AR588" s="10">
        <f t="shared" si="81"/>
        <v>1287.2000000000007</v>
      </c>
      <c r="AS588" s="11">
        <f t="shared" si="82"/>
        <v>0.17228087457438387</v>
      </c>
      <c r="AT588" s="9">
        <f t="shared" si="83"/>
        <v>4</v>
      </c>
      <c r="AU588" s="9">
        <f t="shared" si="84"/>
        <v>2025</v>
      </c>
      <c r="AV588" s="9" t="b">
        <f t="shared" si="85"/>
        <v>0</v>
      </c>
      <c r="AW588" s="9" t="b">
        <f t="shared" si="86"/>
        <v>0</v>
      </c>
      <c r="AX588" s="9" t="str">
        <f t="shared" si="87"/>
        <v>Yes</v>
      </c>
      <c r="AY588" s="9" t="str">
        <f t="shared" si="91"/>
        <v/>
      </c>
      <c r="AZ588" s="9" t="str">
        <f>IF(OR(G588="Missing date",G588="Invalid date",G588="Ship date before order date",NOT(ISNUMBER(AP588)),AP588&lt;0,AP588&gt;0.5,AV588=TRUE,AW588=TRUE),"Invalid",IF(OR(O588="Unknown",Z588="Unknown",AC588="",AH588&lt;&gt;"Paid",AJ588&lt;&gt;"Completed",AO588&lt;&gt;""),"Warning","Clean"))</f>
        <v>Clean</v>
      </c>
    </row>
    <row r="589" spans="1:52" ht="15.75" customHeight="1">
      <c r="A589" s="6" t="s">
        <v>2904</v>
      </c>
      <c r="B589" s="7" t="s">
        <v>2905</v>
      </c>
      <c r="C589" s="7" t="str">
        <f t="shared" si="90"/>
        <v>2025-07</v>
      </c>
      <c r="D589" s="7" cm="1">
        <f t="array" ref="D589">_xlfn.LET(_xlpm.x,B589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45861</v>
      </c>
      <c r="E589" s="7" t="s">
        <v>2906</v>
      </c>
      <c r="F589" s="7" cm="1">
        <f t="array" ref="F589">_xlfn.LET(_xlpm.x,E589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45869</v>
      </c>
      <c r="G589" s="8" t="str">
        <f t="shared" si="64"/>
        <v>OK</v>
      </c>
      <c r="H589" s="6">
        <f t="shared" si="65"/>
        <v>8</v>
      </c>
      <c r="I589" s="6" t="s">
        <v>2907</v>
      </c>
      <c r="J589" s="6" t="s">
        <v>442</v>
      </c>
      <c r="K589" s="6" t="str">
        <f t="shared" si="66"/>
        <v>Kabir Singh</v>
      </c>
      <c r="L589" s="6" t="s">
        <v>44</v>
      </c>
      <c r="M589" s="8" t="str">
        <f t="shared" si="67"/>
        <v>Home Office</v>
      </c>
      <c r="N589" s="6" t="s">
        <v>9</v>
      </c>
      <c r="O589" s="6" t="str">
        <f t="shared" si="68"/>
        <v>West</v>
      </c>
      <c r="P589" s="6" t="s">
        <v>170</v>
      </c>
      <c r="Q589" s="6" t="str">
        <f t="shared" si="69"/>
        <v>Madhya Pradesh</v>
      </c>
      <c r="R589" s="6" t="s">
        <v>171</v>
      </c>
      <c r="S589" s="6" t="str">
        <f t="shared" si="70"/>
        <v>Indore</v>
      </c>
      <c r="T589" s="6" t="s">
        <v>27</v>
      </c>
      <c r="U589" s="8" t="str">
        <f t="shared" si="71"/>
        <v>Technology</v>
      </c>
      <c r="V589" s="6" t="s">
        <v>28</v>
      </c>
      <c r="W589" s="6" t="str">
        <f t="shared" si="72"/>
        <v>Accessories</v>
      </c>
      <c r="X589" s="6" t="s">
        <v>2908</v>
      </c>
      <c r="Y589" s="6" t="s">
        <v>35</v>
      </c>
      <c r="Z589" s="6" t="str">
        <f t="shared" si="73"/>
        <v>First Class</v>
      </c>
      <c r="AA589" s="6">
        <v>1</v>
      </c>
      <c r="AB589" s="6">
        <v>4253.84</v>
      </c>
      <c r="AC589" s="6">
        <v>0.15</v>
      </c>
      <c r="AD589" s="6">
        <v>3615.76</v>
      </c>
      <c r="AE589" s="6">
        <v>2951.52</v>
      </c>
      <c r="AF589" s="6">
        <v>664.24</v>
      </c>
      <c r="AG589" s="6" t="s">
        <v>56</v>
      </c>
      <c r="AH589" s="6" t="str">
        <f t="shared" si="74"/>
        <v>Refunded</v>
      </c>
      <c r="AI589" s="6" t="s">
        <v>58</v>
      </c>
      <c r="AJ589" s="6" t="str">
        <f t="shared" si="75"/>
        <v>Cancelled</v>
      </c>
      <c r="AK589" s="9" t="str">
        <f>_xlfn.TEXTJOIN("|",FALSE,A589,TEXT(B589,"mm-dd-yyyy"),TEXT(E589,"mm-dd-yyyy"),I589,J589,L589,N589,P589,R589,T589,V589,X589,Y589,AA589,AB589,AC589,AD589,AE589,AF589,AG589,AI589)</f>
        <v>ORD-2025-10588|23-07-2025|07-31-2025|CUST-1013|Kabir Singh|Home Office|West|Madhya Pradesh|Indore|Technology|Accessories|Eco Accessories 948|First Class|1|4253.84|0.15|3615.76|2951.52|664.24|Refunded|Cancelled</v>
      </c>
      <c r="AL589" s="27" t="str">
        <f>IF(COUNTIF($AK$2:AK589,AK589)&gt;1,"Remove exact duplicate copy","Keep")</f>
        <v>Keep</v>
      </c>
      <c r="AM589" s="9">
        <f t="shared" si="76"/>
        <v>1</v>
      </c>
      <c r="AN589" s="9" t="str">
        <f t="shared" si="77"/>
        <v>Unique</v>
      </c>
      <c r="AO589" s="9" t="str">
        <f t="shared" si="78"/>
        <v/>
      </c>
      <c r="AP589" s="9">
        <f t="shared" si="79"/>
        <v>0.15</v>
      </c>
      <c r="AQ589" s="10">
        <f t="shared" si="80"/>
        <v>3615.7640000000001</v>
      </c>
      <c r="AR589" s="10">
        <f t="shared" si="81"/>
        <v>664.24400000000014</v>
      </c>
      <c r="AS589" s="11">
        <f t="shared" si="82"/>
        <v>0.18370778623826114</v>
      </c>
      <c r="AT589" s="9">
        <f t="shared" si="83"/>
        <v>7</v>
      </c>
      <c r="AU589" s="9">
        <f t="shared" si="84"/>
        <v>2025</v>
      </c>
      <c r="AV589" s="9" t="b">
        <f t="shared" si="85"/>
        <v>0</v>
      </c>
      <c r="AW589" s="9" t="b">
        <f t="shared" si="86"/>
        <v>0</v>
      </c>
      <c r="AX589" s="9" t="str">
        <f t="shared" si="87"/>
        <v>No</v>
      </c>
      <c r="AY589" s="9" t="str">
        <f t="shared" si="91"/>
        <v>Refunded order summarized separately; Cancelled order excluded</v>
      </c>
      <c r="AZ589" s="9" t="str">
        <f>IF(OR(G589="Missing date",G589="Invalid date",G589="Ship date before order date",NOT(ISNUMBER(AP589)),AP589&lt;0,AP589&gt;0.5,AV589=TRUE,AW589=TRUE),"Invalid",IF(OR(O589="Unknown",Z589="Unknown",AC589="",AH589&lt;&gt;"Paid",AJ589&lt;&gt;"Completed",AO589&lt;&gt;""),"Warning","Clean"))</f>
        <v>Warning</v>
      </c>
    </row>
    <row r="590" spans="1:52" ht="15.75" customHeight="1">
      <c r="A590" s="6" t="s">
        <v>2909</v>
      </c>
      <c r="B590" s="7" t="s">
        <v>2910</v>
      </c>
      <c r="C590" s="7" t="str">
        <f t="shared" si="90"/>
        <v>2025-03</v>
      </c>
      <c r="D590" s="7" cm="1">
        <f t="array" ref="D590">_xlfn.LET(_xlpm.x,B590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45727</v>
      </c>
      <c r="E590" s="7" t="s">
        <v>2911</v>
      </c>
      <c r="F590" s="7" cm="1">
        <f t="array" ref="F590">_xlfn.LET(_xlpm.x,E590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45731</v>
      </c>
      <c r="G590" s="8" t="str">
        <f t="shared" si="64"/>
        <v>OK</v>
      </c>
      <c r="H590" s="6">
        <f t="shared" si="65"/>
        <v>4</v>
      </c>
      <c r="I590" s="6" t="s">
        <v>2912</v>
      </c>
      <c r="J590" s="6" t="s">
        <v>239</v>
      </c>
      <c r="K590" s="6" t="str">
        <f t="shared" si="66"/>
        <v>Aarav Sharma</v>
      </c>
      <c r="L590" s="6" t="s">
        <v>44</v>
      </c>
      <c r="M590" s="8" t="str">
        <f t="shared" si="67"/>
        <v>Home Office</v>
      </c>
      <c r="N590" s="6" t="s">
        <v>10</v>
      </c>
      <c r="O590" s="6" t="str">
        <f t="shared" si="68"/>
        <v>South</v>
      </c>
      <c r="P590" s="6" t="s">
        <v>303</v>
      </c>
      <c r="Q590" s="6" t="str">
        <f t="shared" si="69"/>
        <v>Karnataka</v>
      </c>
      <c r="R590" s="6" t="s">
        <v>304</v>
      </c>
      <c r="S590" s="6" t="str">
        <f t="shared" si="70"/>
        <v>Bengaluru</v>
      </c>
      <c r="T590" s="6" t="s">
        <v>27</v>
      </c>
      <c r="U590" s="8" t="str">
        <f t="shared" si="71"/>
        <v>Technology</v>
      </c>
      <c r="V590" s="6" t="s">
        <v>28</v>
      </c>
      <c r="W590" s="6" t="str">
        <f t="shared" si="72"/>
        <v>Accessories</v>
      </c>
      <c r="X590" s="6" t="s">
        <v>2913</v>
      </c>
      <c r="Y590" s="6" t="s">
        <v>36</v>
      </c>
      <c r="Z590" s="6" t="str">
        <f t="shared" si="73"/>
        <v>Second Class</v>
      </c>
      <c r="AA590" s="6">
        <v>8</v>
      </c>
      <c r="AB590" s="6">
        <v>4446.3599999999997</v>
      </c>
      <c r="AC590" s="6">
        <v>0.1</v>
      </c>
      <c r="AD590" s="6">
        <v>32013.79</v>
      </c>
      <c r="AE590" s="6">
        <v>20896.88</v>
      </c>
      <c r="AF590" s="6">
        <v>11116.91</v>
      </c>
      <c r="AG590" s="6" t="s">
        <v>56</v>
      </c>
      <c r="AH590" s="6" t="str">
        <f t="shared" si="74"/>
        <v>Refunded</v>
      </c>
      <c r="AI590" s="6" t="s">
        <v>58</v>
      </c>
      <c r="AJ590" s="6" t="str">
        <f t="shared" si="75"/>
        <v>Cancelled</v>
      </c>
      <c r="AK590" s="9" t="str">
        <f>_xlfn.TEXTJOIN("|",FALSE,A590,TEXT(B590,"mm-dd-yyyy"),TEXT(E590,"mm-dd-yyyy"),I590,J590,L590,N590,P590,R590,T590,V590,X590,Y590,AA590,AB590,AC590,AD590,AE590,AF590,AG590,AI590)</f>
        <v>ORD-2025-10589|03-11-2025|03-15-2025|CUST-3601|Aarav Sharma|Home Office|South|Karnataka|Bengaluru|Technology|Accessories|Classic Accessories 458|Second Class|8|4446.36|0.1|32013.79|20896.88|11116.91|Refunded|Cancelled</v>
      </c>
      <c r="AL590" s="27" t="str">
        <f>IF(COUNTIF($AK$2:AK590,AK590)&gt;1,"Remove exact duplicate copy","Keep")</f>
        <v>Keep</v>
      </c>
      <c r="AM590" s="9">
        <f t="shared" si="76"/>
        <v>1</v>
      </c>
      <c r="AN590" s="9" t="str">
        <f t="shared" si="77"/>
        <v>Unique</v>
      </c>
      <c r="AO590" s="9" t="str">
        <f t="shared" si="78"/>
        <v/>
      </c>
      <c r="AP590" s="9">
        <f t="shared" si="79"/>
        <v>0.1</v>
      </c>
      <c r="AQ590" s="10">
        <f t="shared" si="80"/>
        <v>32013.791999999998</v>
      </c>
      <c r="AR590" s="10">
        <f t="shared" si="81"/>
        <v>11116.911999999997</v>
      </c>
      <c r="AS590" s="11">
        <f t="shared" si="82"/>
        <v>0.34725383359771933</v>
      </c>
      <c r="AT590" s="9">
        <f t="shared" si="83"/>
        <v>3</v>
      </c>
      <c r="AU590" s="9">
        <f t="shared" si="84"/>
        <v>2025</v>
      </c>
      <c r="AV590" s="9" t="b">
        <f t="shared" si="85"/>
        <v>0</v>
      </c>
      <c r="AW590" s="9" t="b">
        <f t="shared" si="86"/>
        <v>0</v>
      </c>
      <c r="AX590" s="9" t="str">
        <f t="shared" si="87"/>
        <v>No</v>
      </c>
      <c r="AY590" s="9" t="str">
        <f t="shared" si="91"/>
        <v>Refunded order summarized separately; Cancelled order excluded</v>
      </c>
      <c r="AZ590" s="9" t="str">
        <f>IF(OR(G590="Missing date",G590="Invalid date",G590="Ship date before order date",NOT(ISNUMBER(AP590)),AP590&lt;0,AP590&gt;0.5,AV590=TRUE,AW590=TRUE),"Invalid",IF(OR(O590="Unknown",Z590="Unknown",AC590="",AH590&lt;&gt;"Paid",AJ590&lt;&gt;"Completed",AO590&lt;&gt;""),"Warning","Clean"))</f>
        <v>Warning</v>
      </c>
    </row>
    <row r="591" spans="1:52" ht="15.75" customHeight="1">
      <c r="A591" s="6" t="s">
        <v>2914</v>
      </c>
      <c r="B591" s="7" t="s">
        <v>2915</v>
      </c>
      <c r="C591" s="7" t="str">
        <f t="shared" si="90"/>
        <v>2024-12</v>
      </c>
      <c r="D591" s="7" cm="1">
        <f t="array" ref="D591">_xlfn.LET(_xlpm.x,B591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45632</v>
      </c>
      <c r="E591" s="7" t="s">
        <v>2916</v>
      </c>
      <c r="F591" s="7" cm="1">
        <f t="array" ref="F591">_xlfn.LET(_xlpm.x,E591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45638</v>
      </c>
      <c r="G591" s="8" t="str">
        <f t="shared" si="64"/>
        <v>OK</v>
      </c>
      <c r="H591" s="6">
        <f t="shared" si="65"/>
        <v>6</v>
      </c>
      <c r="I591" s="6" t="s">
        <v>2917</v>
      </c>
      <c r="J591" s="6" t="s">
        <v>257</v>
      </c>
      <c r="K591" s="6" t="str">
        <f t="shared" si="66"/>
        <v>Rohan Mehta</v>
      </c>
      <c r="L591" s="6" t="s">
        <v>45</v>
      </c>
      <c r="M591" s="8" t="str">
        <f t="shared" si="67"/>
        <v>Corporate</v>
      </c>
      <c r="N591" s="6" t="s">
        <v>7</v>
      </c>
      <c r="O591" s="6" t="str">
        <f t="shared" si="68"/>
        <v>North</v>
      </c>
      <c r="P591" s="6" t="s">
        <v>251</v>
      </c>
      <c r="Q591" s="6" t="str">
        <f t="shared" si="69"/>
        <v>Uttar Pradesh</v>
      </c>
      <c r="R591" s="6" t="s">
        <v>252</v>
      </c>
      <c r="S591" s="6" t="str">
        <f t="shared" si="70"/>
        <v>Noida</v>
      </c>
      <c r="T591" s="6" t="s">
        <v>27</v>
      </c>
      <c r="U591" s="8" t="str">
        <f t="shared" si="71"/>
        <v>Technology</v>
      </c>
      <c r="V591" s="6" t="s">
        <v>31</v>
      </c>
      <c r="W591" s="6" t="str">
        <f t="shared" si="72"/>
        <v>Phones</v>
      </c>
      <c r="X591" s="6" t="s">
        <v>2918</v>
      </c>
      <c r="Y591" s="6" t="s">
        <v>35</v>
      </c>
      <c r="Z591" s="6" t="str">
        <f t="shared" si="73"/>
        <v>First Class</v>
      </c>
      <c r="AA591" s="6">
        <v>3</v>
      </c>
      <c r="AB591" s="6">
        <v>524.75</v>
      </c>
      <c r="AC591" s="6">
        <v>0</v>
      </c>
      <c r="AD591" s="6">
        <v>1574.25</v>
      </c>
      <c r="AE591" s="6">
        <v>1326.12</v>
      </c>
      <c r="AF591" s="6">
        <v>248.13</v>
      </c>
      <c r="AG591" s="6" t="s">
        <v>52</v>
      </c>
      <c r="AH591" s="6" t="str">
        <f t="shared" si="74"/>
        <v>Paid</v>
      </c>
      <c r="AI591" s="6" t="s">
        <v>134</v>
      </c>
      <c r="AJ591" s="6" t="str">
        <f t="shared" si="75"/>
        <v>Completed</v>
      </c>
      <c r="AK591" s="9" t="str">
        <f>_xlfn.TEXTJOIN("|",FALSE,A591,TEXT(B591,"mm-dd-yyyy"),TEXT(E591,"mm-dd-yyyy"),I591,J591,L591,N591,P591,R591,T591,V591,X591,Y591,AA591,AB591,AC591,AD591,AE591,AF591,AG591,AI591)</f>
        <v>ORD-2024-10590|12-06-2024|12-12-2024|CUST-7846|Rohan Mehta|Corporate|North|Uttar Pradesh|Noida|Technology|Phones|Max Phones 318|First Class|3|524.75|0|1574.25|1326.12|248.13|Paid|Completed</v>
      </c>
      <c r="AL591" s="27" t="str">
        <f>IF(COUNTIF($AK$2:AK591,AK591)&gt;1,"Remove exact duplicate copy","Keep")</f>
        <v>Keep</v>
      </c>
      <c r="AM591" s="9">
        <f t="shared" si="76"/>
        <v>1</v>
      </c>
      <c r="AN591" s="9" t="str">
        <f t="shared" si="77"/>
        <v>Unique</v>
      </c>
      <c r="AO591" s="9" t="str">
        <f t="shared" si="78"/>
        <v/>
      </c>
      <c r="AP591" s="9">
        <f t="shared" si="79"/>
        <v>0</v>
      </c>
      <c r="AQ591" s="10">
        <f t="shared" si="80"/>
        <v>1574.25</v>
      </c>
      <c r="AR591" s="10">
        <f t="shared" si="81"/>
        <v>248.13000000000011</v>
      </c>
      <c r="AS591" s="11">
        <f t="shared" si="82"/>
        <v>0.15761791329204389</v>
      </c>
      <c r="AT591" s="9">
        <f t="shared" si="83"/>
        <v>12</v>
      </c>
      <c r="AU591" s="9">
        <f t="shared" si="84"/>
        <v>2024</v>
      </c>
      <c r="AV591" s="9" t="b">
        <f t="shared" si="85"/>
        <v>0</v>
      </c>
      <c r="AW591" s="9" t="b">
        <f t="shared" si="86"/>
        <v>0</v>
      </c>
      <c r="AX591" s="9" t="str">
        <f t="shared" si="87"/>
        <v>Yes</v>
      </c>
      <c r="AY591" s="9" t="str">
        <f t="shared" si="91"/>
        <v/>
      </c>
      <c r="AZ591" s="9" t="str">
        <f>IF(OR(G591="Missing date",G591="Invalid date",G591="Ship date before order date",NOT(ISNUMBER(AP591)),AP591&lt;0,AP591&gt;0.5,AV591=TRUE,AW591=TRUE),"Invalid",IF(OR(O591="Unknown",Z591="Unknown",AC591="",AH591&lt;&gt;"Paid",AJ591&lt;&gt;"Completed",AO591&lt;&gt;""),"Warning","Clean"))</f>
        <v>Clean</v>
      </c>
    </row>
    <row r="592" spans="1:52" ht="15.75" customHeight="1">
      <c r="A592" s="6" t="s">
        <v>2919</v>
      </c>
      <c r="B592" s="7" t="s">
        <v>347</v>
      </c>
      <c r="C592" s="7" t="str">
        <f t="shared" si="90"/>
        <v>2024-05</v>
      </c>
      <c r="D592" s="7" cm="1">
        <f t="array" ref="D592">_xlfn.LET(_xlpm.x,B592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45441</v>
      </c>
      <c r="E592" s="7" t="s">
        <v>2920</v>
      </c>
      <c r="F592" s="7" cm="1">
        <f t="array" ref="F592">_xlfn.LET(_xlpm.x,E592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45441</v>
      </c>
      <c r="G592" s="8" t="str">
        <f t="shared" si="64"/>
        <v>OK</v>
      </c>
      <c r="H592" s="6">
        <f t="shared" si="65"/>
        <v>0</v>
      </c>
      <c r="I592" s="6" t="s">
        <v>2921</v>
      </c>
      <c r="J592" s="6" t="s">
        <v>239</v>
      </c>
      <c r="K592" s="6" t="str">
        <f t="shared" si="66"/>
        <v>Aarav Sharma</v>
      </c>
      <c r="L592" s="6" t="s">
        <v>44</v>
      </c>
      <c r="M592" s="8" t="str">
        <f t="shared" si="67"/>
        <v>Home Office</v>
      </c>
      <c r="N592" s="6" t="s">
        <v>7</v>
      </c>
      <c r="O592" s="6" t="str">
        <f t="shared" si="68"/>
        <v>North</v>
      </c>
      <c r="P592" s="6" t="s">
        <v>583</v>
      </c>
      <c r="Q592" s="6" t="str">
        <f t="shared" si="69"/>
        <v>Delhi</v>
      </c>
      <c r="R592" s="6" t="s">
        <v>584</v>
      </c>
      <c r="S592" s="6" t="str">
        <f t="shared" si="70"/>
        <v>New Delhi</v>
      </c>
      <c r="T592" s="6" t="s">
        <v>14</v>
      </c>
      <c r="U592" s="8" t="str">
        <f t="shared" si="71"/>
        <v>Furniture</v>
      </c>
      <c r="V592" s="6" t="s">
        <v>16</v>
      </c>
      <c r="W592" s="6" t="str">
        <f t="shared" si="72"/>
        <v>Chairs</v>
      </c>
      <c r="X592" s="6" t="s">
        <v>2922</v>
      </c>
      <c r="Y592" s="6" t="s">
        <v>37</v>
      </c>
      <c r="Z592" s="6" t="str">
        <f t="shared" si="73"/>
        <v>Same Day</v>
      </c>
      <c r="AA592" s="6">
        <v>6</v>
      </c>
      <c r="AB592" s="6">
        <v>3430.35</v>
      </c>
      <c r="AC592" s="6">
        <v>0</v>
      </c>
      <c r="AD592" s="6">
        <v>20582.099999999999</v>
      </c>
      <c r="AE592" s="6">
        <v>15897.65</v>
      </c>
      <c r="AF592" s="6">
        <v>4684.45</v>
      </c>
      <c r="AG592" s="6" t="s">
        <v>2923</v>
      </c>
      <c r="AH592" s="6" t="str">
        <f t="shared" si="74"/>
        <v>Pending</v>
      </c>
      <c r="AI592" s="6" t="s">
        <v>58</v>
      </c>
      <c r="AJ592" s="6" t="str">
        <f t="shared" si="75"/>
        <v>Cancelled</v>
      </c>
      <c r="AK592" s="9" t="str">
        <f>_xlfn.TEXTJOIN("|",FALSE,A592,TEXT(B592,"mm-dd-yyyy"),TEXT(E592,"mm-dd-yyyy"),I592,J592,L592,N592,P592,R592,T592,V592,X592,Y592,AA592,AB592,AC592,AD592,AE592,AF592,AG592,AI592)</f>
        <v>ORD-2024-10591|29-05-2024|05-29-2024|CUST-3433|Aarav Sharma|Home Office|North|Delhi|New Delhi|Furniture|Chairs|Elite Chairs 372|Same Day|6|3430.35|0|20582.1|15897.65|4684.45|  Pending |Cancelled</v>
      </c>
      <c r="AL592" s="27" t="str">
        <f>IF(COUNTIF($AK$2:AK592,AK592)&gt;1,"Remove exact duplicate copy","Keep")</f>
        <v>Keep</v>
      </c>
      <c r="AM592" s="9">
        <f t="shared" si="76"/>
        <v>1</v>
      </c>
      <c r="AN592" s="9" t="str">
        <f t="shared" si="77"/>
        <v>Unique</v>
      </c>
      <c r="AO592" s="9" t="str">
        <f t="shared" si="78"/>
        <v/>
      </c>
      <c r="AP592" s="9">
        <f t="shared" si="79"/>
        <v>0</v>
      </c>
      <c r="AQ592" s="10">
        <f t="shared" si="80"/>
        <v>20582.099999999999</v>
      </c>
      <c r="AR592" s="10">
        <f t="shared" si="81"/>
        <v>4684.4499999999989</v>
      </c>
      <c r="AS592" s="11">
        <f t="shared" si="82"/>
        <v>0.22759825285077806</v>
      </c>
      <c r="AT592" s="9">
        <f t="shared" si="83"/>
        <v>5</v>
      </c>
      <c r="AU592" s="9">
        <f t="shared" si="84"/>
        <v>2024</v>
      </c>
      <c r="AV592" s="9" t="b">
        <f t="shared" si="85"/>
        <v>0</v>
      </c>
      <c r="AW592" s="9" t="b">
        <f t="shared" si="86"/>
        <v>0</v>
      </c>
      <c r="AX592" s="9" t="str">
        <f t="shared" si="87"/>
        <v>No</v>
      </c>
      <c r="AY592" s="9" t="str">
        <f t="shared" si="91"/>
        <v>Cancelled order excluded</v>
      </c>
      <c r="AZ592" s="9" t="str">
        <f>IF(OR(G592="Missing date",G592="Invalid date",G592="Ship date before order date",NOT(ISNUMBER(AP592)),AP592&lt;0,AP592&gt;0.5,AV592=TRUE,AW592=TRUE),"Invalid",IF(OR(O592="Unknown",Z592="Unknown",AC592="",AH592&lt;&gt;"Paid",AJ592&lt;&gt;"Completed",AO592&lt;&gt;""),"Warning","Clean"))</f>
        <v>Warning</v>
      </c>
    </row>
    <row r="593" spans="1:52" ht="15.75" customHeight="1">
      <c r="A593" s="6" t="s">
        <v>2924</v>
      </c>
      <c r="B593" s="7" t="s">
        <v>2925</v>
      </c>
      <c r="C593" s="7" t="str">
        <f t="shared" si="90"/>
        <v>2024-02</v>
      </c>
      <c r="D593" s="7" cm="1">
        <f t="array" ref="D593">_xlfn.LET(_xlpm.x,B593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45344</v>
      </c>
      <c r="E593" s="7" t="s">
        <v>2926</v>
      </c>
      <c r="F593" s="7" cm="1">
        <f t="array" ref="F593">_xlfn.LET(_xlpm.x,E593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45346</v>
      </c>
      <c r="G593" s="8" t="str">
        <f t="shared" si="64"/>
        <v>OK</v>
      </c>
      <c r="H593" s="6">
        <f t="shared" si="65"/>
        <v>2</v>
      </c>
      <c r="I593" s="6" t="s">
        <v>2927</v>
      </c>
      <c r="J593" s="6" t="s">
        <v>245</v>
      </c>
      <c r="K593" s="6" t="str">
        <f t="shared" si="66"/>
        <v>Sneha Kapoor</v>
      </c>
      <c r="L593" s="6" t="s">
        <v>43</v>
      </c>
      <c r="M593" s="8" t="str">
        <f t="shared" si="67"/>
        <v>Consumer</v>
      </c>
      <c r="N593" s="6" t="s">
        <v>10</v>
      </c>
      <c r="O593" s="6" t="str">
        <f t="shared" si="68"/>
        <v>South</v>
      </c>
      <c r="P593" s="6" t="s">
        <v>303</v>
      </c>
      <c r="Q593" s="6" t="str">
        <f t="shared" si="69"/>
        <v>Karnataka</v>
      </c>
      <c r="R593" s="6" t="s">
        <v>304</v>
      </c>
      <c r="S593" s="6" t="str">
        <f t="shared" si="70"/>
        <v>Bengaluru</v>
      </c>
      <c r="T593" s="6" t="s">
        <v>27</v>
      </c>
      <c r="U593" s="8" t="str">
        <f t="shared" si="71"/>
        <v>Technology</v>
      </c>
      <c r="V593" s="6" t="s">
        <v>29</v>
      </c>
      <c r="W593" s="6" t="str">
        <f t="shared" si="72"/>
        <v>Copiers</v>
      </c>
      <c r="X593" s="6" t="s">
        <v>2928</v>
      </c>
      <c r="Y593" s="6" t="s">
        <v>35</v>
      </c>
      <c r="Z593" s="6" t="str">
        <f t="shared" si="73"/>
        <v>First Class</v>
      </c>
      <c r="AA593" s="6">
        <v>3</v>
      </c>
      <c r="AB593" s="6">
        <v>3545.08</v>
      </c>
      <c r="AC593" s="6">
        <v>0</v>
      </c>
      <c r="AD593" s="6">
        <v>10635.24</v>
      </c>
      <c r="AE593" s="6">
        <v>6031.88</v>
      </c>
      <c r="AF593" s="6">
        <v>4603.3599999999997</v>
      </c>
      <c r="AG593" s="6" t="s">
        <v>50</v>
      </c>
      <c r="AH593" s="6" t="str">
        <f t="shared" si="74"/>
        <v>Failed</v>
      </c>
      <c r="AI593" s="6" t="s">
        <v>59</v>
      </c>
      <c r="AJ593" s="6" t="str">
        <f t="shared" si="75"/>
        <v>Returned</v>
      </c>
      <c r="AK593" s="9" t="str">
        <f>_xlfn.TEXTJOIN("|",FALSE,A593,TEXT(B593,"mm-dd-yyyy"),TEXT(E593,"mm-dd-yyyy"),I593,J593,L593,N593,P593,R593,T593,V593,X593,Y593,AA593,AB593,AC593,AD593,AE593,AF593,AG593,AI593)</f>
        <v>ORD-2024-10592|02-22-2024|24-02-2024|CUST-2423|Sneha Kapoor|Consumer|South|Karnataka|Bengaluru|Technology|Copiers|Eco Copiers 324|First Class|3|3545.08|0|10635.24|6031.88|4603.36|Failed|Returned</v>
      </c>
      <c r="AL593" s="27" t="str">
        <f>IF(COUNTIF($AK$2:AK593,AK593)&gt;1,"Remove exact duplicate copy","Keep")</f>
        <v>Keep</v>
      </c>
      <c r="AM593" s="9">
        <f t="shared" si="76"/>
        <v>1</v>
      </c>
      <c r="AN593" s="9" t="str">
        <f t="shared" si="77"/>
        <v>Unique</v>
      </c>
      <c r="AO593" s="9" t="str">
        <f t="shared" si="78"/>
        <v/>
      </c>
      <c r="AP593" s="9">
        <f t="shared" si="79"/>
        <v>0</v>
      </c>
      <c r="AQ593" s="10">
        <f t="shared" si="80"/>
        <v>10635.24</v>
      </c>
      <c r="AR593" s="10">
        <f t="shared" si="81"/>
        <v>4603.3599999999997</v>
      </c>
      <c r="AS593" s="11">
        <f t="shared" si="82"/>
        <v>0.43284025560307055</v>
      </c>
      <c r="AT593" s="9">
        <f t="shared" si="83"/>
        <v>2</v>
      </c>
      <c r="AU593" s="9">
        <f t="shared" si="84"/>
        <v>2024</v>
      </c>
      <c r="AV593" s="9" t="b">
        <f t="shared" si="85"/>
        <v>0</v>
      </c>
      <c r="AW593" s="9" t="b">
        <f t="shared" si="86"/>
        <v>0</v>
      </c>
      <c r="AX593" s="9" t="str">
        <f t="shared" si="87"/>
        <v>No</v>
      </c>
      <c r="AY593" s="9" t="str">
        <f t="shared" si="91"/>
        <v>Failed payment excluded; Returned order excluded</v>
      </c>
      <c r="AZ593" s="9" t="str">
        <f>IF(OR(G593="Missing date",G593="Invalid date",G593="Ship date before order date",NOT(ISNUMBER(AP593)),AP593&lt;0,AP593&gt;0.5,AV593=TRUE,AW593=TRUE),"Invalid",IF(OR(O593="Unknown",Z593="Unknown",AC593="",AH593&lt;&gt;"Paid",AJ593&lt;&gt;"Completed",AO593&lt;&gt;""),"Warning","Clean"))</f>
        <v>Warning</v>
      </c>
    </row>
    <row r="594" spans="1:52" ht="15.75" customHeight="1">
      <c r="A594" s="6" t="s">
        <v>2929</v>
      </c>
      <c r="B594" s="7" t="s">
        <v>922</v>
      </c>
      <c r="C594" s="7" t="str">
        <f t="shared" si="90"/>
        <v>2024-03</v>
      </c>
      <c r="D594" s="7" cm="1">
        <f t="array" ref="D594">_xlfn.LET(_xlpm.x,B594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45355</v>
      </c>
      <c r="E594" s="7" t="s">
        <v>979</v>
      </c>
      <c r="F594" s="7" cm="1">
        <f t="array" ref="F594">_xlfn.LET(_xlpm.x,E594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45360</v>
      </c>
      <c r="G594" s="8" t="str">
        <f t="shared" si="64"/>
        <v>OK</v>
      </c>
      <c r="H594" s="6">
        <f t="shared" si="65"/>
        <v>5</v>
      </c>
      <c r="I594" s="6" t="s">
        <v>2930</v>
      </c>
      <c r="J594" s="6" t="s">
        <v>139</v>
      </c>
      <c r="K594" s="6" t="str">
        <f t="shared" si="66"/>
        <v>Mira Das</v>
      </c>
      <c r="L594" s="6" t="s">
        <v>43</v>
      </c>
      <c r="M594" s="8" t="str">
        <f t="shared" si="67"/>
        <v>Consumer</v>
      </c>
      <c r="N594" s="6" t="s">
        <v>8</v>
      </c>
      <c r="O594" s="6" t="str">
        <f t="shared" si="68"/>
        <v>East</v>
      </c>
      <c r="P594" s="6" t="s">
        <v>201</v>
      </c>
      <c r="Q594" s="6" t="str">
        <f t="shared" si="69"/>
        <v>West Bengal</v>
      </c>
      <c r="R594" s="6" t="s">
        <v>202</v>
      </c>
      <c r="S594" s="6" t="str">
        <f t="shared" si="70"/>
        <v>Kolkata</v>
      </c>
      <c r="T594" s="6" t="s">
        <v>27</v>
      </c>
      <c r="U594" s="8" t="str">
        <f t="shared" si="71"/>
        <v>Technology</v>
      </c>
      <c r="V594" s="6" t="s">
        <v>28</v>
      </c>
      <c r="W594" s="6" t="str">
        <f t="shared" si="72"/>
        <v>Accessories</v>
      </c>
      <c r="X594" s="6" t="s">
        <v>2931</v>
      </c>
      <c r="Y594" s="6" t="s">
        <v>37</v>
      </c>
      <c r="Z594" s="6" t="str">
        <f t="shared" si="73"/>
        <v>Same Day</v>
      </c>
      <c r="AA594" s="6">
        <v>8</v>
      </c>
      <c r="AB594" s="6">
        <v>4401.41</v>
      </c>
      <c r="AC594" s="6">
        <v>0.15</v>
      </c>
      <c r="AD594" s="6">
        <v>29929.59</v>
      </c>
      <c r="AE594" s="6">
        <v>22436.03</v>
      </c>
      <c r="AF594" s="6">
        <v>7493.56</v>
      </c>
      <c r="AG594" s="6" t="s">
        <v>52</v>
      </c>
      <c r="AH594" s="6" t="str">
        <f t="shared" si="74"/>
        <v>Paid</v>
      </c>
      <c r="AI594" s="6" t="s">
        <v>134</v>
      </c>
      <c r="AJ594" s="6" t="str">
        <f t="shared" si="75"/>
        <v>Completed</v>
      </c>
      <c r="AK594" s="9" t="str">
        <f>_xlfn.TEXTJOIN("|",FALSE,A594,TEXT(B594,"mm-dd-yyyy"),TEXT(E594,"mm-dd-yyyy"),I594,J594,L594,N594,P594,R594,T594,V594,X594,Y594,AA594,AB594,AC594,AD594,AE594,AF594,AG594,AI594)</f>
        <v>ORD-2024-10593|04-03-2024|03-09-2024|CUST-3559|Mira Das|Consumer|East|West Bengal|Kolkata|Technology|Accessories|Classic Accessories 131|Same Day|8|4401.41|0.15|29929.59|22436.03|7493.56|Paid|Completed</v>
      </c>
      <c r="AL594" s="27" t="str">
        <f>IF(COUNTIF($AK$2:AK594,AK594)&gt;1,"Remove exact duplicate copy","Keep")</f>
        <v>Keep</v>
      </c>
      <c r="AM594" s="9">
        <f t="shared" si="76"/>
        <v>1</v>
      </c>
      <c r="AN594" s="9" t="str">
        <f t="shared" si="77"/>
        <v>Unique</v>
      </c>
      <c r="AO594" s="9" t="str">
        <f t="shared" si="78"/>
        <v/>
      </c>
      <c r="AP594" s="9">
        <f t="shared" si="79"/>
        <v>0.15</v>
      </c>
      <c r="AQ594" s="10">
        <f t="shared" si="80"/>
        <v>29929.588</v>
      </c>
      <c r="AR594" s="10">
        <f t="shared" si="81"/>
        <v>7493.5580000000009</v>
      </c>
      <c r="AS594" s="11">
        <f t="shared" si="82"/>
        <v>0.25037290857461858</v>
      </c>
      <c r="AT594" s="9">
        <f t="shared" si="83"/>
        <v>3</v>
      </c>
      <c r="AU594" s="9">
        <f t="shared" si="84"/>
        <v>2024</v>
      </c>
      <c r="AV594" s="9" t="b">
        <f t="shared" si="85"/>
        <v>0</v>
      </c>
      <c r="AW594" s="9" t="b">
        <f t="shared" si="86"/>
        <v>0</v>
      </c>
      <c r="AX594" s="9" t="str">
        <f t="shared" si="87"/>
        <v>Yes</v>
      </c>
      <c r="AY594" s="9" t="str">
        <f t="shared" si="91"/>
        <v/>
      </c>
      <c r="AZ594" s="9" t="str">
        <f>IF(OR(G594="Missing date",G594="Invalid date",G594="Ship date before order date",NOT(ISNUMBER(AP594)),AP594&lt;0,AP594&gt;0.5,AV594=TRUE,AW594=TRUE),"Invalid",IF(OR(O594="Unknown",Z594="Unknown",AC594="",AH594&lt;&gt;"Paid",AJ594&lt;&gt;"Completed",AO594&lt;&gt;""),"Warning","Clean"))</f>
        <v>Clean</v>
      </c>
    </row>
    <row r="595" spans="1:52" ht="15.75" customHeight="1">
      <c r="A595" s="6" t="s">
        <v>2932</v>
      </c>
      <c r="B595" s="7" t="s">
        <v>1443</v>
      </c>
      <c r="C595" s="7" t="str">
        <f t="shared" si="90"/>
        <v>2025-09</v>
      </c>
      <c r="D595" s="7" cm="1">
        <f t="array" ref="D595">_xlfn.LET(_xlpm.x,B595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45927</v>
      </c>
      <c r="E595" s="7" t="s">
        <v>2933</v>
      </c>
      <c r="F595" s="7" cm="1">
        <f t="array" ref="F595">_xlfn.LET(_xlpm.x,E595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45929</v>
      </c>
      <c r="G595" s="8" t="str">
        <f t="shared" si="64"/>
        <v>OK</v>
      </c>
      <c r="H595" s="6">
        <f t="shared" si="65"/>
        <v>2</v>
      </c>
      <c r="I595" s="6" t="s">
        <v>2622</v>
      </c>
      <c r="J595" s="6" t="s">
        <v>153</v>
      </c>
      <c r="K595" s="6" t="str">
        <f t="shared" si="66"/>
        <v>Arjun Bose</v>
      </c>
      <c r="L595" s="6" t="s">
        <v>44</v>
      </c>
      <c r="M595" s="8" t="str">
        <f t="shared" si="67"/>
        <v>Home Office</v>
      </c>
      <c r="N595" s="6" t="s">
        <v>7</v>
      </c>
      <c r="O595" s="6" t="str">
        <f t="shared" si="68"/>
        <v>North</v>
      </c>
      <c r="P595" s="6" t="s">
        <v>251</v>
      </c>
      <c r="Q595" s="6" t="str">
        <f t="shared" si="69"/>
        <v>Uttar Pradesh</v>
      </c>
      <c r="R595" s="6" t="s">
        <v>252</v>
      </c>
      <c r="S595" s="6" t="str">
        <f t="shared" si="70"/>
        <v>Noida</v>
      </c>
      <c r="T595" s="6" t="s">
        <v>14</v>
      </c>
      <c r="U595" s="8" t="str">
        <f t="shared" si="71"/>
        <v>Furniture</v>
      </c>
      <c r="V595" s="6" t="s">
        <v>18</v>
      </c>
      <c r="W595" s="6" t="str">
        <f t="shared" si="72"/>
        <v>Tables</v>
      </c>
      <c r="X595" s="6" t="s">
        <v>2934</v>
      </c>
      <c r="Y595" s="6" t="s">
        <v>36</v>
      </c>
      <c r="Z595" s="6" t="str">
        <f t="shared" si="73"/>
        <v>Second Class</v>
      </c>
      <c r="AA595" s="6">
        <v>9</v>
      </c>
      <c r="AB595" s="6">
        <v>4100.1099999999997</v>
      </c>
      <c r="AC595" s="6">
        <v>0.25</v>
      </c>
      <c r="AD595" s="6">
        <v>27675.74</v>
      </c>
      <c r="AE595" s="6">
        <v>15571.08</v>
      </c>
      <c r="AF595" s="6">
        <v>12104.66</v>
      </c>
      <c r="AG595" s="6" t="s">
        <v>52</v>
      </c>
      <c r="AH595" s="6" t="str">
        <f t="shared" si="74"/>
        <v>Paid</v>
      </c>
      <c r="AI595" s="6" t="s">
        <v>134</v>
      </c>
      <c r="AJ595" s="6" t="str">
        <f t="shared" si="75"/>
        <v>Completed</v>
      </c>
      <c r="AK595" s="9" t="str">
        <f>_xlfn.TEXTJOIN("|",FALSE,A595,TEXT(B595,"mm-dd-yyyy"),TEXT(E595,"mm-dd-yyyy"),I595,J595,L595,N595,P595,R595,T595,V595,X595,Y595,AA595,AB595,AC595,AD595,AE595,AF595,AG595,AI595)</f>
        <v>ORD-2025-10594|09-27-2025|09-29-2025|CUST-2917|Arjun Bose|Home Office|North|Uttar Pradesh|Noida|Furniture|Tables|Eco Tables 550|Second Class|9|4100.11|0.25|27675.74|15571.08|12104.66|Paid|Completed</v>
      </c>
      <c r="AL595" s="27" t="str">
        <f>IF(COUNTIF($AK$2:AK595,AK595)&gt;1,"Remove exact duplicate copy","Keep")</f>
        <v>Keep</v>
      </c>
      <c r="AM595" s="9">
        <f t="shared" si="76"/>
        <v>1</v>
      </c>
      <c r="AN595" s="9" t="str">
        <f t="shared" si="77"/>
        <v>Unique</v>
      </c>
      <c r="AO595" s="9" t="str">
        <f t="shared" si="78"/>
        <v/>
      </c>
      <c r="AP595" s="9">
        <f t="shared" si="79"/>
        <v>0.25</v>
      </c>
      <c r="AQ595" s="10">
        <f t="shared" si="80"/>
        <v>27675.7425</v>
      </c>
      <c r="AR595" s="10">
        <f t="shared" si="81"/>
        <v>12104.6625</v>
      </c>
      <c r="AS595" s="11">
        <f t="shared" si="82"/>
        <v>0.4373744444254748</v>
      </c>
      <c r="AT595" s="9">
        <f t="shared" si="83"/>
        <v>9</v>
      </c>
      <c r="AU595" s="9">
        <f t="shared" si="84"/>
        <v>2025</v>
      </c>
      <c r="AV595" s="9" t="b">
        <f t="shared" si="85"/>
        <v>0</v>
      </c>
      <c r="AW595" s="9" t="b">
        <f t="shared" si="86"/>
        <v>0</v>
      </c>
      <c r="AX595" s="9" t="str">
        <f t="shared" si="87"/>
        <v>Yes</v>
      </c>
      <c r="AY595" s="9" t="str">
        <f t="shared" si="91"/>
        <v/>
      </c>
      <c r="AZ595" s="9" t="str">
        <f>IF(OR(G595="Missing date",G595="Invalid date",G595="Ship date before order date",NOT(ISNUMBER(AP595)),AP595&lt;0,AP595&gt;0.5,AV595=TRUE,AW595=TRUE),"Invalid",IF(OR(O595="Unknown",Z595="Unknown",AC595="",AH595&lt;&gt;"Paid",AJ595&lt;&gt;"Completed",AO595&lt;&gt;""),"Warning","Clean"))</f>
        <v>Clean</v>
      </c>
    </row>
    <row r="596" spans="1:52" ht="15.75" customHeight="1">
      <c r="A596" s="6" t="s">
        <v>2935</v>
      </c>
      <c r="B596" s="7" t="s">
        <v>2936</v>
      </c>
      <c r="C596" s="7" t="str">
        <f t="shared" si="90"/>
        <v>2024-09</v>
      </c>
      <c r="D596" s="7" cm="1">
        <f t="array" ref="D596">_xlfn.LET(_xlpm.x,B596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45554</v>
      </c>
      <c r="E596" s="7" t="s">
        <v>1218</v>
      </c>
      <c r="F596" s="7" cm="1">
        <f t="array" ref="F596">_xlfn.LET(_xlpm.x,E596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45556</v>
      </c>
      <c r="G596" s="8" t="str">
        <f t="shared" si="64"/>
        <v>OK</v>
      </c>
      <c r="H596" s="6">
        <f t="shared" si="65"/>
        <v>2</v>
      </c>
      <c r="I596" s="6" t="s">
        <v>2937</v>
      </c>
      <c r="J596" s="6" t="s">
        <v>129</v>
      </c>
      <c r="K596" s="6" t="str">
        <f t="shared" si="66"/>
        <v>Karan Malhotra</v>
      </c>
      <c r="L596" s="6" t="s">
        <v>46</v>
      </c>
      <c r="M596" s="8" t="str">
        <f t="shared" si="67"/>
        <v>Small Business</v>
      </c>
      <c r="N596" s="6" t="s">
        <v>8</v>
      </c>
      <c r="O596" s="6" t="str">
        <f t="shared" si="68"/>
        <v>East</v>
      </c>
      <c r="P596" s="6" t="s">
        <v>201</v>
      </c>
      <c r="Q596" s="6" t="str">
        <f t="shared" si="69"/>
        <v>West Bengal</v>
      </c>
      <c r="R596" s="6" t="s">
        <v>202</v>
      </c>
      <c r="S596" s="6" t="str">
        <f t="shared" si="70"/>
        <v>Kolkata</v>
      </c>
      <c r="T596" s="6" t="s">
        <v>14</v>
      </c>
      <c r="U596" s="8" t="str">
        <f t="shared" si="71"/>
        <v>Furniture</v>
      </c>
      <c r="V596" s="6" t="s">
        <v>16</v>
      </c>
      <c r="W596" s="6" t="str">
        <f t="shared" si="72"/>
        <v>Chairs</v>
      </c>
      <c r="X596" s="6" t="s">
        <v>2938</v>
      </c>
      <c r="Y596" s="6" t="s">
        <v>35</v>
      </c>
      <c r="Z596" s="6" t="str">
        <f t="shared" si="73"/>
        <v>First Class</v>
      </c>
      <c r="AA596" s="6">
        <v>3</v>
      </c>
      <c r="AB596" s="6">
        <v>3981.76</v>
      </c>
      <c r="AC596" s="6">
        <v>0</v>
      </c>
      <c r="AD596" s="6">
        <v>11945.28</v>
      </c>
      <c r="AE596" s="6">
        <v>9700.31</v>
      </c>
      <c r="AF596" s="6">
        <v>2244.9699999999998</v>
      </c>
      <c r="AG596" s="6" t="s">
        <v>52</v>
      </c>
      <c r="AH596" s="6" t="str">
        <f t="shared" si="74"/>
        <v>Paid</v>
      </c>
      <c r="AI596" s="6" t="s">
        <v>134</v>
      </c>
      <c r="AJ596" s="6" t="str">
        <f t="shared" si="75"/>
        <v>Completed</v>
      </c>
      <c r="AK596" s="9" t="str">
        <f>_xlfn.TEXTJOIN("|",FALSE,A596,TEXT(B596,"mm-dd-yyyy"),TEXT(E596,"mm-dd-yyyy"),I596,J596,L596,N596,P596,R596,T596,V596,X596,Y596,AA596,AB596,AC596,AD596,AE596,AF596,AG596,AI596)</f>
        <v>ORD-2024-10595|09-19-2024|09-21-2024|CUST-6850|Karan Malhotra|Small Business|East|West Bengal|Kolkata|Furniture|Chairs|Basic Chairs 932|First Class|3|3981.76|0|11945.28|9700.31|2244.97|Paid|Completed</v>
      </c>
      <c r="AL596" s="27" t="str">
        <f>IF(COUNTIF($AK$2:AK596,AK596)&gt;1,"Remove exact duplicate copy","Keep")</f>
        <v>Keep</v>
      </c>
      <c r="AM596" s="9">
        <f t="shared" si="76"/>
        <v>1</v>
      </c>
      <c r="AN596" s="9" t="str">
        <f t="shared" si="77"/>
        <v>Unique</v>
      </c>
      <c r="AO596" s="9" t="str">
        <f t="shared" si="78"/>
        <v/>
      </c>
      <c r="AP596" s="9">
        <f t="shared" si="79"/>
        <v>0</v>
      </c>
      <c r="AQ596" s="10">
        <f t="shared" si="80"/>
        <v>11945.28</v>
      </c>
      <c r="AR596" s="10">
        <f t="shared" si="81"/>
        <v>2244.9700000000012</v>
      </c>
      <c r="AS596" s="11">
        <f t="shared" si="82"/>
        <v>0.18793782983739193</v>
      </c>
      <c r="AT596" s="9">
        <f t="shared" si="83"/>
        <v>9</v>
      </c>
      <c r="AU596" s="9">
        <f t="shared" si="84"/>
        <v>2024</v>
      </c>
      <c r="AV596" s="9" t="b">
        <f t="shared" si="85"/>
        <v>0</v>
      </c>
      <c r="AW596" s="9" t="b">
        <f t="shared" si="86"/>
        <v>0</v>
      </c>
      <c r="AX596" s="9" t="str">
        <f t="shared" si="87"/>
        <v>Yes</v>
      </c>
      <c r="AY596" s="9" t="str">
        <f t="shared" si="91"/>
        <v/>
      </c>
      <c r="AZ596" s="9" t="str">
        <f>IF(OR(G596="Missing date",G596="Invalid date",G596="Ship date before order date",NOT(ISNUMBER(AP596)),AP596&lt;0,AP596&gt;0.5,AV596=TRUE,AW596=TRUE),"Invalid",IF(OR(O596="Unknown",Z596="Unknown",AC596="",AH596&lt;&gt;"Paid",AJ596&lt;&gt;"Completed",AO596&lt;&gt;""),"Warning","Clean"))</f>
        <v>Clean</v>
      </c>
    </row>
    <row r="597" spans="1:52" ht="15.75" customHeight="1">
      <c r="A597" s="6" t="s">
        <v>2939</v>
      </c>
      <c r="B597" s="7" t="s">
        <v>2940</v>
      </c>
      <c r="C597" s="7" t="str">
        <f t="shared" si="90"/>
        <v>2025-02</v>
      </c>
      <c r="D597" s="7" cm="1">
        <f t="array" ref="D597">_xlfn.LET(_xlpm.x,B597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45699</v>
      </c>
      <c r="E597" s="7" t="s">
        <v>2941</v>
      </c>
      <c r="F597" s="7" cm="1">
        <f t="array" ref="F597">_xlfn.LET(_xlpm.x,E597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45704</v>
      </c>
      <c r="G597" s="8" t="str">
        <f t="shared" si="64"/>
        <v>OK</v>
      </c>
      <c r="H597" s="6">
        <f t="shared" si="65"/>
        <v>5</v>
      </c>
      <c r="I597" s="6" t="s">
        <v>2942</v>
      </c>
      <c r="J597" s="6" t="s">
        <v>139</v>
      </c>
      <c r="K597" s="6" t="str">
        <f t="shared" si="66"/>
        <v>Mira Das</v>
      </c>
      <c r="L597" s="6" t="s">
        <v>45</v>
      </c>
      <c r="M597" s="8" t="str">
        <f t="shared" si="67"/>
        <v>Corporate</v>
      </c>
      <c r="N597" s="6" t="s">
        <v>7</v>
      </c>
      <c r="O597" s="6" t="str">
        <f t="shared" si="68"/>
        <v>North</v>
      </c>
      <c r="P597" s="6" t="s">
        <v>251</v>
      </c>
      <c r="Q597" s="6" t="str">
        <f t="shared" si="69"/>
        <v>Uttar Pradesh</v>
      </c>
      <c r="R597" s="6" t="s">
        <v>252</v>
      </c>
      <c r="S597" s="6" t="str">
        <f t="shared" si="70"/>
        <v>Noida</v>
      </c>
      <c r="T597" s="6" t="s">
        <v>27</v>
      </c>
      <c r="U597" s="8" t="str">
        <f t="shared" si="71"/>
        <v>Technology</v>
      </c>
      <c r="V597" s="6" t="s">
        <v>31</v>
      </c>
      <c r="W597" s="6" t="str">
        <f t="shared" si="72"/>
        <v>Phones</v>
      </c>
      <c r="X597" s="6" t="s">
        <v>2943</v>
      </c>
      <c r="Y597" s="6" t="s">
        <v>35</v>
      </c>
      <c r="Z597" s="6" t="str">
        <f t="shared" si="73"/>
        <v>First Class</v>
      </c>
      <c r="AA597" s="6">
        <v>8</v>
      </c>
      <c r="AB597" s="6">
        <v>1825.56</v>
      </c>
      <c r="AC597" s="6">
        <v>0.1</v>
      </c>
      <c r="AD597" s="6">
        <v>13144.03</v>
      </c>
      <c r="AE597" s="6">
        <v>9764</v>
      </c>
      <c r="AF597" s="6">
        <v>3380.03</v>
      </c>
      <c r="AG597" s="6" t="s">
        <v>52</v>
      </c>
      <c r="AH597" s="6" t="str">
        <f t="shared" si="74"/>
        <v>Paid</v>
      </c>
      <c r="AI597" s="6" t="s">
        <v>134</v>
      </c>
      <c r="AJ597" s="6" t="str">
        <f t="shared" si="75"/>
        <v>Completed</v>
      </c>
      <c r="AK597" s="9" t="str">
        <f>_xlfn.TEXTJOIN("|",FALSE,A597,TEXT(B597,"mm-dd-yyyy"),TEXT(E597,"mm-dd-yyyy"),I597,J597,L597,N597,P597,R597,T597,V597,X597,Y597,AA597,AB597,AC597,AD597,AE597,AF597,AG597,AI597)</f>
        <v>ORD-2025-10596|02-11-2025|16-02-2025|CUST-5566|Mira Das|Corporate|North|Uttar Pradesh|Noida|Technology|Phones|Classic Phones 294|First Class|8|1825.56|0.1|13144.03|9764|3380.03|Paid|Completed</v>
      </c>
      <c r="AL597" s="27" t="str">
        <f>IF(COUNTIF($AK$2:AK597,AK597)&gt;1,"Remove exact duplicate copy","Keep")</f>
        <v>Keep</v>
      </c>
      <c r="AM597" s="9">
        <f t="shared" si="76"/>
        <v>1</v>
      </c>
      <c r="AN597" s="9" t="str">
        <f t="shared" si="77"/>
        <v>Unique</v>
      </c>
      <c r="AO597" s="9" t="str">
        <f t="shared" si="78"/>
        <v/>
      </c>
      <c r="AP597" s="9">
        <f t="shared" si="79"/>
        <v>0.1</v>
      </c>
      <c r="AQ597" s="10">
        <f t="shared" si="80"/>
        <v>13144.031999999999</v>
      </c>
      <c r="AR597" s="10">
        <f t="shared" si="81"/>
        <v>3380.0319999999992</v>
      </c>
      <c r="AS597" s="11">
        <f t="shared" si="82"/>
        <v>0.25715336055176974</v>
      </c>
      <c r="AT597" s="9">
        <f t="shared" si="83"/>
        <v>2</v>
      </c>
      <c r="AU597" s="9">
        <f t="shared" si="84"/>
        <v>2025</v>
      </c>
      <c r="AV597" s="9" t="b">
        <f t="shared" si="85"/>
        <v>0</v>
      </c>
      <c r="AW597" s="9" t="b">
        <f t="shared" si="86"/>
        <v>0</v>
      </c>
      <c r="AX597" s="9" t="str">
        <f t="shared" si="87"/>
        <v>Yes</v>
      </c>
      <c r="AY597" s="9" t="str">
        <f t="shared" si="91"/>
        <v/>
      </c>
      <c r="AZ597" s="9" t="str">
        <f>IF(OR(G597="Missing date",G597="Invalid date",G597="Ship date before order date",NOT(ISNUMBER(AP597)),AP597&lt;0,AP597&gt;0.5,AV597=TRUE,AW597=TRUE),"Invalid",IF(OR(O597="Unknown",Z597="Unknown",AC597="",AH597&lt;&gt;"Paid",AJ597&lt;&gt;"Completed",AO597&lt;&gt;""),"Warning","Clean"))</f>
        <v>Clean</v>
      </c>
    </row>
    <row r="598" spans="1:52" ht="15.75" customHeight="1">
      <c r="A598" s="6" t="s">
        <v>2944</v>
      </c>
      <c r="B598" s="7" t="s">
        <v>1527</v>
      </c>
      <c r="C598" s="7" t="str">
        <f t="shared" si="90"/>
        <v>2024-04</v>
      </c>
      <c r="D598" s="7" cm="1">
        <f t="array" ref="D598">_xlfn.LET(_xlpm.x,B598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45392</v>
      </c>
      <c r="E598" s="7" t="s">
        <v>486</v>
      </c>
      <c r="F598" s="7" cm="1">
        <f t="array" ref="F598">_xlfn.LET(_xlpm.x,E598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45398</v>
      </c>
      <c r="G598" s="8" t="str">
        <f t="shared" si="64"/>
        <v>OK</v>
      </c>
      <c r="H598" s="6">
        <f t="shared" si="65"/>
        <v>6</v>
      </c>
      <c r="I598" s="6" t="s">
        <v>2945</v>
      </c>
      <c r="J598" s="6" t="s">
        <v>190</v>
      </c>
      <c r="K598" s="6" t="str">
        <f t="shared" si="66"/>
        <v>Aditi Sen</v>
      </c>
      <c r="L598" s="6" t="s">
        <v>43</v>
      </c>
      <c r="M598" s="8" t="str">
        <f t="shared" si="67"/>
        <v>Consumer</v>
      </c>
      <c r="N598" s="6" t="s">
        <v>10</v>
      </c>
      <c r="O598" s="6" t="str">
        <f t="shared" si="68"/>
        <v>South</v>
      </c>
      <c r="P598" s="6" t="s">
        <v>316</v>
      </c>
      <c r="Q598" s="6" t="str">
        <f t="shared" si="69"/>
        <v>Kerala</v>
      </c>
      <c r="R598" s="6" t="s">
        <v>317</v>
      </c>
      <c r="S598" s="6" t="str">
        <f t="shared" si="70"/>
        <v>Kochi</v>
      </c>
      <c r="T598" s="6" t="s">
        <v>14</v>
      </c>
      <c r="U598" s="8" t="str">
        <f t="shared" si="71"/>
        <v>Furniture</v>
      </c>
      <c r="V598" s="6" t="s">
        <v>16</v>
      </c>
      <c r="W598" s="6" t="str">
        <f t="shared" si="72"/>
        <v>Chairs</v>
      </c>
      <c r="X598" s="6" t="s">
        <v>2946</v>
      </c>
      <c r="Y598" s="6" t="s">
        <v>36</v>
      </c>
      <c r="Z598" s="6" t="str">
        <f t="shared" si="73"/>
        <v>Second Class</v>
      </c>
      <c r="AA598" s="6">
        <v>9</v>
      </c>
      <c r="AB598" s="6">
        <v>2723.26</v>
      </c>
      <c r="AC598" s="6">
        <v>0.25</v>
      </c>
      <c r="AD598" s="6">
        <v>18382.009999999998</v>
      </c>
      <c r="AE598" s="6">
        <v>13108.2</v>
      </c>
      <c r="AF598" s="6">
        <v>5273.81</v>
      </c>
      <c r="AG598" s="6" t="s">
        <v>52</v>
      </c>
      <c r="AH598" s="6" t="str">
        <f t="shared" si="74"/>
        <v>Paid</v>
      </c>
      <c r="AI598" s="6" t="s">
        <v>134</v>
      </c>
      <c r="AJ598" s="6" t="str">
        <f t="shared" si="75"/>
        <v>Completed</v>
      </c>
      <c r="AK598" s="9" t="str">
        <f>_xlfn.TEXTJOIN("|",FALSE,A598,TEXT(B598,"mm-dd-yyyy"),TEXT(E598,"mm-dd-yyyy"),I598,J598,L598,N598,P598,R598,T598,V598,X598,Y598,AA598,AB598,AC598,AD598,AE598,AF598,AG598,AI598)</f>
        <v>ORD-2024-10597|04-10-2024|04-16-2024|CUST-2593|Aditi Sen|Consumer|South|Kerala|Kochi|Furniture|Chairs|Elite Chairs 700|Second Class|9|2723.26|0.25|18382.01|13108.2|5273.81|Paid|Completed</v>
      </c>
      <c r="AL598" s="27" t="str">
        <f>IF(COUNTIF($AK$2:AK598,AK598)&gt;1,"Remove exact duplicate copy","Keep")</f>
        <v>Keep</v>
      </c>
      <c r="AM598" s="9">
        <f t="shared" si="76"/>
        <v>1</v>
      </c>
      <c r="AN598" s="9" t="str">
        <f t="shared" si="77"/>
        <v>Unique</v>
      </c>
      <c r="AO598" s="9" t="str">
        <f t="shared" si="78"/>
        <v/>
      </c>
      <c r="AP598" s="9">
        <f t="shared" si="79"/>
        <v>0.25</v>
      </c>
      <c r="AQ598" s="10">
        <f t="shared" si="80"/>
        <v>18382.005000000005</v>
      </c>
      <c r="AR598" s="10">
        <f t="shared" si="81"/>
        <v>5273.8050000000039</v>
      </c>
      <c r="AS598" s="11">
        <f t="shared" si="82"/>
        <v>0.28690042245119629</v>
      </c>
      <c r="AT598" s="9">
        <f t="shared" si="83"/>
        <v>4</v>
      </c>
      <c r="AU598" s="9">
        <f t="shared" si="84"/>
        <v>2024</v>
      </c>
      <c r="AV598" s="9" t="b">
        <f t="shared" si="85"/>
        <v>0</v>
      </c>
      <c r="AW598" s="9" t="b">
        <f t="shared" si="86"/>
        <v>0</v>
      </c>
      <c r="AX598" s="9" t="str">
        <f t="shared" si="87"/>
        <v>Yes</v>
      </c>
      <c r="AY598" s="9" t="str">
        <f t="shared" si="91"/>
        <v/>
      </c>
      <c r="AZ598" s="9" t="str">
        <f>IF(OR(G598="Missing date",G598="Invalid date",G598="Ship date before order date",NOT(ISNUMBER(AP598)),AP598&lt;0,AP598&gt;0.5,AV598=TRUE,AW598=TRUE),"Invalid",IF(OR(O598="Unknown",Z598="Unknown",AC598="",AH598&lt;&gt;"Paid",AJ598&lt;&gt;"Completed",AO598&lt;&gt;""),"Warning","Clean"))</f>
        <v>Clean</v>
      </c>
    </row>
    <row r="599" spans="1:52" ht="15.75" customHeight="1">
      <c r="A599" s="6" t="s">
        <v>2947</v>
      </c>
      <c r="B599" s="7" t="s">
        <v>2948</v>
      </c>
      <c r="C599" s="7" t="str">
        <f t="shared" si="90"/>
        <v>2025-07</v>
      </c>
      <c r="D599" s="7" cm="1">
        <f t="array" ref="D599">_xlfn.LET(_xlpm.x,B599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45846</v>
      </c>
      <c r="E599" s="7" t="s">
        <v>564</v>
      </c>
      <c r="F599" s="7" cm="1">
        <f t="array" ref="F599">_xlfn.LET(_xlpm.x,E599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45846</v>
      </c>
      <c r="G599" s="8" t="str">
        <f t="shared" si="64"/>
        <v>OK</v>
      </c>
      <c r="H599" s="6">
        <f t="shared" si="65"/>
        <v>0</v>
      </c>
      <c r="I599" s="6" t="s">
        <v>2949</v>
      </c>
      <c r="J599" s="6" t="s">
        <v>190</v>
      </c>
      <c r="K599" s="6" t="str">
        <f t="shared" si="66"/>
        <v>Aditi Sen</v>
      </c>
      <c r="L599" s="6" t="s">
        <v>43</v>
      </c>
      <c r="M599" s="8" t="str">
        <f t="shared" si="67"/>
        <v>Consumer</v>
      </c>
      <c r="N599" s="6" t="s">
        <v>10</v>
      </c>
      <c r="O599" s="6" t="str">
        <f t="shared" si="68"/>
        <v>South</v>
      </c>
      <c r="P599" s="6" t="s">
        <v>154</v>
      </c>
      <c r="Q599" s="6" t="str">
        <f t="shared" si="69"/>
        <v>Telangana</v>
      </c>
      <c r="R599" s="6" t="s">
        <v>155</v>
      </c>
      <c r="S599" s="6" t="str">
        <f t="shared" si="70"/>
        <v>Hyderabad</v>
      </c>
      <c r="T599" s="6" t="s">
        <v>27</v>
      </c>
      <c r="U599" s="8" t="str">
        <f t="shared" si="71"/>
        <v>Technology</v>
      </c>
      <c r="V599" s="6" t="s">
        <v>29</v>
      </c>
      <c r="W599" s="6" t="str">
        <f t="shared" si="72"/>
        <v>Copiers</v>
      </c>
      <c r="X599" s="6" t="s">
        <v>2950</v>
      </c>
      <c r="Y599" s="6" t="s">
        <v>37</v>
      </c>
      <c r="Z599" s="6" t="str">
        <f t="shared" si="73"/>
        <v>Same Day</v>
      </c>
      <c r="AA599" s="6">
        <v>9</v>
      </c>
      <c r="AB599" s="6">
        <v>274.88</v>
      </c>
      <c r="AC599" s="6">
        <v>0.25</v>
      </c>
      <c r="AD599" s="6">
        <v>1855.44</v>
      </c>
      <c r="AE599" s="6">
        <v>1262.74</v>
      </c>
      <c r="AF599" s="6">
        <v>592.70000000000005</v>
      </c>
      <c r="AG599" s="6" t="s">
        <v>52</v>
      </c>
      <c r="AH599" s="6" t="str">
        <f t="shared" si="74"/>
        <v>Paid</v>
      </c>
      <c r="AI599" s="6" t="s">
        <v>134</v>
      </c>
      <c r="AJ599" s="6" t="str">
        <f t="shared" si="75"/>
        <v>Completed</v>
      </c>
      <c r="AK599" s="9" t="str">
        <f>_xlfn.TEXTJOIN("|",FALSE,A599,TEXT(B599,"mm-dd-yyyy"),TEXT(E599,"mm-dd-yyyy"),I599,J599,L599,N599,P599,R599,T599,V599,X599,Y599,AA599,AB599,AC599,AD599,AE599,AF599,AG599,AI599)</f>
        <v>ORD-2025-10598|07-08-2025|07-08-2025|CUST-6957|Aditi Sen|Consumer|South|Telangana|Hyderabad|Technology|Copiers|Prime Copiers 969|Same Day|9|274.88|0.25|1855.44|1262.74|592.7|Paid|Completed</v>
      </c>
      <c r="AL599" s="27" t="str">
        <f>IF(COUNTIF($AK$2:AK599,AK599)&gt;1,"Remove exact duplicate copy","Keep")</f>
        <v>Keep</v>
      </c>
      <c r="AM599" s="9">
        <f t="shared" si="76"/>
        <v>1</v>
      </c>
      <c r="AN599" s="9" t="str">
        <f t="shared" si="77"/>
        <v>Unique</v>
      </c>
      <c r="AO599" s="9" t="str">
        <f t="shared" si="78"/>
        <v/>
      </c>
      <c r="AP599" s="9">
        <f t="shared" si="79"/>
        <v>0.25</v>
      </c>
      <c r="AQ599" s="10">
        <f t="shared" si="80"/>
        <v>1855.44</v>
      </c>
      <c r="AR599" s="10">
        <f t="shared" si="81"/>
        <v>592.70000000000005</v>
      </c>
      <c r="AS599" s="11">
        <f t="shared" si="82"/>
        <v>0.3194390548872505</v>
      </c>
      <c r="AT599" s="9">
        <f t="shared" si="83"/>
        <v>7</v>
      </c>
      <c r="AU599" s="9">
        <f t="shared" si="84"/>
        <v>2025</v>
      </c>
      <c r="AV599" s="9" t="b">
        <f t="shared" si="85"/>
        <v>0</v>
      </c>
      <c r="AW599" s="9" t="b">
        <f t="shared" si="86"/>
        <v>0</v>
      </c>
      <c r="AX599" s="9" t="str">
        <f t="shared" si="87"/>
        <v>Yes</v>
      </c>
      <c r="AY599" s="9" t="str">
        <f t="shared" si="91"/>
        <v/>
      </c>
      <c r="AZ599" s="9" t="str">
        <f>IF(OR(G599="Missing date",G599="Invalid date",G599="Ship date before order date",NOT(ISNUMBER(AP599)),AP599&lt;0,AP599&gt;0.5,AV599=TRUE,AW599=TRUE),"Invalid",IF(OR(O599="Unknown",Z599="Unknown",AC599="",AH599&lt;&gt;"Paid",AJ599&lt;&gt;"Completed",AO599&lt;&gt;""),"Warning","Clean"))</f>
        <v>Clean</v>
      </c>
    </row>
    <row r="600" spans="1:52" ht="15.75" customHeight="1">
      <c r="A600" s="6" t="s">
        <v>2951</v>
      </c>
      <c r="B600" s="7" t="s">
        <v>2530</v>
      </c>
      <c r="C600" s="7" t="str">
        <f t="shared" si="90"/>
        <v>2024-08</v>
      </c>
      <c r="D600" s="7" cm="1">
        <f t="array" ref="D600">_xlfn.LET(_xlpm.x,B600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45521</v>
      </c>
      <c r="E600" s="7" t="s">
        <v>2952</v>
      </c>
      <c r="F600" s="7" cm="1">
        <f t="array" ref="F600">_xlfn.LET(_xlpm.x,E600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45528</v>
      </c>
      <c r="G600" s="8" t="str">
        <f t="shared" si="64"/>
        <v>OK</v>
      </c>
      <c r="H600" s="6">
        <f t="shared" si="65"/>
        <v>7</v>
      </c>
      <c r="I600" s="6" t="s">
        <v>2953</v>
      </c>
      <c r="J600" s="6" t="s">
        <v>161</v>
      </c>
      <c r="K600" s="6" t="str">
        <f t="shared" si="66"/>
        <v>Ananya Rao</v>
      </c>
      <c r="L600" s="6" t="s">
        <v>45</v>
      </c>
      <c r="M600" s="8" t="str">
        <f t="shared" si="67"/>
        <v>Corporate</v>
      </c>
      <c r="N600" s="6" t="s">
        <v>8</v>
      </c>
      <c r="O600" s="6" t="str">
        <f t="shared" si="68"/>
        <v>East</v>
      </c>
      <c r="P600" s="6" t="s">
        <v>201</v>
      </c>
      <c r="Q600" s="6" t="str">
        <f t="shared" si="69"/>
        <v>West Bengal</v>
      </c>
      <c r="R600" s="6" t="s">
        <v>202</v>
      </c>
      <c r="S600" s="6" t="str">
        <f t="shared" si="70"/>
        <v>Kolkata</v>
      </c>
      <c r="T600" s="6" t="s">
        <v>27</v>
      </c>
      <c r="U600" s="8" t="str">
        <f t="shared" si="71"/>
        <v>Technology</v>
      </c>
      <c r="V600" s="6" t="s">
        <v>29</v>
      </c>
      <c r="W600" s="6" t="str">
        <f t="shared" si="72"/>
        <v>Copiers</v>
      </c>
      <c r="X600" s="6" t="s">
        <v>2954</v>
      </c>
      <c r="Y600" s="6" t="s">
        <v>37</v>
      </c>
      <c r="Z600" s="6" t="str">
        <f t="shared" si="73"/>
        <v>Same Day</v>
      </c>
      <c r="AA600" s="6">
        <v>3</v>
      </c>
      <c r="AB600" s="6">
        <v>1490.69</v>
      </c>
      <c r="AC600" s="6">
        <v>0.25</v>
      </c>
      <c r="AD600" s="6">
        <v>3354.05</v>
      </c>
      <c r="AE600" s="6">
        <v>2672.67</v>
      </c>
      <c r="AF600" s="6">
        <v>681.38</v>
      </c>
      <c r="AG600" s="6" t="s">
        <v>52</v>
      </c>
      <c r="AH600" s="6" t="str">
        <f t="shared" si="74"/>
        <v>Paid</v>
      </c>
      <c r="AI600" s="6" t="s">
        <v>134</v>
      </c>
      <c r="AJ600" s="6" t="str">
        <f t="shared" si="75"/>
        <v>Completed</v>
      </c>
      <c r="AK600" s="9" t="str">
        <f>_xlfn.TEXTJOIN("|",FALSE,A600,TEXT(B600,"mm-dd-yyyy"),TEXT(E600,"mm-dd-yyyy"),I600,J600,L600,N600,P600,R600,T600,V600,X600,Y600,AA600,AB600,AC600,AD600,AE600,AF600,AG600,AI600)</f>
        <v>ORD-2024-10599|08-17-2024|08-24-2024|CUST-8498|Ananya Rao|Corporate|East|West Bengal|Kolkata|Technology|Copiers|Eco Copiers 268|Same Day|3|1490.69|0.25|3354.05|2672.67|681.38|Paid|Completed</v>
      </c>
      <c r="AL600" s="27" t="str">
        <f>IF(COUNTIF($AK$2:AK600,AK600)&gt;1,"Remove exact duplicate copy","Keep")</f>
        <v>Keep</v>
      </c>
      <c r="AM600" s="9">
        <f t="shared" si="76"/>
        <v>1</v>
      </c>
      <c r="AN600" s="9" t="str">
        <f t="shared" si="77"/>
        <v>Unique</v>
      </c>
      <c r="AO600" s="9" t="str">
        <f t="shared" si="78"/>
        <v/>
      </c>
      <c r="AP600" s="9">
        <f t="shared" si="79"/>
        <v>0.25</v>
      </c>
      <c r="AQ600" s="10">
        <f t="shared" si="80"/>
        <v>3354.0524999999998</v>
      </c>
      <c r="AR600" s="10">
        <f t="shared" si="81"/>
        <v>681.38249999999971</v>
      </c>
      <c r="AS600" s="11">
        <f t="shared" si="82"/>
        <v>0.20315200790685289</v>
      </c>
      <c r="AT600" s="9">
        <f t="shared" si="83"/>
        <v>8</v>
      </c>
      <c r="AU600" s="9">
        <f t="shared" si="84"/>
        <v>2024</v>
      </c>
      <c r="AV600" s="9" t="b">
        <f t="shared" si="85"/>
        <v>0</v>
      </c>
      <c r="AW600" s="9" t="b">
        <f t="shared" si="86"/>
        <v>0</v>
      </c>
      <c r="AX600" s="9" t="str">
        <f t="shared" si="87"/>
        <v>Yes</v>
      </c>
      <c r="AY600" s="9" t="str">
        <f t="shared" si="91"/>
        <v/>
      </c>
      <c r="AZ600" s="9" t="str">
        <f>IF(OR(G600="Missing date",G600="Invalid date",G600="Ship date before order date",NOT(ISNUMBER(AP600)),AP600&lt;0,AP600&gt;0.5,AV600=TRUE,AW600=TRUE),"Invalid",IF(OR(O600="Unknown",Z600="Unknown",AC600="",AH600&lt;&gt;"Paid",AJ600&lt;&gt;"Completed",AO600&lt;&gt;""),"Warning","Clean"))</f>
        <v>Clean</v>
      </c>
    </row>
    <row r="601" spans="1:52" ht="15.75" customHeight="1">
      <c r="A601" s="6" t="s">
        <v>2955</v>
      </c>
      <c r="B601" s="7" t="s">
        <v>2956</v>
      </c>
      <c r="C601" s="7" t="str">
        <f t="shared" si="90"/>
        <v>2024-08</v>
      </c>
      <c r="D601" s="7" cm="1">
        <f t="array" ref="D601">_xlfn.LET(_xlpm.x,B601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45523</v>
      </c>
      <c r="E601" s="7" t="s">
        <v>1713</v>
      </c>
      <c r="F601" s="7" cm="1">
        <f t="array" ref="F601">_xlfn.LET(_xlpm.x,E601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45525</v>
      </c>
      <c r="G601" s="8" t="str">
        <f t="shared" si="64"/>
        <v>OK</v>
      </c>
      <c r="H601" s="6">
        <f t="shared" si="65"/>
        <v>2</v>
      </c>
      <c r="I601" s="6" t="s">
        <v>2957</v>
      </c>
      <c r="J601" s="6" t="s">
        <v>153</v>
      </c>
      <c r="K601" s="6" t="str">
        <f t="shared" si="66"/>
        <v>Arjun Bose</v>
      </c>
      <c r="L601" s="6" t="s">
        <v>43</v>
      </c>
      <c r="M601" s="8" t="str">
        <f t="shared" si="67"/>
        <v>Consumer</v>
      </c>
      <c r="N601" s="6" t="s">
        <v>7</v>
      </c>
      <c r="O601" s="6" t="str">
        <f t="shared" si="68"/>
        <v>North</v>
      </c>
      <c r="P601" s="6" t="s">
        <v>232</v>
      </c>
      <c r="Q601" s="6" t="str">
        <f t="shared" si="69"/>
        <v>Punjab</v>
      </c>
      <c r="R601" s="6" t="s">
        <v>233</v>
      </c>
      <c r="S601" s="6" t="str">
        <f t="shared" si="70"/>
        <v>Ludhiana</v>
      </c>
      <c r="T601" s="6" t="s">
        <v>27</v>
      </c>
      <c r="U601" s="8" t="str">
        <f t="shared" si="71"/>
        <v>Technology</v>
      </c>
      <c r="V601" s="6" t="s">
        <v>31</v>
      </c>
      <c r="W601" s="6" t="str">
        <f t="shared" si="72"/>
        <v>Phones</v>
      </c>
      <c r="X601" s="6" t="s">
        <v>2958</v>
      </c>
      <c r="Y601" s="6" t="s">
        <v>35</v>
      </c>
      <c r="Z601" s="6" t="str">
        <f t="shared" si="73"/>
        <v>First Class</v>
      </c>
      <c r="AA601" s="6">
        <v>3</v>
      </c>
      <c r="AB601" s="6">
        <v>1103.54</v>
      </c>
      <c r="AC601" s="6">
        <v>0.25</v>
      </c>
      <c r="AD601" s="6">
        <v>2482.9699999999998</v>
      </c>
      <c r="AE601" s="6">
        <v>1621.72</v>
      </c>
      <c r="AF601" s="6">
        <v>861.25</v>
      </c>
      <c r="AG601" s="6" t="s">
        <v>52</v>
      </c>
      <c r="AH601" s="6" t="str">
        <f t="shared" si="74"/>
        <v>Paid</v>
      </c>
      <c r="AI601" s="6" t="s">
        <v>134</v>
      </c>
      <c r="AJ601" s="6" t="str">
        <f t="shared" si="75"/>
        <v>Completed</v>
      </c>
      <c r="AK601" s="9" t="str">
        <f>_xlfn.TEXTJOIN("|",FALSE,A601,TEXT(B601,"mm-dd-yyyy"),TEXT(E601,"mm-dd-yyyy"),I601,J601,L601,N601,P601,R601,T601,V601,X601,Y601,AA601,AB601,AC601,AD601,AE601,AF601,AG601,AI601)</f>
        <v>ORD-2024-10600|19-08-2024|08-21-2024|CUST-2612|Arjun Bose|Consumer|North|Punjab|Ludhiana|Technology|Phones|Pro Phones 588|First Class|3|1103.54|0.25|2482.97|1621.72|861.25|Paid|Completed</v>
      </c>
      <c r="AL601" s="27" t="str">
        <f>IF(COUNTIF($AK$2:AK601,AK601)&gt;1,"Remove exact duplicate copy","Keep")</f>
        <v>Keep</v>
      </c>
      <c r="AM601" s="9">
        <f t="shared" si="76"/>
        <v>1</v>
      </c>
      <c r="AN601" s="9" t="str">
        <f t="shared" si="77"/>
        <v>Unique</v>
      </c>
      <c r="AO601" s="9" t="str">
        <f t="shared" si="78"/>
        <v/>
      </c>
      <c r="AP601" s="9">
        <f t="shared" si="79"/>
        <v>0.25</v>
      </c>
      <c r="AQ601" s="10">
        <f t="shared" si="80"/>
        <v>2482.9650000000001</v>
      </c>
      <c r="AR601" s="10">
        <f t="shared" si="81"/>
        <v>861.24500000000012</v>
      </c>
      <c r="AS601" s="11">
        <f t="shared" si="82"/>
        <v>0.34686151435884116</v>
      </c>
      <c r="AT601" s="9">
        <f t="shared" si="83"/>
        <v>8</v>
      </c>
      <c r="AU601" s="9">
        <f t="shared" si="84"/>
        <v>2024</v>
      </c>
      <c r="AV601" s="9" t="b">
        <f t="shared" si="85"/>
        <v>0</v>
      </c>
      <c r="AW601" s="9" t="b">
        <f t="shared" si="86"/>
        <v>0</v>
      </c>
      <c r="AX601" s="9" t="str">
        <f t="shared" si="87"/>
        <v>Yes</v>
      </c>
      <c r="AY601" s="9" t="str">
        <f t="shared" si="91"/>
        <v/>
      </c>
      <c r="AZ601" s="9" t="str">
        <f>IF(OR(G601="Missing date",G601="Invalid date",G601="Ship date before order date",NOT(ISNUMBER(AP601)),AP601&lt;0,AP601&gt;0.5,AV601=TRUE,AW601=TRUE),"Invalid",IF(OR(O601="Unknown",Z601="Unknown",AC601="",AH601&lt;&gt;"Paid",AJ601&lt;&gt;"Completed",AO601&lt;&gt;""),"Warning","Clean"))</f>
        <v>Clean</v>
      </c>
    </row>
    <row r="602" spans="1:52" ht="15.75" customHeight="1">
      <c r="A602" s="6" t="s">
        <v>2959</v>
      </c>
      <c r="B602" s="7" t="s">
        <v>2960</v>
      </c>
      <c r="C602" s="7" t="str">
        <f t="shared" si="90"/>
        <v>2025-03</v>
      </c>
      <c r="D602" s="7" cm="1">
        <f t="array" ref="D602">_xlfn.LET(_xlpm.x,B602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45721</v>
      </c>
      <c r="E602" s="7" t="s">
        <v>2961</v>
      </c>
      <c r="F602" s="7" cm="1">
        <f t="array" ref="F602">_xlfn.LET(_xlpm.x,E602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45728</v>
      </c>
      <c r="G602" s="8" t="str">
        <f t="shared" si="64"/>
        <v>OK</v>
      </c>
      <c r="H602" s="6">
        <f t="shared" si="65"/>
        <v>7</v>
      </c>
      <c r="I602" s="6" t="s">
        <v>2962</v>
      </c>
      <c r="J602" s="6" t="s">
        <v>161</v>
      </c>
      <c r="K602" s="6" t="str">
        <f t="shared" si="66"/>
        <v>Ananya Rao</v>
      </c>
      <c r="L602" s="6" t="s">
        <v>45</v>
      </c>
      <c r="M602" s="8" t="str">
        <f t="shared" si="67"/>
        <v>Corporate</v>
      </c>
      <c r="N602" s="6" t="s">
        <v>9</v>
      </c>
      <c r="O602" s="6" t="str">
        <f t="shared" si="68"/>
        <v>West</v>
      </c>
      <c r="P602" s="6" t="s">
        <v>170</v>
      </c>
      <c r="Q602" s="6" t="str">
        <f t="shared" si="69"/>
        <v>Madhya Pradesh</v>
      </c>
      <c r="R602" s="6" t="s">
        <v>171</v>
      </c>
      <c r="S602" s="6" t="str">
        <f t="shared" si="70"/>
        <v>Indore</v>
      </c>
      <c r="T602" s="6" t="s">
        <v>20</v>
      </c>
      <c r="U602" s="8" t="str">
        <f t="shared" si="71"/>
        <v>Office Supplies</v>
      </c>
      <c r="V602" s="6" t="s">
        <v>25</v>
      </c>
      <c r="W602" s="6" t="str">
        <f t="shared" si="72"/>
        <v>Storage</v>
      </c>
      <c r="X602" s="6" t="s">
        <v>2963</v>
      </c>
      <c r="Y602" s="6" t="s">
        <v>37</v>
      </c>
      <c r="Z602" s="6" t="str">
        <f t="shared" si="73"/>
        <v>Same Day</v>
      </c>
      <c r="AA602" s="6">
        <v>3</v>
      </c>
      <c r="AB602" s="6">
        <v>3682.75</v>
      </c>
      <c r="AC602" s="6"/>
      <c r="AD602" s="6">
        <v>11048.25</v>
      </c>
      <c r="AE602" s="6">
        <v>9062.7199999999993</v>
      </c>
      <c r="AF602" s="6">
        <v>1985.53</v>
      </c>
      <c r="AG602" s="6" t="s">
        <v>52</v>
      </c>
      <c r="AH602" s="6" t="str">
        <f t="shared" si="74"/>
        <v>Paid</v>
      </c>
      <c r="AI602" s="6" t="s">
        <v>134</v>
      </c>
      <c r="AJ602" s="6" t="str">
        <f t="shared" si="75"/>
        <v>Completed</v>
      </c>
      <c r="AK602" s="9" t="str">
        <f>_xlfn.TEXTJOIN("|",FALSE,A602,TEXT(B602,"mm-dd-yyyy"),TEXT(E602,"mm-dd-yyyy"),I602,J602,L602,N602,P602,R602,T602,V602,X602,Y602,AA602,AB602,AC602,AD602,AE602,AF602,AG602,AI602)</f>
        <v>ORD-2025-10601|05-03-2025|03-12-2025|CUST-6013|Ananya Rao|Corporate|West|Madhya Pradesh|Indore|Office Supplies|Storage|Prime Storage 432|Same Day|3|3682.75||11048.25|9062.72|1985.53|Paid|Completed</v>
      </c>
      <c r="AL602" s="27" t="str">
        <f>IF(COUNTIF($AK$2:AK602,AK602)&gt;1,"Remove exact duplicate copy","Keep")</f>
        <v>Keep</v>
      </c>
      <c r="AM602" s="9">
        <f t="shared" si="76"/>
        <v>1</v>
      </c>
      <c r="AN602" s="9" t="str">
        <f t="shared" si="77"/>
        <v>Unique</v>
      </c>
      <c r="AO602" s="9" t="str">
        <f t="shared" si="78"/>
        <v/>
      </c>
      <c r="AP602" s="9">
        <f t="shared" si="79"/>
        <v>0</v>
      </c>
      <c r="AQ602" s="10">
        <f t="shared" si="80"/>
        <v>11048.25</v>
      </c>
      <c r="AR602" s="10">
        <f t="shared" si="81"/>
        <v>1985.5300000000007</v>
      </c>
      <c r="AS602" s="11">
        <f t="shared" si="82"/>
        <v>0.17971443441268986</v>
      </c>
      <c r="AT602" s="9">
        <f t="shared" si="83"/>
        <v>3</v>
      </c>
      <c r="AU602" s="9">
        <f t="shared" si="84"/>
        <v>2025</v>
      </c>
      <c r="AV602" s="9" t="b">
        <f t="shared" si="85"/>
        <v>0</v>
      </c>
      <c r="AW602" s="9" t="b">
        <f t="shared" si="86"/>
        <v>0</v>
      </c>
      <c r="AX602" s="9" t="str">
        <f t="shared" si="87"/>
        <v>Yes</v>
      </c>
      <c r="AY602" s="9" t="str">
        <f t="shared" si="91"/>
        <v>Missing discount treated as 0</v>
      </c>
      <c r="AZ602" s="9" t="str">
        <f>IF(OR(G602="Missing date",G602="Invalid date",G602="Ship date before order date",NOT(ISNUMBER(AP602)),AP602&lt;0,AP602&gt;0.5,AV602=TRUE,AW602=TRUE),"Invalid",IF(OR(O602="Unknown",Z602="Unknown",AC602="",AH602&lt;&gt;"Paid",AJ602&lt;&gt;"Completed",AO602&lt;&gt;""),"Warning","Clean"))</f>
        <v>Warning</v>
      </c>
    </row>
    <row r="603" spans="1:52" ht="15.75" customHeight="1">
      <c r="A603" s="6" t="s">
        <v>2964</v>
      </c>
      <c r="B603" s="7" t="s">
        <v>2965</v>
      </c>
      <c r="C603" s="7" t="str">
        <f t="shared" si="90"/>
        <v>2024-01</v>
      </c>
      <c r="D603" s="7" cm="1">
        <f t="array" ref="D603">_xlfn.LET(_xlpm.x,B603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45317</v>
      </c>
      <c r="E603" s="7" t="s">
        <v>2966</v>
      </c>
      <c r="F603" s="7" cm="1">
        <f t="array" ref="F603">_xlfn.LET(_xlpm.x,E603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45322</v>
      </c>
      <c r="G603" s="8" t="str">
        <f t="shared" si="64"/>
        <v>OK</v>
      </c>
      <c r="H603" s="6">
        <f t="shared" si="65"/>
        <v>5</v>
      </c>
      <c r="I603" s="6" t="s">
        <v>2967</v>
      </c>
      <c r="J603" s="6" t="s">
        <v>161</v>
      </c>
      <c r="K603" s="6" t="str">
        <f t="shared" si="66"/>
        <v>Ananya Rao</v>
      </c>
      <c r="L603" s="6" t="s">
        <v>44</v>
      </c>
      <c r="M603" s="8" t="str">
        <f t="shared" si="67"/>
        <v>Home Office</v>
      </c>
      <c r="N603" s="6" t="s">
        <v>8</v>
      </c>
      <c r="O603" s="6" t="str">
        <f t="shared" si="68"/>
        <v>East</v>
      </c>
      <c r="P603" s="6" t="s">
        <v>201</v>
      </c>
      <c r="Q603" s="6" t="str">
        <f t="shared" si="69"/>
        <v>West Bengal</v>
      </c>
      <c r="R603" s="6" t="s">
        <v>202</v>
      </c>
      <c r="S603" s="6" t="str">
        <f t="shared" si="70"/>
        <v>Kolkata</v>
      </c>
      <c r="T603" s="6" t="s">
        <v>20</v>
      </c>
      <c r="U603" s="8" t="str">
        <f t="shared" si="71"/>
        <v>Office Supplies</v>
      </c>
      <c r="V603" s="6" t="s">
        <v>24</v>
      </c>
      <c r="W603" s="6" t="str">
        <f t="shared" si="72"/>
        <v>Paper</v>
      </c>
      <c r="X603" s="6" t="s">
        <v>2968</v>
      </c>
      <c r="Y603" s="6" t="s">
        <v>36</v>
      </c>
      <c r="Z603" s="6" t="str">
        <f t="shared" si="73"/>
        <v>Second Class</v>
      </c>
      <c r="AA603" s="6">
        <v>5</v>
      </c>
      <c r="AB603" s="6">
        <v>1615.03</v>
      </c>
      <c r="AC603" s="6">
        <v>0.2</v>
      </c>
      <c r="AD603" s="6">
        <v>6460.12</v>
      </c>
      <c r="AE603" s="6">
        <v>3604.03</v>
      </c>
      <c r="AF603" s="6">
        <v>2856.09</v>
      </c>
      <c r="AG603" s="6" t="s">
        <v>52</v>
      </c>
      <c r="AH603" s="6" t="str">
        <f t="shared" si="74"/>
        <v>Paid</v>
      </c>
      <c r="AI603" s="6" t="s">
        <v>134</v>
      </c>
      <c r="AJ603" s="6" t="str">
        <f t="shared" si="75"/>
        <v>Completed</v>
      </c>
      <c r="AK603" s="9" t="str">
        <f>_xlfn.TEXTJOIN("|",FALSE,A603,TEXT(B603,"mm-dd-yyyy"),TEXT(E603,"mm-dd-yyyy"),I603,J603,L603,N603,P603,R603,T603,V603,X603,Y603,AA603,AB603,AC603,AD603,AE603,AF603,AG603,AI603)</f>
        <v>ORD-2024-10602|01-26-2024|01-31-2024|CUST-8289|Ananya Rao|Home Office|East|West Bengal|Kolkata|Office Supplies|Paper|Basic Paper 452|Second Class|5|1615.03|0.2|6460.12|3604.03|2856.09|Paid|Completed</v>
      </c>
      <c r="AL603" s="27" t="str">
        <f>IF(COUNTIF($AK$2:AK603,AK603)&gt;1,"Remove exact duplicate copy","Keep")</f>
        <v>Keep</v>
      </c>
      <c r="AM603" s="9">
        <f t="shared" si="76"/>
        <v>1</v>
      </c>
      <c r="AN603" s="9" t="str">
        <f t="shared" si="77"/>
        <v>Unique</v>
      </c>
      <c r="AO603" s="9" t="str">
        <f t="shared" si="78"/>
        <v/>
      </c>
      <c r="AP603" s="9">
        <f t="shared" si="79"/>
        <v>0.2</v>
      </c>
      <c r="AQ603" s="10">
        <f t="shared" si="80"/>
        <v>6460.12</v>
      </c>
      <c r="AR603" s="10">
        <f t="shared" si="81"/>
        <v>2856.0899999999997</v>
      </c>
      <c r="AS603" s="11">
        <f t="shared" si="82"/>
        <v>0.44211098245853014</v>
      </c>
      <c r="AT603" s="9">
        <f t="shared" si="83"/>
        <v>1</v>
      </c>
      <c r="AU603" s="9">
        <f t="shared" si="84"/>
        <v>2024</v>
      </c>
      <c r="AV603" s="9" t="b">
        <f t="shared" si="85"/>
        <v>0</v>
      </c>
      <c r="AW603" s="9" t="b">
        <f t="shared" si="86"/>
        <v>0</v>
      </c>
      <c r="AX603" s="9" t="str">
        <f t="shared" si="87"/>
        <v>Yes</v>
      </c>
      <c r="AY603" s="9" t="str">
        <f t="shared" si="91"/>
        <v/>
      </c>
      <c r="AZ603" s="9" t="str">
        <f>IF(OR(G603="Missing date",G603="Invalid date",G603="Ship date before order date",NOT(ISNUMBER(AP603)),AP603&lt;0,AP603&gt;0.5,AV603=TRUE,AW603=TRUE),"Invalid",IF(OR(O603="Unknown",Z603="Unknown",AC603="",AH603&lt;&gt;"Paid",AJ603&lt;&gt;"Completed",AO603&lt;&gt;""),"Warning","Clean"))</f>
        <v>Clean</v>
      </c>
    </row>
    <row r="604" spans="1:52" ht="15.75" customHeight="1">
      <c r="A604" s="6" t="s">
        <v>2969</v>
      </c>
      <c r="B604" s="7" t="s">
        <v>2970</v>
      </c>
      <c r="C604" s="7" t="str">
        <f t="shared" si="90"/>
        <v>2024-10</v>
      </c>
      <c r="D604" s="7" cm="1">
        <f t="array" ref="D604">_xlfn.LET(_xlpm.x,B604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45588</v>
      </c>
      <c r="E604" s="7" t="s">
        <v>2971</v>
      </c>
      <c r="F604" s="7" cm="1">
        <f t="array" ref="F604">_xlfn.LET(_xlpm.x,E604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45595</v>
      </c>
      <c r="G604" s="8" t="str">
        <f t="shared" si="64"/>
        <v>OK</v>
      </c>
      <c r="H604" s="6">
        <f t="shared" si="65"/>
        <v>7</v>
      </c>
      <c r="I604" s="6" t="s">
        <v>2972</v>
      </c>
      <c r="J604" s="6" t="s">
        <v>239</v>
      </c>
      <c r="K604" s="6" t="str">
        <f t="shared" si="66"/>
        <v>Aarav Sharma</v>
      </c>
      <c r="L604" s="6" t="s">
        <v>43</v>
      </c>
      <c r="M604" s="8" t="str">
        <f t="shared" si="67"/>
        <v>Consumer</v>
      </c>
      <c r="N604" s="6" t="s">
        <v>8</v>
      </c>
      <c r="O604" s="6" t="str">
        <f t="shared" si="68"/>
        <v>East</v>
      </c>
      <c r="P604" s="6" t="s">
        <v>385</v>
      </c>
      <c r="Q604" s="6" t="str">
        <f t="shared" si="69"/>
        <v>Jharkhand</v>
      </c>
      <c r="R604" s="6" t="s">
        <v>386</v>
      </c>
      <c r="S604" s="6" t="str">
        <f t="shared" si="70"/>
        <v>Ranchi</v>
      </c>
      <c r="T604" s="6" t="s">
        <v>27</v>
      </c>
      <c r="U604" s="8" t="str">
        <f t="shared" si="71"/>
        <v>Technology</v>
      </c>
      <c r="V604" s="6" t="s">
        <v>29</v>
      </c>
      <c r="W604" s="6" t="str">
        <f t="shared" si="72"/>
        <v>Copiers</v>
      </c>
      <c r="X604" s="6" t="s">
        <v>2973</v>
      </c>
      <c r="Y604" s="6" t="s">
        <v>36</v>
      </c>
      <c r="Z604" s="6" t="str">
        <f t="shared" si="73"/>
        <v>Second Class</v>
      </c>
      <c r="AA604" s="6">
        <v>9</v>
      </c>
      <c r="AB604" s="6">
        <v>3423.82</v>
      </c>
      <c r="AC604" s="6">
        <v>0.15</v>
      </c>
      <c r="AD604" s="6">
        <v>26192.22</v>
      </c>
      <c r="AE604" s="6">
        <v>20795.55</v>
      </c>
      <c r="AF604" s="6">
        <v>5396.67</v>
      </c>
      <c r="AG604" s="6" t="s">
        <v>52</v>
      </c>
      <c r="AH604" s="6" t="str">
        <f t="shared" si="74"/>
        <v>Paid</v>
      </c>
      <c r="AI604" s="6" t="s">
        <v>134</v>
      </c>
      <c r="AJ604" s="6" t="str">
        <f t="shared" si="75"/>
        <v>Completed</v>
      </c>
      <c r="AK604" s="9" t="str">
        <f>_xlfn.TEXTJOIN("|",FALSE,A604,TEXT(B604,"mm-dd-yyyy"),TEXT(E604,"mm-dd-yyyy"),I604,J604,L604,N604,P604,R604,T604,V604,X604,Y604,AA604,AB604,AC604,AD604,AE604,AF604,AG604,AI604)</f>
        <v>ORD-2024-10603|23-10-2024|10-30-2024|CUST-5668|Aarav Sharma|Consumer|East|Jharkhand|Ranchi|Technology|Copiers|Max Copiers 477|Second Class|9|3423.82|0.15|26192.22|20795.55|5396.67|Paid|Completed</v>
      </c>
      <c r="AL604" s="27" t="str">
        <f>IF(COUNTIF($AK$2:AK604,AK604)&gt;1,"Remove exact duplicate copy","Keep")</f>
        <v>Keep</v>
      </c>
      <c r="AM604" s="9">
        <f t="shared" si="76"/>
        <v>1</v>
      </c>
      <c r="AN604" s="9" t="str">
        <f t="shared" si="77"/>
        <v>Unique</v>
      </c>
      <c r="AO604" s="9" t="str">
        <f t="shared" si="78"/>
        <v/>
      </c>
      <c r="AP604" s="9">
        <f t="shared" si="79"/>
        <v>0.15</v>
      </c>
      <c r="AQ604" s="10">
        <f t="shared" si="80"/>
        <v>26192.223000000002</v>
      </c>
      <c r="AR604" s="10">
        <f t="shared" si="81"/>
        <v>5396.6730000000025</v>
      </c>
      <c r="AS604" s="11">
        <f t="shared" si="82"/>
        <v>0.20604104508426041</v>
      </c>
      <c r="AT604" s="9">
        <f t="shared" si="83"/>
        <v>10</v>
      </c>
      <c r="AU604" s="9">
        <f t="shared" si="84"/>
        <v>2024</v>
      </c>
      <c r="AV604" s="9" t="b">
        <f t="shared" si="85"/>
        <v>0</v>
      </c>
      <c r="AW604" s="9" t="b">
        <f t="shared" si="86"/>
        <v>0</v>
      </c>
      <c r="AX604" s="9" t="str">
        <f t="shared" si="87"/>
        <v>Yes</v>
      </c>
      <c r="AY604" s="9" t="str">
        <f t="shared" si="91"/>
        <v/>
      </c>
      <c r="AZ604" s="9" t="str">
        <f>IF(OR(G604="Missing date",G604="Invalid date",G604="Ship date before order date",NOT(ISNUMBER(AP604)),AP604&lt;0,AP604&gt;0.5,AV604=TRUE,AW604=TRUE),"Invalid",IF(OR(O604="Unknown",Z604="Unknown",AC604="",AH604&lt;&gt;"Paid",AJ604&lt;&gt;"Completed",AO604&lt;&gt;""),"Warning","Clean"))</f>
        <v>Clean</v>
      </c>
    </row>
    <row r="605" spans="1:52" ht="15.75" customHeight="1">
      <c r="A605" s="6" t="s">
        <v>2974</v>
      </c>
      <c r="B605" s="7" t="s">
        <v>2975</v>
      </c>
      <c r="C605" s="7" t="str">
        <f t="shared" si="90"/>
        <v>2025-01</v>
      </c>
      <c r="D605" s="7" cm="1">
        <f t="array" ref="D605">_xlfn.LET(_xlpm.x,B605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45660</v>
      </c>
      <c r="E605" s="7" t="s">
        <v>670</v>
      </c>
      <c r="F605" s="7" cm="1">
        <f t="array" ref="F605">_xlfn.LET(_xlpm.x,E605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45668</v>
      </c>
      <c r="G605" s="8" t="str">
        <f t="shared" si="64"/>
        <v>OK</v>
      </c>
      <c r="H605" s="6">
        <f t="shared" si="65"/>
        <v>8</v>
      </c>
      <c r="I605" s="6" t="s">
        <v>556</v>
      </c>
      <c r="J605" s="6" t="s">
        <v>169</v>
      </c>
      <c r="K605" s="6" t="str">
        <f t="shared" si="66"/>
        <v>Vikram Iyer</v>
      </c>
      <c r="L605" s="6" t="s">
        <v>45</v>
      </c>
      <c r="M605" s="8" t="str">
        <f t="shared" si="67"/>
        <v>Corporate</v>
      </c>
      <c r="N605" s="6" t="s">
        <v>8</v>
      </c>
      <c r="O605" s="6" t="str">
        <f t="shared" si="68"/>
        <v>East</v>
      </c>
      <c r="P605" s="6" t="s">
        <v>263</v>
      </c>
      <c r="Q605" s="6" t="str">
        <f t="shared" si="69"/>
        <v>Bihar</v>
      </c>
      <c r="R605" s="6" t="s">
        <v>264</v>
      </c>
      <c r="S605" s="6" t="str">
        <f t="shared" si="70"/>
        <v>Patna</v>
      </c>
      <c r="T605" s="6" t="s">
        <v>604</v>
      </c>
      <c r="U605" s="8" t="str">
        <f t="shared" si="71"/>
        <v>Technology</v>
      </c>
      <c r="V605" s="6" t="s">
        <v>28</v>
      </c>
      <c r="W605" s="6" t="str">
        <f t="shared" si="72"/>
        <v>Accessories</v>
      </c>
      <c r="X605" s="6" t="s">
        <v>2976</v>
      </c>
      <c r="Y605" s="6" t="s">
        <v>35</v>
      </c>
      <c r="Z605" s="6" t="str">
        <f t="shared" si="73"/>
        <v>First Class</v>
      </c>
      <c r="AA605" s="6">
        <v>8</v>
      </c>
      <c r="AB605" s="6">
        <v>2574.29</v>
      </c>
      <c r="AC605" s="6">
        <v>0.05</v>
      </c>
      <c r="AD605" s="6">
        <v>19564.599999999999</v>
      </c>
      <c r="AE605" s="6">
        <v>11154.59</v>
      </c>
      <c r="AF605" s="6">
        <v>8410.01</v>
      </c>
      <c r="AG605" s="6" t="s">
        <v>54</v>
      </c>
      <c r="AH605" s="6" t="str">
        <f t="shared" si="74"/>
        <v>Pending</v>
      </c>
      <c r="AI605" s="6" t="s">
        <v>58</v>
      </c>
      <c r="AJ605" s="6" t="str">
        <f t="shared" si="75"/>
        <v>Cancelled</v>
      </c>
      <c r="AK605" s="9" t="str">
        <f>_xlfn.TEXTJOIN("|",FALSE,A605,TEXT(B605,"mm-dd-yyyy"),TEXT(E605,"mm-dd-yyyy"),I605,J605,L605,N605,P605,R605,T605,V605,X605,Y605,AA605,AB605,AC605,AD605,AE605,AF605,AG605,AI605)</f>
        <v>ORD-2025-10604|01-03-2025|11-01-2025|CUST-5808|Vikram Iyer|Corporate|East|Bihar|Patna|Technology |Accessories|Prime Accessories 300|First Class|8|2574.29|0.05|19564.6|11154.59|8410.01|Pending|Cancelled</v>
      </c>
      <c r="AL605" s="27" t="str">
        <f>IF(COUNTIF($AK$2:AK605,AK605)&gt;1,"Remove exact duplicate copy","Keep")</f>
        <v>Keep</v>
      </c>
      <c r="AM605" s="9">
        <f t="shared" si="76"/>
        <v>1</v>
      </c>
      <c r="AN605" s="9" t="str">
        <f t="shared" si="77"/>
        <v>Unique</v>
      </c>
      <c r="AO605" s="9" t="str">
        <f t="shared" si="78"/>
        <v/>
      </c>
      <c r="AP605" s="9">
        <f t="shared" si="79"/>
        <v>0.05</v>
      </c>
      <c r="AQ605" s="10">
        <f t="shared" si="80"/>
        <v>19564.603999999999</v>
      </c>
      <c r="AR605" s="10">
        <f t="shared" si="81"/>
        <v>8410.0139999999992</v>
      </c>
      <c r="AS605" s="11">
        <f t="shared" si="82"/>
        <v>0.42985863654587642</v>
      </c>
      <c r="AT605" s="9">
        <f t="shared" si="83"/>
        <v>1</v>
      </c>
      <c r="AU605" s="9">
        <f t="shared" si="84"/>
        <v>2025</v>
      </c>
      <c r="AV605" s="9" t="b">
        <f t="shared" si="85"/>
        <v>0</v>
      </c>
      <c r="AW605" s="9" t="b">
        <f t="shared" si="86"/>
        <v>0</v>
      </c>
      <c r="AX605" s="9" t="str">
        <f t="shared" si="87"/>
        <v>No</v>
      </c>
      <c r="AY605" s="9" t="str">
        <f t="shared" si="91"/>
        <v>Cancelled order excluded</v>
      </c>
      <c r="AZ605" s="9" t="str">
        <f>IF(OR(G605="Missing date",G605="Invalid date",G605="Ship date before order date",NOT(ISNUMBER(AP605)),AP605&lt;0,AP605&gt;0.5,AV605=TRUE,AW605=TRUE),"Invalid",IF(OR(O605="Unknown",Z605="Unknown",AC605="",AH605&lt;&gt;"Paid",AJ605&lt;&gt;"Completed",AO605&lt;&gt;""),"Warning","Clean"))</f>
        <v>Warning</v>
      </c>
    </row>
    <row r="606" spans="1:52" ht="15.75" customHeight="1">
      <c r="A606" s="6" t="s">
        <v>2977</v>
      </c>
      <c r="B606" s="7" t="s">
        <v>2978</v>
      </c>
      <c r="C606" s="7" t="str">
        <f t="shared" si="90"/>
        <v>2025-02</v>
      </c>
      <c r="D606" s="7" cm="1">
        <f t="array" ref="D606">_xlfn.LET(_xlpm.x,B606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45693</v>
      </c>
      <c r="E606" s="7" t="s">
        <v>2979</v>
      </c>
      <c r="F606" s="7" cm="1">
        <f t="array" ref="F606">_xlfn.LET(_xlpm.x,E606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45694</v>
      </c>
      <c r="G606" s="8" t="str">
        <f t="shared" si="64"/>
        <v>OK</v>
      </c>
      <c r="H606" s="6">
        <f t="shared" si="65"/>
        <v>1</v>
      </c>
      <c r="I606" s="6" t="s">
        <v>2980</v>
      </c>
      <c r="J606" s="6" t="s">
        <v>161</v>
      </c>
      <c r="K606" s="6" t="str">
        <f t="shared" si="66"/>
        <v>Ananya Rao</v>
      </c>
      <c r="L606" s="6" t="s">
        <v>43</v>
      </c>
      <c r="M606" s="8" t="str">
        <f t="shared" si="67"/>
        <v>Consumer</v>
      </c>
      <c r="N606" s="6" t="s">
        <v>9</v>
      </c>
      <c r="O606" s="6" t="str">
        <f t="shared" si="68"/>
        <v>West</v>
      </c>
      <c r="P606" s="6" t="s">
        <v>170</v>
      </c>
      <c r="Q606" s="6" t="str">
        <f t="shared" si="69"/>
        <v>Madhya Pradesh</v>
      </c>
      <c r="R606" s="6" t="s">
        <v>171</v>
      </c>
      <c r="S606" s="6" t="str">
        <f t="shared" si="70"/>
        <v>Indore</v>
      </c>
      <c r="T606" s="6" t="s">
        <v>20</v>
      </c>
      <c r="U606" s="8" t="str">
        <f t="shared" si="71"/>
        <v>Office Supplies</v>
      </c>
      <c r="V606" s="6" t="s">
        <v>22</v>
      </c>
      <c r="W606" s="6" t="str">
        <f t="shared" si="72"/>
        <v>Binders</v>
      </c>
      <c r="X606" s="6" t="s">
        <v>2981</v>
      </c>
      <c r="Y606" s="6" t="s">
        <v>37</v>
      </c>
      <c r="Z606" s="6" t="str">
        <f t="shared" si="73"/>
        <v>Same Day</v>
      </c>
      <c r="AA606" s="6">
        <v>3</v>
      </c>
      <c r="AB606" s="6">
        <v>1076.3</v>
      </c>
      <c r="AC606" s="6">
        <v>0</v>
      </c>
      <c r="AD606" s="6">
        <v>3228.9</v>
      </c>
      <c r="AE606" s="6">
        <v>1853.23</v>
      </c>
      <c r="AF606" s="6">
        <v>1375.67</v>
      </c>
      <c r="AG606" s="6" t="s">
        <v>52</v>
      </c>
      <c r="AH606" s="6" t="str">
        <f t="shared" si="74"/>
        <v>Paid</v>
      </c>
      <c r="AI606" s="6" t="s">
        <v>134</v>
      </c>
      <c r="AJ606" s="6" t="str">
        <f t="shared" si="75"/>
        <v>Completed</v>
      </c>
      <c r="AK606" s="9" t="str">
        <f>_xlfn.TEXTJOIN("|",FALSE,A606,TEXT(B606,"mm-dd-yyyy"),TEXT(E606,"mm-dd-yyyy"),I606,J606,L606,N606,P606,R606,T606,V606,X606,Y606,AA606,AB606,AC606,AD606,AE606,AF606,AG606,AI606)</f>
        <v>ORD-2025-10605|05-02-2025|02-06-2025|CUST-4526|Ananya Rao|Consumer|West|Madhya Pradesh|Indore|Office Supplies|Binders|Max Binders 547|Same Day|3|1076.3|0|3228.9|1853.23|1375.67|Paid|Completed</v>
      </c>
      <c r="AL606" s="27" t="str">
        <f>IF(COUNTIF($AK$2:AK606,AK606)&gt;1,"Remove exact duplicate copy","Keep")</f>
        <v>Keep</v>
      </c>
      <c r="AM606" s="9">
        <f t="shared" si="76"/>
        <v>1</v>
      </c>
      <c r="AN606" s="9" t="str">
        <f t="shared" si="77"/>
        <v>Unique</v>
      </c>
      <c r="AO606" s="9" t="str">
        <f t="shared" si="78"/>
        <v/>
      </c>
      <c r="AP606" s="9">
        <f t="shared" si="79"/>
        <v>0</v>
      </c>
      <c r="AQ606" s="10">
        <f t="shared" si="80"/>
        <v>3228.8999999999996</v>
      </c>
      <c r="AR606" s="10">
        <f t="shared" si="81"/>
        <v>1375.6699999999996</v>
      </c>
      <c r="AS606" s="11">
        <f t="shared" si="82"/>
        <v>0.42604911889497965</v>
      </c>
      <c r="AT606" s="9">
        <f t="shared" si="83"/>
        <v>2</v>
      </c>
      <c r="AU606" s="9">
        <f t="shared" si="84"/>
        <v>2025</v>
      </c>
      <c r="AV606" s="9" t="b">
        <f t="shared" si="85"/>
        <v>0</v>
      </c>
      <c r="AW606" s="9" t="b">
        <f t="shared" si="86"/>
        <v>0</v>
      </c>
      <c r="AX606" s="9" t="str">
        <f t="shared" si="87"/>
        <v>Yes</v>
      </c>
      <c r="AY606" s="9" t="str">
        <f t="shared" si="91"/>
        <v/>
      </c>
      <c r="AZ606" s="9" t="str">
        <f>IF(OR(G606="Missing date",G606="Invalid date",G606="Ship date before order date",NOT(ISNUMBER(AP606)),AP606&lt;0,AP606&gt;0.5,AV606=TRUE,AW606=TRUE),"Invalid",IF(OR(O606="Unknown",Z606="Unknown",AC606="",AH606&lt;&gt;"Paid",AJ606&lt;&gt;"Completed",AO606&lt;&gt;""),"Warning","Clean"))</f>
        <v>Clean</v>
      </c>
    </row>
    <row r="607" spans="1:52" ht="15.75" customHeight="1">
      <c r="A607" s="6" t="s">
        <v>2982</v>
      </c>
      <c r="B607" s="7" t="s">
        <v>2706</v>
      </c>
      <c r="C607" s="7" t="str">
        <f t="shared" si="90"/>
        <v>2025-07</v>
      </c>
      <c r="D607" s="7" cm="1">
        <f t="array" ref="D607">_xlfn.LET(_xlpm.x,B607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45847</v>
      </c>
      <c r="E607" s="7" t="s">
        <v>2983</v>
      </c>
      <c r="F607" s="7" cm="1">
        <f t="array" ref="F607">_xlfn.LET(_xlpm.x,E607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45851</v>
      </c>
      <c r="G607" s="8" t="str">
        <f t="shared" si="64"/>
        <v>OK</v>
      </c>
      <c r="H607" s="6">
        <f t="shared" si="65"/>
        <v>4</v>
      </c>
      <c r="I607" s="6" t="s">
        <v>2984</v>
      </c>
      <c r="J607" s="6" t="s">
        <v>442</v>
      </c>
      <c r="K607" s="6" t="str">
        <f t="shared" si="66"/>
        <v>Kabir Singh</v>
      </c>
      <c r="L607" s="6" t="s">
        <v>45</v>
      </c>
      <c r="M607" s="8" t="str">
        <f t="shared" si="67"/>
        <v>Corporate</v>
      </c>
      <c r="N607" s="6" t="s">
        <v>9</v>
      </c>
      <c r="O607" s="6" t="str">
        <f t="shared" si="68"/>
        <v>West</v>
      </c>
      <c r="P607" s="6" t="s">
        <v>323</v>
      </c>
      <c r="Q607" s="6" t="str">
        <f t="shared" si="69"/>
        <v>Goa</v>
      </c>
      <c r="R607" s="6" t="s">
        <v>324</v>
      </c>
      <c r="S607" s="6" t="str">
        <f t="shared" si="70"/>
        <v>Panaji</v>
      </c>
      <c r="T607" s="6" t="s">
        <v>14</v>
      </c>
      <c r="U607" s="8" t="str">
        <f t="shared" si="71"/>
        <v>Furniture</v>
      </c>
      <c r="V607" s="6" t="s">
        <v>17</v>
      </c>
      <c r="W607" s="6" t="str">
        <f t="shared" si="72"/>
        <v>Furnishings</v>
      </c>
      <c r="X607" s="6" t="s">
        <v>2985</v>
      </c>
      <c r="Y607" s="6" t="s">
        <v>36</v>
      </c>
      <c r="Z607" s="6" t="str">
        <f t="shared" si="73"/>
        <v>Second Class</v>
      </c>
      <c r="AA607" s="6">
        <v>5</v>
      </c>
      <c r="AB607" s="6">
        <v>1680.01</v>
      </c>
      <c r="AC607" s="6" t="s">
        <v>1255</v>
      </c>
      <c r="AD607" s="6">
        <v>7560.04</v>
      </c>
      <c r="AE607" s="6">
        <v>6448.05</v>
      </c>
      <c r="AF607" s="6">
        <v>1111.99</v>
      </c>
      <c r="AG607" s="6" t="s">
        <v>52</v>
      </c>
      <c r="AH607" s="6" t="str">
        <f t="shared" si="74"/>
        <v>Paid</v>
      </c>
      <c r="AI607" s="6" t="s">
        <v>58</v>
      </c>
      <c r="AJ607" s="6" t="str">
        <f t="shared" si="75"/>
        <v>Cancelled</v>
      </c>
      <c r="AK607" s="9" t="str">
        <f>_xlfn.TEXTJOIN("|",FALSE,A607,TEXT(B607,"mm-dd-yyyy"),TEXT(E607,"mm-dd-yyyy"),I607,J607,L607,N607,P607,R607,T607,V607,X607,Y607,AA607,AB607,AC607,AD607,AE607,AF607,AG607,AI607)</f>
        <v>ORD-2025-10606|07-09-2025|07-13-2025|CUST-4447|Kabir Singh|Corporate|West|Goa|Panaji|Furniture|Furnishings|Pro Furnishings 267|Second Class|5|1680.01|85%|7560.04|6448.05|1111.99|Paid|Cancelled</v>
      </c>
      <c r="AL607" s="27" t="str">
        <f>IF(COUNTIF($AK$2:AK607,AK607)&gt;1,"Remove exact duplicate copy","Keep")</f>
        <v>Keep</v>
      </c>
      <c r="AM607" s="9">
        <f t="shared" si="76"/>
        <v>1</v>
      </c>
      <c r="AN607" s="9" t="str">
        <f t="shared" si="77"/>
        <v>Unique</v>
      </c>
      <c r="AO607" s="9" t="str">
        <f t="shared" si="78"/>
        <v/>
      </c>
      <c r="AP607" s="9">
        <f t="shared" si="79"/>
        <v>0.85</v>
      </c>
      <c r="AQ607" s="10">
        <f t="shared" si="80"/>
        <v>1260.0075000000002</v>
      </c>
      <c r="AR607" s="10">
        <f t="shared" si="81"/>
        <v>-5188.0424999999996</v>
      </c>
      <c r="AS607" s="11">
        <f t="shared" si="82"/>
        <v>-4.1174695388717915</v>
      </c>
      <c r="AT607" s="9">
        <f t="shared" si="83"/>
        <v>7</v>
      </c>
      <c r="AU607" s="9">
        <f t="shared" si="84"/>
        <v>2025</v>
      </c>
      <c r="AV607" s="9" t="b">
        <f t="shared" si="85"/>
        <v>1</v>
      </c>
      <c r="AW607" s="9" t="b">
        <f t="shared" si="86"/>
        <v>1</v>
      </c>
      <c r="AX607" s="9" t="str">
        <f t="shared" si="87"/>
        <v>No</v>
      </c>
      <c r="AY607" s="9" t="str">
        <f t="shared" si="91"/>
        <v>Discount above 50%; Cancelled order excluded; Sales mismatch; Profit mismatch</v>
      </c>
      <c r="AZ607" s="9" t="str">
        <f>IF(OR(G607="Missing date",G607="Invalid date",G607="Ship date before order date",NOT(ISNUMBER(AP607)),AP607&lt;0,AP607&gt;0.5,AV607=TRUE,AW607=TRUE),"Invalid",IF(OR(O607="Unknown",Z607="Unknown",AC607="",AH607&lt;&gt;"Paid",AJ607&lt;&gt;"Completed",AO607&lt;&gt;""),"Warning","Clean"))</f>
        <v>Invalid</v>
      </c>
    </row>
    <row r="608" spans="1:52" ht="15.75" customHeight="1">
      <c r="A608" s="6" t="s">
        <v>2986</v>
      </c>
      <c r="B608" s="7" t="s">
        <v>2987</v>
      </c>
      <c r="C608" s="7" t="str">
        <f t="shared" si="90"/>
        <v>2025-02</v>
      </c>
      <c r="D608" s="7" cm="1">
        <f t="array" ref="D608">_xlfn.LET(_xlpm.x,B608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45710</v>
      </c>
      <c r="E608" s="7" t="s">
        <v>2621</v>
      </c>
      <c r="F608" s="7" cm="1">
        <f t="array" ref="F608">_xlfn.LET(_xlpm.x,E608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45716</v>
      </c>
      <c r="G608" s="8" t="str">
        <f t="shared" si="64"/>
        <v>OK</v>
      </c>
      <c r="H608" s="6">
        <f t="shared" si="65"/>
        <v>6</v>
      </c>
      <c r="I608" s="6" t="s">
        <v>2988</v>
      </c>
      <c r="J608" s="6" t="s">
        <v>226</v>
      </c>
      <c r="K608" s="6" t="str">
        <f t="shared" si="66"/>
        <v>Rahul Verma</v>
      </c>
      <c r="L608" s="6" t="s">
        <v>44</v>
      </c>
      <c r="M608" s="8" t="str">
        <f t="shared" si="67"/>
        <v>Home Office</v>
      </c>
      <c r="N608" s="6" t="s">
        <v>9</v>
      </c>
      <c r="O608" s="6" t="str">
        <f t="shared" si="68"/>
        <v>West</v>
      </c>
      <c r="P608" s="6" t="s">
        <v>170</v>
      </c>
      <c r="Q608" s="6" t="str">
        <f t="shared" si="69"/>
        <v>Madhya Pradesh</v>
      </c>
      <c r="R608" s="6" t="s">
        <v>171</v>
      </c>
      <c r="S608" s="6" t="str">
        <f t="shared" si="70"/>
        <v>Indore</v>
      </c>
      <c r="T608" s="6" t="s">
        <v>27</v>
      </c>
      <c r="U608" s="8" t="str">
        <f t="shared" si="71"/>
        <v>Technology</v>
      </c>
      <c r="V608" s="6" t="s">
        <v>29</v>
      </c>
      <c r="W608" s="6" t="str">
        <f t="shared" si="72"/>
        <v>Copiers</v>
      </c>
      <c r="X608" s="6" t="s">
        <v>2989</v>
      </c>
      <c r="Y608" s="6" t="s">
        <v>37</v>
      </c>
      <c r="Z608" s="6" t="str">
        <f t="shared" si="73"/>
        <v>Same Day</v>
      </c>
      <c r="AA608" s="6">
        <v>3</v>
      </c>
      <c r="AB608" s="6">
        <v>3890.81</v>
      </c>
      <c r="AC608" s="6">
        <v>0.25</v>
      </c>
      <c r="AD608" s="6">
        <v>8754.32</v>
      </c>
      <c r="AE608" s="6">
        <v>6238.9</v>
      </c>
      <c r="AF608" s="6">
        <v>2515.42</v>
      </c>
      <c r="AG608" s="6" t="s">
        <v>52</v>
      </c>
      <c r="AH608" s="6" t="str">
        <f t="shared" si="74"/>
        <v>Paid</v>
      </c>
      <c r="AI608" s="6" t="s">
        <v>134</v>
      </c>
      <c r="AJ608" s="6" t="str">
        <f t="shared" si="75"/>
        <v>Completed</v>
      </c>
      <c r="AK608" s="9" t="str">
        <f>_xlfn.TEXTJOIN("|",FALSE,A608,TEXT(B608,"mm-dd-yyyy"),TEXT(E608,"mm-dd-yyyy"),I608,J608,L608,N608,P608,R608,T608,V608,X608,Y608,AA608,AB608,AC608,AD608,AE608,AF608,AG608,AI608)</f>
        <v>ORD-2025-10607|02-22-2025|02-28-2025|CUST-2698|Rahul Verma|Home Office|West|Madhya Pradesh|Indore|Technology|Copiers|Max Copiers 520|Same Day|3|3890.81|0.25|8754.32|6238.9|2515.42|Paid|Completed</v>
      </c>
      <c r="AL608" s="27" t="str">
        <f>IF(COUNTIF($AK$2:AK608,AK608)&gt;1,"Remove exact duplicate copy","Keep")</f>
        <v>Keep</v>
      </c>
      <c r="AM608" s="9">
        <f t="shared" si="76"/>
        <v>1</v>
      </c>
      <c r="AN608" s="9" t="str">
        <f t="shared" si="77"/>
        <v>Unique</v>
      </c>
      <c r="AO608" s="9" t="str">
        <f t="shared" si="78"/>
        <v/>
      </c>
      <c r="AP608" s="9">
        <f t="shared" si="79"/>
        <v>0.25</v>
      </c>
      <c r="AQ608" s="10">
        <f t="shared" si="80"/>
        <v>8754.3225000000002</v>
      </c>
      <c r="AR608" s="10">
        <f t="shared" si="81"/>
        <v>2515.4225000000006</v>
      </c>
      <c r="AS608" s="11">
        <f t="shared" si="82"/>
        <v>0.28733491369549163</v>
      </c>
      <c r="AT608" s="9">
        <f t="shared" si="83"/>
        <v>2</v>
      </c>
      <c r="AU608" s="9">
        <f t="shared" si="84"/>
        <v>2025</v>
      </c>
      <c r="AV608" s="9" t="b">
        <f t="shared" si="85"/>
        <v>0</v>
      </c>
      <c r="AW608" s="9" t="b">
        <f t="shared" si="86"/>
        <v>0</v>
      </c>
      <c r="AX608" s="9" t="str">
        <f t="shared" si="87"/>
        <v>Yes</v>
      </c>
      <c r="AY608" s="9" t="str">
        <f t="shared" si="91"/>
        <v/>
      </c>
      <c r="AZ608" s="9" t="str">
        <f>IF(OR(G608="Missing date",G608="Invalid date",G608="Ship date before order date",NOT(ISNUMBER(AP608)),AP608&lt;0,AP608&gt;0.5,AV608=TRUE,AW608=TRUE),"Invalid",IF(OR(O608="Unknown",Z608="Unknown",AC608="",AH608&lt;&gt;"Paid",AJ608&lt;&gt;"Completed",AO608&lt;&gt;""),"Warning","Clean"))</f>
        <v>Clean</v>
      </c>
    </row>
    <row r="609" spans="1:52" ht="15.75" customHeight="1">
      <c r="A609" s="6" t="s">
        <v>2990</v>
      </c>
      <c r="B609" s="7" t="s">
        <v>2941</v>
      </c>
      <c r="C609" s="7" t="str">
        <f t="shared" si="90"/>
        <v>2025-02</v>
      </c>
      <c r="D609" s="7" cm="1">
        <f t="array" ref="D609">_xlfn.LET(_xlpm.x,B609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45704</v>
      </c>
      <c r="E609" s="7" t="s">
        <v>2987</v>
      </c>
      <c r="F609" s="7" cm="1">
        <f t="array" ref="F609">_xlfn.LET(_xlpm.x,E609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45710</v>
      </c>
      <c r="G609" s="8" t="str">
        <f t="shared" si="64"/>
        <v>OK</v>
      </c>
      <c r="H609" s="6">
        <f t="shared" si="65"/>
        <v>6</v>
      </c>
      <c r="I609" s="6" t="s">
        <v>2991</v>
      </c>
      <c r="J609" s="6" t="s">
        <v>245</v>
      </c>
      <c r="K609" s="6" t="str">
        <f t="shared" si="66"/>
        <v>Sneha Kapoor</v>
      </c>
      <c r="L609" s="6" t="s">
        <v>44</v>
      </c>
      <c r="M609" s="8" t="str">
        <f t="shared" si="67"/>
        <v>Home Office</v>
      </c>
      <c r="N609" s="6" t="s">
        <v>8</v>
      </c>
      <c r="O609" s="6" t="str">
        <f t="shared" si="68"/>
        <v>East</v>
      </c>
      <c r="P609" s="6" t="s">
        <v>263</v>
      </c>
      <c r="Q609" s="6" t="str">
        <f t="shared" si="69"/>
        <v>Bihar</v>
      </c>
      <c r="R609" s="6" t="s">
        <v>264</v>
      </c>
      <c r="S609" s="6" t="str">
        <f t="shared" si="70"/>
        <v>Patna</v>
      </c>
      <c r="T609" s="6" t="s">
        <v>20</v>
      </c>
      <c r="U609" s="8" t="str">
        <f t="shared" si="71"/>
        <v>Office Supplies</v>
      </c>
      <c r="V609" s="6" t="s">
        <v>25</v>
      </c>
      <c r="W609" s="6" t="str">
        <f t="shared" si="72"/>
        <v>Storage</v>
      </c>
      <c r="X609" s="6" t="s">
        <v>2992</v>
      </c>
      <c r="Y609" s="6" t="s">
        <v>37</v>
      </c>
      <c r="Z609" s="6" t="str">
        <f t="shared" si="73"/>
        <v>Same Day</v>
      </c>
      <c r="AA609" s="6">
        <v>5</v>
      </c>
      <c r="AB609" s="6">
        <v>954.67</v>
      </c>
      <c r="AC609" s="6">
        <v>0.15</v>
      </c>
      <c r="AD609" s="6">
        <v>4057.35</v>
      </c>
      <c r="AE609" s="6">
        <v>2862.03</v>
      </c>
      <c r="AF609" s="6">
        <v>1195.32</v>
      </c>
      <c r="AG609" s="6" t="s">
        <v>52</v>
      </c>
      <c r="AH609" s="6" t="str">
        <f t="shared" si="74"/>
        <v>Paid</v>
      </c>
      <c r="AI609" s="6" t="s">
        <v>134</v>
      </c>
      <c r="AJ609" s="6" t="str">
        <f t="shared" si="75"/>
        <v>Completed</v>
      </c>
      <c r="AK609" s="9" t="str">
        <f>_xlfn.TEXTJOIN("|",FALSE,A609,TEXT(B609,"mm-dd-yyyy"),TEXT(E609,"mm-dd-yyyy"),I609,J609,L609,N609,P609,R609,T609,V609,X609,Y609,AA609,AB609,AC609,AD609,AE609,AF609,AG609,AI609)</f>
        <v>ORD-2025-10608|16-02-2025|02-22-2025|CUST-6297|Sneha Kapoor|Home Office|East|Bihar|Patna|Office Supplies|Storage|Max Storage 424|Same Day|5|954.67|0.15|4057.35|2862.03|1195.32|Paid|Completed</v>
      </c>
      <c r="AL609" s="27" t="str">
        <f>IF(COUNTIF($AK$2:AK609,AK609)&gt;1,"Remove exact duplicate copy","Keep")</f>
        <v>Keep</v>
      </c>
      <c r="AM609" s="9">
        <f t="shared" si="76"/>
        <v>1</v>
      </c>
      <c r="AN609" s="9" t="str">
        <f t="shared" si="77"/>
        <v>Unique</v>
      </c>
      <c r="AO609" s="9" t="str">
        <f t="shared" si="78"/>
        <v/>
      </c>
      <c r="AP609" s="9">
        <f t="shared" si="79"/>
        <v>0.15</v>
      </c>
      <c r="AQ609" s="10">
        <f t="shared" si="80"/>
        <v>4057.3474999999994</v>
      </c>
      <c r="AR609" s="10">
        <f t="shared" si="81"/>
        <v>1195.3174999999992</v>
      </c>
      <c r="AS609" s="11">
        <f t="shared" si="82"/>
        <v>0.29460565061286947</v>
      </c>
      <c r="AT609" s="9">
        <f t="shared" si="83"/>
        <v>2</v>
      </c>
      <c r="AU609" s="9">
        <f t="shared" si="84"/>
        <v>2025</v>
      </c>
      <c r="AV609" s="9" t="b">
        <f t="shared" si="85"/>
        <v>0</v>
      </c>
      <c r="AW609" s="9" t="b">
        <f t="shared" si="86"/>
        <v>0</v>
      </c>
      <c r="AX609" s="9" t="str">
        <f t="shared" si="87"/>
        <v>Yes</v>
      </c>
      <c r="AY609" s="9" t="str">
        <f t="shared" si="91"/>
        <v/>
      </c>
      <c r="AZ609" s="9" t="str">
        <f>IF(OR(G609="Missing date",G609="Invalid date",G609="Ship date before order date",NOT(ISNUMBER(AP609)),AP609&lt;0,AP609&gt;0.5,AV609=TRUE,AW609=TRUE),"Invalid",IF(OR(O609="Unknown",Z609="Unknown",AC609="",AH609&lt;&gt;"Paid",AJ609&lt;&gt;"Completed",AO609&lt;&gt;""),"Warning","Clean"))</f>
        <v>Clean</v>
      </c>
    </row>
    <row r="610" spans="1:52" ht="15.75" customHeight="1">
      <c r="A610" s="6" t="s">
        <v>2993</v>
      </c>
      <c r="B610" s="7" t="s">
        <v>2241</v>
      </c>
      <c r="C610" s="7" t="str">
        <f t="shared" si="90"/>
        <v>2024-06</v>
      </c>
      <c r="D610" s="7" cm="1">
        <f t="array" ref="D610">_xlfn.LET(_xlpm.x,B610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45464</v>
      </c>
      <c r="E610" s="7" t="s">
        <v>1640</v>
      </c>
      <c r="F610" s="7" cm="1">
        <f t="array" ref="F610">_xlfn.LET(_xlpm.x,E610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45466</v>
      </c>
      <c r="G610" s="8" t="str">
        <f t="shared" si="64"/>
        <v>OK</v>
      </c>
      <c r="H610" s="6">
        <f t="shared" si="65"/>
        <v>2</v>
      </c>
      <c r="I610" s="6" t="s">
        <v>2667</v>
      </c>
      <c r="J610" s="6" t="s">
        <v>129</v>
      </c>
      <c r="K610" s="6" t="str">
        <f t="shared" si="66"/>
        <v>Karan Malhotra</v>
      </c>
      <c r="L610" s="6" t="s">
        <v>44</v>
      </c>
      <c r="M610" s="8" t="str">
        <f t="shared" si="67"/>
        <v>Home Office</v>
      </c>
      <c r="N610" s="6" t="s">
        <v>9</v>
      </c>
      <c r="O610" s="6" t="str">
        <f t="shared" si="68"/>
        <v>West</v>
      </c>
      <c r="P610" s="6" t="s">
        <v>323</v>
      </c>
      <c r="Q610" s="6" t="str">
        <f t="shared" si="69"/>
        <v>Goa</v>
      </c>
      <c r="R610" s="6" t="s">
        <v>324</v>
      </c>
      <c r="S610" s="6" t="str">
        <f t="shared" si="70"/>
        <v>Panaji</v>
      </c>
      <c r="T610" s="6" t="s">
        <v>14</v>
      </c>
      <c r="U610" s="8" t="str">
        <f t="shared" si="71"/>
        <v>Furniture</v>
      </c>
      <c r="V610" s="6" t="s">
        <v>17</v>
      </c>
      <c r="W610" s="6" t="str">
        <f t="shared" si="72"/>
        <v>Furnishings</v>
      </c>
      <c r="X610" s="6" t="s">
        <v>2994</v>
      </c>
      <c r="Y610" s="6" t="s">
        <v>36</v>
      </c>
      <c r="Z610" s="6" t="str">
        <f t="shared" si="73"/>
        <v>Second Class</v>
      </c>
      <c r="AA610" s="6">
        <v>9</v>
      </c>
      <c r="AB610" s="6">
        <v>2153.75</v>
      </c>
      <c r="AC610" s="6">
        <v>0</v>
      </c>
      <c r="AD610" s="6">
        <v>19383.75</v>
      </c>
      <c r="AE610" s="6">
        <v>11667.43</v>
      </c>
      <c r="AF610" s="6">
        <v>7716.32</v>
      </c>
      <c r="AG610" s="6" t="s">
        <v>52</v>
      </c>
      <c r="AH610" s="6" t="str">
        <f t="shared" si="74"/>
        <v>Paid</v>
      </c>
      <c r="AI610" s="6" t="s">
        <v>134</v>
      </c>
      <c r="AJ610" s="6" t="str">
        <f t="shared" si="75"/>
        <v>Completed</v>
      </c>
      <c r="AK610" s="9" t="str">
        <f>_xlfn.TEXTJOIN("|",FALSE,A610,TEXT(B610,"mm-dd-yyyy"),TEXT(E610,"mm-dd-yyyy"),I610,J610,L610,N610,P610,R610,T610,V610,X610,Y610,AA610,AB610,AC610,AD610,AE610,AF610,AG610,AI610)</f>
        <v>ORD-2024-10609|06-21-2024|06-23-2024|CUST-7690|Karan Malhotra|Home Office|West|Goa|Panaji|Furniture|Furnishings|Elite Furnishings 706|Second Class|9|2153.75|0|19383.75|11667.43|7716.32|Paid|Completed</v>
      </c>
      <c r="AL610" s="27" t="str">
        <f>IF(COUNTIF($AK$2:AK610,AK610)&gt;1,"Remove exact duplicate copy","Keep")</f>
        <v>Keep</v>
      </c>
      <c r="AM610" s="9">
        <f t="shared" si="76"/>
        <v>1</v>
      </c>
      <c r="AN610" s="9" t="str">
        <f t="shared" si="77"/>
        <v>Unique</v>
      </c>
      <c r="AO610" s="9" t="str">
        <f t="shared" si="78"/>
        <v/>
      </c>
      <c r="AP610" s="9">
        <f t="shared" si="79"/>
        <v>0</v>
      </c>
      <c r="AQ610" s="10">
        <f t="shared" si="80"/>
        <v>19383.75</v>
      </c>
      <c r="AR610" s="10">
        <f t="shared" si="81"/>
        <v>7716.32</v>
      </c>
      <c r="AS610" s="11">
        <f t="shared" si="82"/>
        <v>0.39808189849745274</v>
      </c>
      <c r="AT610" s="9">
        <f t="shared" si="83"/>
        <v>6</v>
      </c>
      <c r="AU610" s="9">
        <f t="shared" si="84"/>
        <v>2024</v>
      </c>
      <c r="AV610" s="9" t="b">
        <f t="shared" si="85"/>
        <v>0</v>
      </c>
      <c r="AW610" s="9" t="b">
        <f t="shared" si="86"/>
        <v>0</v>
      </c>
      <c r="AX610" s="9" t="str">
        <f t="shared" si="87"/>
        <v>Yes</v>
      </c>
      <c r="AY610" s="9" t="str">
        <f t="shared" si="91"/>
        <v/>
      </c>
      <c r="AZ610" s="9" t="str">
        <f>IF(OR(G610="Missing date",G610="Invalid date",G610="Ship date before order date",NOT(ISNUMBER(AP610)),AP610&lt;0,AP610&gt;0.5,AV610=TRUE,AW610=TRUE),"Invalid",IF(OR(O610="Unknown",Z610="Unknown",AC610="",AH610&lt;&gt;"Paid",AJ610&lt;&gt;"Completed",AO610&lt;&gt;""),"Warning","Clean"))</f>
        <v>Clean</v>
      </c>
    </row>
    <row r="611" spans="1:52" ht="15.75" customHeight="1">
      <c r="A611" s="6" t="s">
        <v>2995</v>
      </c>
      <c r="B611" s="7" t="s">
        <v>2143</v>
      </c>
      <c r="C611" s="7" t="str">
        <f t="shared" si="90"/>
        <v>2025-01</v>
      </c>
      <c r="D611" s="7" cm="1">
        <f t="array" ref="D611">_xlfn.LET(_xlpm.x,B611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45665</v>
      </c>
      <c r="E611" s="7" t="s">
        <v>1261</v>
      </c>
      <c r="F611" s="7" cm="1">
        <f t="array" ref="F611">_xlfn.LET(_xlpm.x,E611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45669</v>
      </c>
      <c r="G611" s="8" t="str">
        <f t="shared" si="64"/>
        <v>OK</v>
      </c>
      <c r="H611" s="6">
        <f t="shared" si="65"/>
        <v>4</v>
      </c>
      <c r="I611" s="6" t="s">
        <v>2996</v>
      </c>
      <c r="J611" s="6" t="s">
        <v>245</v>
      </c>
      <c r="K611" s="6" t="str">
        <f t="shared" si="66"/>
        <v>Sneha Kapoor</v>
      </c>
      <c r="L611" s="6" t="s">
        <v>44</v>
      </c>
      <c r="M611" s="8" t="str">
        <f t="shared" si="67"/>
        <v>Home Office</v>
      </c>
      <c r="N611" s="6" t="s">
        <v>10</v>
      </c>
      <c r="O611" s="6" t="str">
        <f t="shared" si="68"/>
        <v>South</v>
      </c>
      <c r="P611" s="6" t="s">
        <v>303</v>
      </c>
      <c r="Q611" s="6" t="str">
        <f t="shared" si="69"/>
        <v>Karnataka</v>
      </c>
      <c r="R611" s="6" t="s">
        <v>304</v>
      </c>
      <c r="S611" s="6" t="str">
        <f t="shared" si="70"/>
        <v>Bengaluru</v>
      </c>
      <c r="T611" s="6" t="s">
        <v>14</v>
      </c>
      <c r="U611" s="8" t="str">
        <f t="shared" si="71"/>
        <v>Furniture</v>
      </c>
      <c r="V611" s="6" t="s">
        <v>16</v>
      </c>
      <c r="W611" s="6" t="str">
        <f t="shared" si="72"/>
        <v>Chairs</v>
      </c>
      <c r="X611" s="6" t="s">
        <v>2997</v>
      </c>
      <c r="Y611" s="6" t="s">
        <v>34</v>
      </c>
      <c r="Z611" s="6" t="str">
        <f t="shared" si="73"/>
        <v>Standard Class</v>
      </c>
      <c r="AA611" s="6">
        <v>7</v>
      </c>
      <c r="AB611" s="6">
        <v>4337.4799999999996</v>
      </c>
      <c r="AC611" s="6">
        <v>0</v>
      </c>
      <c r="AD611" s="6">
        <v>30362.36</v>
      </c>
      <c r="AE611" s="6">
        <v>25065.4</v>
      </c>
      <c r="AF611" s="6">
        <v>5296.96</v>
      </c>
      <c r="AG611" s="6" t="s">
        <v>52</v>
      </c>
      <c r="AH611" s="6" t="str">
        <f t="shared" si="74"/>
        <v>Paid</v>
      </c>
      <c r="AI611" s="6" t="s">
        <v>134</v>
      </c>
      <c r="AJ611" s="6" t="str">
        <f t="shared" si="75"/>
        <v>Completed</v>
      </c>
      <c r="AK611" s="9" t="str">
        <f>_xlfn.TEXTJOIN("|",FALSE,A611,TEXT(B611,"mm-dd-yyyy"),TEXT(E611,"mm-dd-yyyy"),I611,J611,L611,N611,P611,R611,T611,V611,X611,Y611,AA611,AB611,AC611,AD611,AE611,AF611,AG611,AI611)</f>
        <v>ORD-2025-10610|01-08-2025|12-01-2025|CUST-4380|Sneha Kapoor|Home Office|South|Karnataka|Bengaluru|Furniture|Chairs|Pro Chairs 908|Standard Class|7|4337.48|0|30362.36|25065.4|5296.96|Paid|Completed</v>
      </c>
      <c r="AL611" s="27" t="str">
        <f>IF(COUNTIF($AK$2:AK611,AK611)&gt;1,"Remove exact duplicate copy","Keep")</f>
        <v>Keep</v>
      </c>
      <c r="AM611" s="9">
        <f t="shared" si="76"/>
        <v>1</v>
      </c>
      <c r="AN611" s="9" t="str">
        <f t="shared" si="77"/>
        <v>Unique</v>
      </c>
      <c r="AO611" s="9" t="str">
        <f t="shared" si="78"/>
        <v/>
      </c>
      <c r="AP611" s="9">
        <f t="shared" si="79"/>
        <v>0</v>
      </c>
      <c r="AQ611" s="10">
        <f t="shared" si="80"/>
        <v>30362.359999999997</v>
      </c>
      <c r="AR611" s="10">
        <f t="shared" si="81"/>
        <v>5296.9599999999955</v>
      </c>
      <c r="AS611" s="11">
        <f t="shared" si="82"/>
        <v>0.17445811195177174</v>
      </c>
      <c r="AT611" s="9">
        <f t="shared" si="83"/>
        <v>1</v>
      </c>
      <c r="AU611" s="9">
        <f t="shared" si="84"/>
        <v>2025</v>
      </c>
      <c r="AV611" s="9" t="b">
        <f t="shared" si="85"/>
        <v>0</v>
      </c>
      <c r="AW611" s="9" t="b">
        <f t="shared" si="86"/>
        <v>0</v>
      </c>
      <c r="AX611" s="9" t="str">
        <f t="shared" si="87"/>
        <v>Yes</v>
      </c>
      <c r="AY611" s="9" t="str">
        <f t="shared" si="91"/>
        <v/>
      </c>
      <c r="AZ611" s="9" t="str">
        <f>IF(OR(G611="Missing date",G611="Invalid date",G611="Ship date before order date",NOT(ISNUMBER(AP611)),AP611&lt;0,AP611&gt;0.5,AV611=TRUE,AW611=TRUE),"Invalid",IF(OR(O611="Unknown",Z611="Unknown",AC611="",AH611&lt;&gt;"Paid",AJ611&lt;&gt;"Completed",AO611&lt;&gt;""),"Warning","Clean"))</f>
        <v>Clean</v>
      </c>
    </row>
    <row r="612" spans="1:52" ht="15.75" customHeight="1">
      <c r="A612" s="6" t="s">
        <v>2998</v>
      </c>
      <c r="B612" s="7" t="s">
        <v>2999</v>
      </c>
      <c r="C612" s="7" t="str">
        <f t="shared" si="90"/>
        <v>2024-05</v>
      </c>
      <c r="D612" s="7" cm="1">
        <f t="array" ref="D612">_xlfn.LET(_xlpm.x,B612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45432</v>
      </c>
      <c r="E612" s="7" t="s">
        <v>3000</v>
      </c>
      <c r="F612" s="7" cm="1">
        <f t="array" ref="F612">_xlfn.LET(_xlpm.x,E612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45432</v>
      </c>
      <c r="G612" s="8" t="str">
        <f t="shared" si="64"/>
        <v>OK</v>
      </c>
      <c r="H612" s="6">
        <f t="shared" si="65"/>
        <v>0</v>
      </c>
      <c r="I612" s="6" t="s">
        <v>2168</v>
      </c>
      <c r="J612" s="6" t="s">
        <v>129</v>
      </c>
      <c r="K612" s="6" t="str">
        <f t="shared" si="66"/>
        <v>Karan Malhotra</v>
      </c>
      <c r="L612" s="6" t="s">
        <v>44</v>
      </c>
      <c r="M612" s="8" t="str">
        <f t="shared" si="67"/>
        <v>Home Office</v>
      </c>
      <c r="N612" s="6" t="s">
        <v>9</v>
      </c>
      <c r="O612" s="6" t="str">
        <f t="shared" si="68"/>
        <v>West</v>
      </c>
      <c r="P612" s="6" t="s">
        <v>170</v>
      </c>
      <c r="Q612" s="6" t="str">
        <f t="shared" si="69"/>
        <v>Madhya Pradesh</v>
      </c>
      <c r="R612" s="6" t="s">
        <v>171</v>
      </c>
      <c r="S612" s="6" t="str">
        <f t="shared" si="70"/>
        <v>Indore</v>
      </c>
      <c r="T612" s="6" t="s">
        <v>14</v>
      </c>
      <c r="U612" s="8" t="str">
        <f t="shared" si="71"/>
        <v>Furniture</v>
      </c>
      <c r="V612" s="6" t="s">
        <v>16</v>
      </c>
      <c r="W612" s="6" t="str">
        <f t="shared" si="72"/>
        <v>Chairs</v>
      </c>
      <c r="X612" s="6" t="s">
        <v>3001</v>
      </c>
      <c r="Y612" s="6" t="s">
        <v>34</v>
      </c>
      <c r="Z612" s="6" t="str">
        <f t="shared" si="73"/>
        <v>Standard Class</v>
      </c>
      <c r="AA612" s="6">
        <v>1</v>
      </c>
      <c r="AB612" s="6">
        <v>3032.95</v>
      </c>
      <c r="AC612" s="6">
        <v>0.1</v>
      </c>
      <c r="AD612" s="6">
        <v>2729.65</v>
      </c>
      <c r="AE612" s="6">
        <v>1715.36</v>
      </c>
      <c r="AF612" s="6">
        <v>1014.29</v>
      </c>
      <c r="AG612" s="6" t="s">
        <v>52</v>
      </c>
      <c r="AH612" s="6" t="str">
        <f t="shared" si="74"/>
        <v>Paid</v>
      </c>
      <c r="AI612" s="6" t="s">
        <v>134</v>
      </c>
      <c r="AJ612" s="6" t="str">
        <f t="shared" si="75"/>
        <v>Completed</v>
      </c>
      <c r="AK612" s="9" t="str">
        <f>_xlfn.TEXTJOIN("|",FALSE,A612,TEXT(B612,"mm-dd-yyyy"),TEXT(E612,"mm-dd-yyyy"),I612,J612,L612,N612,P612,R612,T612,V612,X612,Y612,AA612,AB612,AC612,AD612,AE612,AF612,AG612,AI612)</f>
        <v>ORD-2024-10611|05-20-2024|05-20-2024|CUST-2779|Karan Malhotra|Home Office|West|Madhya Pradesh|Indore|Furniture|Chairs|Pro Chairs 712|Standard Class|1|3032.95|0.1|2729.65|1715.36|1014.29|Paid|Completed</v>
      </c>
      <c r="AL612" s="27" t="str">
        <f>IF(COUNTIF($AK$2:AK612,AK612)&gt;1,"Remove exact duplicate copy","Keep")</f>
        <v>Keep</v>
      </c>
      <c r="AM612" s="9">
        <f t="shared" si="76"/>
        <v>1</v>
      </c>
      <c r="AN612" s="9" t="str">
        <f t="shared" si="77"/>
        <v>Unique</v>
      </c>
      <c r="AO612" s="9" t="str">
        <f t="shared" si="78"/>
        <v/>
      </c>
      <c r="AP612" s="9">
        <f t="shared" si="79"/>
        <v>0.1</v>
      </c>
      <c r="AQ612" s="10">
        <f t="shared" si="80"/>
        <v>2729.6549999999997</v>
      </c>
      <c r="AR612" s="10">
        <f t="shared" si="81"/>
        <v>1014.2949999999998</v>
      </c>
      <c r="AS612" s="11">
        <f t="shared" si="82"/>
        <v>0.37158358840219735</v>
      </c>
      <c r="AT612" s="9">
        <f t="shared" si="83"/>
        <v>5</v>
      </c>
      <c r="AU612" s="9">
        <f t="shared" si="84"/>
        <v>2024</v>
      </c>
      <c r="AV612" s="9" t="b">
        <f t="shared" si="85"/>
        <v>0</v>
      </c>
      <c r="AW612" s="9" t="b">
        <f t="shared" si="86"/>
        <v>0</v>
      </c>
      <c r="AX612" s="9" t="str">
        <f t="shared" si="87"/>
        <v>Yes</v>
      </c>
      <c r="AY612" s="9" t="str">
        <f t="shared" si="91"/>
        <v/>
      </c>
      <c r="AZ612" s="9" t="str">
        <f>IF(OR(G612="Missing date",G612="Invalid date",G612="Ship date before order date",NOT(ISNUMBER(AP612)),AP612&lt;0,AP612&gt;0.5,AV612=TRUE,AW612=TRUE),"Invalid",IF(OR(O612="Unknown",Z612="Unknown",AC612="",AH612&lt;&gt;"Paid",AJ612&lt;&gt;"Completed",AO612&lt;&gt;""),"Warning","Clean"))</f>
        <v>Clean</v>
      </c>
    </row>
    <row r="613" spans="1:52" ht="15.75" customHeight="1">
      <c r="A613" s="6" t="s">
        <v>3002</v>
      </c>
      <c r="B613" s="7" t="s">
        <v>2705</v>
      </c>
      <c r="C613" s="7" t="str">
        <f t="shared" si="90"/>
        <v>2025-07</v>
      </c>
      <c r="D613" s="7" cm="1">
        <f t="array" ref="D613">_xlfn.LET(_xlpm.x,B613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45846</v>
      </c>
      <c r="E613" s="7" t="s">
        <v>3003</v>
      </c>
      <c r="F613" s="7" cm="1">
        <f t="array" ref="F613">_xlfn.LET(_xlpm.x,E613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45853</v>
      </c>
      <c r="G613" s="8" t="str">
        <f t="shared" si="64"/>
        <v>OK</v>
      </c>
      <c r="H613" s="6">
        <f t="shared" si="65"/>
        <v>7</v>
      </c>
      <c r="I613" s="6" t="s">
        <v>3004</v>
      </c>
      <c r="J613" s="6" t="s">
        <v>161</v>
      </c>
      <c r="K613" s="6" t="str">
        <f t="shared" si="66"/>
        <v>Ananya Rao</v>
      </c>
      <c r="L613" s="6" t="s">
        <v>772</v>
      </c>
      <c r="M613" s="8" t="str">
        <f t="shared" si="67"/>
        <v>Small Business</v>
      </c>
      <c r="N613" s="6" t="s">
        <v>7</v>
      </c>
      <c r="O613" s="6" t="str">
        <f t="shared" si="68"/>
        <v>North</v>
      </c>
      <c r="P613" s="6" t="s">
        <v>131</v>
      </c>
      <c r="Q613" s="6" t="str">
        <f t="shared" si="69"/>
        <v>Rajasthan</v>
      </c>
      <c r="R613" s="6" t="s">
        <v>132</v>
      </c>
      <c r="S613" s="6" t="str">
        <f t="shared" si="70"/>
        <v>Jaipur</v>
      </c>
      <c r="T613" s="6" t="s">
        <v>20</v>
      </c>
      <c r="U613" s="8" t="str">
        <f t="shared" si="71"/>
        <v>Office Supplies</v>
      </c>
      <c r="V613" s="6" t="s">
        <v>22</v>
      </c>
      <c r="W613" s="6" t="str">
        <f t="shared" si="72"/>
        <v>Binders</v>
      </c>
      <c r="X613" s="6" t="s">
        <v>3005</v>
      </c>
      <c r="Y613" s="6" t="s">
        <v>37</v>
      </c>
      <c r="Z613" s="6" t="str">
        <f t="shared" si="73"/>
        <v>Same Day</v>
      </c>
      <c r="AA613" s="6">
        <v>8</v>
      </c>
      <c r="AB613" s="6">
        <v>655.28</v>
      </c>
      <c r="AC613" s="6">
        <v>0.1</v>
      </c>
      <c r="AD613" s="6">
        <v>4718.0200000000004</v>
      </c>
      <c r="AE613" s="6">
        <v>3908.23</v>
      </c>
      <c r="AF613" s="6">
        <v>809.79</v>
      </c>
      <c r="AG613" s="6" t="s">
        <v>52</v>
      </c>
      <c r="AH613" s="6" t="str">
        <f t="shared" si="74"/>
        <v>Paid</v>
      </c>
      <c r="AI613" s="6" t="s">
        <v>134</v>
      </c>
      <c r="AJ613" s="6" t="str">
        <f t="shared" si="75"/>
        <v>Completed</v>
      </c>
      <c r="AK613" s="9" t="str">
        <f>_xlfn.TEXTJOIN("|",FALSE,A613,TEXT(B613,"mm-dd-yyyy"),TEXT(E613,"mm-dd-yyyy"),I613,J613,L613,N613,P613,R613,T613,V613,X613,Y613,AA613,AB613,AC613,AD613,AE613,AF613,AG613,AI613)</f>
        <v>ORD-2025-10612|08-07-2025|07-15-2025|CUST-6108|Ananya Rao|Small Business |North|Rajasthan|Jaipur|Office Supplies|Binders|Max Binders 785|Same Day|8|655.28|0.1|4718.02|3908.23|809.79|Paid|Completed</v>
      </c>
      <c r="AL613" s="27" t="str">
        <f>IF(COUNTIF($AK$2:AK613,AK613)&gt;1,"Remove exact duplicate copy","Keep")</f>
        <v>Keep</v>
      </c>
      <c r="AM613" s="9">
        <f t="shared" si="76"/>
        <v>1</v>
      </c>
      <c r="AN613" s="9" t="str">
        <f t="shared" si="77"/>
        <v>Unique</v>
      </c>
      <c r="AO613" s="9" t="str">
        <f t="shared" si="78"/>
        <v/>
      </c>
      <c r="AP613" s="9">
        <f t="shared" si="79"/>
        <v>0.1</v>
      </c>
      <c r="AQ613" s="10">
        <f t="shared" si="80"/>
        <v>4718.0159999999996</v>
      </c>
      <c r="AR613" s="10">
        <f t="shared" si="81"/>
        <v>809.7859999999996</v>
      </c>
      <c r="AS613" s="11">
        <f t="shared" si="82"/>
        <v>0.17163697622051297</v>
      </c>
      <c r="AT613" s="9">
        <f t="shared" si="83"/>
        <v>7</v>
      </c>
      <c r="AU613" s="9">
        <f t="shared" si="84"/>
        <v>2025</v>
      </c>
      <c r="AV613" s="9" t="b">
        <f t="shared" si="85"/>
        <v>0</v>
      </c>
      <c r="AW613" s="9" t="b">
        <f t="shared" si="86"/>
        <v>0</v>
      </c>
      <c r="AX613" s="9" t="str">
        <f t="shared" si="87"/>
        <v>Yes</v>
      </c>
      <c r="AY613" s="9" t="str">
        <f t="shared" si="91"/>
        <v/>
      </c>
      <c r="AZ613" s="9" t="str">
        <f>IF(OR(G613="Missing date",G613="Invalid date",G613="Ship date before order date",NOT(ISNUMBER(AP613)),AP613&lt;0,AP613&gt;0.5,AV613=TRUE,AW613=TRUE),"Invalid",IF(OR(O613="Unknown",Z613="Unknown",AC613="",AH613&lt;&gt;"Paid",AJ613&lt;&gt;"Completed",AO613&lt;&gt;""),"Warning","Clean"))</f>
        <v>Clean</v>
      </c>
    </row>
    <row r="614" spans="1:52" ht="15.75" customHeight="1">
      <c r="A614" s="6" t="s">
        <v>3006</v>
      </c>
      <c r="B614" s="7" t="s">
        <v>3007</v>
      </c>
      <c r="C614" s="7" t="str">
        <f t="shared" si="90"/>
        <v>2025-04</v>
      </c>
      <c r="D614" s="7" cm="1">
        <f t="array" ref="D614">_xlfn.LET(_xlpm.x,B614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45753</v>
      </c>
      <c r="E614" s="7" t="s">
        <v>3008</v>
      </c>
      <c r="F614" s="7" cm="1">
        <f t="array" ref="F614">_xlfn.LET(_xlpm.x,E614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45760</v>
      </c>
      <c r="G614" s="8" t="str">
        <f t="shared" si="64"/>
        <v>OK</v>
      </c>
      <c r="H614" s="6">
        <f t="shared" si="65"/>
        <v>7</v>
      </c>
      <c r="I614" s="6" t="s">
        <v>3009</v>
      </c>
      <c r="J614" s="6" t="s">
        <v>190</v>
      </c>
      <c r="K614" s="6" t="str">
        <f t="shared" si="66"/>
        <v>Aditi Sen</v>
      </c>
      <c r="L614" s="6" t="s">
        <v>43</v>
      </c>
      <c r="M614" s="8" t="str">
        <f t="shared" si="67"/>
        <v>Consumer</v>
      </c>
      <c r="N614" s="6"/>
      <c r="O614" s="6" t="str">
        <f t="shared" si="68"/>
        <v>Unknown</v>
      </c>
      <c r="P614" s="6" t="s">
        <v>140</v>
      </c>
      <c r="Q614" s="6" t="str">
        <f t="shared" si="69"/>
        <v>Odisha</v>
      </c>
      <c r="R614" s="6" t="s">
        <v>141</v>
      </c>
      <c r="S614" s="6" t="str">
        <f t="shared" si="70"/>
        <v>Bhubaneswar</v>
      </c>
      <c r="T614" s="6" t="s">
        <v>27</v>
      </c>
      <c r="U614" s="8" t="str">
        <f t="shared" si="71"/>
        <v>Technology</v>
      </c>
      <c r="V614" s="6" t="s">
        <v>31</v>
      </c>
      <c r="W614" s="6" t="str">
        <f t="shared" si="72"/>
        <v>Phones</v>
      </c>
      <c r="X614" s="6" t="s">
        <v>3010</v>
      </c>
      <c r="Y614" s="6" t="s">
        <v>34</v>
      </c>
      <c r="Z614" s="6" t="str">
        <f t="shared" si="73"/>
        <v>Standard Class</v>
      </c>
      <c r="AA614" s="6">
        <v>1</v>
      </c>
      <c r="AB614" s="6">
        <v>3844.01</v>
      </c>
      <c r="AC614" s="6">
        <v>0</v>
      </c>
      <c r="AD614" s="6">
        <v>3844.01</v>
      </c>
      <c r="AE614" s="6">
        <v>2195.79</v>
      </c>
      <c r="AF614" s="6">
        <v>1648.22</v>
      </c>
      <c r="AG614" s="6" t="s">
        <v>52</v>
      </c>
      <c r="AH614" s="6" t="str">
        <f t="shared" si="74"/>
        <v>Paid</v>
      </c>
      <c r="AI614" s="6" t="s">
        <v>134</v>
      </c>
      <c r="AJ614" s="6" t="str">
        <f t="shared" si="75"/>
        <v>Completed</v>
      </c>
      <c r="AK614" s="9" t="str">
        <f>_xlfn.TEXTJOIN("|",FALSE,A614,TEXT(B614,"mm-dd-yyyy"),TEXT(E614,"mm-dd-yyyy"),I614,J614,L614,N614,P614,R614,T614,V614,X614,Y614,AA614,AB614,AC614,AD614,AE614,AF614,AG614,AI614)</f>
        <v>ORD-2025-10613|04-06-2025|13-04-2025|CUST-5663|Aditi Sen|Consumer||Odisha|Bhubaneswar|Technology|Phones|Elite Phones 239|Standard Class|1|3844.01|0|3844.01|2195.79|1648.22|Paid|Completed</v>
      </c>
      <c r="AL614" s="27" t="str">
        <f>IF(COUNTIF($AK$2:AK614,AK614)&gt;1,"Remove exact duplicate copy","Keep")</f>
        <v>Keep</v>
      </c>
      <c r="AM614" s="9">
        <f t="shared" si="76"/>
        <v>1</v>
      </c>
      <c r="AN614" s="9" t="str">
        <f t="shared" si="77"/>
        <v>Unique</v>
      </c>
      <c r="AO614" s="9" t="str">
        <f t="shared" si="78"/>
        <v/>
      </c>
      <c r="AP614" s="9">
        <f t="shared" si="79"/>
        <v>0</v>
      </c>
      <c r="AQ614" s="10">
        <f t="shared" si="80"/>
        <v>3844.01</v>
      </c>
      <c r="AR614" s="10">
        <f t="shared" si="81"/>
        <v>1648.2200000000003</v>
      </c>
      <c r="AS614" s="11">
        <f t="shared" si="82"/>
        <v>0.42877619985379856</v>
      </c>
      <c r="AT614" s="9">
        <f t="shared" si="83"/>
        <v>4</v>
      </c>
      <c r="AU614" s="9">
        <f t="shared" si="84"/>
        <v>2025</v>
      </c>
      <c r="AV614" s="9" t="b">
        <f t="shared" si="85"/>
        <v>0</v>
      </c>
      <c r="AW614" s="9" t="b">
        <f t="shared" si="86"/>
        <v>0</v>
      </c>
      <c r="AX614" s="9" t="str">
        <f t="shared" si="87"/>
        <v>Yes</v>
      </c>
      <c r="AY614" s="9" t="str">
        <f t="shared" si="91"/>
        <v>Missing region filled as Unknown</v>
      </c>
      <c r="AZ614" s="9" t="str">
        <f>IF(OR(G614="Missing date",G614="Invalid date",G614="Ship date before order date",NOT(ISNUMBER(AP614)),AP614&lt;0,AP614&gt;0.5,AV614=TRUE,AW614=TRUE),"Invalid",IF(OR(O614="Unknown",Z614="Unknown",AC614="",AH614&lt;&gt;"Paid",AJ614&lt;&gt;"Completed",AO614&lt;&gt;""),"Warning","Clean"))</f>
        <v>Warning</v>
      </c>
    </row>
    <row r="615" spans="1:52" ht="15.75" customHeight="1">
      <c r="A615" s="6" t="s">
        <v>3011</v>
      </c>
      <c r="B615" s="7" t="s">
        <v>2540</v>
      </c>
      <c r="C615" s="7" t="str">
        <f t="shared" si="90"/>
        <v>2024-10</v>
      </c>
      <c r="D615" s="7" cm="1">
        <f t="array" ref="D615">_xlfn.LET(_xlpm.x,B615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45570</v>
      </c>
      <c r="E615" s="7" t="s">
        <v>3012</v>
      </c>
      <c r="F615" s="7" cm="1">
        <f t="array" ref="F615">_xlfn.LET(_xlpm.x,E615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45575</v>
      </c>
      <c r="G615" s="8" t="str">
        <f t="shared" si="64"/>
        <v>OK</v>
      </c>
      <c r="H615" s="6">
        <f t="shared" si="65"/>
        <v>5</v>
      </c>
      <c r="I615" s="6" t="s">
        <v>3013</v>
      </c>
      <c r="J615" s="6" t="s">
        <v>284</v>
      </c>
      <c r="K615" s="6" t="str">
        <f t="shared" si="66"/>
        <v>Diya Patel</v>
      </c>
      <c r="L615" s="6" t="s">
        <v>44</v>
      </c>
      <c r="M615" s="8" t="str">
        <f t="shared" si="67"/>
        <v>Home Office</v>
      </c>
      <c r="N615" s="6" t="s">
        <v>9</v>
      </c>
      <c r="O615" s="6" t="str">
        <f t="shared" si="68"/>
        <v>West</v>
      </c>
      <c r="P615" s="6" t="s">
        <v>309</v>
      </c>
      <c r="Q615" s="6" t="str">
        <f t="shared" si="69"/>
        <v>Gujarat</v>
      </c>
      <c r="R615" s="6" t="s">
        <v>310</v>
      </c>
      <c r="S615" s="6" t="str">
        <f t="shared" si="70"/>
        <v>Ahmedabad</v>
      </c>
      <c r="T615" s="6" t="s">
        <v>27</v>
      </c>
      <c r="U615" s="8" t="str">
        <f t="shared" si="71"/>
        <v>Technology</v>
      </c>
      <c r="V615" s="6" t="s">
        <v>30</v>
      </c>
      <c r="W615" s="6" t="str">
        <f t="shared" si="72"/>
        <v>Machines</v>
      </c>
      <c r="X615" s="6" t="s">
        <v>3014</v>
      </c>
      <c r="Y615" s="6" t="s">
        <v>37</v>
      </c>
      <c r="Z615" s="6" t="str">
        <f t="shared" si="73"/>
        <v>Same Day</v>
      </c>
      <c r="AA615" s="6">
        <v>9</v>
      </c>
      <c r="AB615" s="6">
        <v>3361.3</v>
      </c>
      <c r="AC615" s="6">
        <v>0.25</v>
      </c>
      <c r="AD615" s="6">
        <v>22688.78</v>
      </c>
      <c r="AE615" s="6">
        <v>14672.41</v>
      </c>
      <c r="AF615" s="6">
        <v>8016.37</v>
      </c>
      <c r="AG615" s="6" t="s">
        <v>52</v>
      </c>
      <c r="AH615" s="6" t="str">
        <f t="shared" si="74"/>
        <v>Paid</v>
      </c>
      <c r="AI615" s="6" t="s">
        <v>134</v>
      </c>
      <c r="AJ615" s="6" t="str">
        <f t="shared" si="75"/>
        <v>Completed</v>
      </c>
      <c r="AK615" s="9" t="str">
        <f>_xlfn.TEXTJOIN("|",FALSE,A615,TEXT(B615,"mm-dd-yyyy"),TEXT(E615,"mm-dd-yyyy"),I615,J615,L615,N615,P615,R615,T615,V615,X615,Y615,AA615,AB615,AC615,AD615,AE615,AF615,AG615,AI615)</f>
        <v>ORD-2024-10614|10-05-2024|10-10-2024|CUST-9311|Diya Patel|Home Office|West|Gujarat|Ahmedabad|Technology|Machines|Basic Machines 413|Same Day|9|3361.3|0.25|22688.78|14672.41|8016.37|Paid|Completed</v>
      </c>
      <c r="AL615" s="27" t="str">
        <f>IF(COUNTIF($AK$2:AK615,AK615)&gt;1,"Remove exact duplicate copy","Keep")</f>
        <v>Keep</v>
      </c>
      <c r="AM615" s="9">
        <f t="shared" si="76"/>
        <v>1</v>
      </c>
      <c r="AN615" s="9" t="str">
        <f t="shared" si="77"/>
        <v>Unique</v>
      </c>
      <c r="AO615" s="9" t="str">
        <f t="shared" si="78"/>
        <v/>
      </c>
      <c r="AP615" s="9">
        <f t="shared" si="79"/>
        <v>0.25</v>
      </c>
      <c r="AQ615" s="10">
        <f t="shared" si="80"/>
        <v>22688.775000000001</v>
      </c>
      <c r="AR615" s="10">
        <f t="shared" si="81"/>
        <v>8016.3650000000016</v>
      </c>
      <c r="AS615" s="11">
        <f t="shared" si="82"/>
        <v>0.35331854628555315</v>
      </c>
      <c r="AT615" s="9">
        <f t="shared" si="83"/>
        <v>10</v>
      </c>
      <c r="AU615" s="9">
        <f t="shared" si="84"/>
        <v>2024</v>
      </c>
      <c r="AV615" s="9" t="b">
        <f t="shared" si="85"/>
        <v>0</v>
      </c>
      <c r="AW615" s="9" t="b">
        <f t="shared" si="86"/>
        <v>0</v>
      </c>
      <c r="AX615" s="9" t="str">
        <f t="shared" si="87"/>
        <v>Yes</v>
      </c>
      <c r="AY615" s="9" t="str">
        <f t="shared" si="91"/>
        <v/>
      </c>
      <c r="AZ615" s="9" t="str">
        <f>IF(OR(G615="Missing date",G615="Invalid date",G615="Ship date before order date",NOT(ISNUMBER(AP615)),AP615&lt;0,AP615&gt;0.5,AV615=TRUE,AW615=TRUE),"Invalid",IF(OR(O615="Unknown",Z615="Unknown",AC615="",AH615&lt;&gt;"Paid",AJ615&lt;&gt;"Completed",AO615&lt;&gt;""),"Warning","Clean"))</f>
        <v>Clean</v>
      </c>
    </row>
    <row r="616" spans="1:52" ht="15.75" customHeight="1">
      <c r="A616" s="6" t="s">
        <v>3015</v>
      </c>
      <c r="B616" s="7" t="s">
        <v>2396</v>
      </c>
      <c r="C616" s="7" t="str">
        <f t="shared" si="90"/>
        <v>2024-02</v>
      </c>
      <c r="D616" s="7" cm="1">
        <f t="array" ref="D616">_xlfn.LET(_xlpm.x,B616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45333</v>
      </c>
      <c r="E616" s="7" t="s">
        <v>3016</v>
      </c>
      <c r="F616" s="7" cm="1">
        <f t="array" ref="F616">_xlfn.LET(_xlpm.x,E616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45341</v>
      </c>
      <c r="G616" s="8" t="str">
        <f t="shared" si="64"/>
        <v>OK</v>
      </c>
      <c r="H616" s="6">
        <f t="shared" si="65"/>
        <v>8</v>
      </c>
      <c r="I616" s="6" t="s">
        <v>3017</v>
      </c>
      <c r="J616" s="6" t="s">
        <v>161</v>
      </c>
      <c r="K616" s="6" t="str">
        <f t="shared" si="66"/>
        <v>Ananya Rao</v>
      </c>
      <c r="L616" s="6" t="s">
        <v>44</v>
      </c>
      <c r="M616" s="8" t="str">
        <f t="shared" si="67"/>
        <v>Home Office</v>
      </c>
      <c r="N616" s="6" t="s">
        <v>10</v>
      </c>
      <c r="O616" s="6" t="str">
        <f t="shared" si="68"/>
        <v>South</v>
      </c>
      <c r="P616" s="6" t="s">
        <v>154</v>
      </c>
      <c r="Q616" s="6" t="str">
        <f t="shared" si="69"/>
        <v>Telangana</v>
      </c>
      <c r="R616" s="6" t="s">
        <v>155</v>
      </c>
      <c r="S616" s="6" t="str">
        <f t="shared" si="70"/>
        <v>Hyderabad</v>
      </c>
      <c r="T616" s="6" t="s">
        <v>14</v>
      </c>
      <c r="U616" s="8" t="str">
        <f t="shared" si="71"/>
        <v>Furniture</v>
      </c>
      <c r="V616" s="6" t="s">
        <v>16</v>
      </c>
      <c r="W616" s="6" t="str">
        <f t="shared" si="72"/>
        <v>Chairs</v>
      </c>
      <c r="X616" s="6" t="s">
        <v>3018</v>
      </c>
      <c r="Y616" s="6" t="s">
        <v>34</v>
      </c>
      <c r="Z616" s="6" t="str">
        <f t="shared" si="73"/>
        <v>Standard Class</v>
      </c>
      <c r="AA616" s="6">
        <v>8</v>
      </c>
      <c r="AB616" s="6">
        <v>3398.32</v>
      </c>
      <c r="AC616" s="6">
        <v>0.25</v>
      </c>
      <c r="AD616" s="6">
        <v>20389.919999999998</v>
      </c>
      <c r="AE616" s="6">
        <v>16661.080000000002</v>
      </c>
      <c r="AF616" s="6">
        <v>3728.84</v>
      </c>
      <c r="AG616" s="6" t="s">
        <v>56</v>
      </c>
      <c r="AH616" s="6" t="str">
        <f t="shared" si="74"/>
        <v>Refunded</v>
      </c>
      <c r="AI616" s="6" t="s">
        <v>58</v>
      </c>
      <c r="AJ616" s="6" t="str">
        <f t="shared" si="75"/>
        <v>Cancelled</v>
      </c>
      <c r="AK616" s="9" t="str">
        <f>_xlfn.TEXTJOIN("|",FALSE,A616,TEXT(B616,"mm-dd-yyyy"),TEXT(E616,"mm-dd-yyyy"),I616,J616,L616,N616,P616,R616,T616,V616,X616,Y616,AA616,AB616,AC616,AD616,AE616,AF616,AG616,AI616)</f>
        <v>ORD-2024-10615|11-02-2024|19-02-2024|CUST-8154|Ananya Rao|Home Office|South|Telangana|Hyderabad|Furniture|Chairs|Elite Chairs 140|Standard Class|8|3398.32|0.25|20389.92|16661.08|3728.84|Refunded|Cancelled</v>
      </c>
      <c r="AL616" s="27" t="str">
        <f>IF(COUNTIF($AK$2:AK616,AK616)&gt;1,"Remove exact duplicate copy","Keep")</f>
        <v>Keep</v>
      </c>
      <c r="AM616" s="9">
        <f t="shared" si="76"/>
        <v>1</v>
      </c>
      <c r="AN616" s="9" t="str">
        <f t="shared" si="77"/>
        <v>Unique</v>
      </c>
      <c r="AO616" s="9" t="str">
        <f t="shared" si="78"/>
        <v/>
      </c>
      <c r="AP616" s="9">
        <f t="shared" si="79"/>
        <v>0.25</v>
      </c>
      <c r="AQ616" s="10">
        <f t="shared" si="80"/>
        <v>20389.920000000002</v>
      </c>
      <c r="AR616" s="10">
        <f t="shared" si="81"/>
        <v>3728.84</v>
      </c>
      <c r="AS616" s="11">
        <f t="shared" si="82"/>
        <v>0.18287663708342161</v>
      </c>
      <c r="AT616" s="9">
        <f t="shared" si="83"/>
        <v>2</v>
      </c>
      <c r="AU616" s="9">
        <f t="shared" si="84"/>
        <v>2024</v>
      </c>
      <c r="AV616" s="9" t="b">
        <f t="shared" si="85"/>
        <v>0</v>
      </c>
      <c r="AW616" s="9" t="b">
        <f t="shared" si="86"/>
        <v>0</v>
      </c>
      <c r="AX616" s="9" t="str">
        <f t="shared" si="87"/>
        <v>No</v>
      </c>
      <c r="AY616" s="9" t="str">
        <f t="shared" si="91"/>
        <v>Refunded order summarized separately; Cancelled order excluded</v>
      </c>
      <c r="AZ616" s="9" t="str">
        <f>IF(OR(G616="Missing date",G616="Invalid date",G616="Ship date before order date",NOT(ISNUMBER(AP616)),AP616&lt;0,AP616&gt;0.5,AV616=TRUE,AW616=TRUE),"Invalid",IF(OR(O616="Unknown",Z616="Unknown",AC616="",AH616&lt;&gt;"Paid",AJ616&lt;&gt;"Completed",AO616&lt;&gt;""),"Warning","Clean"))</f>
        <v>Warning</v>
      </c>
    </row>
    <row r="617" spans="1:52" ht="15.75" customHeight="1">
      <c r="A617" s="6" t="s">
        <v>3019</v>
      </c>
      <c r="B617" s="7" t="s">
        <v>3020</v>
      </c>
      <c r="C617" s="7" t="str">
        <f t="shared" si="90"/>
        <v>2024-10</v>
      </c>
      <c r="D617" s="7" cm="1">
        <f t="array" ref="D617">_xlfn.LET(_xlpm.x,B617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45569</v>
      </c>
      <c r="E617" s="7" t="s">
        <v>3021</v>
      </c>
      <c r="F617" s="7" cm="1">
        <f t="array" ref="F617">_xlfn.LET(_xlpm.x,E617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45572</v>
      </c>
      <c r="G617" s="8" t="str">
        <f t="shared" si="64"/>
        <v>OK</v>
      </c>
      <c r="H617" s="6">
        <f t="shared" si="65"/>
        <v>3</v>
      </c>
      <c r="I617" s="6" t="s">
        <v>3022</v>
      </c>
      <c r="J617" s="6" t="s">
        <v>226</v>
      </c>
      <c r="K617" s="6" t="str">
        <f t="shared" si="66"/>
        <v>Rahul Verma</v>
      </c>
      <c r="L617" s="6" t="s">
        <v>45</v>
      </c>
      <c r="M617" s="8" t="str">
        <f t="shared" si="67"/>
        <v>Corporate</v>
      </c>
      <c r="N617" s="6" t="s">
        <v>10</v>
      </c>
      <c r="O617" s="6" t="str">
        <f t="shared" si="68"/>
        <v>South</v>
      </c>
      <c r="P617" s="6" t="s">
        <v>316</v>
      </c>
      <c r="Q617" s="6" t="str">
        <f t="shared" si="69"/>
        <v>Kerala</v>
      </c>
      <c r="R617" s="6" t="s">
        <v>317</v>
      </c>
      <c r="S617" s="6" t="str">
        <f t="shared" si="70"/>
        <v>Kochi</v>
      </c>
      <c r="T617" s="6" t="s">
        <v>20</v>
      </c>
      <c r="U617" s="8" t="str">
        <f t="shared" si="71"/>
        <v>Office Supplies</v>
      </c>
      <c r="V617" s="6" t="s">
        <v>21</v>
      </c>
      <c r="W617" s="6" t="str">
        <f t="shared" si="72"/>
        <v>Art</v>
      </c>
      <c r="X617" s="6" t="s">
        <v>3023</v>
      </c>
      <c r="Y617" s="6" t="s">
        <v>36</v>
      </c>
      <c r="Z617" s="6" t="str">
        <f t="shared" si="73"/>
        <v>Second Class</v>
      </c>
      <c r="AA617" s="6">
        <v>2</v>
      </c>
      <c r="AB617" s="6">
        <v>3144.38</v>
      </c>
      <c r="AC617" s="6">
        <v>0.1</v>
      </c>
      <c r="AD617" s="6">
        <v>5904.57</v>
      </c>
      <c r="AE617" s="6">
        <v>4337.79</v>
      </c>
      <c r="AF617" s="6">
        <v>1322.09</v>
      </c>
      <c r="AG617" s="6" t="s">
        <v>52</v>
      </c>
      <c r="AH617" s="6" t="str">
        <f t="shared" si="74"/>
        <v>Paid</v>
      </c>
      <c r="AI617" s="6" t="s">
        <v>1114</v>
      </c>
      <c r="AJ617" s="6" t="str">
        <f t="shared" si="75"/>
        <v>Completed</v>
      </c>
      <c r="AK617" s="9" t="str">
        <f>_xlfn.TEXTJOIN("|",FALSE,A617,TEXT(B617,"mm-dd-yyyy"),TEXT(E617,"mm-dd-yyyy"),I617,J617,L617,N617,P617,R617,T617,V617,X617,Y617,AA617,AB617,AC617,AD617,AE617,AF617,AG617,AI617)</f>
        <v xml:space="preserve">ORD-2024-10616|10-04-2024|10-07-2024|CUST-4462|Rahul Verma|Corporate|South|Kerala|Kochi|Office Supplies|Art|Basic Art 771|Second Class|2|3144.38|0.1|5904.57|4337.79|1322.09|Paid|  Completed </v>
      </c>
      <c r="AL617" s="27" t="str">
        <f>IF(COUNTIF($AK$2:AK617,AK617)&gt;1,"Remove exact duplicate copy","Keep")</f>
        <v>Keep</v>
      </c>
      <c r="AM617" s="9">
        <f t="shared" si="76"/>
        <v>1</v>
      </c>
      <c r="AN617" s="9" t="str">
        <f t="shared" si="77"/>
        <v>Unique</v>
      </c>
      <c r="AO617" s="9" t="str">
        <f t="shared" si="78"/>
        <v/>
      </c>
      <c r="AP617" s="9">
        <f t="shared" si="79"/>
        <v>0.1</v>
      </c>
      <c r="AQ617" s="10">
        <f t="shared" si="80"/>
        <v>5659.884</v>
      </c>
      <c r="AR617" s="10">
        <f t="shared" si="81"/>
        <v>1322.0940000000001</v>
      </c>
      <c r="AS617" s="11">
        <f t="shared" si="82"/>
        <v>0.23359029973052453</v>
      </c>
      <c r="AT617" s="9">
        <f t="shared" si="83"/>
        <v>10</v>
      </c>
      <c r="AU617" s="9">
        <f t="shared" si="84"/>
        <v>2024</v>
      </c>
      <c r="AV617" s="9" t="b">
        <f t="shared" si="85"/>
        <v>1</v>
      </c>
      <c r="AW617" s="9" t="b">
        <f t="shared" si="86"/>
        <v>0</v>
      </c>
      <c r="AX617" s="9" t="str">
        <f t="shared" si="87"/>
        <v>No</v>
      </c>
      <c r="AY617" s="9" t="str">
        <f t="shared" si="91"/>
        <v>Sales mismatch</v>
      </c>
      <c r="AZ617" s="9" t="str">
        <f>IF(OR(G617="Missing date",G617="Invalid date",G617="Ship date before order date",NOT(ISNUMBER(AP617)),AP617&lt;0,AP617&gt;0.5,AV617=TRUE,AW617=TRUE),"Invalid",IF(OR(O617="Unknown",Z617="Unknown",AC617="",AH617&lt;&gt;"Paid",AJ617&lt;&gt;"Completed",AO617&lt;&gt;""),"Warning","Clean"))</f>
        <v>Invalid</v>
      </c>
    </row>
    <row r="618" spans="1:52" ht="15.75" customHeight="1">
      <c r="A618" s="6" t="s">
        <v>3024</v>
      </c>
      <c r="B618" s="7" t="s">
        <v>3025</v>
      </c>
      <c r="C618" s="7" t="str">
        <f t="shared" si="90"/>
        <v>2024-08</v>
      </c>
      <c r="D618" s="7" cm="1">
        <f t="array" ref="D618">_xlfn.LET(_xlpm.x,B618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45520</v>
      </c>
      <c r="E618" s="7" t="s">
        <v>2956</v>
      </c>
      <c r="F618" s="7" cm="1">
        <f t="array" ref="F618">_xlfn.LET(_xlpm.x,E618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45523</v>
      </c>
      <c r="G618" s="8" t="str">
        <f t="shared" si="64"/>
        <v>OK</v>
      </c>
      <c r="H618" s="6">
        <f t="shared" si="65"/>
        <v>3</v>
      </c>
      <c r="I618" s="6" t="s">
        <v>3026</v>
      </c>
      <c r="J618" s="6" t="s">
        <v>442</v>
      </c>
      <c r="K618" s="6" t="str">
        <f t="shared" si="66"/>
        <v>Kabir Singh</v>
      </c>
      <c r="L618" s="6" t="s">
        <v>43</v>
      </c>
      <c r="M618" s="8" t="str">
        <f t="shared" si="67"/>
        <v>Consumer</v>
      </c>
      <c r="N618" s="6" t="s">
        <v>10</v>
      </c>
      <c r="O618" s="6" t="str">
        <f t="shared" si="68"/>
        <v>South</v>
      </c>
      <c r="P618" s="6" t="s">
        <v>154</v>
      </c>
      <c r="Q618" s="6" t="str">
        <f t="shared" si="69"/>
        <v>Telangana</v>
      </c>
      <c r="R618" s="6" t="s">
        <v>155</v>
      </c>
      <c r="S618" s="6" t="str">
        <f t="shared" si="70"/>
        <v>Hyderabad</v>
      </c>
      <c r="T618" s="6" t="s">
        <v>20</v>
      </c>
      <c r="U618" s="8" t="str">
        <f t="shared" si="71"/>
        <v>Office Supplies</v>
      </c>
      <c r="V618" s="6" t="s">
        <v>24</v>
      </c>
      <c r="W618" s="6" t="str">
        <f t="shared" si="72"/>
        <v>Paper</v>
      </c>
      <c r="X618" s="6" t="s">
        <v>3027</v>
      </c>
      <c r="Y618" s="6" t="s">
        <v>34</v>
      </c>
      <c r="Z618" s="6" t="str">
        <f t="shared" si="73"/>
        <v>Standard Class</v>
      </c>
      <c r="AA618" s="6">
        <v>6</v>
      </c>
      <c r="AB618" s="6">
        <v>3925.55</v>
      </c>
      <c r="AC618" s="6">
        <v>0.2</v>
      </c>
      <c r="AD618" s="6">
        <v>18842.64</v>
      </c>
      <c r="AE618" s="6">
        <v>11840.58</v>
      </c>
      <c r="AF618" s="6">
        <v>7002.06</v>
      </c>
      <c r="AG618" s="6" t="s">
        <v>52</v>
      </c>
      <c r="AH618" s="6" t="str">
        <f t="shared" si="74"/>
        <v>Paid</v>
      </c>
      <c r="AI618" s="6" t="s">
        <v>134</v>
      </c>
      <c r="AJ618" s="6" t="str">
        <f t="shared" si="75"/>
        <v>Completed</v>
      </c>
      <c r="AK618" s="9" t="str">
        <f>_xlfn.TEXTJOIN("|",FALSE,A618,TEXT(B618,"mm-dd-yyyy"),TEXT(E618,"mm-dd-yyyy"),I618,J618,L618,N618,P618,R618,T618,V618,X618,Y618,AA618,AB618,AC618,AD618,AE618,AF618,AG618,AI618)</f>
        <v>ORD-2024-10617|08-16-2024|19-08-2024|CUST-4660|Kabir Singh|Consumer|South|Telangana|Hyderabad|Office Supplies|Paper|Prime Paper 664|Standard Class|6|3925.55|0.2|18842.64|11840.58|7002.06|Paid|Completed</v>
      </c>
      <c r="AL618" s="27" t="str">
        <f>IF(COUNTIF($AK$2:AK618,AK618)&gt;1,"Remove exact duplicate copy","Keep")</f>
        <v>Keep</v>
      </c>
      <c r="AM618" s="9">
        <f t="shared" si="76"/>
        <v>1</v>
      </c>
      <c r="AN618" s="9" t="str">
        <f t="shared" si="77"/>
        <v>Unique</v>
      </c>
      <c r="AO618" s="9" t="str">
        <f t="shared" si="78"/>
        <v/>
      </c>
      <c r="AP618" s="9">
        <f t="shared" si="79"/>
        <v>0.2</v>
      </c>
      <c r="AQ618" s="10">
        <f t="shared" si="80"/>
        <v>18842.640000000003</v>
      </c>
      <c r="AR618" s="10">
        <f t="shared" si="81"/>
        <v>7002.0600000000031</v>
      </c>
      <c r="AS618" s="11">
        <f t="shared" si="82"/>
        <v>0.37160716332743193</v>
      </c>
      <c r="AT618" s="9">
        <f t="shared" si="83"/>
        <v>8</v>
      </c>
      <c r="AU618" s="9">
        <f t="shared" si="84"/>
        <v>2024</v>
      </c>
      <c r="AV618" s="9" t="b">
        <f t="shared" si="85"/>
        <v>0</v>
      </c>
      <c r="AW618" s="9" t="b">
        <f t="shared" si="86"/>
        <v>0</v>
      </c>
      <c r="AX618" s="9" t="str">
        <f t="shared" si="87"/>
        <v>Yes</v>
      </c>
      <c r="AY618" s="9" t="str">
        <f t="shared" si="91"/>
        <v/>
      </c>
      <c r="AZ618" s="9" t="str">
        <f>IF(OR(G618="Missing date",G618="Invalid date",G618="Ship date before order date",NOT(ISNUMBER(AP618)),AP618&lt;0,AP618&gt;0.5,AV618=TRUE,AW618=TRUE),"Invalid",IF(OR(O618="Unknown",Z618="Unknown",AC618="",AH618&lt;&gt;"Paid",AJ618&lt;&gt;"Completed",AO618&lt;&gt;""),"Warning","Clean"))</f>
        <v>Clean</v>
      </c>
    </row>
    <row r="619" spans="1:52" ht="15.75" customHeight="1">
      <c r="A619" s="6" t="s">
        <v>3028</v>
      </c>
      <c r="B619" s="7" t="s">
        <v>3029</v>
      </c>
      <c r="C619" s="7" t="str">
        <f t="shared" si="90"/>
        <v>2024-09</v>
      </c>
      <c r="D619" s="7" cm="1">
        <f t="array" ref="D619">_xlfn.LET(_xlpm.x,B619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45564</v>
      </c>
      <c r="E619" s="7" t="s">
        <v>1056</v>
      </c>
      <c r="F619" s="7" cm="1">
        <f t="array" ref="F619">_xlfn.LET(_xlpm.x,E619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45565</v>
      </c>
      <c r="G619" s="8" t="str">
        <f t="shared" si="64"/>
        <v>OK</v>
      </c>
      <c r="H619" s="6">
        <f t="shared" si="65"/>
        <v>1</v>
      </c>
      <c r="I619" s="6" t="s">
        <v>3030</v>
      </c>
      <c r="J619" s="6" t="s">
        <v>139</v>
      </c>
      <c r="K619" s="6" t="str">
        <f t="shared" si="66"/>
        <v>Mira Das</v>
      </c>
      <c r="L619" s="6" t="s">
        <v>44</v>
      </c>
      <c r="M619" s="8" t="str">
        <f t="shared" si="67"/>
        <v>Home Office</v>
      </c>
      <c r="N619" s="6" t="s">
        <v>10</v>
      </c>
      <c r="O619" s="6" t="str">
        <f t="shared" si="68"/>
        <v>South</v>
      </c>
      <c r="P619" s="6" t="s">
        <v>154</v>
      </c>
      <c r="Q619" s="6" t="str">
        <f t="shared" si="69"/>
        <v>Telangana</v>
      </c>
      <c r="R619" s="6" t="s">
        <v>155</v>
      </c>
      <c r="S619" s="6" t="str">
        <f t="shared" si="70"/>
        <v>Hyderabad</v>
      </c>
      <c r="T619" s="6" t="s">
        <v>27</v>
      </c>
      <c r="U619" s="8" t="str">
        <f t="shared" si="71"/>
        <v>Technology</v>
      </c>
      <c r="V619" s="6" t="s">
        <v>31</v>
      </c>
      <c r="W619" s="6" t="str">
        <f t="shared" si="72"/>
        <v>Phones</v>
      </c>
      <c r="X619" s="6" t="s">
        <v>3031</v>
      </c>
      <c r="Y619" s="6" t="s">
        <v>34</v>
      </c>
      <c r="Z619" s="6" t="str">
        <f t="shared" si="73"/>
        <v>Standard Class</v>
      </c>
      <c r="AA619" s="6">
        <v>9</v>
      </c>
      <c r="AB619" s="6">
        <v>2741.91</v>
      </c>
      <c r="AC619" s="6">
        <v>0</v>
      </c>
      <c r="AD619" s="6">
        <v>24677.19</v>
      </c>
      <c r="AE619" s="6">
        <v>20350.849999999999</v>
      </c>
      <c r="AF619" s="6">
        <v>4326.34</v>
      </c>
      <c r="AG619" s="6" t="s">
        <v>52</v>
      </c>
      <c r="AH619" s="6" t="str">
        <f t="shared" si="74"/>
        <v>Paid</v>
      </c>
      <c r="AI619" s="6" t="s">
        <v>134</v>
      </c>
      <c r="AJ619" s="6" t="str">
        <f t="shared" si="75"/>
        <v>Completed</v>
      </c>
      <c r="AK619" s="9" t="str">
        <f>_xlfn.TEXTJOIN("|",FALSE,A619,TEXT(B619,"mm-dd-yyyy"),TEXT(E619,"mm-dd-yyyy"),I619,J619,L619,N619,P619,R619,T619,V619,X619,Y619,AA619,AB619,AC619,AD619,AE619,AF619,AG619,AI619)</f>
        <v>ORD-2024-10618|09-29-2024|09-30-2024|CUST-9002|Mira Das|Home Office|South|Telangana|Hyderabad|Technology|Phones|Pro Phones 226|Standard Class|9|2741.91|0|24677.19|20350.85|4326.34|Paid|Completed</v>
      </c>
      <c r="AL619" s="27" t="str">
        <f>IF(COUNTIF($AK$2:AK619,AK619)&gt;1,"Remove exact duplicate copy","Keep")</f>
        <v>Keep</v>
      </c>
      <c r="AM619" s="9">
        <f t="shared" si="76"/>
        <v>1</v>
      </c>
      <c r="AN619" s="9" t="str">
        <f t="shared" si="77"/>
        <v>Unique</v>
      </c>
      <c r="AO619" s="9" t="str">
        <f t="shared" si="78"/>
        <v/>
      </c>
      <c r="AP619" s="9">
        <f t="shared" si="79"/>
        <v>0</v>
      </c>
      <c r="AQ619" s="10">
        <f t="shared" si="80"/>
        <v>24677.19</v>
      </c>
      <c r="AR619" s="10">
        <f t="shared" si="81"/>
        <v>4326.34</v>
      </c>
      <c r="AS619" s="11">
        <f t="shared" si="82"/>
        <v>0.17531736798233513</v>
      </c>
      <c r="AT619" s="9">
        <f t="shared" si="83"/>
        <v>9</v>
      </c>
      <c r="AU619" s="9">
        <f t="shared" si="84"/>
        <v>2024</v>
      </c>
      <c r="AV619" s="9" t="b">
        <f t="shared" si="85"/>
        <v>0</v>
      </c>
      <c r="AW619" s="9" t="b">
        <f t="shared" si="86"/>
        <v>0</v>
      </c>
      <c r="AX619" s="9" t="str">
        <f t="shared" si="87"/>
        <v>Yes</v>
      </c>
      <c r="AY619" s="9" t="str">
        <f t="shared" si="91"/>
        <v/>
      </c>
      <c r="AZ619" s="9" t="str">
        <f>IF(OR(G619="Missing date",G619="Invalid date",G619="Ship date before order date",NOT(ISNUMBER(AP619)),AP619&lt;0,AP619&gt;0.5,AV619=TRUE,AW619=TRUE),"Invalid",IF(OR(O619="Unknown",Z619="Unknown",AC619="",AH619&lt;&gt;"Paid",AJ619&lt;&gt;"Completed",AO619&lt;&gt;""),"Warning","Clean"))</f>
        <v>Clean</v>
      </c>
    </row>
    <row r="620" spans="1:52" ht="15.75" customHeight="1">
      <c r="A620" s="6" t="s">
        <v>3032</v>
      </c>
      <c r="B620" s="7" t="s">
        <v>3033</v>
      </c>
      <c r="C620" s="7" t="str">
        <f t="shared" si="90"/>
        <v>2024-07</v>
      </c>
      <c r="D620" s="7" cm="1">
        <f t="array" ref="D620">_xlfn.LET(_xlpm.x,B620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45496</v>
      </c>
      <c r="E620" s="7" t="s">
        <v>607</v>
      </c>
      <c r="F620" s="7" cm="1">
        <f t="array" ref="F620">_xlfn.LET(_xlpm.x,E620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45503</v>
      </c>
      <c r="G620" s="8" t="str">
        <f t="shared" si="64"/>
        <v>OK</v>
      </c>
      <c r="H620" s="6">
        <f t="shared" si="65"/>
        <v>7</v>
      </c>
      <c r="I620" s="6" t="s">
        <v>3034</v>
      </c>
      <c r="J620" s="6" t="s">
        <v>442</v>
      </c>
      <c r="K620" s="6" t="str">
        <f t="shared" si="66"/>
        <v>Kabir Singh</v>
      </c>
      <c r="L620" s="6" t="s">
        <v>45</v>
      </c>
      <c r="M620" s="8" t="str">
        <f t="shared" si="67"/>
        <v>Corporate</v>
      </c>
      <c r="N620" s="6" t="s">
        <v>7</v>
      </c>
      <c r="O620" s="6" t="str">
        <f t="shared" si="68"/>
        <v>North</v>
      </c>
      <c r="P620" s="6" t="s">
        <v>131</v>
      </c>
      <c r="Q620" s="6" t="str">
        <f t="shared" si="69"/>
        <v>Rajasthan</v>
      </c>
      <c r="R620" s="6" t="s">
        <v>132</v>
      </c>
      <c r="S620" s="6" t="str">
        <f t="shared" si="70"/>
        <v>Jaipur</v>
      </c>
      <c r="T620" s="6" t="s">
        <v>14</v>
      </c>
      <c r="U620" s="8" t="str">
        <f t="shared" si="71"/>
        <v>Furniture</v>
      </c>
      <c r="V620" s="6" t="s">
        <v>18</v>
      </c>
      <c r="W620" s="6" t="str">
        <f t="shared" si="72"/>
        <v>Tables</v>
      </c>
      <c r="X620" s="6" t="s">
        <v>3035</v>
      </c>
      <c r="Y620" s="6" t="s">
        <v>37</v>
      </c>
      <c r="Z620" s="6" t="str">
        <f t="shared" si="73"/>
        <v>Same Day</v>
      </c>
      <c r="AA620" s="6">
        <v>9</v>
      </c>
      <c r="AB620" s="6">
        <v>1870.11</v>
      </c>
      <c r="AC620" s="6">
        <v>0.25</v>
      </c>
      <c r="AD620" s="6">
        <v>12623.24</v>
      </c>
      <c r="AE620" s="6">
        <v>10540.8</v>
      </c>
      <c r="AF620" s="6">
        <v>2082.44</v>
      </c>
      <c r="AG620" s="6" t="s">
        <v>50</v>
      </c>
      <c r="AH620" s="6" t="str">
        <f t="shared" si="74"/>
        <v>Failed</v>
      </c>
      <c r="AI620" s="6" t="s">
        <v>58</v>
      </c>
      <c r="AJ620" s="6" t="str">
        <f t="shared" si="75"/>
        <v>Cancelled</v>
      </c>
      <c r="AK620" s="9" t="str">
        <f>_xlfn.TEXTJOIN("|",FALSE,A620,TEXT(B620,"mm-dd-yyyy"),TEXT(E620,"mm-dd-yyyy"),I620,J620,L620,N620,P620,R620,T620,V620,X620,Y620,AA620,AB620,AC620,AD620,AE620,AF620,AG620,AI620)</f>
        <v>ORD-2024-10619|07-23-2024|07-30-2024|CUST-1057|Kabir Singh|Corporate|North|Rajasthan|Jaipur|Furniture|Tables|Basic Tables 684|Same Day|9|1870.11|0.25|12623.24|10540.8|2082.44|Failed|Cancelled</v>
      </c>
      <c r="AL620" s="27" t="str">
        <f>IF(COUNTIF($AK$2:AK620,AK620)&gt;1,"Remove exact duplicate copy","Keep")</f>
        <v>Keep</v>
      </c>
      <c r="AM620" s="9">
        <f t="shared" si="76"/>
        <v>1</v>
      </c>
      <c r="AN620" s="9" t="str">
        <f t="shared" si="77"/>
        <v>Unique</v>
      </c>
      <c r="AO620" s="9" t="str">
        <f t="shared" si="78"/>
        <v/>
      </c>
      <c r="AP620" s="9">
        <f t="shared" si="79"/>
        <v>0.25</v>
      </c>
      <c r="AQ620" s="10">
        <f t="shared" si="80"/>
        <v>12623.242499999998</v>
      </c>
      <c r="AR620" s="10">
        <f t="shared" si="81"/>
        <v>2082.4424999999992</v>
      </c>
      <c r="AS620" s="11">
        <f t="shared" si="82"/>
        <v>0.16496890557239943</v>
      </c>
      <c r="AT620" s="9">
        <f t="shared" si="83"/>
        <v>7</v>
      </c>
      <c r="AU620" s="9">
        <f t="shared" si="84"/>
        <v>2024</v>
      </c>
      <c r="AV620" s="9" t="b">
        <f t="shared" si="85"/>
        <v>0</v>
      </c>
      <c r="AW620" s="9" t="b">
        <f t="shared" si="86"/>
        <v>0</v>
      </c>
      <c r="AX620" s="9" t="str">
        <f t="shared" si="87"/>
        <v>No</v>
      </c>
      <c r="AY620" s="9" t="str">
        <f t="shared" si="91"/>
        <v>Failed payment excluded; Cancelled order excluded</v>
      </c>
      <c r="AZ620" s="9" t="str">
        <f>IF(OR(G620="Missing date",G620="Invalid date",G620="Ship date before order date",NOT(ISNUMBER(AP620)),AP620&lt;0,AP620&gt;0.5,AV620=TRUE,AW620=TRUE),"Invalid",IF(OR(O620="Unknown",Z620="Unknown",AC620="",AH620&lt;&gt;"Paid",AJ620&lt;&gt;"Completed",AO620&lt;&gt;""),"Warning","Clean"))</f>
        <v>Warning</v>
      </c>
    </row>
    <row r="621" spans="1:52" ht="15.75" customHeight="1">
      <c r="A621" s="6" t="s">
        <v>3036</v>
      </c>
      <c r="B621" s="7" t="s">
        <v>993</v>
      </c>
      <c r="C621" s="7" t="str">
        <f t="shared" si="90"/>
        <v>2024-11</v>
      </c>
      <c r="D621" s="7" cm="1">
        <f t="array" ref="D621">_xlfn.LET(_xlpm.x,B621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45618</v>
      </c>
      <c r="E621" s="7" t="s">
        <v>3037</v>
      </c>
      <c r="F621" s="7" cm="1">
        <f t="array" ref="F621">_xlfn.LET(_xlpm.x,E621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45623</v>
      </c>
      <c r="G621" s="8" t="str">
        <f t="shared" si="64"/>
        <v>OK</v>
      </c>
      <c r="H621" s="6">
        <f t="shared" si="65"/>
        <v>5</v>
      </c>
      <c r="I621" s="6" t="s">
        <v>3038</v>
      </c>
      <c r="J621" s="6" t="s">
        <v>220</v>
      </c>
      <c r="K621" s="6" t="str">
        <f t="shared" si="66"/>
        <v>Priya Menon</v>
      </c>
      <c r="L621" s="6" t="s">
        <v>45</v>
      </c>
      <c r="M621" s="8" t="str">
        <f t="shared" si="67"/>
        <v>Corporate</v>
      </c>
      <c r="N621" s="6" t="s">
        <v>10</v>
      </c>
      <c r="O621" s="6" t="str">
        <f t="shared" si="68"/>
        <v>South</v>
      </c>
      <c r="P621" s="6" t="s">
        <v>413</v>
      </c>
      <c r="Q621" s="6" t="str">
        <f t="shared" si="69"/>
        <v>Tamil Nadu</v>
      </c>
      <c r="R621" s="6" t="s">
        <v>414</v>
      </c>
      <c r="S621" s="6" t="str">
        <f t="shared" si="70"/>
        <v>Chennai</v>
      </c>
      <c r="T621" s="6" t="s">
        <v>20</v>
      </c>
      <c r="U621" s="8" t="str">
        <f t="shared" si="71"/>
        <v>Office Supplies</v>
      </c>
      <c r="V621" s="6" t="s">
        <v>22</v>
      </c>
      <c r="W621" s="6" t="str">
        <f t="shared" si="72"/>
        <v>Binders</v>
      </c>
      <c r="X621" s="6" t="s">
        <v>3039</v>
      </c>
      <c r="Y621" s="6" t="s">
        <v>35</v>
      </c>
      <c r="Z621" s="6" t="str">
        <f t="shared" si="73"/>
        <v>First Class</v>
      </c>
      <c r="AA621" s="6">
        <v>1</v>
      </c>
      <c r="AB621" s="6">
        <v>4251.26</v>
      </c>
      <c r="AC621" s="6">
        <v>0.2</v>
      </c>
      <c r="AD621" s="6">
        <v>3401.01</v>
      </c>
      <c r="AE621" s="6">
        <v>2917.54</v>
      </c>
      <c r="AF621" s="6">
        <v>483.47</v>
      </c>
      <c r="AG621" s="6" t="s">
        <v>56</v>
      </c>
      <c r="AH621" s="6" t="str">
        <f t="shared" si="74"/>
        <v>Refunded</v>
      </c>
      <c r="AI621" s="6" t="s">
        <v>59</v>
      </c>
      <c r="AJ621" s="6" t="str">
        <f t="shared" si="75"/>
        <v>Returned</v>
      </c>
      <c r="AK621" s="9" t="str">
        <f>_xlfn.TEXTJOIN("|",FALSE,A621,TEXT(B621,"mm-dd-yyyy"),TEXT(E621,"mm-dd-yyyy"),I621,J621,L621,N621,P621,R621,T621,V621,X621,Y621,AA621,AB621,AC621,AD621,AE621,AF621,AG621,AI621)</f>
        <v>ORD-2024-10620|11-22-2024|11-27-2024|CUST-9596|Priya Menon|Corporate|South|Tamil Nadu|Chennai|Office Supplies|Binders|Prime Binders 938|First Class|1|4251.26|0.2|3401.01|2917.54|483.47|Refunded|Returned</v>
      </c>
      <c r="AL621" s="27" t="str">
        <f>IF(COUNTIF($AK$2:AK621,AK621)&gt;1,"Remove exact duplicate copy","Keep")</f>
        <v>Keep</v>
      </c>
      <c r="AM621" s="9">
        <f t="shared" si="76"/>
        <v>1</v>
      </c>
      <c r="AN621" s="9" t="str">
        <f t="shared" si="77"/>
        <v>Unique</v>
      </c>
      <c r="AO621" s="9" t="str">
        <f t="shared" si="78"/>
        <v/>
      </c>
      <c r="AP621" s="9">
        <f t="shared" si="79"/>
        <v>0.2</v>
      </c>
      <c r="AQ621" s="10">
        <f t="shared" si="80"/>
        <v>3401.0080000000003</v>
      </c>
      <c r="AR621" s="10">
        <f t="shared" si="81"/>
        <v>483.4680000000003</v>
      </c>
      <c r="AS621" s="11">
        <f t="shared" si="82"/>
        <v>0.14215432601158254</v>
      </c>
      <c r="AT621" s="9">
        <f t="shared" si="83"/>
        <v>11</v>
      </c>
      <c r="AU621" s="9">
        <f t="shared" si="84"/>
        <v>2024</v>
      </c>
      <c r="AV621" s="9" t="b">
        <f t="shared" si="85"/>
        <v>0</v>
      </c>
      <c r="AW621" s="9" t="b">
        <f t="shared" si="86"/>
        <v>0</v>
      </c>
      <c r="AX621" s="9" t="str">
        <f t="shared" si="87"/>
        <v>No</v>
      </c>
      <c r="AY621" s="9" t="str">
        <f t="shared" si="91"/>
        <v>Refunded order summarized separately; Returned order excluded</v>
      </c>
      <c r="AZ621" s="9" t="str">
        <f>IF(OR(G621="Missing date",G621="Invalid date",G621="Ship date before order date",NOT(ISNUMBER(AP621)),AP621&lt;0,AP621&gt;0.5,AV621=TRUE,AW621=TRUE),"Invalid",IF(OR(O621="Unknown",Z621="Unknown",AC621="",AH621&lt;&gt;"Paid",AJ621&lt;&gt;"Completed",AO621&lt;&gt;""),"Warning","Clean"))</f>
        <v>Warning</v>
      </c>
    </row>
    <row r="622" spans="1:52" ht="15.75" customHeight="1">
      <c r="A622" s="6" t="s">
        <v>3040</v>
      </c>
      <c r="B622" s="7" t="s">
        <v>3041</v>
      </c>
      <c r="C622" s="7" t="str">
        <f t="shared" si="90"/>
        <v>2024-08</v>
      </c>
      <c r="D622" s="7" cm="1">
        <f t="array" ref="D622">_xlfn.LET(_xlpm.x,B622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45522</v>
      </c>
      <c r="E622" s="7" t="s">
        <v>3042</v>
      </c>
      <c r="F622" s="7" cm="1">
        <f t="array" ref="F622">_xlfn.LET(_xlpm.x,E622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45525</v>
      </c>
      <c r="G622" s="8" t="str">
        <f t="shared" si="64"/>
        <v>OK</v>
      </c>
      <c r="H622" s="6">
        <f t="shared" si="65"/>
        <v>3</v>
      </c>
      <c r="I622" s="6" t="s">
        <v>3043</v>
      </c>
      <c r="J622" s="6" t="s">
        <v>169</v>
      </c>
      <c r="K622" s="6" t="str">
        <f t="shared" si="66"/>
        <v>Vikram Iyer</v>
      </c>
      <c r="L622" s="6" t="s">
        <v>43</v>
      </c>
      <c r="M622" s="8" t="str">
        <f t="shared" si="67"/>
        <v>Consumer</v>
      </c>
      <c r="N622" s="6" t="s">
        <v>7</v>
      </c>
      <c r="O622" s="6" t="str">
        <f t="shared" si="68"/>
        <v>North</v>
      </c>
      <c r="P622" s="6" t="s">
        <v>251</v>
      </c>
      <c r="Q622" s="6" t="str">
        <f t="shared" si="69"/>
        <v>Uttar Pradesh</v>
      </c>
      <c r="R622" s="6" t="s">
        <v>252</v>
      </c>
      <c r="S622" s="6" t="str">
        <f t="shared" si="70"/>
        <v>Noida</v>
      </c>
      <c r="T622" s="6" t="s">
        <v>27</v>
      </c>
      <c r="U622" s="8" t="str">
        <f t="shared" si="71"/>
        <v>Technology</v>
      </c>
      <c r="V622" s="6" t="s">
        <v>30</v>
      </c>
      <c r="W622" s="6" t="str">
        <f t="shared" si="72"/>
        <v>Machines</v>
      </c>
      <c r="X622" s="6" t="s">
        <v>3044</v>
      </c>
      <c r="Y622" s="6" t="s">
        <v>34</v>
      </c>
      <c r="Z622" s="6" t="str">
        <f t="shared" si="73"/>
        <v>Standard Class</v>
      </c>
      <c r="AA622" s="6">
        <v>9</v>
      </c>
      <c r="AB622" s="6">
        <v>734.34</v>
      </c>
      <c r="AC622" s="6">
        <v>0</v>
      </c>
      <c r="AD622" s="6">
        <v>6609.06</v>
      </c>
      <c r="AE622" s="6">
        <v>4946.78</v>
      </c>
      <c r="AF622" s="6">
        <v>1662.28</v>
      </c>
      <c r="AG622" s="6" t="s">
        <v>52</v>
      </c>
      <c r="AH622" s="6" t="str">
        <f t="shared" si="74"/>
        <v>Paid</v>
      </c>
      <c r="AI622" s="6" t="s">
        <v>134</v>
      </c>
      <c r="AJ622" s="6" t="str">
        <f t="shared" si="75"/>
        <v>Completed</v>
      </c>
      <c r="AK622" s="9" t="str">
        <f>_xlfn.TEXTJOIN("|",FALSE,A622,TEXT(B622,"mm-dd-yyyy"),TEXT(E622,"mm-dd-yyyy"),I622,J622,L622,N622,P622,R622,T622,V622,X622,Y622,AA622,AB622,AC622,AD622,AE622,AF622,AG622,AI622)</f>
        <v>ORD-2024-10621|18-08-2024|08-21-2024|CUST-6947|Vikram Iyer|Consumer|North|Uttar Pradesh|Noida|Technology|Machines|Classic Machines 337|Standard Class|9|734.34|0|6609.06|4946.78|1662.28|Paid|Completed</v>
      </c>
      <c r="AL622" s="27" t="str">
        <f>IF(COUNTIF($AK$2:AK622,AK622)&gt;1,"Remove exact duplicate copy","Keep")</f>
        <v>Keep</v>
      </c>
      <c r="AM622" s="9">
        <f t="shared" si="76"/>
        <v>1</v>
      </c>
      <c r="AN622" s="9" t="str">
        <f t="shared" si="77"/>
        <v>Unique</v>
      </c>
      <c r="AO622" s="9" t="str">
        <f t="shared" si="78"/>
        <v/>
      </c>
      <c r="AP622" s="9">
        <f t="shared" si="79"/>
        <v>0</v>
      </c>
      <c r="AQ622" s="10">
        <f t="shared" si="80"/>
        <v>6609.06</v>
      </c>
      <c r="AR622" s="10">
        <f t="shared" si="81"/>
        <v>1662.2800000000007</v>
      </c>
      <c r="AS622" s="11">
        <f t="shared" si="82"/>
        <v>0.25151534408826681</v>
      </c>
      <c r="AT622" s="9">
        <f t="shared" si="83"/>
        <v>8</v>
      </c>
      <c r="AU622" s="9">
        <f t="shared" si="84"/>
        <v>2024</v>
      </c>
      <c r="AV622" s="9" t="b">
        <f t="shared" si="85"/>
        <v>0</v>
      </c>
      <c r="AW622" s="9" t="b">
        <f t="shared" si="86"/>
        <v>0</v>
      </c>
      <c r="AX622" s="9" t="str">
        <f t="shared" si="87"/>
        <v>Yes</v>
      </c>
      <c r="AY622" s="9" t="str">
        <f t="shared" si="91"/>
        <v/>
      </c>
      <c r="AZ622" s="9" t="str">
        <f>IF(OR(G622="Missing date",G622="Invalid date",G622="Ship date before order date",NOT(ISNUMBER(AP622)),AP622&lt;0,AP622&gt;0.5,AV622=TRUE,AW622=TRUE),"Invalid",IF(OR(O622="Unknown",Z622="Unknown",AC622="",AH622&lt;&gt;"Paid",AJ622&lt;&gt;"Completed",AO622&lt;&gt;""),"Warning","Clean"))</f>
        <v>Clean</v>
      </c>
    </row>
    <row r="623" spans="1:52" ht="15.75" customHeight="1">
      <c r="A623" s="6" t="s">
        <v>3045</v>
      </c>
      <c r="B623" s="7" t="s">
        <v>150</v>
      </c>
      <c r="C623" s="7" t="str">
        <f t="shared" si="90"/>
        <v>2024-11</v>
      </c>
      <c r="D623" s="7" cm="1">
        <f t="array" ref="D623">_xlfn.LET(_xlpm.x,B623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45624</v>
      </c>
      <c r="E623" s="7" t="s">
        <v>3046</v>
      </c>
      <c r="F623" s="7" cm="1">
        <f t="array" ref="F623">_xlfn.LET(_xlpm.x,E623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45632</v>
      </c>
      <c r="G623" s="8" t="str">
        <f t="shared" si="64"/>
        <v>OK</v>
      </c>
      <c r="H623" s="6">
        <f t="shared" si="65"/>
        <v>8</v>
      </c>
      <c r="I623" s="6" t="s">
        <v>3047</v>
      </c>
      <c r="J623" s="6" t="s">
        <v>190</v>
      </c>
      <c r="K623" s="6" t="str">
        <f t="shared" si="66"/>
        <v>Aditi Sen</v>
      </c>
      <c r="L623" s="6" t="s">
        <v>43</v>
      </c>
      <c r="M623" s="8" t="str">
        <f t="shared" si="67"/>
        <v>Consumer</v>
      </c>
      <c r="N623" s="6" t="s">
        <v>9</v>
      </c>
      <c r="O623" s="6" t="str">
        <f t="shared" si="68"/>
        <v>West</v>
      </c>
      <c r="P623" s="6" t="s">
        <v>162</v>
      </c>
      <c r="Q623" s="6" t="str">
        <f t="shared" si="69"/>
        <v>Maharashtra</v>
      </c>
      <c r="R623" s="6" t="s">
        <v>163</v>
      </c>
      <c r="S623" s="6" t="str">
        <f t="shared" si="70"/>
        <v>Mumbai</v>
      </c>
      <c r="T623" s="6" t="s">
        <v>14</v>
      </c>
      <c r="U623" s="8" t="str">
        <f t="shared" si="71"/>
        <v>Furniture</v>
      </c>
      <c r="V623" s="6" t="s">
        <v>16</v>
      </c>
      <c r="W623" s="6" t="str">
        <f t="shared" si="72"/>
        <v>Chairs</v>
      </c>
      <c r="X623" s="6" t="s">
        <v>3048</v>
      </c>
      <c r="Y623" s="6" t="s">
        <v>37</v>
      </c>
      <c r="Z623" s="6" t="str">
        <f t="shared" si="73"/>
        <v>Same Day</v>
      </c>
      <c r="AA623" s="6">
        <v>5</v>
      </c>
      <c r="AB623" s="6">
        <v>1092.8399999999999</v>
      </c>
      <c r="AC623" s="6"/>
      <c r="AD623" s="6">
        <v>5464.2</v>
      </c>
      <c r="AE623" s="6">
        <v>3318.09</v>
      </c>
      <c r="AF623" s="6">
        <v>2146.11</v>
      </c>
      <c r="AG623" s="6" t="s">
        <v>52</v>
      </c>
      <c r="AH623" s="6" t="str">
        <f t="shared" si="74"/>
        <v>Paid</v>
      </c>
      <c r="AI623" s="6" t="s">
        <v>134</v>
      </c>
      <c r="AJ623" s="6" t="str">
        <f t="shared" si="75"/>
        <v>Completed</v>
      </c>
      <c r="AK623" s="9" t="str">
        <f>_xlfn.TEXTJOIN("|",FALSE,A623,TEXT(B623,"mm-dd-yyyy"),TEXT(E623,"mm-dd-yyyy"),I623,J623,L623,N623,P623,R623,T623,V623,X623,Y623,AA623,AB623,AC623,AD623,AE623,AF623,AG623,AI623)</f>
        <v>ORD-2024-10622|28-11-2024|06-12-2024|CUST-7236|Aditi Sen|Consumer|West|Maharashtra|Mumbai|Furniture|Chairs|Max Chairs 748|Same Day|5|1092.84||5464.2|3318.09|2146.11|Paid|Completed</v>
      </c>
      <c r="AL623" s="27" t="str">
        <f>IF(COUNTIF($AK$2:AK623,AK623)&gt;1,"Remove exact duplicate copy","Keep")</f>
        <v>Keep</v>
      </c>
      <c r="AM623" s="9">
        <f t="shared" si="76"/>
        <v>1</v>
      </c>
      <c r="AN623" s="9" t="str">
        <f t="shared" si="77"/>
        <v>Unique</v>
      </c>
      <c r="AO623" s="9" t="str">
        <f t="shared" si="78"/>
        <v/>
      </c>
      <c r="AP623" s="9">
        <f t="shared" si="79"/>
        <v>0</v>
      </c>
      <c r="AQ623" s="10">
        <f t="shared" si="80"/>
        <v>5464.2</v>
      </c>
      <c r="AR623" s="10">
        <f t="shared" si="81"/>
        <v>2146.1099999999997</v>
      </c>
      <c r="AS623" s="11">
        <f t="shared" si="82"/>
        <v>0.39275831777753373</v>
      </c>
      <c r="AT623" s="9">
        <f t="shared" si="83"/>
        <v>11</v>
      </c>
      <c r="AU623" s="9">
        <f t="shared" si="84"/>
        <v>2024</v>
      </c>
      <c r="AV623" s="9" t="b">
        <f t="shared" si="85"/>
        <v>0</v>
      </c>
      <c r="AW623" s="9" t="b">
        <f t="shared" si="86"/>
        <v>0</v>
      </c>
      <c r="AX623" s="9" t="str">
        <f t="shared" si="87"/>
        <v>Yes</v>
      </c>
      <c r="AY623" s="9" t="str">
        <f t="shared" si="91"/>
        <v>Missing discount treated as 0</v>
      </c>
      <c r="AZ623" s="9" t="str">
        <f>IF(OR(G623="Missing date",G623="Invalid date",G623="Ship date before order date",NOT(ISNUMBER(AP623)),AP623&lt;0,AP623&gt;0.5,AV623=TRUE,AW623=TRUE),"Invalid",IF(OR(O623="Unknown",Z623="Unknown",AC623="",AH623&lt;&gt;"Paid",AJ623&lt;&gt;"Completed",AO623&lt;&gt;""),"Warning","Clean"))</f>
        <v>Warning</v>
      </c>
    </row>
    <row r="624" spans="1:52" ht="15.75" customHeight="1">
      <c r="A624" s="6" t="s">
        <v>3049</v>
      </c>
      <c r="B624" s="7" t="s">
        <v>3050</v>
      </c>
      <c r="C624" s="7" t="str">
        <f t="shared" si="90"/>
        <v>2025-01</v>
      </c>
      <c r="D624" s="7" cm="1">
        <f t="array" ref="D624">_xlfn.LET(_xlpm.x,B624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45686</v>
      </c>
      <c r="E624" s="7" t="s">
        <v>3051</v>
      </c>
      <c r="F624" s="7" cm="1">
        <f t="array" ref="F624">_xlfn.LET(_xlpm.x,E624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45694</v>
      </c>
      <c r="G624" s="8" t="str">
        <f t="shared" si="64"/>
        <v>OK</v>
      </c>
      <c r="H624" s="6">
        <f t="shared" si="65"/>
        <v>8</v>
      </c>
      <c r="I624" s="6" t="s">
        <v>3052</v>
      </c>
      <c r="J624" s="6" t="s">
        <v>169</v>
      </c>
      <c r="K624" s="6" t="str">
        <f t="shared" si="66"/>
        <v>Vikram Iyer</v>
      </c>
      <c r="L624" s="6" t="s">
        <v>43</v>
      </c>
      <c r="M624" s="8" t="str">
        <f t="shared" si="67"/>
        <v>Consumer</v>
      </c>
      <c r="N624" s="6" t="s">
        <v>8</v>
      </c>
      <c r="O624" s="6" t="str">
        <f t="shared" si="68"/>
        <v>East</v>
      </c>
      <c r="P624" s="6" t="s">
        <v>263</v>
      </c>
      <c r="Q624" s="6" t="str">
        <f t="shared" si="69"/>
        <v>Bihar</v>
      </c>
      <c r="R624" s="6" t="s">
        <v>264</v>
      </c>
      <c r="S624" s="6" t="str">
        <f t="shared" si="70"/>
        <v>Patna</v>
      </c>
      <c r="T624" s="6" t="s">
        <v>20</v>
      </c>
      <c r="U624" s="8" t="str">
        <f t="shared" si="71"/>
        <v>Office Supplies</v>
      </c>
      <c r="V624" s="6" t="s">
        <v>25</v>
      </c>
      <c r="W624" s="6" t="str">
        <f t="shared" si="72"/>
        <v>Storage</v>
      </c>
      <c r="X624" s="6" t="s">
        <v>3053</v>
      </c>
      <c r="Y624" s="6" t="s">
        <v>34</v>
      </c>
      <c r="Z624" s="6" t="str">
        <f t="shared" si="73"/>
        <v>Standard Class</v>
      </c>
      <c r="AA624" s="6">
        <v>4</v>
      </c>
      <c r="AB624" s="6">
        <v>2759.01</v>
      </c>
      <c r="AC624" s="6">
        <v>0.05</v>
      </c>
      <c r="AD624" s="6">
        <v>10484.24</v>
      </c>
      <c r="AE624" s="6">
        <v>6680.15</v>
      </c>
      <c r="AF624" s="6">
        <v>3804.09</v>
      </c>
      <c r="AG624" s="6" t="s">
        <v>52</v>
      </c>
      <c r="AH624" s="6" t="str">
        <f t="shared" si="74"/>
        <v>Paid</v>
      </c>
      <c r="AI624" s="6" t="s">
        <v>134</v>
      </c>
      <c r="AJ624" s="6" t="str">
        <f t="shared" si="75"/>
        <v>Completed</v>
      </c>
      <c r="AK624" s="9" t="str">
        <f>_xlfn.TEXTJOIN("|",FALSE,A624,TEXT(B624,"mm-dd-yyyy"),TEXT(E624,"mm-dd-yyyy"),I624,J624,L624,N624,P624,R624,T624,V624,X624,Y624,AA624,AB624,AC624,AD624,AE624,AF624,AG624,AI624)</f>
        <v>ORD-2025-10623|29-01-2025|02-06-2025|CUST-1127|Vikram Iyer|Consumer|East|Bihar|Patna|Office Supplies|Storage|Basic Storage 934|Standard Class|4|2759.01|0.05|10484.24|6680.15|3804.09|Paid|Completed</v>
      </c>
      <c r="AL624" s="27" t="str">
        <f>IF(COUNTIF($AK$2:AK624,AK624)&gt;1,"Remove exact duplicate copy","Keep")</f>
        <v>Keep</v>
      </c>
      <c r="AM624" s="9">
        <f t="shared" si="76"/>
        <v>1</v>
      </c>
      <c r="AN624" s="9" t="str">
        <f t="shared" si="77"/>
        <v>Unique</v>
      </c>
      <c r="AO624" s="9" t="str">
        <f t="shared" si="78"/>
        <v/>
      </c>
      <c r="AP624" s="9">
        <f t="shared" si="79"/>
        <v>0.05</v>
      </c>
      <c r="AQ624" s="10">
        <f t="shared" si="80"/>
        <v>10484.238000000001</v>
      </c>
      <c r="AR624" s="10">
        <f t="shared" si="81"/>
        <v>3804.0880000000016</v>
      </c>
      <c r="AS624" s="11">
        <f t="shared" si="82"/>
        <v>0.36283876806306775</v>
      </c>
      <c r="AT624" s="9">
        <f t="shared" si="83"/>
        <v>1</v>
      </c>
      <c r="AU624" s="9">
        <f t="shared" si="84"/>
        <v>2025</v>
      </c>
      <c r="AV624" s="9" t="b">
        <f t="shared" si="85"/>
        <v>0</v>
      </c>
      <c r="AW624" s="9" t="b">
        <f t="shared" si="86"/>
        <v>0</v>
      </c>
      <c r="AX624" s="9" t="str">
        <f t="shared" si="87"/>
        <v>Yes</v>
      </c>
      <c r="AY624" s="9" t="str">
        <f t="shared" si="91"/>
        <v/>
      </c>
      <c r="AZ624" s="9" t="str">
        <f>IF(OR(G624="Missing date",G624="Invalid date",G624="Ship date before order date",NOT(ISNUMBER(AP624)),AP624&lt;0,AP624&gt;0.5,AV624=TRUE,AW624=TRUE),"Invalid",IF(OR(O624="Unknown",Z624="Unknown",AC624="",AH624&lt;&gt;"Paid",AJ624&lt;&gt;"Completed",AO624&lt;&gt;""),"Warning","Clean"))</f>
        <v>Clean</v>
      </c>
    </row>
    <row r="625" spans="1:52" ht="15.75" customHeight="1">
      <c r="A625" s="6" t="s">
        <v>3054</v>
      </c>
      <c r="B625" s="7" t="s">
        <v>3055</v>
      </c>
      <c r="C625" s="7" t="str">
        <f t="shared" si="90"/>
        <v>2024-08</v>
      </c>
      <c r="D625" s="7" cm="1">
        <f t="array" ref="D625">_xlfn.LET(_xlpm.x,B625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45512</v>
      </c>
      <c r="E625" s="7" t="s">
        <v>3056</v>
      </c>
      <c r="F625" s="7" cm="1">
        <f t="array" ref="F625">_xlfn.LET(_xlpm.x,E625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45518</v>
      </c>
      <c r="G625" s="8" t="str">
        <f t="shared" si="64"/>
        <v>OK</v>
      </c>
      <c r="H625" s="6">
        <f t="shared" si="65"/>
        <v>6</v>
      </c>
      <c r="I625" s="6" t="s">
        <v>3057</v>
      </c>
      <c r="J625" s="6" t="s">
        <v>169</v>
      </c>
      <c r="K625" s="6" t="str">
        <f t="shared" si="66"/>
        <v>Vikram Iyer</v>
      </c>
      <c r="L625" s="6" t="s">
        <v>44</v>
      </c>
      <c r="M625" s="8" t="str">
        <f t="shared" si="67"/>
        <v>Home Office</v>
      </c>
      <c r="N625" s="6" t="s">
        <v>7</v>
      </c>
      <c r="O625" s="6" t="str">
        <f t="shared" si="68"/>
        <v>North</v>
      </c>
      <c r="P625" s="6" t="s">
        <v>232</v>
      </c>
      <c r="Q625" s="6" t="str">
        <f t="shared" si="69"/>
        <v>Punjab</v>
      </c>
      <c r="R625" s="6" t="s">
        <v>233</v>
      </c>
      <c r="S625" s="6" t="str">
        <f t="shared" si="70"/>
        <v>Ludhiana</v>
      </c>
      <c r="T625" s="6" t="s">
        <v>20</v>
      </c>
      <c r="U625" s="8" t="str">
        <f t="shared" si="71"/>
        <v>Office Supplies</v>
      </c>
      <c r="V625" s="6" t="s">
        <v>25</v>
      </c>
      <c r="W625" s="6" t="str">
        <f t="shared" si="72"/>
        <v>Storage</v>
      </c>
      <c r="X625" s="6" t="s">
        <v>3058</v>
      </c>
      <c r="Y625" s="6" t="s">
        <v>36</v>
      </c>
      <c r="Z625" s="6" t="str">
        <f t="shared" si="73"/>
        <v>Second Class</v>
      </c>
      <c r="AA625" s="6">
        <v>8</v>
      </c>
      <c r="AB625" s="6">
        <v>1359.19</v>
      </c>
      <c r="AC625" s="6">
        <v>0.05</v>
      </c>
      <c r="AD625" s="6">
        <v>10329.84</v>
      </c>
      <c r="AE625" s="6">
        <v>7512.22</v>
      </c>
      <c r="AF625" s="6">
        <v>2817.62</v>
      </c>
      <c r="AG625" s="6" t="s">
        <v>52</v>
      </c>
      <c r="AH625" s="6" t="str">
        <f t="shared" si="74"/>
        <v>Paid</v>
      </c>
      <c r="AI625" s="6" t="s">
        <v>134</v>
      </c>
      <c r="AJ625" s="6" t="str">
        <f t="shared" si="75"/>
        <v>Completed</v>
      </c>
      <c r="AK625" s="9" t="str">
        <f>_xlfn.TEXTJOIN("|",FALSE,A625,TEXT(B625,"mm-dd-yyyy"),TEXT(E625,"mm-dd-yyyy"),I625,J625,L625,N625,P625,R625,T625,V625,X625,Y625,AA625,AB625,AC625,AD625,AE625,AF625,AG625,AI625)</f>
        <v>ORD-2024-10624|08-08-2024|08-14-2024|CUST-6262|Vikram Iyer|Home Office|North|Punjab|Ludhiana|Office Supplies|Storage|Pro Storage 509|Second Class|8|1359.19|0.05|10329.84|7512.22|2817.62|Paid|Completed</v>
      </c>
      <c r="AL625" s="27" t="str">
        <f>IF(COUNTIF($AK$2:AK625,AK625)&gt;1,"Remove exact duplicate copy","Keep")</f>
        <v>Keep</v>
      </c>
      <c r="AM625" s="9">
        <f t="shared" si="76"/>
        <v>1</v>
      </c>
      <c r="AN625" s="9" t="str">
        <f t="shared" si="77"/>
        <v>Unique</v>
      </c>
      <c r="AO625" s="9" t="str">
        <f t="shared" si="78"/>
        <v/>
      </c>
      <c r="AP625" s="9">
        <f t="shared" si="79"/>
        <v>0.05</v>
      </c>
      <c r="AQ625" s="10">
        <f t="shared" si="80"/>
        <v>10329.843999999999</v>
      </c>
      <c r="AR625" s="10">
        <f t="shared" si="81"/>
        <v>2817.6239999999989</v>
      </c>
      <c r="AS625" s="11">
        <f t="shared" si="82"/>
        <v>0.27276539703794161</v>
      </c>
      <c r="AT625" s="9">
        <f t="shared" si="83"/>
        <v>8</v>
      </c>
      <c r="AU625" s="9">
        <f t="shared" si="84"/>
        <v>2024</v>
      </c>
      <c r="AV625" s="9" t="b">
        <f t="shared" si="85"/>
        <v>0</v>
      </c>
      <c r="AW625" s="9" t="b">
        <f t="shared" si="86"/>
        <v>0</v>
      </c>
      <c r="AX625" s="9" t="str">
        <f t="shared" si="87"/>
        <v>Yes</v>
      </c>
      <c r="AY625" s="9" t="str">
        <f t="shared" si="91"/>
        <v/>
      </c>
      <c r="AZ625" s="9" t="str">
        <f>IF(OR(G625="Missing date",G625="Invalid date",G625="Ship date before order date",NOT(ISNUMBER(AP625)),AP625&lt;0,AP625&gt;0.5,AV625=TRUE,AW625=TRUE),"Invalid",IF(OR(O625="Unknown",Z625="Unknown",AC625="",AH625&lt;&gt;"Paid",AJ625&lt;&gt;"Completed",AO625&lt;&gt;""),"Warning","Clean"))</f>
        <v>Clean</v>
      </c>
    </row>
    <row r="626" spans="1:52" ht="15.75" customHeight="1">
      <c r="A626" s="6" t="s">
        <v>3059</v>
      </c>
      <c r="B626" s="7" t="s">
        <v>3060</v>
      </c>
      <c r="C626" s="7" t="str">
        <f t="shared" si="90"/>
        <v>2024-01</v>
      </c>
      <c r="D626" s="7" cm="1">
        <f t="array" ref="D626">_xlfn.LET(_xlpm.x,B626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45321</v>
      </c>
      <c r="E626" s="7" t="s">
        <v>3061</v>
      </c>
      <c r="F626" s="7" cm="1">
        <f t="array" ref="F626">_xlfn.LET(_xlpm.x,E626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45323</v>
      </c>
      <c r="G626" s="8" t="str">
        <f t="shared" si="64"/>
        <v>OK</v>
      </c>
      <c r="H626" s="6">
        <f t="shared" si="65"/>
        <v>2</v>
      </c>
      <c r="I626" s="6" t="s">
        <v>3062</v>
      </c>
      <c r="J626" s="6" t="s">
        <v>177</v>
      </c>
      <c r="K626" s="6" t="str">
        <f t="shared" si="66"/>
        <v>Neha Gupta</v>
      </c>
      <c r="L626" s="6" t="s">
        <v>44</v>
      </c>
      <c r="M626" s="8" t="str">
        <f t="shared" si="67"/>
        <v>Home Office</v>
      </c>
      <c r="N626" s="6" t="s">
        <v>8</v>
      </c>
      <c r="O626" s="6" t="str">
        <f t="shared" si="68"/>
        <v>East</v>
      </c>
      <c r="P626" s="6" t="s">
        <v>290</v>
      </c>
      <c r="Q626" s="6" t="str">
        <f t="shared" si="69"/>
        <v>Assam</v>
      </c>
      <c r="R626" s="6" t="s">
        <v>291</v>
      </c>
      <c r="S626" s="6" t="str">
        <f t="shared" si="70"/>
        <v>Guwahati</v>
      </c>
      <c r="T626" s="6" t="s">
        <v>14</v>
      </c>
      <c r="U626" s="8" t="str">
        <f t="shared" si="71"/>
        <v>Furniture</v>
      </c>
      <c r="V626" s="6" t="s">
        <v>16</v>
      </c>
      <c r="W626" s="6" t="str">
        <f t="shared" si="72"/>
        <v>Chairs</v>
      </c>
      <c r="X626" s="6" t="s">
        <v>3063</v>
      </c>
      <c r="Y626" s="6" t="s">
        <v>35</v>
      </c>
      <c r="Z626" s="6" t="str">
        <f t="shared" si="73"/>
        <v>First Class</v>
      </c>
      <c r="AA626" s="6">
        <v>2</v>
      </c>
      <c r="AB626" s="6">
        <v>4451.03</v>
      </c>
      <c r="AC626" s="6">
        <v>0.05</v>
      </c>
      <c r="AD626" s="6">
        <v>8456.9599999999991</v>
      </c>
      <c r="AE626" s="6">
        <v>5462.85</v>
      </c>
      <c r="AF626" s="6">
        <v>2994.11</v>
      </c>
      <c r="AG626" s="6" t="s">
        <v>52</v>
      </c>
      <c r="AH626" s="6" t="str">
        <f t="shared" si="74"/>
        <v>Paid</v>
      </c>
      <c r="AI626" s="6" t="s">
        <v>134</v>
      </c>
      <c r="AJ626" s="6" t="str">
        <f t="shared" si="75"/>
        <v>Completed</v>
      </c>
      <c r="AK626" s="9" t="str">
        <f>_xlfn.TEXTJOIN("|",FALSE,A626,TEXT(B626,"mm-dd-yyyy"),TEXT(E626,"mm-dd-yyyy"),I626,J626,L626,N626,P626,R626,T626,V626,X626,Y626,AA626,AB626,AC626,AD626,AE626,AF626,AG626,AI626)</f>
        <v>ORD-2024-10625|01-30-2024|02-01-2024|CUST-5070|Neha Gupta|Home Office|East|Assam|Guwahati|Furniture|Chairs|Prime Chairs 765|First Class|2|4451.03|0.05|8456.96|5462.85|2994.11|Paid|Completed</v>
      </c>
      <c r="AL626" s="27" t="str">
        <f>IF(COUNTIF($AK$2:AK626,AK626)&gt;1,"Remove exact duplicate copy","Keep")</f>
        <v>Keep</v>
      </c>
      <c r="AM626" s="9">
        <f t="shared" si="76"/>
        <v>1</v>
      </c>
      <c r="AN626" s="9" t="str">
        <f t="shared" si="77"/>
        <v>Unique</v>
      </c>
      <c r="AO626" s="9" t="str">
        <f t="shared" si="78"/>
        <v/>
      </c>
      <c r="AP626" s="9">
        <f t="shared" si="79"/>
        <v>0.05</v>
      </c>
      <c r="AQ626" s="10">
        <f t="shared" si="80"/>
        <v>8456.9569999999985</v>
      </c>
      <c r="AR626" s="10">
        <f t="shared" si="81"/>
        <v>2994.1069999999982</v>
      </c>
      <c r="AS626" s="11">
        <f t="shared" si="82"/>
        <v>0.35404070282017502</v>
      </c>
      <c r="AT626" s="9">
        <f t="shared" si="83"/>
        <v>1</v>
      </c>
      <c r="AU626" s="9">
        <f t="shared" si="84"/>
        <v>2024</v>
      </c>
      <c r="AV626" s="9" t="b">
        <f t="shared" si="85"/>
        <v>0</v>
      </c>
      <c r="AW626" s="9" t="b">
        <f t="shared" si="86"/>
        <v>0</v>
      </c>
      <c r="AX626" s="9" t="str">
        <f t="shared" si="87"/>
        <v>Yes</v>
      </c>
      <c r="AY626" s="9" t="str">
        <f t="shared" si="91"/>
        <v/>
      </c>
      <c r="AZ626" s="9" t="str">
        <f>IF(OR(G626="Missing date",G626="Invalid date",G626="Ship date before order date",NOT(ISNUMBER(AP626)),AP626&lt;0,AP626&gt;0.5,AV626=TRUE,AW626=TRUE),"Invalid",IF(OR(O626="Unknown",Z626="Unknown",AC626="",AH626&lt;&gt;"Paid",AJ626&lt;&gt;"Completed",AO626&lt;&gt;""),"Warning","Clean"))</f>
        <v>Clean</v>
      </c>
    </row>
    <row r="627" spans="1:52" ht="15.75" customHeight="1">
      <c r="A627" s="6" t="s">
        <v>3064</v>
      </c>
      <c r="B627" s="7" t="s">
        <v>3065</v>
      </c>
      <c r="C627" s="7" t="str">
        <f t="shared" si="90"/>
        <v>2024-12</v>
      </c>
      <c r="D627" s="7" cm="1">
        <f t="array" ref="D627">_xlfn.LET(_xlpm.x,B627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45641</v>
      </c>
      <c r="E627" s="7" t="s">
        <v>1490</v>
      </c>
      <c r="F627" s="7" cm="1">
        <f t="array" ref="F627">_xlfn.LET(_xlpm.x,E627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45647</v>
      </c>
      <c r="G627" s="8" t="str">
        <f t="shared" si="64"/>
        <v>OK</v>
      </c>
      <c r="H627" s="6">
        <f t="shared" si="65"/>
        <v>6</v>
      </c>
      <c r="I627" s="6" t="s">
        <v>3066</v>
      </c>
      <c r="J627" s="6" t="s">
        <v>284</v>
      </c>
      <c r="K627" s="6" t="str">
        <f t="shared" si="66"/>
        <v>Diya Patel</v>
      </c>
      <c r="L627" s="6" t="s">
        <v>45</v>
      </c>
      <c r="M627" s="8" t="str">
        <f t="shared" si="67"/>
        <v>Corporate</v>
      </c>
      <c r="N627" s="6" t="s">
        <v>9</v>
      </c>
      <c r="O627" s="6" t="str">
        <f t="shared" si="68"/>
        <v>West</v>
      </c>
      <c r="P627" s="6" t="s">
        <v>131</v>
      </c>
      <c r="Q627" s="6" t="str">
        <f t="shared" si="69"/>
        <v>Rajasthan</v>
      </c>
      <c r="R627" s="6" t="s">
        <v>214</v>
      </c>
      <c r="S627" s="6" t="str">
        <f t="shared" si="70"/>
        <v>Udaipur</v>
      </c>
      <c r="T627" s="6" t="s">
        <v>14</v>
      </c>
      <c r="U627" s="8" t="str">
        <f t="shared" si="71"/>
        <v>Furniture</v>
      </c>
      <c r="V627" s="6" t="s">
        <v>16</v>
      </c>
      <c r="W627" s="6" t="str">
        <f t="shared" si="72"/>
        <v>Chairs</v>
      </c>
      <c r="X627" s="6" t="s">
        <v>3067</v>
      </c>
      <c r="Y627" s="6" t="s">
        <v>37</v>
      </c>
      <c r="Z627" s="6" t="str">
        <f t="shared" si="73"/>
        <v>Same Day</v>
      </c>
      <c r="AA627" s="6">
        <v>3</v>
      </c>
      <c r="AB627" s="6">
        <v>527.66999999999996</v>
      </c>
      <c r="AC627" s="6">
        <v>0.2</v>
      </c>
      <c r="AD627" s="6">
        <v>1266.4100000000001</v>
      </c>
      <c r="AE627" s="6">
        <v>983.92</v>
      </c>
      <c r="AF627" s="6">
        <v>282.49</v>
      </c>
      <c r="AG627" s="6" t="s">
        <v>52</v>
      </c>
      <c r="AH627" s="6" t="str">
        <f t="shared" si="74"/>
        <v>Paid</v>
      </c>
      <c r="AI627" s="6" t="s">
        <v>134</v>
      </c>
      <c r="AJ627" s="6" t="str">
        <f t="shared" si="75"/>
        <v>Completed</v>
      </c>
      <c r="AK627" s="9" t="str">
        <f>_xlfn.TEXTJOIN("|",FALSE,A627,TEXT(B627,"mm-dd-yyyy"),TEXT(E627,"mm-dd-yyyy"),I627,J627,L627,N627,P627,R627,T627,V627,X627,Y627,AA627,AB627,AC627,AD627,AE627,AF627,AG627,AI627)</f>
        <v>ORD-2024-10626|12-15-2024|12-21-2024|CUST-7946|Diya Patel|Corporate|West|Rajasthan|Udaipur|Furniture|Chairs|Elite Chairs 358|Same Day|3|527.67|0.2|1266.41|983.92|282.49|Paid|Completed</v>
      </c>
      <c r="AL627" s="27" t="str">
        <f>IF(COUNTIF($AK$2:AK627,AK627)&gt;1,"Remove exact duplicate copy","Keep")</f>
        <v>Keep</v>
      </c>
      <c r="AM627" s="9">
        <f t="shared" si="76"/>
        <v>1</v>
      </c>
      <c r="AN627" s="9" t="str">
        <f t="shared" si="77"/>
        <v>Unique</v>
      </c>
      <c r="AO627" s="9" t="str">
        <f t="shared" si="78"/>
        <v/>
      </c>
      <c r="AP627" s="9">
        <f t="shared" si="79"/>
        <v>0.2</v>
      </c>
      <c r="AQ627" s="10">
        <f t="shared" si="80"/>
        <v>1266.4079999999999</v>
      </c>
      <c r="AR627" s="10">
        <f t="shared" si="81"/>
        <v>282.48799999999994</v>
      </c>
      <c r="AS627" s="11">
        <f t="shared" si="82"/>
        <v>0.22306239379410109</v>
      </c>
      <c r="AT627" s="9">
        <f t="shared" si="83"/>
        <v>12</v>
      </c>
      <c r="AU627" s="9">
        <f t="shared" si="84"/>
        <v>2024</v>
      </c>
      <c r="AV627" s="9" t="b">
        <f t="shared" si="85"/>
        <v>0</v>
      </c>
      <c r="AW627" s="9" t="b">
        <f t="shared" si="86"/>
        <v>0</v>
      </c>
      <c r="AX627" s="9" t="str">
        <f t="shared" si="87"/>
        <v>Yes</v>
      </c>
      <c r="AY627" s="9" t="str">
        <f t="shared" si="91"/>
        <v/>
      </c>
      <c r="AZ627" s="9" t="str">
        <f>IF(OR(G627="Missing date",G627="Invalid date",G627="Ship date before order date",NOT(ISNUMBER(AP627)),AP627&lt;0,AP627&gt;0.5,AV627=TRUE,AW627=TRUE),"Invalid",IF(OR(O627="Unknown",Z627="Unknown",AC627="",AH627&lt;&gt;"Paid",AJ627&lt;&gt;"Completed",AO627&lt;&gt;""),"Warning","Clean"))</f>
        <v>Clean</v>
      </c>
    </row>
    <row r="628" spans="1:52" ht="15.75" customHeight="1">
      <c r="A628" s="6" t="s">
        <v>3068</v>
      </c>
      <c r="B628" s="7" t="s">
        <v>1475</v>
      </c>
      <c r="C628" s="7" t="str">
        <f t="shared" si="90"/>
        <v>2025-06</v>
      </c>
      <c r="D628" s="7" cm="1">
        <f t="array" ref="D628">_xlfn.LET(_xlpm.x,B628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E628" s="7" t="s">
        <v>3069</v>
      </c>
      <c r="F628" s="7" cm="1">
        <f t="array" ref="F628">_xlfn.LET(_xlpm.x,E628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45815</v>
      </c>
      <c r="G628" s="8" t="str">
        <f t="shared" si="64"/>
        <v>OK</v>
      </c>
      <c r="H628" s="6">
        <f t="shared" si="65"/>
        <v>3</v>
      </c>
      <c r="I628" s="6" t="s">
        <v>3070</v>
      </c>
      <c r="J628" s="6" t="s">
        <v>245</v>
      </c>
      <c r="K628" s="6" t="str">
        <f t="shared" si="66"/>
        <v>Sneha Kapoor</v>
      </c>
      <c r="L628" s="6" t="s">
        <v>44</v>
      </c>
      <c r="M628" s="8" t="str">
        <f t="shared" si="67"/>
        <v>Home Office</v>
      </c>
      <c r="N628" s="6" t="s">
        <v>8</v>
      </c>
      <c r="O628" s="6" t="str">
        <f t="shared" si="68"/>
        <v>East</v>
      </c>
      <c r="P628" s="6" t="s">
        <v>290</v>
      </c>
      <c r="Q628" s="6" t="str">
        <f t="shared" si="69"/>
        <v>Assam</v>
      </c>
      <c r="R628" s="6" t="s">
        <v>291</v>
      </c>
      <c r="S628" s="6" t="str">
        <f t="shared" si="70"/>
        <v>Guwahati</v>
      </c>
      <c r="T628" s="6" t="s">
        <v>3071</v>
      </c>
      <c r="U628" s="8" t="str">
        <f t="shared" si="71"/>
        <v>Technology</v>
      </c>
      <c r="V628" s="6" t="s">
        <v>30</v>
      </c>
      <c r="W628" s="6" t="str">
        <f t="shared" si="72"/>
        <v>Machines</v>
      </c>
      <c r="X628" s="6" t="s">
        <v>3072</v>
      </c>
      <c r="Y628" s="6" t="s">
        <v>34</v>
      </c>
      <c r="Z628" s="6" t="str">
        <f t="shared" si="73"/>
        <v>Standard Class</v>
      </c>
      <c r="AA628" s="6">
        <v>8</v>
      </c>
      <c r="AB628" s="6">
        <v>1434.13</v>
      </c>
      <c r="AC628" s="6">
        <v>0</v>
      </c>
      <c r="AD628" s="6">
        <v>11473.04</v>
      </c>
      <c r="AE628" s="6">
        <v>8931.33</v>
      </c>
      <c r="AF628" s="6">
        <v>2541.71</v>
      </c>
      <c r="AG628" s="6" t="s">
        <v>54</v>
      </c>
      <c r="AH628" s="6" t="str">
        <f t="shared" si="74"/>
        <v>Pending</v>
      </c>
      <c r="AI628" s="6" t="s">
        <v>59</v>
      </c>
      <c r="AJ628" s="6" t="str">
        <f t="shared" si="75"/>
        <v>Returned</v>
      </c>
      <c r="AK628" s="9" t="str">
        <f>_xlfn.TEXTJOIN("|",FALSE,A628,TEXT(B628,"mm-dd-yyyy"),TEXT(E628,"mm-dd-yyyy"),I628,J628,L628,N628,P628,R628,T628,V628,X628,Y628,AA628,AB628,AC628,AD628,AE628,AF628,AG628,AI628)</f>
        <v>ORD-2025-10627|04-06-2025|06-07-2025|CUST-1793|Sneha Kapoor|Home Office|East|Assam|Guwahati|  Technology |Machines|Elite Machines 971|Standard Class|8|1434.13|0|11473.04|8931.33|2541.71|Pending|Returned</v>
      </c>
      <c r="AL628" s="27" t="str">
        <f>IF(COUNTIF($AK$2:AK628,AK628)&gt;1,"Remove exact duplicate copy","Keep")</f>
        <v>Keep</v>
      </c>
      <c r="AM628" s="9">
        <f t="shared" si="76"/>
        <v>1</v>
      </c>
      <c r="AN628" s="9" t="str">
        <f t="shared" si="77"/>
        <v>Unique</v>
      </c>
      <c r="AO628" s="9" t="str">
        <f t="shared" si="78"/>
        <v/>
      </c>
      <c r="AP628" s="9">
        <f t="shared" si="79"/>
        <v>0</v>
      </c>
      <c r="AQ628" s="10">
        <f t="shared" si="80"/>
        <v>11473.04</v>
      </c>
      <c r="AR628" s="10">
        <f t="shared" si="81"/>
        <v>2541.7100000000009</v>
      </c>
      <c r="AS628" s="11">
        <f t="shared" si="82"/>
        <v>0.22153762211236086</v>
      </c>
      <c r="AT628" s="9">
        <f t="shared" si="83"/>
        <v>6</v>
      </c>
      <c r="AU628" s="9">
        <f t="shared" si="84"/>
        <v>2025</v>
      </c>
      <c r="AV628" s="9" t="b">
        <f t="shared" si="85"/>
        <v>0</v>
      </c>
      <c r="AW628" s="9" t="b">
        <f t="shared" si="86"/>
        <v>0</v>
      </c>
      <c r="AX628" s="9" t="str">
        <f t="shared" si="87"/>
        <v>No</v>
      </c>
      <c r="AY628" s="9" t="str">
        <f t="shared" si="91"/>
        <v>Returned order excluded</v>
      </c>
      <c r="AZ628" s="9" t="str">
        <f>IF(OR(G628="Missing date",G628="Invalid date",G628="Ship date before order date",NOT(ISNUMBER(AP628)),AP628&lt;0,AP628&gt;0.5,AV628=TRUE,AW628=TRUE),"Invalid",IF(OR(O628="Unknown",Z628="Unknown",AC628="",AH628&lt;&gt;"Paid",AJ628&lt;&gt;"Completed",AO628&lt;&gt;""),"Warning","Clean"))</f>
        <v>Warning</v>
      </c>
    </row>
    <row r="629" spans="1:52" ht="15.75" customHeight="1">
      <c r="A629" s="6" t="s">
        <v>3073</v>
      </c>
      <c r="B629" s="7" t="s">
        <v>1500</v>
      </c>
      <c r="C629" s="7" t="str">
        <f t="shared" si="90"/>
        <v>2025-02</v>
      </c>
      <c r="D629" s="7" cm="1">
        <f t="array" ref="D629">_xlfn.LET(_xlpm.x,B629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45701</v>
      </c>
      <c r="E629" s="7" t="s">
        <v>1862</v>
      </c>
      <c r="F629" s="7" cm="1">
        <f t="array" ref="F629">_xlfn.LET(_xlpm.x,E629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45709</v>
      </c>
      <c r="G629" s="8" t="str">
        <f t="shared" si="64"/>
        <v>OK</v>
      </c>
      <c r="H629" s="6">
        <f t="shared" si="65"/>
        <v>8</v>
      </c>
      <c r="I629" s="6" t="s">
        <v>3074</v>
      </c>
      <c r="J629" s="6" t="s">
        <v>129</v>
      </c>
      <c r="K629" s="6" t="str">
        <f t="shared" si="66"/>
        <v>Karan Malhotra</v>
      </c>
      <c r="L629" s="6" t="s">
        <v>46</v>
      </c>
      <c r="M629" s="8" t="str">
        <f t="shared" si="67"/>
        <v>Small Business</v>
      </c>
      <c r="N629" s="6" t="s">
        <v>10</v>
      </c>
      <c r="O629" s="6" t="str">
        <f t="shared" si="68"/>
        <v>South</v>
      </c>
      <c r="P629" s="6" t="s">
        <v>316</v>
      </c>
      <c r="Q629" s="6" t="str">
        <f t="shared" si="69"/>
        <v>Kerala</v>
      </c>
      <c r="R629" s="6" t="s">
        <v>317</v>
      </c>
      <c r="S629" s="6" t="str">
        <f t="shared" si="70"/>
        <v>Kochi</v>
      </c>
      <c r="T629" s="6" t="s">
        <v>27</v>
      </c>
      <c r="U629" s="8" t="str">
        <f t="shared" si="71"/>
        <v>Technology</v>
      </c>
      <c r="V629" s="6" t="s">
        <v>31</v>
      </c>
      <c r="W629" s="6" t="str">
        <f t="shared" si="72"/>
        <v>Phones</v>
      </c>
      <c r="X629" s="6" t="s">
        <v>3075</v>
      </c>
      <c r="Y629" s="6" t="s">
        <v>36</v>
      </c>
      <c r="Z629" s="6" t="str">
        <f t="shared" si="73"/>
        <v>Second Class</v>
      </c>
      <c r="AA629" s="6">
        <v>2</v>
      </c>
      <c r="AB629" s="6">
        <v>2360.02</v>
      </c>
      <c r="AC629" s="6">
        <v>0.15</v>
      </c>
      <c r="AD629" s="6">
        <v>4012.03</v>
      </c>
      <c r="AE629" s="6">
        <v>3142.92</v>
      </c>
      <c r="AF629" s="6">
        <v>869.11</v>
      </c>
      <c r="AG629" s="6" t="s">
        <v>54</v>
      </c>
      <c r="AH629" s="6" t="str">
        <f t="shared" si="74"/>
        <v>Pending</v>
      </c>
      <c r="AI629" s="6" t="s">
        <v>58</v>
      </c>
      <c r="AJ629" s="6" t="str">
        <f t="shared" si="75"/>
        <v>Cancelled</v>
      </c>
      <c r="AK629" s="9" t="str">
        <f>_xlfn.TEXTJOIN("|",FALSE,A629,TEXT(B629,"mm-dd-yyyy"),TEXT(E629,"mm-dd-yyyy"),I629,J629,L629,N629,P629,R629,T629,V629,X629,Y629,AA629,AB629,AC629,AD629,AE629,AF629,AG629,AI629)</f>
        <v>ORD-2025-10628|02-13-2025|21-02-2025|CUST-8839|Karan Malhotra|Small Business|South|Kerala|Kochi|Technology|Phones|Max Phones 825|Second Class|2|2360.02|0.15|4012.03|3142.92|869.11|Pending|Cancelled</v>
      </c>
      <c r="AL629" s="27" t="str">
        <f>IF(COUNTIF($AK$2:AK629,AK629)&gt;1,"Remove exact duplicate copy","Keep")</f>
        <v>Keep</v>
      </c>
      <c r="AM629" s="9">
        <f t="shared" si="76"/>
        <v>1</v>
      </c>
      <c r="AN629" s="9" t="str">
        <f t="shared" si="77"/>
        <v>Unique</v>
      </c>
      <c r="AO629" s="9" t="str">
        <f t="shared" si="78"/>
        <v/>
      </c>
      <c r="AP629" s="9">
        <f t="shared" si="79"/>
        <v>0.15</v>
      </c>
      <c r="AQ629" s="10">
        <f t="shared" si="80"/>
        <v>4012.0339999999997</v>
      </c>
      <c r="AR629" s="10">
        <f t="shared" si="81"/>
        <v>869.11399999999958</v>
      </c>
      <c r="AS629" s="11">
        <f t="shared" si="82"/>
        <v>0.21662677833737193</v>
      </c>
      <c r="AT629" s="9">
        <f t="shared" si="83"/>
        <v>2</v>
      </c>
      <c r="AU629" s="9">
        <f t="shared" si="84"/>
        <v>2025</v>
      </c>
      <c r="AV629" s="9" t="b">
        <f t="shared" si="85"/>
        <v>0</v>
      </c>
      <c r="AW629" s="9" t="b">
        <f t="shared" si="86"/>
        <v>0</v>
      </c>
      <c r="AX629" s="9" t="str">
        <f t="shared" si="87"/>
        <v>No</v>
      </c>
      <c r="AY629" s="9" t="str">
        <f t="shared" si="91"/>
        <v>Cancelled order excluded</v>
      </c>
      <c r="AZ629" s="9" t="str">
        <f>IF(OR(G629="Missing date",G629="Invalid date",G629="Ship date before order date",NOT(ISNUMBER(AP629)),AP629&lt;0,AP629&gt;0.5,AV629=TRUE,AW629=TRUE),"Invalid",IF(OR(O629="Unknown",Z629="Unknown",AC629="",AH629&lt;&gt;"Paid",AJ629&lt;&gt;"Completed",AO629&lt;&gt;""),"Warning","Clean"))</f>
        <v>Warning</v>
      </c>
    </row>
    <row r="630" spans="1:52" ht="15.75" customHeight="1">
      <c r="A630" s="6" t="s">
        <v>3076</v>
      </c>
      <c r="B630" s="7" t="s">
        <v>2646</v>
      </c>
      <c r="C630" s="7" t="str">
        <f t="shared" si="90"/>
        <v>2025-10</v>
      </c>
      <c r="D630" s="7" cm="1">
        <f t="array" ref="D630">_xlfn.LET(_xlpm.x,B630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45935</v>
      </c>
      <c r="E630" s="7" t="s">
        <v>3077</v>
      </c>
      <c r="F630" s="7" cm="1">
        <f t="array" ref="F630">_xlfn.LET(_xlpm.x,E630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45942</v>
      </c>
      <c r="G630" s="8" t="str">
        <f t="shared" si="64"/>
        <v>OK</v>
      </c>
      <c r="H630" s="6">
        <f t="shared" si="65"/>
        <v>7</v>
      </c>
      <c r="I630" s="6" t="s">
        <v>3078</v>
      </c>
      <c r="J630" s="6" t="s">
        <v>161</v>
      </c>
      <c r="K630" s="6" t="str">
        <f t="shared" si="66"/>
        <v>Ananya Rao</v>
      </c>
      <c r="L630" s="6" t="s">
        <v>44</v>
      </c>
      <c r="M630" s="8" t="str">
        <f t="shared" si="67"/>
        <v>Home Office</v>
      </c>
      <c r="N630" s="6" t="s">
        <v>8</v>
      </c>
      <c r="O630" s="6" t="str">
        <f t="shared" si="68"/>
        <v>East</v>
      </c>
      <c r="P630" s="6" t="s">
        <v>385</v>
      </c>
      <c r="Q630" s="6" t="str">
        <f t="shared" si="69"/>
        <v>Jharkhand</v>
      </c>
      <c r="R630" s="6" t="s">
        <v>386</v>
      </c>
      <c r="S630" s="6" t="str">
        <f t="shared" si="70"/>
        <v>Ranchi</v>
      </c>
      <c r="T630" s="6" t="s">
        <v>27</v>
      </c>
      <c r="U630" s="8" t="str">
        <f t="shared" si="71"/>
        <v>Technology</v>
      </c>
      <c r="V630" s="6" t="s">
        <v>28</v>
      </c>
      <c r="W630" s="6" t="str">
        <f t="shared" si="72"/>
        <v>Accessories</v>
      </c>
      <c r="X630" s="6" t="s">
        <v>3079</v>
      </c>
      <c r="Y630" s="6" t="s">
        <v>37</v>
      </c>
      <c r="Z630" s="6" t="str">
        <f t="shared" si="73"/>
        <v>Same Day</v>
      </c>
      <c r="AA630" s="6">
        <v>7</v>
      </c>
      <c r="AB630" s="6">
        <v>806.67</v>
      </c>
      <c r="AC630" s="6">
        <v>0.05</v>
      </c>
      <c r="AD630" s="6">
        <v>5364.36</v>
      </c>
      <c r="AE630" s="6">
        <v>4391.29</v>
      </c>
      <c r="AF630" s="6">
        <v>973.07</v>
      </c>
      <c r="AG630" s="6" t="s">
        <v>52</v>
      </c>
      <c r="AH630" s="6" t="str">
        <f t="shared" si="74"/>
        <v>Paid</v>
      </c>
      <c r="AI630" s="6" t="s">
        <v>134</v>
      </c>
      <c r="AJ630" s="6" t="str">
        <f t="shared" si="75"/>
        <v>Completed</v>
      </c>
      <c r="AK630" s="9" t="str">
        <f>_xlfn.TEXTJOIN("|",FALSE,A630,TEXT(B630,"mm-dd-yyyy"),TEXT(E630,"mm-dd-yyyy"),I630,J630,L630,N630,P630,R630,T630,V630,X630,Y630,AA630,AB630,AC630,AD630,AE630,AF630,AG630,AI630)</f>
        <v>ORD-2025-10629|10-05-2025|10-12-2025|CUST-6725|Ananya Rao|Home Office|East|Jharkhand|Ranchi|Technology|Accessories|Eco Accessories 933|Same Day|7|806.67|0.05|5364.36|4391.29|973.07|Paid|Completed</v>
      </c>
      <c r="AL630" s="27" t="str">
        <f>IF(COUNTIF($AK$2:AK630,AK630)&gt;1,"Remove exact duplicate copy","Keep")</f>
        <v>Keep</v>
      </c>
      <c r="AM630" s="9">
        <f t="shared" si="76"/>
        <v>1</v>
      </c>
      <c r="AN630" s="9" t="str">
        <f t="shared" si="77"/>
        <v>Unique</v>
      </c>
      <c r="AO630" s="9" t="str">
        <f t="shared" si="78"/>
        <v/>
      </c>
      <c r="AP630" s="9">
        <f t="shared" si="79"/>
        <v>0.05</v>
      </c>
      <c r="AQ630" s="10">
        <f t="shared" si="80"/>
        <v>5364.3554999999997</v>
      </c>
      <c r="AR630" s="10">
        <f t="shared" si="81"/>
        <v>973.0654999999997</v>
      </c>
      <c r="AS630" s="11">
        <f t="shared" si="82"/>
        <v>0.18139467080434915</v>
      </c>
      <c r="AT630" s="9">
        <f t="shared" si="83"/>
        <v>10</v>
      </c>
      <c r="AU630" s="9">
        <f t="shared" si="84"/>
        <v>2025</v>
      </c>
      <c r="AV630" s="9" t="b">
        <f t="shared" si="85"/>
        <v>0</v>
      </c>
      <c r="AW630" s="9" t="b">
        <f t="shared" si="86"/>
        <v>0</v>
      </c>
      <c r="AX630" s="9" t="str">
        <f t="shared" si="87"/>
        <v>Yes</v>
      </c>
      <c r="AY630" s="9" t="str">
        <f t="shared" si="91"/>
        <v/>
      </c>
      <c r="AZ630" s="9" t="str">
        <f>IF(OR(G630="Missing date",G630="Invalid date",G630="Ship date before order date",NOT(ISNUMBER(AP630)),AP630&lt;0,AP630&gt;0.5,AV630=TRUE,AW630=TRUE),"Invalid",IF(OR(O630="Unknown",Z630="Unknown",AC630="",AH630&lt;&gt;"Paid",AJ630&lt;&gt;"Completed",AO630&lt;&gt;""),"Warning","Clean"))</f>
        <v>Clean</v>
      </c>
    </row>
    <row r="631" spans="1:52" ht="15.75" customHeight="1">
      <c r="A631" s="6" t="s">
        <v>3080</v>
      </c>
      <c r="B631" s="7" t="s">
        <v>651</v>
      </c>
      <c r="C631" s="7" t="str">
        <f t="shared" si="90"/>
        <v>2025-09</v>
      </c>
      <c r="D631" s="7" cm="1">
        <f t="array" ref="D631">_xlfn.LET(_xlpm.x,B631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45910</v>
      </c>
      <c r="E631" s="7" t="s">
        <v>3081</v>
      </c>
      <c r="F631" s="7" cm="1">
        <f t="array" ref="F631">_xlfn.LET(_xlpm.x,E631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45914</v>
      </c>
      <c r="G631" s="8" t="str">
        <f t="shared" si="64"/>
        <v>OK</v>
      </c>
      <c r="H631" s="6">
        <f t="shared" si="65"/>
        <v>4</v>
      </c>
      <c r="I631" s="6" t="s">
        <v>3082</v>
      </c>
      <c r="J631" s="6" t="s">
        <v>153</v>
      </c>
      <c r="K631" s="6" t="str">
        <f t="shared" si="66"/>
        <v>Arjun Bose</v>
      </c>
      <c r="L631" s="6" t="s">
        <v>44</v>
      </c>
      <c r="M631" s="8" t="str">
        <f t="shared" si="67"/>
        <v>Home Office</v>
      </c>
      <c r="N631" s="6" t="s">
        <v>9</v>
      </c>
      <c r="O631" s="6" t="str">
        <f t="shared" si="68"/>
        <v>West</v>
      </c>
      <c r="P631" s="6" t="s">
        <v>309</v>
      </c>
      <c r="Q631" s="6" t="str">
        <f t="shared" si="69"/>
        <v>Gujarat</v>
      </c>
      <c r="R631" s="6" t="s">
        <v>310</v>
      </c>
      <c r="S631" s="6" t="str">
        <f t="shared" si="70"/>
        <v>Ahmedabad</v>
      </c>
      <c r="T631" s="6" t="s">
        <v>14</v>
      </c>
      <c r="U631" s="8" t="str">
        <f t="shared" si="71"/>
        <v>Furniture</v>
      </c>
      <c r="V631" s="6" t="s">
        <v>18</v>
      </c>
      <c r="W631" s="6" t="str">
        <f t="shared" si="72"/>
        <v>Tables</v>
      </c>
      <c r="X631" s="6" t="s">
        <v>3083</v>
      </c>
      <c r="Y631" s="6" t="s">
        <v>37</v>
      </c>
      <c r="Z631" s="6" t="str">
        <f t="shared" si="73"/>
        <v>Same Day</v>
      </c>
      <c r="AA631" s="6">
        <v>3</v>
      </c>
      <c r="AB631" s="6">
        <v>4198.46</v>
      </c>
      <c r="AC631" s="6">
        <v>0.15</v>
      </c>
      <c r="AD631" s="6">
        <v>10706.07</v>
      </c>
      <c r="AE631" s="6">
        <v>5927.1</v>
      </c>
      <c r="AF631" s="6">
        <v>4778.97</v>
      </c>
      <c r="AG631" s="6" t="s">
        <v>52</v>
      </c>
      <c r="AH631" s="6" t="str">
        <f t="shared" si="74"/>
        <v>Paid</v>
      </c>
      <c r="AI631" s="6" t="s">
        <v>134</v>
      </c>
      <c r="AJ631" s="6" t="str">
        <f t="shared" si="75"/>
        <v>Completed</v>
      </c>
      <c r="AK631" s="9" t="str">
        <f>_xlfn.TEXTJOIN("|",FALSE,A631,TEXT(B631,"mm-dd-yyyy"),TEXT(E631,"mm-dd-yyyy"),I631,J631,L631,N631,P631,R631,T631,V631,X631,Y631,AA631,AB631,AC631,AD631,AE631,AF631,AG631,AI631)</f>
        <v>ORD-2025-10630|09-10-2025|09-14-2025|CUST-3793|Arjun Bose|Home Office|West|Gujarat|Ahmedabad|Furniture|Tables|Max Tables 908|Same Day|3|4198.46|0.15|10706.07|5927.1|4778.97|Paid|Completed</v>
      </c>
      <c r="AL631" s="27" t="str">
        <f>IF(COUNTIF($AK$2:AK631,AK631)&gt;1,"Remove exact duplicate copy","Keep")</f>
        <v>Keep</v>
      </c>
      <c r="AM631" s="9">
        <f t="shared" si="76"/>
        <v>1</v>
      </c>
      <c r="AN631" s="9" t="str">
        <f t="shared" si="77"/>
        <v>Unique</v>
      </c>
      <c r="AO631" s="9" t="str">
        <f t="shared" si="78"/>
        <v/>
      </c>
      <c r="AP631" s="9">
        <f t="shared" si="79"/>
        <v>0.15</v>
      </c>
      <c r="AQ631" s="10">
        <f t="shared" si="80"/>
        <v>10706.073</v>
      </c>
      <c r="AR631" s="10">
        <f t="shared" si="81"/>
        <v>4778.973</v>
      </c>
      <c r="AS631" s="11">
        <f t="shared" si="82"/>
        <v>0.44637963892082555</v>
      </c>
      <c r="AT631" s="9">
        <f t="shared" si="83"/>
        <v>9</v>
      </c>
      <c r="AU631" s="9">
        <f t="shared" si="84"/>
        <v>2025</v>
      </c>
      <c r="AV631" s="9" t="b">
        <f t="shared" si="85"/>
        <v>0</v>
      </c>
      <c r="AW631" s="9" t="b">
        <f t="shared" si="86"/>
        <v>0</v>
      </c>
      <c r="AX631" s="9" t="str">
        <f t="shared" si="87"/>
        <v>Yes</v>
      </c>
      <c r="AY631" s="9" t="str">
        <f t="shared" si="91"/>
        <v/>
      </c>
      <c r="AZ631" s="9" t="str">
        <f>IF(OR(G631="Missing date",G631="Invalid date",G631="Ship date before order date",NOT(ISNUMBER(AP631)),AP631&lt;0,AP631&gt;0.5,AV631=TRUE,AW631=TRUE),"Invalid",IF(OR(O631="Unknown",Z631="Unknown",AC631="",AH631&lt;&gt;"Paid",AJ631&lt;&gt;"Completed",AO631&lt;&gt;""),"Warning","Clean"))</f>
        <v>Clean</v>
      </c>
    </row>
    <row r="632" spans="1:52" ht="15.75" customHeight="1">
      <c r="A632" s="6" t="s">
        <v>3084</v>
      </c>
      <c r="B632" s="7" t="s">
        <v>2534</v>
      </c>
      <c r="C632" s="7" t="str">
        <f t="shared" si="90"/>
        <v>2024-04</v>
      </c>
      <c r="D632" s="7" cm="1">
        <f t="array" ref="D632">_xlfn.LET(_xlpm.x,B632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45391</v>
      </c>
      <c r="E632" s="7" t="s">
        <v>1584</v>
      </c>
      <c r="F632" s="7" cm="1">
        <f t="array" ref="F632">_xlfn.LET(_xlpm.x,E632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45392</v>
      </c>
      <c r="G632" s="8" t="str">
        <f t="shared" si="64"/>
        <v>OK</v>
      </c>
      <c r="H632" s="6">
        <f t="shared" si="65"/>
        <v>1</v>
      </c>
      <c r="I632" s="6" t="s">
        <v>3085</v>
      </c>
      <c r="J632" s="6" t="s">
        <v>220</v>
      </c>
      <c r="K632" s="6" t="str">
        <f t="shared" si="66"/>
        <v>Priya Menon</v>
      </c>
      <c r="L632" s="6" t="s">
        <v>45</v>
      </c>
      <c r="M632" s="8" t="str">
        <f t="shared" si="67"/>
        <v>Corporate</v>
      </c>
      <c r="N632" s="6" t="s">
        <v>8</v>
      </c>
      <c r="O632" s="6" t="str">
        <f t="shared" si="68"/>
        <v>East</v>
      </c>
      <c r="P632" s="6" t="s">
        <v>290</v>
      </c>
      <c r="Q632" s="6" t="str">
        <f t="shared" si="69"/>
        <v>Assam</v>
      </c>
      <c r="R632" s="6" t="s">
        <v>291</v>
      </c>
      <c r="S632" s="6" t="str">
        <f t="shared" si="70"/>
        <v>Guwahati</v>
      </c>
      <c r="T632" s="6" t="s">
        <v>20</v>
      </c>
      <c r="U632" s="8" t="str">
        <f t="shared" si="71"/>
        <v>Office Supplies</v>
      </c>
      <c r="V632" s="6" t="s">
        <v>24</v>
      </c>
      <c r="W632" s="6" t="str">
        <f t="shared" si="72"/>
        <v>Paper</v>
      </c>
      <c r="X632" s="6" t="s">
        <v>3086</v>
      </c>
      <c r="Y632" s="6" t="s">
        <v>34</v>
      </c>
      <c r="Z632" s="6" t="str">
        <f t="shared" si="73"/>
        <v>Standard Class</v>
      </c>
      <c r="AA632" s="6">
        <v>4</v>
      </c>
      <c r="AB632" s="6">
        <v>3047.05</v>
      </c>
      <c r="AC632" s="6">
        <v>0.1</v>
      </c>
      <c r="AD632" s="6">
        <v>10969.38</v>
      </c>
      <c r="AE632" s="6">
        <v>9254.4599999999991</v>
      </c>
      <c r="AF632" s="6">
        <v>1714.92</v>
      </c>
      <c r="AG632" s="6" t="s">
        <v>52</v>
      </c>
      <c r="AH632" s="6" t="str">
        <f t="shared" si="74"/>
        <v>Paid</v>
      </c>
      <c r="AI632" s="6" t="s">
        <v>134</v>
      </c>
      <c r="AJ632" s="6" t="str">
        <f t="shared" si="75"/>
        <v>Completed</v>
      </c>
      <c r="AK632" s="9" t="str">
        <f>_xlfn.TEXTJOIN("|",FALSE,A632,TEXT(B632,"mm-dd-yyyy"),TEXT(E632,"mm-dd-yyyy"),I632,J632,L632,N632,P632,R632,T632,V632,X632,Y632,AA632,AB632,AC632,AD632,AE632,AF632,AG632,AI632)</f>
        <v>ORD-2024-10631|04-09-2024|04-10-2024|CUST-6075|Priya Menon|Corporate|East|Assam|Guwahati|Office Supplies|Paper|Elite Paper 239|Standard Class|4|3047.05|0.1|10969.38|9254.46|1714.92|Paid|Completed</v>
      </c>
      <c r="AL632" s="27" t="str">
        <f>IF(COUNTIF($AK$2:AK632,AK632)&gt;1,"Remove exact duplicate copy","Keep")</f>
        <v>Keep</v>
      </c>
      <c r="AM632" s="9">
        <f t="shared" si="76"/>
        <v>1</v>
      </c>
      <c r="AN632" s="9" t="str">
        <f t="shared" si="77"/>
        <v>Unique</v>
      </c>
      <c r="AO632" s="9" t="str">
        <f t="shared" si="78"/>
        <v/>
      </c>
      <c r="AP632" s="9">
        <f t="shared" si="79"/>
        <v>0.1</v>
      </c>
      <c r="AQ632" s="10">
        <f t="shared" si="80"/>
        <v>10969.380000000001</v>
      </c>
      <c r="AR632" s="10">
        <f t="shared" si="81"/>
        <v>1714.9200000000019</v>
      </c>
      <c r="AS632" s="11">
        <f t="shared" si="82"/>
        <v>0.15633700354988173</v>
      </c>
      <c r="AT632" s="9">
        <f t="shared" si="83"/>
        <v>4</v>
      </c>
      <c r="AU632" s="9">
        <f t="shared" si="84"/>
        <v>2024</v>
      </c>
      <c r="AV632" s="9" t="b">
        <f t="shared" si="85"/>
        <v>0</v>
      </c>
      <c r="AW632" s="9" t="b">
        <f t="shared" si="86"/>
        <v>0</v>
      </c>
      <c r="AX632" s="9" t="str">
        <f t="shared" si="87"/>
        <v>Yes</v>
      </c>
      <c r="AY632" s="9" t="str">
        <f t="shared" si="91"/>
        <v/>
      </c>
      <c r="AZ632" s="9" t="str">
        <f>IF(OR(G632="Missing date",G632="Invalid date",G632="Ship date before order date",NOT(ISNUMBER(AP632)),AP632&lt;0,AP632&gt;0.5,AV632=TRUE,AW632=TRUE),"Invalid",IF(OR(O632="Unknown",Z632="Unknown",AC632="",AH632&lt;&gt;"Paid",AJ632&lt;&gt;"Completed",AO632&lt;&gt;""),"Warning","Clean"))</f>
        <v>Clean</v>
      </c>
    </row>
    <row r="633" spans="1:52" ht="15.75" customHeight="1">
      <c r="A633" s="6" t="s">
        <v>3087</v>
      </c>
      <c r="B633" s="7" t="s">
        <v>1527</v>
      </c>
      <c r="C633" s="7" t="str">
        <f t="shared" si="90"/>
        <v>2024-04</v>
      </c>
      <c r="D633" s="7" cm="1">
        <f t="array" ref="D633">_xlfn.LET(_xlpm.x,B633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45392</v>
      </c>
      <c r="E633" s="7" t="s">
        <v>1627</v>
      </c>
      <c r="F633" s="7" cm="1">
        <f t="array" ref="F633">_xlfn.LET(_xlpm.x,E633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45397</v>
      </c>
      <c r="G633" s="8" t="str">
        <f t="shared" si="64"/>
        <v>OK</v>
      </c>
      <c r="H633" s="6">
        <f t="shared" si="65"/>
        <v>5</v>
      </c>
      <c r="I633" s="6" t="s">
        <v>3088</v>
      </c>
      <c r="J633" s="6" t="s">
        <v>239</v>
      </c>
      <c r="K633" s="6" t="str">
        <f t="shared" si="66"/>
        <v>Aarav Sharma</v>
      </c>
      <c r="L633" s="6" t="s">
        <v>44</v>
      </c>
      <c r="M633" s="8" t="str">
        <f t="shared" si="67"/>
        <v>Home Office</v>
      </c>
      <c r="N633" s="6" t="s">
        <v>9</v>
      </c>
      <c r="O633" s="6" t="str">
        <f t="shared" si="68"/>
        <v>West</v>
      </c>
      <c r="P633" s="6" t="s">
        <v>131</v>
      </c>
      <c r="Q633" s="6" t="str">
        <f t="shared" si="69"/>
        <v>Rajasthan</v>
      </c>
      <c r="R633" s="6" t="s">
        <v>214</v>
      </c>
      <c r="S633" s="6" t="str">
        <f t="shared" si="70"/>
        <v>Udaipur</v>
      </c>
      <c r="T633" s="6" t="s">
        <v>14</v>
      </c>
      <c r="U633" s="8" t="str">
        <f t="shared" si="71"/>
        <v>Furniture</v>
      </c>
      <c r="V633" s="6" t="s">
        <v>16</v>
      </c>
      <c r="W633" s="6" t="str">
        <f t="shared" si="72"/>
        <v>Chairs</v>
      </c>
      <c r="X633" s="6" t="s">
        <v>3089</v>
      </c>
      <c r="Y633" s="6" t="s">
        <v>34</v>
      </c>
      <c r="Z633" s="6" t="str">
        <f t="shared" si="73"/>
        <v>Standard Class</v>
      </c>
      <c r="AA633" s="6">
        <v>8</v>
      </c>
      <c r="AB633" s="6">
        <v>4362.4799999999996</v>
      </c>
      <c r="AC633" s="6">
        <v>0.1</v>
      </c>
      <c r="AD633" s="6">
        <v>31409.86</v>
      </c>
      <c r="AE633" s="6">
        <v>22523.54</v>
      </c>
      <c r="AF633" s="6">
        <v>8886.32</v>
      </c>
      <c r="AG633" s="6" t="s">
        <v>52</v>
      </c>
      <c r="AH633" s="6" t="str">
        <f t="shared" si="74"/>
        <v>Paid</v>
      </c>
      <c r="AI633" s="6" t="s">
        <v>134</v>
      </c>
      <c r="AJ633" s="6" t="str">
        <f t="shared" si="75"/>
        <v>Completed</v>
      </c>
      <c r="AK633" s="9" t="str">
        <f>_xlfn.TEXTJOIN("|",FALSE,A633,TEXT(B633,"mm-dd-yyyy"),TEXT(E633,"mm-dd-yyyy"),I633,J633,L633,N633,P633,R633,T633,V633,X633,Y633,AA633,AB633,AC633,AD633,AE633,AF633,AG633,AI633)</f>
        <v>ORD-2024-10632|04-10-2024|15-04-2024|CUST-6381|Aarav Sharma|Home Office|West|Rajasthan|Udaipur|Furniture|Chairs|Eco Chairs 452|Standard Class|8|4362.48|0.1|31409.86|22523.54|8886.32|Paid|Completed</v>
      </c>
      <c r="AL633" s="27" t="str">
        <f>IF(COUNTIF($AK$2:AK633,AK633)&gt;1,"Remove exact duplicate copy","Keep")</f>
        <v>Keep</v>
      </c>
      <c r="AM633" s="9">
        <f t="shared" si="76"/>
        <v>1</v>
      </c>
      <c r="AN633" s="9" t="str">
        <f t="shared" si="77"/>
        <v>Unique</v>
      </c>
      <c r="AO633" s="9" t="str">
        <f t="shared" si="78"/>
        <v/>
      </c>
      <c r="AP633" s="9">
        <f t="shared" si="79"/>
        <v>0.1</v>
      </c>
      <c r="AQ633" s="10">
        <f t="shared" si="80"/>
        <v>31409.855999999996</v>
      </c>
      <c r="AR633" s="10">
        <f t="shared" si="81"/>
        <v>8886.3159999999953</v>
      </c>
      <c r="AS633" s="11">
        <f t="shared" si="82"/>
        <v>0.2829148914277097</v>
      </c>
      <c r="AT633" s="9">
        <f t="shared" si="83"/>
        <v>4</v>
      </c>
      <c r="AU633" s="9">
        <f t="shared" si="84"/>
        <v>2024</v>
      </c>
      <c r="AV633" s="9" t="b">
        <f t="shared" si="85"/>
        <v>0</v>
      </c>
      <c r="AW633" s="9" t="b">
        <f t="shared" si="86"/>
        <v>0</v>
      </c>
      <c r="AX633" s="9" t="str">
        <f t="shared" si="87"/>
        <v>Yes</v>
      </c>
      <c r="AY633" s="9" t="str">
        <f t="shared" si="91"/>
        <v/>
      </c>
      <c r="AZ633" s="9" t="str">
        <f>IF(OR(G633="Missing date",G633="Invalid date",G633="Ship date before order date",NOT(ISNUMBER(AP633)),AP633&lt;0,AP633&gt;0.5,AV633=TRUE,AW633=TRUE),"Invalid",IF(OR(O633="Unknown",Z633="Unknown",AC633="",AH633&lt;&gt;"Paid",AJ633&lt;&gt;"Completed",AO633&lt;&gt;""),"Warning","Clean"))</f>
        <v>Clean</v>
      </c>
    </row>
    <row r="634" spans="1:52" ht="15.75" customHeight="1">
      <c r="A634" s="6" t="s">
        <v>3090</v>
      </c>
      <c r="B634" s="7" t="s">
        <v>3091</v>
      </c>
      <c r="C634" s="7" t="str">
        <f t="shared" si="90"/>
        <v>2025-04</v>
      </c>
      <c r="D634" s="7" cm="1">
        <f t="array" ref="D634">_xlfn.LET(_xlpm.x,B634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45762</v>
      </c>
      <c r="E634" s="7" t="s">
        <v>3092</v>
      </c>
      <c r="F634" s="7" cm="1">
        <f t="array" ref="F634">_xlfn.LET(_xlpm.x,E634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45763</v>
      </c>
      <c r="G634" s="8" t="str">
        <f t="shared" si="64"/>
        <v>OK</v>
      </c>
      <c r="H634" s="6">
        <f t="shared" si="65"/>
        <v>1</v>
      </c>
      <c r="I634" s="6" t="s">
        <v>3093</v>
      </c>
      <c r="J634" s="6" t="s">
        <v>245</v>
      </c>
      <c r="K634" s="6" t="str">
        <f t="shared" si="66"/>
        <v>Sneha Kapoor</v>
      </c>
      <c r="L634" s="6" t="s">
        <v>46</v>
      </c>
      <c r="M634" s="8" t="str">
        <f t="shared" si="67"/>
        <v>Small Business</v>
      </c>
      <c r="N634" s="6" t="s">
        <v>10</v>
      </c>
      <c r="O634" s="6" t="str">
        <f t="shared" si="68"/>
        <v>South</v>
      </c>
      <c r="P634" s="6" t="s">
        <v>303</v>
      </c>
      <c r="Q634" s="6" t="str">
        <f t="shared" si="69"/>
        <v>Karnataka</v>
      </c>
      <c r="R634" s="6" t="s">
        <v>304</v>
      </c>
      <c r="S634" s="6" t="str">
        <f t="shared" si="70"/>
        <v>Bengaluru</v>
      </c>
      <c r="T634" s="6" t="s">
        <v>14</v>
      </c>
      <c r="U634" s="8" t="str">
        <f t="shared" si="71"/>
        <v>Furniture</v>
      </c>
      <c r="V634" s="6" t="s">
        <v>17</v>
      </c>
      <c r="W634" s="6" t="str">
        <f t="shared" si="72"/>
        <v>Furnishings</v>
      </c>
      <c r="X634" s="6" t="s">
        <v>3094</v>
      </c>
      <c r="Y634" s="6" t="s">
        <v>35</v>
      </c>
      <c r="Z634" s="6" t="str">
        <f t="shared" si="73"/>
        <v>First Class</v>
      </c>
      <c r="AA634" s="6">
        <v>5</v>
      </c>
      <c r="AB634" s="6">
        <v>2850.53</v>
      </c>
      <c r="AC634" s="6">
        <v>0</v>
      </c>
      <c r="AD634" s="6">
        <v>14252.65</v>
      </c>
      <c r="AE634" s="6">
        <v>11558.31</v>
      </c>
      <c r="AF634" s="6">
        <v>2694.34</v>
      </c>
      <c r="AG634" s="6" t="s">
        <v>52</v>
      </c>
      <c r="AH634" s="6" t="str">
        <f t="shared" si="74"/>
        <v>Paid</v>
      </c>
      <c r="AI634" s="6" t="s">
        <v>134</v>
      </c>
      <c r="AJ634" s="6" t="str">
        <f t="shared" si="75"/>
        <v>Completed</v>
      </c>
      <c r="AK634" s="9" t="str">
        <f>_xlfn.TEXTJOIN("|",FALSE,A634,TEXT(B634,"mm-dd-yyyy"),TEXT(E634,"mm-dd-yyyy"),I634,J634,L634,N634,P634,R634,T634,V634,X634,Y634,AA634,AB634,AC634,AD634,AE634,AF634,AG634,AI634)</f>
        <v>ORD-2025-10633|15-04-2025|16-04-2025|CUST-4593|Sneha Kapoor|Small Business|South|Karnataka|Bengaluru|Furniture|Furnishings|Smart Furnishings 721|First Class|5|2850.53|0|14252.65|11558.31|2694.34|Paid|Completed</v>
      </c>
      <c r="AL634" s="27" t="str">
        <f>IF(COUNTIF($AK$2:AK634,AK634)&gt;1,"Remove exact duplicate copy","Keep")</f>
        <v>Keep</v>
      </c>
      <c r="AM634" s="9">
        <f t="shared" si="76"/>
        <v>1</v>
      </c>
      <c r="AN634" s="9" t="str">
        <f t="shared" si="77"/>
        <v>Unique</v>
      </c>
      <c r="AO634" s="9" t="str">
        <f t="shared" si="78"/>
        <v/>
      </c>
      <c r="AP634" s="9">
        <f t="shared" si="79"/>
        <v>0</v>
      </c>
      <c r="AQ634" s="10">
        <f t="shared" si="80"/>
        <v>14252.650000000001</v>
      </c>
      <c r="AR634" s="10">
        <f t="shared" si="81"/>
        <v>2694.340000000002</v>
      </c>
      <c r="AS634" s="11">
        <f t="shared" si="82"/>
        <v>0.18904133617257154</v>
      </c>
      <c r="AT634" s="9">
        <f t="shared" si="83"/>
        <v>4</v>
      </c>
      <c r="AU634" s="9">
        <f t="shared" si="84"/>
        <v>2025</v>
      </c>
      <c r="AV634" s="9" t="b">
        <f t="shared" si="85"/>
        <v>0</v>
      </c>
      <c r="AW634" s="9" t="b">
        <f t="shared" si="86"/>
        <v>0</v>
      </c>
      <c r="AX634" s="9" t="str">
        <f t="shared" si="87"/>
        <v>Yes</v>
      </c>
      <c r="AY634" s="9" t="str">
        <f t="shared" si="91"/>
        <v/>
      </c>
      <c r="AZ634" s="9" t="str">
        <f>IF(OR(G634="Missing date",G634="Invalid date",G634="Ship date before order date",NOT(ISNUMBER(AP634)),AP634&lt;0,AP634&gt;0.5,AV634=TRUE,AW634=TRUE),"Invalid",IF(OR(O634="Unknown",Z634="Unknown",AC634="",AH634&lt;&gt;"Paid",AJ634&lt;&gt;"Completed",AO634&lt;&gt;""),"Warning","Clean"))</f>
        <v>Clean</v>
      </c>
    </row>
    <row r="635" spans="1:52" ht="15.75" customHeight="1">
      <c r="A635" s="6" t="s">
        <v>3095</v>
      </c>
      <c r="B635" s="7" t="s">
        <v>3096</v>
      </c>
      <c r="C635" s="7" t="str">
        <f t="shared" si="90"/>
        <v>2025-04</v>
      </c>
      <c r="D635" s="7" cm="1">
        <f t="array" ref="D635">_xlfn.LET(_xlpm.x,B635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45765</v>
      </c>
      <c r="E635" s="7" t="s">
        <v>3097</v>
      </c>
      <c r="F635" s="7" cm="1">
        <f t="array" ref="F635">_xlfn.LET(_xlpm.x,E635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45767</v>
      </c>
      <c r="G635" s="8" t="str">
        <f t="shared" si="64"/>
        <v>OK</v>
      </c>
      <c r="H635" s="6">
        <f t="shared" si="65"/>
        <v>2</v>
      </c>
      <c r="I635" s="6" t="s">
        <v>3098</v>
      </c>
      <c r="J635" s="6" t="s">
        <v>239</v>
      </c>
      <c r="K635" s="6" t="str">
        <f t="shared" si="66"/>
        <v>Aarav Sharma</v>
      </c>
      <c r="L635" s="6" t="s">
        <v>46</v>
      </c>
      <c r="M635" s="8" t="str">
        <f t="shared" si="67"/>
        <v>Small Business</v>
      </c>
      <c r="N635" s="6" t="s">
        <v>10</v>
      </c>
      <c r="O635" s="6" t="str">
        <f t="shared" si="68"/>
        <v>South</v>
      </c>
      <c r="P635" s="6" t="s">
        <v>413</v>
      </c>
      <c r="Q635" s="6" t="str">
        <f t="shared" si="69"/>
        <v>Tamil Nadu</v>
      </c>
      <c r="R635" s="6" t="s">
        <v>414</v>
      </c>
      <c r="S635" s="6" t="str">
        <f t="shared" si="70"/>
        <v>Chennai</v>
      </c>
      <c r="T635" s="6" t="s">
        <v>27</v>
      </c>
      <c r="U635" s="8" t="str">
        <f t="shared" si="71"/>
        <v>Technology</v>
      </c>
      <c r="V635" s="6" t="s">
        <v>28</v>
      </c>
      <c r="W635" s="6" t="str">
        <f t="shared" si="72"/>
        <v>Accessories</v>
      </c>
      <c r="X635" s="6" t="s">
        <v>3099</v>
      </c>
      <c r="Y635" s="6" t="s">
        <v>36</v>
      </c>
      <c r="Z635" s="6" t="str">
        <f t="shared" si="73"/>
        <v>Second Class</v>
      </c>
      <c r="AA635" s="6">
        <v>1</v>
      </c>
      <c r="AB635" s="6">
        <v>1626.08</v>
      </c>
      <c r="AC635" s="6">
        <v>0.15</v>
      </c>
      <c r="AD635" s="6">
        <v>1382.17</v>
      </c>
      <c r="AE635" s="6">
        <v>810.03</v>
      </c>
      <c r="AF635" s="6">
        <v>572.14</v>
      </c>
      <c r="AG635" s="6" t="s">
        <v>52</v>
      </c>
      <c r="AH635" s="6" t="str">
        <f t="shared" si="74"/>
        <v>Paid</v>
      </c>
      <c r="AI635" s="6" t="s">
        <v>134</v>
      </c>
      <c r="AJ635" s="6" t="str">
        <f t="shared" si="75"/>
        <v>Completed</v>
      </c>
      <c r="AK635" s="9" t="str">
        <f>_xlfn.TEXTJOIN("|",FALSE,A635,TEXT(B635,"mm-dd-yyyy"),TEXT(E635,"mm-dd-yyyy"),I635,J635,L635,N635,P635,R635,T635,V635,X635,Y635,AA635,AB635,AC635,AD635,AE635,AF635,AG635,AI635)</f>
        <v>ORD-2025-10634|04-18-2025|04-20-2025|CUST-5043|Aarav Sharma|Small Business|South|Tamil Nadu|Chennai|Technology|Accessories|Basic Accessories 729|Second Class|1|1626.08|0.15|1382.17|810.03|572.14|Paid|Completed</v>
      </c>
      <c r="AL635" s="27" t="str">
        <f>IF(COUNTIF($AK$2:AK635,AK635)&gt;1,"Remove exact duplicate copy","Keep")</f>
        <v>Keep</v>
      </c>
      <c r="AM635" s="9">
        <f t="shared" si="76"/>
        <v>1</v>
      </c>
      <c r="AN635" s="9" t="str">
        <f t="shared" si="77"/>
        <v>Unique</v>
      </c>
      <c r="AO635" s="9" t="str">
        <f t="shared" si="78"/>
        <v/>
      </c>
      <c r="AP635" s="9">
        <f t="shared" si="79"/>
        <v>0.15</v>
      </c>
      <c r="AQ635" s="10">
        <f t="shared" si="80"/>
        <v>1382.1679999999999</v>
      </c>
      <c r="AR635" s="10">
        <f t="shared" si="81"/>
        <v>572.13799999999992</v>
      </c>
      <c r="AS635" s="11">
        <f t="shared" si="82"/>
        <v>0.4139424440444287</v>
      </c>
      <c r="AT635" s="9">
        <f t="shared" si="83"/>
        <v>4</v>
      </c>
      <c r="AU635" s="9">
        <f t="shared" si="84"/>
        <v>2025</v>
      </c>
      <c r="AV635" s="9" t="b">
        <f t="shared" si="85"/>
        <v>0</v>
      </c>
      <c r="AW635" s="9" t="b">
        <f t="shared" si="86"/>
        <v>0</v>
      </c>
      <c r="AX635" s="9" t="str">
        <f t="shared" si="87"/>
        <v>Yes</v>
      </c>
      <c r="AY635" s="9" t="str">
        <f t="shared" si="91"/>
        <v/>
      </c>
      <c r="AZ635" s="9" t="str">
        <f>IF(OR(G635="Missing date",G635="Invalid date",G635="Ship date before order date",NOT(ISNUMBER(AP635)),AP635&lt;0,AP635&gt;0.5,AV635=TRUE,AW635=TRUE),"Invalid",IF(OR(O635="Unknown",Z635="Unknown",AC635="",AH635&lt;&gt;"Paid",AJ635&lt;&gt;"Completed",AO635&lt;&gt;""),"Warning","Clean"))</f>
        <v>Clean</v>
      </c>
    </row>
    <row r="636" spans="1:52" ht="15.75" customHeight="1">
      <c r="A636" s="6" t="s">
        <v>3100</v>
      </c>
      <c r="B636" s="7" t="s">
        <v>3101</v>
      </c>
      <c r="C636" s="7" t="str">
        <f t="shared" si="90"/>
        <v>2025-01</v>
      </c>
      <c r="D636" s="7" cm="1">
        <f t="array" ref="D636">_xlfn.LET(_xlpm.x,B636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45668</v>
      </c>
      <c r="E636" s="7" t="s">
        <v>2268</v>
      </c>
      <c r="F636" s="7" cm="1">
        <f t="array" ref="F636">_xlfn.LET(_xlpm.x,E636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45669</v>
      </c>
      <c r="G636" s="8" t="str">
        <f t="shared" si="64"/>
        <v>OK</v>
      </c>
      <c r="H636" s="6">
        <f t="shared" si="65"/>
        <v>1</v>
      </c>
      <c r="I636" s="6" t="s">
        <v>3102</v>
      </c>
      <c r="J636" s="6" t="s">
        <v>190</v>
      </c>
      <c r="K636" s="6" t="str">
        <f t="shared" si="66"/>
        <v>Aditi Sen</v>
      </c>
      <c r="L636" s="6" t="s">
        <v>43</v>
      </c>
      <c r="M636" s="8" t="str">
        <f t="shared" si="67"/>
        <v>Consumer</v>
      </c>
      <c r="N636" s="6" t="s">
        <v>10</v>
      </c>
      <c r="O636" s="6" t="str">
        <f t="shared" si="68"/>
        <v>South</v>
      </c>
      <c r="P636" s="6" t="s">
        <v>154</v>
      </c>
      <c r="Q636" s="6" t="str">
        <f t="shared" si="69"/>
        <v>Telangana</v>
      </c>
      <c r="R636" s="6" t="s">
        <v>155</v>
      </c>
      <c r="S636" s="6" t="str">
        <f t="shared" si="70"/>
        <v>Hyderabad</v>
      </c>
      <c r="T636" s="6" t="s">
        <v>14</v>
      </c>
      <c r="U636" s="8" t="str">
        <f t="shared" si="71"/>
        <v>Furniture</v>
      </c>
      <c r="V636" s="6" t="s">
        <v>16</v>
      </c>
      <c r="W636" s="6" t="str">
        <f t="shared" si="72"/>
        <v>Chairs</v>
      </c>
      <c r="X636" s="6" t="s">
        <v>3103</v>
      </c>
      <c r="Y636" s="6" t="s">
        <v>36</v>
      </c>
      <c r="Z636" s="6" t="str">
        <f t="shared" si="73"/>
        <v>Second Class</v>
      </c>
      <c r="AA636" s="6">
        <v>4</v>
      </c>
      <c r="AB636" s="6">
        <v>2427.15</v>
      </c>
      <c r="AC636" s="6">
        <v>0.05</v>
      </c>
      <c r="AD636" s="6">
        <v>9223.17</v>
      </c>
      <c r="AE636" s="6">
        <v>5103.7</v>
      </c>
      <c r="AF636" s="6">
        <v>4119.47</v>
      </c>
      <c r="AG636" s="6" t="s">
        <v>52</v>
      </c>
      <c r="AH636" s="6" t="str">
        <f t="shared" si="74"/>
        <v>Paid</v>
      </c>
      <c r="AI636" s="6" t="s">
        <v>134</v>
      </c>
      <c r="AJ636" s="6" t="str">
        <f t="shared" si="75"/>
        <v>Completed</v>
      </c>
      <c r="AK636" s="9" t="str">
        <f>_xlfn.TEXTJOIN("|",FALSE,A636,TEXT(B636,"mm-dd-yyyy"),TEXT(E636,"mm-dd-yyyy"),I636,J636,L636,N636,P636,R636,T636,V636,X636,Y636,AA636,AB636,AC636,AD636,AE636,AF636,AG636,AI636)</f>
        <v>ORD-2025-10635|01-11-2025|01-12-2025|CUST-4722|Aditi Sen|Consumer|South|Telangana|Hyderabad|Furniture|Chairs|Classic Chairs 220|Second Class|4|2427.15|0.05|9223.17|5103.7|4119.47|Paid|Completed</v>
      </c>
      <c r="AL636" s="27" t="str">
        <f>IF(COUNTIF($AK$2:AK636,AK636)&gt;1,"Remove exact duplicate copy","Keep")</f>
        <v>Keep</v>
      </c>
      <c r="AM636" s="9">
        <f t="shared" si="76"/>
        <v>1</v>
      </c>
      <c r="AN636" s="9" t="str">
        <f t="shared" si="77"/>
        <v>Unique</v>
      </c>
      <c r="AO636" s="9" t="str">
        <f t="shared" si="78"/>
        <v/>
      </c>
      <c r="AP636" s="9">
        <f t="shared" si="79"/>
        <v>0.05</v>
      </c>
      <c r="AQ636" s="10">
        <f t="shared" si="80"/>
        <v>9223.17</v>
      </c>
      <c r="AR636" s="10">
        <f t="shared" si="81"/>
        <v>4119.47</v>
      </c>
      <c r="AS636" s="11">
        <f t="shared" si="82"/>
        <v>0.44664361602355807</v>
      </c>
      <c r="AT636" s="9">
        <f t="shared" si="83"/>
        <v>1</v>
      </c>
      <c r="AU636" s="9">
        <f t="shared" si="84"/>
        <v>2025</v>
      </c>
      <c r="AV636" s="9" t="b">
        <f t="shared" si="85"/>
        <v>0</v>
      </c>
      <c r="AW636" s="9" t="b">
        <f t="shared" si="86"/>
        <v>0</v>
      </c>
      <c r="AX636" s="9" t="str">
        <f t="shared" si="87"/>
        <v>Yes</v>
      </c>
      <c r="AY636" s="9" t="str">
        <f t="shared" si="91"/>
        <v/>
      </c>
      <c r="AZ636" s="9" t="str">
        <f>IF(OR(G636="Missing date",G636="Invalid date",G636="Ship date before order date",NOT(ISNUMBER(AP636)),AP636&lt;0,AP636&gt;0.5,AV636=TRUE,AW636=TRUE),"Invalid",IF(OR(O636="Unknown",Z636="Unknown",AC636="",AH636&lt;&gt;"Paid",AJ636&lt;&gt;"Completed",AO636&lt;&gt;""),"Warning","Clean"))</f>
        <v>Clean</v>
      </c>
    </row>
    <row r="637" spans="1:52" ht="15.75" customHeight="1">
      <c r="A637" s="6" t="s">
        <v>3104</v>
      </c>
      <c r="B637" s="7" t="s">
        <v>2999</v>
      </c>
      <c r="C637" s="7" t="str">
        <f t="shared" si="90"/>
        <v>2024-05</v>
      </c>
      <c r="D637" s="7" cm="1">
        <f t="array" ref="D637">_xlfn.LET(_xlpm.x,B637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45432</v>
      </c>
      <c r="E637" s="7" t="s">
        <v>3105</v>
      </c>
      <c r="F637" s="7" cm="1">
        <f t="array" ref="F637">_xlfn.LET(_xlpm.x,E637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45437</v>
      </c>
      <c r="G637" s="8" t="str">
        <f t="shared" si="64"/>
        <v>OK</v>
      </c>
      <c r="H637" s="6">
        <f t="shared" si="65"/>
        <v>5</v>
      </c>
      <c r="I637" s="6" t="s">
        <v>3106</v>
      </c>
      <c r="J637" s="6" t="s">
        <v>139</v>
      </c>
      <c r="K637" s="6" t="str">
        <f t="shared" si="66"/>
        <v>Mira Das</v>
      </c>
      <c r="L637" s="6" t="s">
        <v>45</v>
      </c>
      <c r="M637" s="8" t="str">
        <f t="shared" si="67"/>
        <v>Corporate</v>
      </c>
      <c r="N637" s="6" t="s">
        <v>10</v>
      </c>
      <c r="O637" s="6" t="str">
        <f t="shared" si="68"/>
        <v>South</v>
      </c>
      <c r="P637" s="6" t="s">
        <v>183</v>
      </c>
      <c r="Q637" s="6" t="str">
        <f t="shared" si="69"/>
        <v>Andhra Pradesh</v>
      </c>
      <c r="R637" s="6" t="s">
        <v>184</v>
      </c>
      <c r="S637" s="6" t="str">
        <f t="shared" si="70"/>
        <v>Vijayawada</v>
      </c>
      <c r="T637" s="6" t="s">
        <v>14</v>
      </c>
      <c r="U637" s="8" t="str">
        <f t="shared" si="71"/>
        <v>Furniture</v>
      </c>
      <c r="V637" s="6" t="s">
        <v>16</v>
      </c>
      <c r="W637" s="6" t="str">
        <f t="shared" si="72"/>
        <v>Chairs</v>
      </c>
      <c r="X637" s="6" t="s">
        <v>3107</v>
      </c>
      <c r="Y637" s="6" t="s">
        <v>37</v>
      </c>
      <c r="Z637" s="6" t="str">
        <f t="shared" si="73"/>
        <v>Same Day</v>
      </c>
      <c r="AA637" s="6">
        <v>7</v>
      </c>
      <c r="AB637" s="6">
        <v>3122.85</v>
      </c>
      <c r="AC637" s="6">
        <v>0.25</v>
      </c>
      <c r="AD637" s="6">
        <v>16394.96</v>
      </c>
      <c r="AE637" s="6">
        <v>10404.17</v>
      </c>
      <c r="AF637" s="6">
        <v>5990.79</v>
      </c>
      <c r="AG637" s="6" t="s">
        <v>52</v>
      </c>
      <c r="AH637" s="6" t="str">
        <f t="shared" si="74"/>
        <v>Paid</v>
      </c>
      <c r="AI637" s="6" t="s">
        <v>134</v>
      </c>
      <c r="AJ637" s="6" t="str">
        <f t="shared" si="75"/>
        <v>Completed</v>
      </c>
      <c r="AK637" s="9" t="str">
        <f>_xlfn.TEXTJOIN("|",FALSE,A637,TEXT(B637,"mm-dd-yyyy"),TEXT(E637,"mm-dd-yyyy"),I637,J637,L637,N637,P637,R637,T637,V637,X637,Y637,AA637,AB637,AC637,AD637,AE637,AF637,AG637,AI637)</f>
        <v>ORD-2024-10636|05-20-2024|05-25-2024|CUST-7931|Mira Das|Corporate|South|Andhra Pradesh|Vijayawada|Furniture|Chairs|Max Chairs 305|Same Day|7|3122.85|0.25|16394.96|10404.17|5990.79|Paid|Completed</v>
      </c>
      <c r="AL637" s="27" t="str">
        <f>IF(COUNTIF($AK$2:AK637,AK637)&gt;1,"Remove exact duplicate copy","Keep")</f>
        <v>Keep</v>
      </c>
      <c r="AM637" s="9">
        <f t="shared" si="76"/>
        <v>1</v>
      </c>
      <c r="AN637" s="9" t="str">
        <f t="shared" si="77"/>
        <v>Unique</v>
      </c>
      <c r="AO637" s="9" t="str">
        <f t="shared" si="78"/>
        <v/>
      </c>
      <c r="AP637" s="9">
        <f t="shared" si="79"/>
        <v>0.25</v>
      </c>
      <c r="AQ637" s="10">
        <f t="shared" si="80"/>
        <v>16394.962500000001</v>
      </c>
      <c r="AR637" s="10">
        <f t="shared" si="81"/>
        <v>5990.7925000000014</v>
      </c>
      <c r="AS637" s="11">
        <f t="shared" si="82"/>
        <v>0.36540446493854445</v>
      </c>
      <c r="AT637" s="9">
        <f t="shared" si="83"/>
        <v>5</v>
      </c>
      <c r="AU637" s="9">
        <f t="shared" si="84"/>
        <v>2024</v>
      </c>
      <c r="AV637" s="9" t="b">
        <f t="shared" si="85"/>
        <v>0</v>
      </c>
      <c r="AW637" s="9" t="b">
        <f t="shared" si="86"/>
        <v>0</v>
      </c>
      <c r="AX637" s="9" t="str">
        <f t="shared" si="87"/>
        <v>Yes</v>
      </c>
      <c r="AY637" s="9" t="str">
        <f t="shared" si="91"/>
        <v/>
      </c>
      <c r="AZ637" s="9" t="str">
        <f>IF(OR(G637="Missing date",G637="Invalid date",G637="Ship date before order date",NOT(ISNUMBER(AP637)),AP637&lt;0,AP637&gt;0.5,AV637=TRUE,AW637=TRUE),"Invalid",IF(OR(O637="Unknown",Z637="Unknown",AC637="",AH637&lt;&gt;"Paid",AJ637&lt;&gt;"Completed",AO637&lt;&gt;""),"Warning","Clean"))</f>
        <v>Clean</v>
      </c>
    </row>
    <row r="638" spans="1:52" ht="15.75" customHeight="1">
      <c r="A638" s="6" t="s">
        <v>3108</v>
      </c>
      <c r="B638" s="7" t="s">
        <v>3109</v>
      </c>
      <c r="C638" s="7" t="str">
        <f t="shared" si="90"/>
        <v>2024-10</v>
      </c>
      <c r="D638" s="7" cm="1">
        <f t="array" ref="D638">_xlfn.LET(_xlpm.x,B638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45567</v>
      </c>
      <c r="E638" s="7" t="s">
        <v>3110</v>
      </c>
      <c r="F638" s="7" cm="1">
        <f t="array" ref="F638">_xlfn.LET(_xlpm.x,E638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45574</v>
      </c>
      <c r="G638" s="8" t="str">
        <f t="shared" si="64"/>
        <v>OK</v>
      </c>
      <c r="H638" s="6">
        <f t="shared" si="65"/>
        <v>7</v>
      </c>
      <c r="I638" s="6" t="s">
        <v>3111</v>
      </c>
      <c r="J638" s="6" t="s">
        <v>161</v>
      </c>
      <c r="K638" s="6" t="str">
        <f t="shared" si="66"/>
        <v>Ananya Rao</v>
      </c>
      <c r="L638" s="6" t="s">
        <v>43</v>
      </c>
      <c r="M638" s="8" t="str">
        <f t="shared" si="67"/>
        <v>Consumer</v>
      </c>
      <c r="N638" s="6" t="s">
        <v>10</v>
      </c>
      <c r="O638" s="6" t="str">
        <f t="shared" si="68"/>
        <v>South</v>
      </c>
      <c r="P638" s="6" t="s">
        <v>413</v>
      </c>
      <c r="Q638" s="6" t="str">
        <f t="shared" si="69"/>
        <v>Tamil Nadu</v>
      </c>
      <c r="R638" s="6" t="s">
        <v>414</v>
      </c>
      <c r="S638" s="6" t="str">
        <f t="shared" si="70"/>
        <v>Chennai</v>
      </c>
      <c r="T638" s="6" t="s">
        <v>20</v>
      </c>
      <c r="U638" s="8" t="str">
        <f t="shared" si="71"/>
        <v>Office Supplies</v>
      </c>
      <c r="V638" s="6" t="s">
        <v>24</v>
      </c>
      <c r="W638" s="6" t="str">
        <f t="shared" si="72"/>
        <v>Paper</v>
      </c>
      <c r="X638" s="6" t="s">
        <v>3112</v>
      </c>
      <c r="Y638" s="6" t="s">
        <v>34</v>
      </c>
      <c r="Z638" s="6" t="str">
        <f t="shared" si="73"/>
        <v>Standard Class</v>
      </c>
      <c r="AA638" s="6">
        <v>8</v>
      </c>
      <c r="AB638" s="6">
        <v>1910.31</v>
      </c>
      <c r="AC638" s="6">
        <v>0.15</v>
      </c>
      <c r="AD638" s="6">
        <v>12990.11</v>
      </c>
      <c r="AE638" s="6">
        <v>10200.799999999999</v>
      </c>
      <c r="AF638" s="6">
        <v>2789.31</v>
      </c>
      <c r="AG638" s="6" t="s">
        <v>52</v>
      </c>
      <c r="AH638" s="6" t="str">
        <f t="shared" si="74"/>
        <v>Paid</v>
      </c>
      <c r="AI638" s="6" t="s">
        <v>134</v>
      </c>
      <c r="AJ638" s="6" t="str">
        <f t="shared" si="75"/>
        <v>Completed</v>
      </c>
      <c r="AK638" s="9" t="str">
        <f>_xlfn.TEXTJOIN("|",FALSE,A638,TEXT(B638,"mm-dd-yyyy"),TEXT(E638,"mm-dd-yyyy"),I638,J638,L638,N638,P638,R638,T638,V638,X638,Y638,AA638,AB638,AC638,AD638,AE638,AF638,AG638,AI638)</f>
        <v>ORD-2024-10637|10-02-2024|10-09-2024|CUST-7221|Ananya Rao|Consumer|South|Tamil Nadu|Chennai|Office Supplies|Paper|Smart Paper 872|Standard Class|8|1910.31|0.15|12990.11|10200.8|2789.31|Paid|Completed</v>
      </c>
      <c r="AL638" s="27" t="str">
        <f>IF(COUNTIF($AK$2:AK638,AK638)&gt;1,"Remove exact duplicate copy","Keep")</f>
        <v>Keep</v>
      </c>
      <c r="AM638" s="9">
        <f t="shared" si="76"/>
        <v>1</v>
      </c>
      <c r="AN638" s="9" t="str">
        <f t="shared" si="77"/>
        <v>Unique</v>
      </c>
      <c r="AO638" s="9" t="str">
        <f t="shared" si="78"/>
        <v/>
      </c>
      <c r="AP638" s="9">
        <f t="shared" si="79"/>
        <v>0.15</v>
      </c>
      <c r="AQ638" s="10">
        <f t="shared" si="80"/>
        <v>12990.108</v>
      </c>
      <c r="AR638" s="10">
        <f t="shared" si="81"/>
        <v>2789.3080000000009</v>
      </c>
      <c r="AS638" s="11">
        <f t="shared" si="82"/>
        <v>0.2147255434673831</v>
      </c>
      <c r="AT638" s="9">
        <f t="shared" si="83"/>
        <v>10</v>
      </c>
      <c r="AU638" s="9">
        <f t="shared" si="84"/>
        <v>2024</v>
      </c>
      <c r="AV638" s="9" t="b">
        <f t="shared" si="85"/>
        <v>0</v>
      </c>
      <c r="AW638" s="9" t="b">
        <f t="shared" si="86"/>
        <v>0</v>
      </c>
      <c r="AX638" s="9" t="str">
        <f t="shared" si="87"/>
        <v>Yes</v>
      </c>
      <c r="AY638" s="9" t="str">
        <f t="shared" si="91"/>
        <v/>
      </c>
      <c r="AZ638" s="9" t="str">
        <f>IF(OR(G638="Missing date",G638="Invalid date",G638="Ship date before order date",NOT(ISNUMBER(AP638)),AP638&lt;0,AP638&gt;0.5,AV638=TRUE,AW638=TRUE),"Invalid",IF(OR(O638="Unknown",Z638="Unknown",AC638="",AH638&lt;&gt;"Paid",AJ638&lt;&gt;"Completed",AO638&lt;&gt;""),"Warning","Clean"))</f>
        <v>Clean</v>
      </c>
    </row>
    <row r="639" spans="1:52" ht="15.75" customHeight="1">
      <c r="A639" s="6" t="s">
        <v>3113</v>
      </c>
      <c r="B639" s="7" t="s">
        <v>3114</v>
      </c>
      <c r="C639" s="7" t="str">
        <f t="shared" si="90"/>
        <v>2024-05</v>
      </c>
      <c r="D639" s="7" cm="1">
        <f t="array" ref="D639">_xlfn.LET(_xlpm.x,B639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45438</v>
      </c>
      <c r="E639" s="7" t="s">
        <v>3115</v>
      </c>
      <c r="F639" s="7" cm="1">
        <f t="array" ref="F639">_xlfn.LET(_xlpm.x,E639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45438</v>
      </c>
      <c r="G639" s="8" t="str">
        <f t="shared" si="64"/>
        <v>OK</v>
      </c>
      <c r="H639" s="6">
        <f t="shared" si="65"/>
        <v>0</v>
      </c>
      <c r="I639" s="6" t="s">
        <v>3116</v>
      </c>
      <c r="J639" s="6" t="s">
        <v>226</v>
      </c>
      <c r="K639" s="6" t="str">
        <f t="shared" si="66"/>
        <v>Rahul Verma</v>
      </c>
      <c r="L639" s="6" t="s">
        <v>46</v>
      </c>
      <c r="M639" s="8" t="str">
        <f t="shared" si="67"/>
        <v>Small Business</v>
      </c>
      <c r="N639" s="6" t="s">
        <v>9</v>
      </c>
      <c r="O639" s="6" t="str">
        <f t="shared" si="68"/>
        <v>West</v>
      </c>
      <c r="P639" s="6" t="s">
        <v>323</v>
      </c>
      <c r="Q639" s="6" t="str">
        <f t="shared" si="69"/>
        <v>Goa</v>
      </c>
      <c r="R639" s="6" t="s">
        <v>324</v>
      </c>
      <c r="S639" s="6" t="str">
        <f t="shared" si="70"/>
        <v>Panaji</v>
      </c>
      <c r="T639" s="6" t="s">
        <v>27</v>
      </c>
      <c r="U639" s="8" t="str">
        <f t="shared" si="71"/>
        <v>Technology</v>
      </c>
      <c r="V639" s="6" t="s">
        <v>29</v>
      </c>
      <c r="W639" s="6" t="str">
        <f t="shared" si="72"/>
        <v>Copiers</v>
      </c>
      <c r="X639" s="6" t="s">
        <v>3117</v>
      </c>
      <c r="Y639" s="6" t="s">
        <v>35</v>
      </c>
      <c r="Z639" s="6" t="str">
        <f t="shared" si="73"/>
        <v>First Class</v>
      </c>
      <c r="AA639" s="6">
        <v>2</v>
      </c>
      <c r="AB639" s="6">
        <v>3192.47</v>
      </c>
      <c r="AC639" s="6">
        <v>0.2</v>
      </c>
      <c r="AD639" s="6">
        <v>5107.95</v>
      </c>
      <c r="AE639" s="6">
        <v>3133.08</v>
      </c>
      <c r="AF639" s="6">
        <v>1974.87</v>
      </c>
      <c r="AG639" s="6" t="s">
        <v>52</v>
      </c>
      <c r="AH639" s="6" t="str">
        <f t="shared" si="74"/>
        <v>Paid</v>
      </c>
      <c r="AI639" s="6" t="s">
        <v>134</v>
      </c>
      <c r="AJ639" s="6" t="str">
        <f t="shared" si="75"/>
        <v>Completed</v>
      </c>
      <c r="AK639" s="9" t="str">
        <f>_xlfn.TEXTJOIN("|",FALSE,A639,TEXT(B639,"mm-dd-yyyy"),TEXT(E639,"mm-dd-yyyy"),I639,J639,L639,N639,P639,R639,T639,V639,X639,Y639,AA639,AB639,AC639,AD639,AE639,AF639,AG639,AI639)</f>
        <v>ORD-2024-10638|26-05-2024|05-26-2024|CUST-2594|Rahul Verma|Small Business|West|Goa|Panaji|Technology|Copiers|Max Copiers 994|First Class|2|3192.47|0.2|5107.95|3133.08|1974.87|Paid|Completed</v>
      </c>
      <c r="AL639" s="27" t="str">
        <f>IF(COUNTIF($AK$2:AK639,AK639)&gt;1,"Remove exact duplicate copy","Keep")</f>
        <v>Keep</v>
      </c>
      <c r="AM639" s="9">
        <f t="shared" si="76"/>
        <v>1</v>
      </c>
      <c r="AN639" s="9" t="str">
        <f t="shared" si="77"/>
        <v>Unique</v>
      </c>
      <c r="AO639" s="9" t="str">
        <f t="shared" si="78"/>
        <v/>
      </c>
      <c r="AP639" s="9">
        <f t="shared" si="79"/>
        <v>0.2</v>
      </c>
      <c r="AQ639" s="10">
        <f t="shared" si="80"/>
        <v>5107.9520000000002</v>
      </c>
      <c r="AR639" s="10">
        <f t="shared" si="81"/>
        <v>1974.8720000000003</v>
      </c>
      <c r="AS639" s="11">
        <f t="shared" si="82"/>
        <v>0.38662696908663202</v>
      </c>
      <c r="AT639" s="9">
        <f t="shared" si="83"/>
        <v>5</v>
      </c>
      <c r="AU639" s="9">
        <f t="shared" si="84"/>
        <v>2024</v>
      </c>
      <c r="AV639" s="9" t="b">
        <f t="shared" si="85"/>
        <v>0</v>
      </c>
      <c r="AW639" s="9" t="b">
        <f t="shared" si="86"/>
        <v>0</v>
      </c>
      <c r="AX639" s="9" t="str">
        <f t="shared" si="87"/>
        <v>Yes</v>
      </c>
      <c r="AY639" s="9" t="str">
        <f t="shared" si="91"/>
        <v/>
      </c>
      <c r="AZ639" s="9" t="str">
        <f>IF(OR(G639="Missing date",G639="Invalid date",G639="Ship date before order date",NOT(ISNUMBER(AP639)),AP639&lt;0,AP639&gt;0.5,AV639=TRUE,AW639=TRUE),"Invalid",IF(OR(O639="Unknown",Z639="Unknown",AC639="",AH639&lt;&gt;"Paid",AJ639&lt;&gt;"Completed",AO639&lt;&gt;""),"Warning","Clean"))</f>
        <v>Clean</v>
      </c>
    </row>
    <row r="640" spans="1:52" ht="15.75" customHeight="1">
      <c r="A640" s="6" t="s">
        <v>3118</v>
      </c>
      <c r="B640" s="7" t="s">
        <v>2965</v>
      </c>
      <c r="C640" s="7" t="str">
        <f t="shared" si="90"/>
        <v>2024-01</v>
      </c>
      <c r="D640" s="7" cm="1">
        <f t="array" ref="D640">_xlfn.LET(_xlpm.x,B640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45317</v>
      </c>
      <c r="E640" s="7" t="s">
        <v>3119</v>
      </c>
      <c r="F640" s="7" cm="1">
        <f t="array" ref="F640">_xlfn.LET(_xlpm.x,E640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45322</v>
      </c>
      <c r="G640" s="8" t="str">
        <f t="shared" si="64"/>
        <v>OK</v>
      </c>
      <c r="H640" s="6">
        <f t="shared" si="65"/>
        <v>5</v>
      </c>
      <c r="I640" s="6" t="s">
        <v>3120</v>
      </c>
      <c r="J640" s="6" t="s">
        <v>129</v>
      </c>
      <c r="K640" s="6" t="str">
        <f t="shared" si="66"/>
        <v>Karan Malhotra</v>
      </c>
      <c r="L640" s="6" t="s">
        <v>45</v>
      </c>
      <c r="M640" s="8" t="str">
        <f t="shared" si="67"/>
        <v>Corporate</v>
      </c>
      <c r="N640" s="6" t="s">
        <v>10</v>
      </c>
      <c r="O640" s="6" t="str">
        <f t="shared" si="68"/>
        <v>South</v>
      </c>
      <c r="P640" s="6" t="s">
        <v>316</v>
      </c>
      <c r="Q640" s="6" t="str">
        <f t="shared" si="69"/>
        <v>Kerala</v>
      </c>
      <c r="R640" s="6" t="s">
        <v>317</v>
      </c>
      <c r="S640" s="6" t="str">
        <f t="shared" si="70"/>
        <v>Kochi</v>
      </c>
      <c r="T640" s="6" t="s">
        <v>20</v>
      </c>
      <c r="U640" s="8" t="str">
        <f t="shared" si="71"/>
        <v>Office Supplies</v>
      </c>
      <c r="V640" s="6" t="s">
        <v>25</v>
      </c>
      <c r="W640" s="6" t="str">
        <f t="shared" si="72"/>
        <v>Storage</v>
      </c>
      <c r="X640" s="6" t="s">
        <v>3121</v>
      </c>
      <c r="Y640" s="6" t="s">
        <v>36</v>
      </c>
      <c r="Z640" s="6" t="str">
        <f t="shared" si="73"/>
        <v>Second Class</v>
      </c>
      <c r="AA640" s="6">
        <v>3</v>
      </c>
      <c r="AB640" s="6">
        <v>3224.32</v>
      </c>
      <c r="AC640" s="6">
        <v>0.2</v>
      </c>
      <c r="AD640" s="6">
        <v>7738.37</v>
      </c>
      <c r="AE640" s="6">
        <v>4626.8500000000004</v>
      </c>
      <c r="AF640" s="6">
        <v>3111.52</v>
      </c>
      <c r="AG640" s="6" t="s">
        <v>50</v>
      </c>
      <c r="AH640" s="6" t="str">
        <f t="shared" si="74"/>
        <v>Failed</v>
      </c>
      <c r="AI640" s="6" t="s">
        <v>59</v>
      </c>
      <c r="AJ640" s="6" t="str">
        <f t="shared" si="75"/>
        <v>Returned</v>
      </c>
      <c r="AK640" s="9" t="str">
        <f>_xlfn.TEXTJOIN("|",FALSE,A640,TEXT(B640,"mm-dd-yyyy"),TEXT(E640,"mm-dd-yyyy"),I640,J640,L640,N640,P640,R640,T640,V640,X640,Y640,AA640,AB640,AC640,AD640,AE640,AF640,AG640,AI640)</f>
        <v>ORD-2024-10639|01-26-2024|31-01-2024|CUST-2111|Karan Malhotra|Corporate|South|Kerala|Kochi|Office Supplies|Storage|Pro Storage 744|Second Class|3|3224.32|0.2|7738.37|4626.85|3111.52|Failed|Returned</v>
      </c>
      <c r="AL640" s="27" t="str">
        <f>IF(COUNTIF($AK$2:AK640,AK640)&gt;1,"Remove exact duplicate copy","Keep")</f>
        <v>Keep</v>
      </c>
      <c r="AM640" s="9">
        <f t="shared" si="76"/>
        <v>1</v>
      </c>
      <c r="AN640" s="9" t="str">
        <f t="shared" si="77"/>
        <v>Unique</v>
      </c>
      <c r="AO640" s="9" t="str">
        <f t="shared" si="78"/>
        <v/>
      </c>
      <c r="AP640" s="9">
        <f t="shared" si="79"/>
        <v>0.2</v>
      </c>
      <c r="AQ640" s="10">
        <f t="shared" si="80"/>
        <v>7738.3680000000013</v>
      </c>
      <c r="AR640" s="10">
        <f t="shared" si="81"/>
        <v>3111.5180000000009</v>
      </c>
      <c r="AS640" s="11">
        <f t="shared" si="82"/>
        <v>0.40208969126306743</v>
      </c>
      <c r="AT640" s="9">
        <f t="shared" si="83"/>
        <v>1</v>
      </c>
      <c r="AU640" s="9">
        <f t="shared" si="84"/>
        <v>2024</v>
      </c>
      <c r="AV640" s="9" t="b">
        <f t="shared" si="85"/>
        <v>0</v>
      </c>
      <c r="AW640" s="9" t="b">
        <f t="shared" si="86"/>
        <v>0</v>
      </c>
      <c r="AX640" s="9" t="str">
        <f t="shared" si="87"/>
        <v>No</v>
      </c>
      <c r="AY640" s="9" t="str">
        <f t="shared" si="91"/>
        <v>Failed payment excluded; Returned order excluded</v>
      </c>
      <c r="AZ640" s="9" t="str">
        <f>IF(OR(G640="Missing date",G640="Invalid date",G640="Ship date before order date",NOT(ISNUMBER(AP640)),AP640&lt;0,AP640&gt;0.5,AV640=TRUE,AW640=TRUE),"Invalid",IF(OR(O640="Unknown",Z640="Unknown",AC640="",AH640&lt;&gt;"Paid",AJ640&lt;&gt;"Completed",AO640&lt;&gt;""),"Warning","Clean"))</f>
        <v>Warning</v>
      </c>
    </row>
    <row r="641" spans="1:52" ht="15.75" customHeight="1">
      <c r="A641" s="6" t="s">
        <v>3122</v>
      </c>
      <c r="B641" s="7" t="s">
        <v>3123</v>
      </c>
      <c r="C641" s="7" t="str">
        <f t="shared" si="90"/>
        <v>2024-12</v>
      </c>
      <c r="D641" s="7" cm="1">
        <f t="array" ref="D641">_xlfn.LET(_xlpm.x,B641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45653</v>
      </c>
      <c r="E641" s="7" t="s">
        <v>1958</v>
      </c>
      <c r="F641" s="7" cm="1">
        <f t="array" ref="F641">_xlfn.LET(_xlpm.x,E641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45657</v>
      </c>
      <c r="G641" s="8" t="str">
        <f t="shared" si="64"/>
        <v>OK</v>
      </c>
      <c r="H641" s="6">
        <f t="shared" si="65"/>
        <v>4</v>
      </c>
      <c r="I641" s="6" t="s">
        <v>3124</v>
      </c>
      <c r="J641" s="6" t="s">
        <v>147</v>
      </c>
      <c r="K641" s="6" t="str">
        <f t="shared" si="66"/>
        <v>Isha Nair</v>
      </c>
      <c r="L641" s="6" t="s">
        <v>46</v>
      </c>
      <c r="M641" s="8" t="str">
        <f t="shared" si="67"/>
        <v>Small Business</v>
      </c>
      <c r="N641" s="6" t="s">
        <v>8</v>
      </c>
      <c r="O641" s="6" t="str">
        <f t="shared" si="68"/>
        <v>East</v>
      </c>
      <c r="P641" s="6" t="s">
        <v>140</v>
      </c>
      <c r="Q641" s="6" t="str">
        <f t="shared" si="69"/>
        <v>Odisha</v>
      </c>
      <c r="R641" s="6" t="s">
        <v>141</v>
      </c>
      <c r="S641" s="6" t="str">
        <f t="shared" si="70"/>
        <v>Bhubaneswar</v>
      </c>
      <c r="T641" s="6" t="s">
        <v>14</v>
      </c>
      <c r="U641" s="8" t="str">
        <f t="shared" si="71"/>
        <v>Furniture</v>
      </c>
      <c r="V641" s="6" t="s">
        <v>16</v>
      </c>
      <c r="W641" s="6" t="str">
        <f t="shared" si="72"/>
        <v>Chairs</v>
      </c>
      <c r="X641" s="6" t="s">
        <v>3125</v>
      </c>
      <c r="Y641" s="6" t="s">
        <v>36</v>
      </c>
      <c r="Z641" s="6" t="str">
        <f t="shared" si="73"/>
        <v>Second Class</v>
      </c>
      <c r="AA641" s="6">
        <v>1</v>
      </c>
      <c r="AB641" s="6">
        <v>1594.7</v>
      </c>
      <c r="AC641" s="6">
        <v>0.05</v>
      </c>
      <c r="AD641" s="6">
        <v>1514.96</v>
      </c>
      <c r="AE641" s="6">
        <v>1046.17</v>
      </c>
      <c r="AF641" s="6">
        <v>468.79</v>
      </c>
      <c r="AG641" s="6" t="s">
        <v>52</v>
      </c>
      <c r="AH641" s="6" t="str">
        <f t="shared" si="74"/>
        <v>Paid</v>
      </c>
      <c r="AI641" s="6" t="s">
        <v>134</v>
      </c>
      <c r="AJ641" s="6" t="str">
        <f t="shared" si="75"/>
        <v>Completed</v>
      </c>
      <c r="AK641" s="9" t="str">
        <f>_xlfn.TEXTJOIN("|",FALSE,A641,TEXT(B641,"mm-dd-yyyy"),TEXT(E641,"mm-dd-yyyy"),I641,J641,L641,N641,P641,R641,T641,V641,X641,Y641,AA641,AB641,AC641,AD641,AE641,AF641,AG641,AI641)</f>
        <v>ORD-2024-10640|12-27-2024|31-12-2024|CUST-6829|Isha Nair|Small Business|East|Odisha|Bhubaneswar|Furniture|Chairs|Elite Chairs 744|Second Class|1|1594.7|0.05|1514.96|1046.17|468.79|Paid|Completed</v>
      </c>
      <c r="AL641" s="27" t="str">
        <f>IF(COUNTIF($AK$2:AK641,AK641)&gt;1,"Remove exact duplicate copy","Keep")</f>
        <v>Keep</v>
      </c>
      <c r="AM641" s="9">
        <f t="shared" si="76"/>
        <v>1</v>
      </c>
      <c r="AN641" s="9" t="str">
        <f t="shared" si="77"/>
        <v>Unique</v>
      </c>
      <c r="AO641" s="9" t="str">
        <f t="shared" si="78"/>
        <v/>
      </c>
      <c r="AP641" s="9">
        <f t="shared" si="79"/>
        <v>0.05</v>
      </c>
      <c r="AQ641" s="10">
        <f t="shared" si="80"/>
        <v>1514.9649999999999</v>
      </c>
      <c r="AR641" s="10">
        <f t="shared" si="81"/>
        <v>468.79499999999985</v>
      </c>
      <c r="AS641" s="11">
        <f t="shared" si="82"/>
        <v>0.3094427924077453</v>
      </c>
      <c r="AT641" s="9">
        <f t="shared" si="83"/>
        <v>12</v>
      </c>
      <c r="AU641" s="9">
        <f t="shared" si="84"/>
        <v>2024</v>
      </c>
      <c r="AV641" s="9" t="b">
        <f t="shared" si="85"/>
        <v>0</v>
      </c>
      <c r="AW641" s="9" t="b">
        <f t="shared" si="86"/>
        <v>0</v>
      </c>
      <c r="AX641" s="9" t="str">
        <f t="shared" si="87"/>
        <v>Yes</v>
      </c>
      <c r="AY641" s="9" t="str">
        <f t="shared" si="91"/>
        <v/>
      </c>
      <c r="AZ641" s="9" t="str">
        <f>IF(OR(G641="Missing date",G641="Invalid date",G641="Ship date before order date",NOT(ISNUMBER(AP641)),AP641&lt;0,AP641&gt;0.5,AV641=TRUE,AW641=TRUE),"Invalid",IF(OR(O641="Unknown",Z641="Unknown",AC641="",AH641&lt;&gt;"Paid",AJ641&lt;&gt;"Completed",AO641&lt;&gt;""),"Warning","Clean"))</f>
        <v>Clean</v>
      </c>
    </row>
    <row r="642" spans="1:52" ht="15.75" customHeight="1">
      <c r="A642" s="6" t="s">
        <v>3126</v>
      </c>
      <c r="B642" s="7" t="s">
        <v>3127</v>
      </c>
      <c r="C642" s="7" t="str">
        <f t="shared" ref="C642:C705" si="92">TEXT(D642, "yyyy-mm")</f>
        <v>2025-01</v>
      </c>
      <c r="D642" s="7" cm="1">
        <f t="array" ref="D642">_xlfn.LET(_xlpm.x,B642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45671</v>
      </c>
      <c r="E642" s="7" t="s">
        <v>3128</v>
      </c>
      <c r="F642" s="7" cm="1">
        <f t="array" ref="F642">_xlfn.LET(_xlpm.x,E642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45674</v>
      </c>
      <c r="G642" s="8" t="str">
        <f t="shared" si="64"/>
        <v>OK</v>
      </c>
      <c r="H642" s="6">
        <f t="shared" si="65"/>
        <v>3</v>
      </c>
      <c r="I642" s="6" t="s">
        <v>3129</v>
      </c>
      <c r="J642" s="6" t="s">
        <v>169</v>
      </c>
      <c r="K642" s="6" t="str">
        <f t="shared" si="66"/>
        <v>Vikram Iyer</v>
      </c>
      <c r="L642" s="6" t="s">
        <v>43</v>
      </c>
      <c r="M642" s="8" t="str">
        <f t="shared" si="67"/>
        <v>Consumer</v>
      </c>
      <c r="N642" s="6" t="s">
        <v>9</v>
      </c>
      <c r="O642" s="6" t="str">
        <f t="shared" si="68"/>
        <v>West</v>
      </c>
      <c r="P642" s="6" t="s">
        <v>323</v>
      </c>
      <c r="Q642" s="6" t="str">
        <f t="shared" si="69"/>
        <v>Goa</v>
      </c>
      <c r="R642" s="6" t="s">
        <v>324</v>
      </c>
      <c r="S642" s="6" t="str">
        <f t="shared" si="70"/>
        <v>Panaji</v>
      </c>
      <c r="T642" s="6" t="s">
        <v>20</v>
      </c>
      <c r="U642" s="8" t="str">
        <f t="shared" si="71"/>
        <v>Office Supplies</v>
      </c>
      <c r="V642" s="6" t="s">
        <v>25</v>
      </c>
      <c r="W642" s="6" t="str">
        <f t="shared" si="72"/>
        <v>Storage</v>
      </c>
      <c r="X642" s="6" t="s">
        <v>3130</v>
      </c>
      <c r="Y642" s="6" t="s">
        <v>35</v>
      </c>
      <c r="Z642" s="6" t="str">
        <f t="shared" si="73"/>
        <v>First Class</v>
      </c>
      <c r="AA642" s="6">
        <v>1</v>
      </c>
      <c r="AB642" s="6">
        <v>1584.12</v>
      </c>
      <c r="AC642" s="6">
        <v>0.2</v>
      </c>
      <c r="AD642" s="6">
        <v>1267.3</v>
      </c>
      <c r="AE642" s="6">
        <v>923.53</v>
      </c>
      <c r="AF642" s="6">
        <v>343.77</v>
      </c>
      <c r="AG642" s="6" t="s">
        <v>52</v>
      </c>
      <c r="AH642" s="6" t="str">
        <f t="shared" si="74"/>
        <v>Paid</v>
      </c>
      <c r="AI642" s="6" t="s">
        <v>134</v>
      </c>
      <c r="AJ642" s="6" t="str">
        <f t="shared" si="75"/>
        <v>Completed</v>
      </c>
      <c r="AK642" s="9" t="str">
        <f>_xlfn.TEXTJOIN("|",FALSE,A642,TEXT(B642,"mm-dd-yyyy"),TEXT(E642,"mm-dd-yyyy"),I642,J642,L642,N642,P642,R642,T642,V642,X642,Y642,AA642,AB642,AC642,AD642,AE642,AF642,AG642,AI642)</f>
        <v>ORD-2025-10641|14-01-2025|01-17-2025|CUST-5061|Vikram Iyer|Consumer|West|Goa|Panaji|Office Supplies|Storage|Basic Storage 973|First Class|1|1584.12|0.2|1267.3|923.53|343.77|Paid|Completed</v>
      </c>
      <c r="AL642" s="27" t="str">
        <f>IF(COUNTIF($AK$2:AK642,AK642)&gt;1,"Remove exact duplicate copy","Keep")</f>
        <v>Keep</v>
      </c>
      <c r="AM642" s="9">
        <f t="shared" si="76"/>
        <v>1</v>
      </c>
      <c r="AN642" s="9" t="str">
        <f t="shared" si="77"/>
        <v>Unique</v>
      </c>
      <c r="AO642" s="9" t="str">
        <f t="shared" si="78"/>
        <v/>
      </c>
      <c r="AP642" s="9">
        <f t="shared" si="79"/>
        <v>0.2</v>
      </c>
      <c r="AQ642" s="10">
        <f t="shared" si="80"/>
        <v>1267.296</v>
      </c>
      <c r="AR642" s="10">
        <f t="shared" si="81"/>
        <v>343.76600000000008</v>
      </c>
      <c r="AS642" s="11">
        <f t="shared" si="82"/>
        <v>0.27125943741635739</v>
      </c>
      <c r="AT642" s="9">
        <f t="shared" si="83"/>
        <v>1</v>
      </c>
      <c r="AU642" s="9">
        <f t="shared" si="84"/>
        <v>2025</v>
      </c>
      <c r="AV642" s="9" t="b">
        <f t="shared" si="85"/>
        <v>0</v>
      </c>
      <c r="AW642" s="9" t="b">
        <f t="shared" si="86"/>
        <v>0</v>
      </c>
      <c r="AX642" s="9" t="str">
        <f t="shared" si="87"/>
        <v>Yes</v>
      </c>
      <c r="AY642" s="9" t="str">
        <f t="shared" si="91"/>
        <v/>
      </c>
      <c r="AZ642" s="9" t="str">
        <f>IF(OR(G642="Missing date",G642="Invalid date",G642="Ship date before order date",NOT(ISNUMBER(AP642)),AP642&lt;0,AP642&gt;0.5,AV642=TRUE,AW642=TRUE),"Invalid",IF(OR(O642="Unknown",Z642="Unknown",AC642="",AH642&lt;&gt;"Paid",AJ642&lt;&gt;"Completed",AO642&lt;&gt;""),"Warning","Clean"))</f>
        <v>Clean</v>
      </c>
    </row>
    <row r="643" spans="1:52" ht="15.75" customHeight="1">
      <c r="A643" s="6" t="s">
        <v>3131</v>
      </c>
      <c r="B643" s="7" t="s">
        <v>3132</v>
      </c>
      <c r="C643" s="7" t="str">
        <f t="shared" si="92"/>
        <v>2025-04</v>
      </c>
      <c r="D643" s="7" cm="1">
        <f t="array" ref="D643">_xlfn.LET(_xlpm.x,B643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45756</v>
      </c>
      <c r="E643" s="7" t="s">
        <v>2049</v>
      </c>
      <c r="F643" s="7" cm="1">
        <f t="array" ref="F643">_xlfn.LET(_xlpm.x,E643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45761</v>
      </c>
      <c r="G643" s="8" t="str">
        <f t="shared" si="64"/>
        <v>OK</v>
      </c>
      <c r="H643" s="6">
        <f t="shared" si="65"/>
        <v>5</v>
      </c>
      <c r="I643" s="6" t="s">
        <v>3133</v>
      </c>
      <c r="J643" s="6" t="s">
        <v>129</v>
      </c>
      <c r="K643" s="6" t="str">
        <f t="shared" si="66"/>
        <v>Karan Malhotra</v>
      </c>
      <c r="L643" s="6" t="s">
        <v>43</v>
      </c>
      <c r="M643" s="8" t="str">
        <f t="shared" si="67"/>
        <v>Consumer</v>
      </c>
      <c r="N643" s="6" t="s">
        <v>7</v>
      </c>
      <c r="O643" s="6" t="str">
        <f t="shared" si="68"/>
        <v>North</v>
      </c>
      <c r="P643" s="6" t="s">
        <v>583</v>
      </c>
      <c r="Q643" s="6" t="str">
        <f t="shared" si="69"/>
        <v>Delhi</v>
      </c>
      <c r="R643" s="6" t="s">
        <v>584</v>
      </c>
      <c r="S643" s="6" t="str">
        <f t="shared" si="70"/>
        <v>New Delhi</v>
      </c>
      <c r="T643" s="6" t="s">
        <v>14</v>
      </c>
      <c r="U643" s="8" t="str">
        <f t="shared" si="71"/>
        <v>Furniture</v>
      </c>
      <c r="V643" s="6" t="s">
        <v>17</v>
      </c>
      <c r="W643" s="6" t="str">
        <f t="shared" si="72"/>
        <v>Furnishings</v>
      </c>
      <c r="X643" s="6" t="s">
        <v>3134</v>
      </c>
      <c r="Y643" s="6" t="s">
        <v>37</v>
      </c>
      <c r="Z643" s="6" t="str">
        <f t="shared" si="73"/>
        <v>Same Day</v>
      </c>
      <c r="AA643" s="6">
        <v>2</v>
      </c>
      <c r="AB643" s="6">
        <v>3202.87</v>
      </c>
      <c r="AC643" s="6">
        <v>0</v>
      </c>
      <c r="AD643" s="6">
        <v>6405.74</v>
      </c>
      <c r="AE643" s="6">
        <v>3561.87</v>
      </c>
      <c r="AF643" s="6">
        <v>2843.87</v>
      </c>
      <c r="AG643" s="6" t="s">
        <v>52</v>
      </c>
      <c r="AH643" s="6" t="str">
        <f t="shared" si="74"/>
        <v>Paid</v>
      </c>
      <c r="AI643" s="6" t="s">
        <v>134</v>
      </c>
      <c r="AJ643" s="6" t="str">
        <f t="shared" si="75"/>
        <v>Completed</v>
      </c>
      <c r="AK643" s="9" t="str">
        <f>_xlfn.TEXTJOIN("|",FALSE,A643,TEXT(B643,"mm-dd-yyyy"),TEXT(E643,"mm-dd-yyyy"),I643,J643,L643,N643,P643,R643,T643,V643,X643,Y643,AA643,AB643,AC643,AD643,AE643,AF643,AG643,AI643)</f>
        <v>ORD-2025-10642|04-09-2025|04-14-2025|CUST-7915|Karan Malhotra|Consumer|North|Delhi|New Delhi|Furniture|Furnishings|Smart Furnishings 783|Same Day|2|3202.87|0|6405.74|3561.87|2843.87|Paid|Completed</v>
      </c>
      <c r="AL643" s="27" t="str">
        <f>IF(COUNTIF($AK$2:AK643,AK643)&gt;1,"Remove exact duplicate copy","Keep")</f>
        <v>Keep</v>
      </c>
      <c r="AM643" s="9">
        <f t="shared" si="76"/>
        <v>1</v>
      </c>
      <c r="AN643" s="9" t="str">
        <f t="shared" si="77"/>
        <v>Unique</v>
      </c>
      <c r="AO643" s="9" t="str">
        <f t="shared" si="78"/>
        <v/>
      </c>
      <c r="AP643" s="9">
        <f t="shared" si="79"/>
        <v>0</v>
      </c>
      <c r="AQ643" s="10">
        <f t="shared" si="80"/>
        <v>6405.74</v>
      </c>
      <c r="AR643" s="10">
        <f t="shared" si="81"/>
        <v>2843.87</v>
      </c>
      <c r="AS643" s="11">
        <f t="shared" si="82"/>
        <v>0.44395651400150488</v>
      </c>
      <c r="AT643" s="9">
        <f t="shared" si="83"/>
        <v>4</v>
      </c>
      <c r="AU643" s="9">
        <f t="shared" si="84"/>
        <v>2025</v>
      </c>
      <c r="AV643" s="9" t="b">
        <f t="shared" si="85"/>
        <v>0</v>
      </c>
      <c r="AW643" s="9" t="b">
        <f t="shared" si="86"/>
        <v>0</v>
      </c>
      <c r="AX643" s="9" t="str">
        <f t="shared" si="87"/>
        <v>Yes</v>
      </c>
      <c r="AY643" s="9" t="str">
        <f t="shared" ref="AY643:AY706" si="93">_xlfn.TEXTJOIN("; ",TRUE,IF(O643="Unknown","Missing region filled as Unknown",""),IF(Z643="Unknown","Missing ship mode filled as Unknown",""),IF(AND(AC643="",AP643=0),"Missing discount treated as 0",""),IF(AP643&lt;0,"Negative discount",""),IF(AP643&gt;0.5,"Discount above 50%",""),IF(G643="Ship date before order date","Ship date before order date",""),IF(AH643="Failed","Failed payment excluded",""),IF(AH643="Refunded","Refunded order summarized separately",""),IF(AJ643="Cancelled","Cancelled order excluded",""),IF(AJ643="Returned","Returned order excluded",""),IF(AO643&lt;&gt;"","Duplicate order ID conflict",""),IF(AV643=TRUE,"Sales mismatch",""),IF(AW643=TRUE,"Profit mismatch",""))</f>
        <v/>
      </c>
      <c r="AZ643" s="9" t="str">
        <f>IF(OR(G643="Missing date",G643="Invalid date",G643="Ship date before order date",NOT(ISNUMBER(AP643)),AP643&lt;0,AP643&gt;0.5,AV643=TRUE,AW643=TRUE),"Invalid",IF(OR(O643="Unknown",Z643="Unknown",AC643="",AH643&lt;&gt;"Paid",AJ643&lt;&gt;"Completed",AO643&lt;&gt;""),"Warning","Clean"))</f>
        <v>Clean</v>
      </c>
    </row>
    <row r="644" spans="1:52" ht="15.75" customHeight="1">
      <c r="A644" s="6" t="s">
        <v>3135</v>
      </c>
      <c r="B644" s="7" t="s">
        <v>2037</v>
      </c>
      <c r="C644" s="7" t="str">
        <f t="shared" si="92"/>
        <v>2024-08</v>
      </c>
      <c r="D644" s="7" cm="1">
        <f t="array" ref="D644">_xlfn.LET(_xlpm.x,B644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45533</v>
      </c>
      <c r="E644" s="7" t="s">
        <v>136</v>
      </c>
      <c r="F644" s="7" cm="1">
        <f t="array" ref="F644">_xlfn.LET(_xlpm.x,E644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45535</v>
      </c>
      <c r="G644" s="8" t="str">
        <f t="shared" si="64"/>
        <v>OK</v>
      </c>
      <c r="H644" s="6">
        <f t="shared" si="65"/>
        <v>2</v>
      </c>
      <c r="I644" s="6" t="s">
        <v>3136</v>
      </c>
      <c r="J644" s="6" t="s">
        <v>147</v>
      </c>
      <c r="K644" s="6" t="str">
        <f t="shared" si="66"/>
        <v>Isha Nair</v>
      </c>
      <c r="L644" s="6" t="s">
        <v>44</v>
      </c>
      <c r="M644" s="8" t="str">
        <f t="shared" si="67"/>
        <v>Home Office</v>
      </c>
      <c r="N644" s="6" t="s">
        <v>8</v>
      </c>
      <c r="O644" s="6" t="str">
        <f t="shared" si="68"/>
        <v>East</v>
      </c>
      <c r="P644" s="6" t="s">
        <v>290</v>
      </c>
      <c r="Q644" s="6" t="str">
        <f t="shared" si="69"/>
        <v>Assam</v>
      </c>
      <c r="R644" s="6" t="s">
        <v>291</v>
      </c>
      <c r="S644" s="6" t="str">
        <f t="shared" si="70"/>
        <v>Guwahati</v>
      </c>
      <c r="T644" s="6" t="s">
        <v>20</v>
      </c>
      <c r="U644" s="8" t="str">
        <f t="shared" si="71"/>
        <v>Office Supplies</v>
      </c>
      <c r="V644" s="6" t="s">
        <v>3137</v>
      </c>
      <c r="W644" s="6" t="str">
        <f t="shared" si="72"/>
        <v>Binders</v>
      </c>
      <c r="X644" s="6" t="s">
        <v>3138</v>
      </c>
      <c r="Y644" s="6" t="s">
        <v>36</v>
      </c>
      <c r="Z644" s="6" t="str">
        <f t="shared" si="73"/>
        <v>Second Class</v>
      </c>
      <c r="AA644" s="6">
        <v>9</v>
      </c>
      <c r="AB644" s="6">
        <v>1275.21</v>
      </c>
      <c r="AC644" s="6">
        <v>0.25</v>
      </c>
      <c r="AD644" s="6">
        <v>8607.67</v>
      </c>
      <c r="AE644" s="6">
        <v>5337.64</v>
      </c>
      <c r="AF644" s="6">
        <v>3270.03</v>
      </c>
      <c r="AG644" s="6" t="s">
        <v>50</v>
      </c>
      <c r="AH644" s="6" t="str">
        <f t="shared" si="74"/>
        <v>Failed</v>
      </c>
      <c r="AI644" s="6" t="s">
        <v>59</v>
      </c>
      <c r="AJ644" s="6" t="str">
        <f t="shared" si="75"/>
        <v>Returned</v>
      </c>
      <c r="AK644" s="9" t="str">
        <f>_xlfn.TEXTJOIN("|",FALSE,A644,TEXT(B644,"mm-dd-yyyy"),TEXT(E644,"mm-dd-yyyy"),I644,J644,L644,N644,P644,R644,T644,V644,X644,Y644,AA644,AB644,AC644,AD644,AE644,AF644,AG644,AI644)</f>
        <v>ORD-2024-10643|08-29-2024|08-31-2024|CUST-1940|Isha Nair|Home Office|East|Assam|Guwahati|Office Supplies|binders|Prime Binders 287|Second Class|9|1275.21|0.25|8607.67|5337.64|3270.03|Failed|Returned</v>
      </c>
      <c r="AL644" s="27" t="str">
        <f>IF(COUNTIF($AK$2:AK644,AK644)&gt;1,"Remove exact duplicate copy","Keep")</f>
        <v>Keep</v>
      </c>
      <c r="AM644" s="9">
        <f t="shared" si="76"/>
        <v>1</v>
      </c>
      <c r="AN644" s="9" t="str">
        <f t="shared" si="77"/>
        <v>Unique</v>
      </c>
      <c r="AO644" s="9" t="str">
        <f t="shared" si="78"/>
        <v/>
      </c>
      <c r="AP644" s="9">
        <f t="shared" si="79"/>
        <v>0.25</v>
      </c>
      <c r="AQ644" s="10">
        <f t="shared" si="80"/>
        <v>8607.6674999999996</v>
      </c>
      <c r="AR644" s="10">
        <f t="shared" si="81"/>
        <v>3270.0274999999992</v>
      </c>
      <c r="AS644" s="11">
        <f t="shared" si="82"/>
        <v>0.37989705108846261</v>
      </c>
      <c r="AT644" s="9">
        <f t="shared" si="83"/>
        <v>8</v>
      </c>
      <c r="AU644" s="9">
        <f t="shared" si="84"/>
        <v>2024</v>
      </c>
      <c r="AV644" s="9" t="b">
        <f t="shared" si="85"/>
        <v>0</v>
      </c>
      <c r="AW644" s="9" t="b">
        <f t="shared" si="86"/>
        <v>0</v>
      </c>
      <c r="AX644" s="9" t="str">
        <f t="shared" si="87"/>
        <v>No</v>
      </c>
      <c r="AY644" s="9" t="str">
        <f t="shared" si="93"/>
        <v>Failed payment excluded; Returned order excluded</v>
      </c>
      <c r="AZ644" s="9" t="str">
        <f>IF(OR(G644="Missing date",G644="Invalid date",G644="Ship date before order date",NOT(ISNUMBER(AP644)),AP644&lt;0,AP644&gt;0.5,AV644=TRUE,AW644=TRUE),"Invalid",IF(OR(O644="Unknown",Z644="Unknown",AC644="",AH644&lt;&gt;"Paid",AJ644&lt;&gt;"Completed",AO644&lt;&gt;""),"Warning","Clean"))</f>
        <v>Warning</v>
      </c>
    </row>
    <row r="645" spans="1:52" ht="15.75" customHeight="1">
      <c r="A645" s="6" t="s">
        <v>3139</v>
      </c>
      <c r="B645" s="7" t="s">
        <v>3140</v>
      </c>
      <c r="C645" s="7" t="str">
        <f t="shared" si="92"/>
        <v>2024-02</v>
      </c>
      <c r="D645" s="7" cm="1">
        <f t="array" ref="D645">_xlfn.LET(_xlpm.x,B645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45327</v>
      </c>
      <c r="E645" s="7" t="s">
        <v>3141</v>
      </c>
      <c r="F645" s="7" cm="1">
        <f t="array" ref="F645">_xlfn.LET(_xlpm.x,E645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45335</v>
      </c>
      <c r="G645" s="8" t="str">
        <f t="shared" si="64"/>
        <v>OK</v>
      </c>
      <c r="H645" s="6">
        <f t="shared" si="65"/>
        <v>8</v>
      </c>
      <c r="I645" s="6" t="s">
        <v>1179</v>
      </c>
      <c r="J645" s="6" t="s">
        <v>239</v>
      </c>
      <c r="K645" s="6" t="str">
        <f t="shared" si="66"/>
        <v>Aarav Sharma</v>
      </c>
      <c r="L645" s="6" t="s">
        <v>44</v>
      </c>
      <c r="M645" s="8" t="str">
        <f t="shared" si="67"/>
        <v>Home Office</v>
      </c>
      <c r="N645" s="6" t="s">
        <v>7</v>
      </c>
      <c r="O645" s="6" t="str">
        <f t="shared" si="68"/>
        <v>North</v>
      </c>
      <c r="P645" s="6" t="s">
        <v>251</v>
      </c>
      <c r="Q645" s="6" t="str">
        <f t="shared" si="69"/>
        <v>Uttar Pradesh</v>
      </c>
      <c r="R645" s="6" t="s">
        <v>252</v>
      </c>
      <c r="S645" s="6" t="str">
        <f t="shared" si="70"/>
        <v>Noida</v>
      </c>
      <c r="T645" s="6" t="s">
        <v>20</v>
      </c>
      <c r="U645" s="8" t="str">
        <f t="shared" si="71"/>
        <v>Office Supplies</v>
      </c>
      <c r="V645" s="6" t="s">
        <v>23</v>
      </c>
      <c r="W645" s="6" t="str">
        <f t="shared" si="72"/>
        <v>Labels</v>
      </c>
      <c r="X645" s="6" t="s">
        <v>3142</v>
      </c>
      <c r="Y645" s="6" t="s">
        <v>34</v>
      </c>
      <c r="Z645" s="6" t="str">
        <f t="shared" si="73"/>
        <v>Standard Class</v>
      </c>
      <c r="AA645" s="6">
        <v>8</v>
      </c>
      <c r="AB645" s="6">
        <v>3871.18</v>
      </c>
      <c r="AC645" s="6">
        <v>0.15</v>
      </c>
      <c r="AD645" s="6">
        <v>26324.02</v>
      </c>
      <c r="AE645" s="6">
        <v>16277.96</v>
      </c>
      <c r="AF645" s="6">
        <v>10046.06</v>
      </c>
      <c r="AG645" s="6" t="s">
        <v>50</v>
      </c>
      <c r="AH645" s="6" t="str">
        <f t="shared" si="74"/>
        <v>Failed</v>
      </c>
      <c r="AI645" s="6" t="s">
        <v>59</v>
      </c>
      <c r="AJ645" s="6" t="str">
        <f t="shared" si="75"/>
        <v>Returned</v>
      </c>
      <c r="AK645" s="9" t="str">
        <f>_xlfn.TEXTJOIN("|",FALSE,A645,TEXT(B645,"mm-dd-yyyy"),TEXT(E645,"mm-dd-yyyy"),I645,J645,L645,N645,P645,R645,T645,V645,X645,Y645,AA645,AB645,AC645,AD645,AE645,AF645,AG645,AI645)</f>
        <v>ORD-2024-10644|05-02-2024|02-13-2024|CUST-1986|Aarav Sharma|Home Office|North|Uttar Pradesh|Noida|Office Supplies|Labels|Elite Labels 654|Standard Class|8|3871.18|0.15|26324.02|16277.96|10046.06|Failed|Returned</v>
      </c>
      <c r="AL645" s="27" t="str">
        <f>IF(COUNTIF($AK$2:AK645,AK645)&gt;1,"Remove exact duplicate copy","Keep")</f>
        <v>Keep</v>
      </c>
      <c r="AM645" s="9">
        <f t="shared" si="76"/>
        <v>1</v>
      </c>
      <c r="AN645" s="9" t="str">
        <f t="shared" si="77"/>
        <v>Unique</v>
      </c>
      <c r="AO645" s="9" t="str">
        <f t="shared" si="78"/>
        <v/>
      </c>
      <c r="AP645" s="9">
        <f t="shared" si="79"/>
        <v>0.15</v>
      </c>
      <c r="AQ645" s="10">
        <f t="shared" si="80"/>
        <v>26324.023999999998</v>
      </c>
      <c r="AR645" s="10">
        <f t="shared" si="81"/>
        <v>10046.063999999998</v>
      </c>
      <c r="AS645" s="11">
        <f t="shared" si="82"/>
        <v>0.3816310150758106</v>
      </c>
      <c r="AT645" s="9">
        <f t="shared" si="83"/>
        <v>2</v>
      </c>
      <c r="AU645" s="9">
        <f t="shared" si="84"/>
        <v>2024</v>
      </c>
      <c r="AV645" s="9" t="b">
        <f t="shared" si="85"/>
        <v>0</v>
      </c>
      <c r="AW645" s="9" t="b">
        <f t="shared" si="86"/>
        <v>0</v>
      </c>
      <c r="AX645" s="9" t="str">
        <f t="shared" si="87"/>
        <v>No</v>
      </c>
      <c r="AY645" s="9" t="str">
        <f t="shared" si="93"/>
        <v>Failed payment excluded; Returned order excluded</v>
      </c>
      <c r="AZ645" s="9" t="str">
        <f>IF(OR(G645="Missing date",G645="Invalid date",G645="Ship date before order date",NOT(ISNUMBER(AP645)),AP645&lt;0,AP645&gt;0.5,AV645=TRUE,AW645=TRUE),"Invalid",IF(OR(O645="Unknown",Z645="Unknown",AC645="",AH645&lt;&gt;"Paid",AJ645&lt;&gt;"Completed",AO645&lt;&gt;""),"Warning","Clean"))</f>
        <v>Warning</v>
      </c>
    </row>
    <row r="646" spans="1:52" ht="15.75" customHeight="1">
      <c r="A646" s="6" t="s">
        <v>3143</v>
      </c>
      <c r="B646" s="7" t="s">
        <v>2684</v>
      </c>
      <c r="C646" s="7" t="str">
        <f t="shared" si="92"/>
        <v>2025-04</v>
      </c>
      <c r="D646" s="7" cm="1">
        <f t="array" ref="D646">_xlfn.LET(_xlpm.x,B646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45757</v>
      </c>
      <c r="E646" s="7" t="s">
        <v>3144</v>
      </c>
      <c r="F646" s="7" cm="1">
        <f t="array" ref="F646">_xlfn.LET(_xlpm.x,E646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45764</v>
      </c>
      <c r="G646" s="8" t="str">
        <f t="shared" si="64"/>
        <v>OK</v>
      </c>
      <c r="H646" s="6">
        <f t="shared" si="65"/>
        <v>7</v>
      </c>
      <c r="I646" s="6" t="s">
        <v>3145</v>
      </c>
      <c r="J646" s="6" t="s">
        <v>169</v>
      </c>
      <c r="K646" s="6" t="str">
        <f t="shared" si="66"/>
        <v>Vikram Iyer</v>
      </c>
      <c r="L646" s="6" t="s">
        <v>43</v>
      </c>
      <c r="M646" s="8" t="str">
        <f t="shared" si="67"/>
        <v>Consumer</v>
      </c>
      <c r="N646" s="6" t="s">
        <v>8</v>
      </c>
      <c r="O646" s="6" t="str">
        <f t="shared" si="68"/>
        <v>East</v>
      </c>
      <c r="P646" s="6" t="s">
        <v>201</v>
      </c>
      <c r="Q646" s="6" t="str">
        <f t="shared" si="69"/>
        <v>West Bengal</v>
      </c>
      <c r="R646" s="6" t="s">
        <v>202</v>
      </c>
      <c r="S646" s="6" t="str">
        <f t="shared" si="70"/>
        <v>Kolkata</v>
      </c>
      <c r="T646" s="6" t="s">
        <v>14</v>
      </c>
      <c r="U646" s="8" t="str">
        <f t="shared" si="71"/>
        <v>Furniture</v>
      </c>
      <c r="V646" s="6" t="s">
        <v>16</v>
      </c>
      <c r="W646" s="6" t="str">
        <f t="shared" si="72"/>
        <v>Chairs</v>
      </c>
      <c r="X646" s="6" t="s">
        <v>3146</v>
      </c>
      <c r="Y646" s="6" t="s">
        <v>34</v>
      </c>
      <c r="Z646" s="6" t="str">
        <f t="shared" si="73"/>
        <v>Standard Class</v>
      </c>
      <c r="AA646" s="6">
        <v>4</v>
      </c>
      <c r="AB646" s="6">
        <v>3750.02</v>
      </c>
      <c r="AC646" s="6">
        <v>0.05</v>
      </c>
      <c r="AD646" s="6">
        <v>14250.08</v>
      </c>
      <c r="AE646" s="6">
        <v>10914.92</v>
      </c>
      <c r="AF646" s="6">
        <v>3335.16</v>
      </c>
      <c r="AG646" s="6" t="s">
        <v>52</v>
      </c>
      <c r="AH646" s="6" t="str">
        <f t="shared" si="74"/>
        <v>Paid</v>
      </c>
      <c r="AI646" s="6" t="s">
        <v>134</v>
      </c>
      <c r="AJ646" s="6" t="str">
        <f t="shared" si="75"/>
        <v>Completed</v>
      </c>
      <c r="AK646" s="9" t="str">
        <f>_xlfn.TEXTJOIN("|",FALSE,A646,TEXT(B646,"mm-dd-yyyy"),TEXT(E646,"mm-dd-yyyy"),I646,J646,L646,N646,P646,R646,T646,V646,X646,Y646,AA646,AB646,AC646,AD646,AE646,AF646,AG646,AI646)</f>
        <v>ORD-2025-10645|04-10-2025|04-17-2025|CUST-5549|Vikram Iyer|Consumer|East|West Bengal|Kolkata|Furniture|Chairs|Pro Chairs 812|Standard Class|4|3750.02|0.05|14250.08|10914.92|3335.16|Paid|Completed</v>
      </c>
      <c r="AL646" s="27" t="str">
        <f>IF(COUNTIF($AK$2:AK646,AK646)&gt;1,"Remove exact duplicate copy","Keep")</f>
        <v>Keep</v>
      </c>
      <c r="AM646" s="9">
        <f t="shared" si="76"/>
        <v>1</v>
      </c>
      <c r="AN646" s="9" t="str">
        <f t="shared" si="77"/>
        <v>Unique</v>
      </c>
      <c r="AO646" s="9" t="str">
        <f t="shared" si="78"/>
        <v/>
      </c>
      <c r="AP646" s="9">
        <f t="shared" si="79"/>
        <v>0.05</v>
      </c>
      <c r="AQ646" s="10">
        <f t="shared" si="80"/>
        <v>14250.075999999999</v>
      </c>
      <c r="AR646" s="10">
        <f t="shared" si="81"/>
        <v>3335.155999999999</v>
      </c>
      <c r="AS646" s="11">
        <f t="shared" si="82"/>
        <v>0.23404478684885605</v>
      </c>
      <c r="AT646" s="9">
        <f t="shared" si="83"/>
        <v>4</v>
      </c>
      <c r="AU646" s="9">
        <f t="shared" si="84"/>
        <v>2025</v>
      </c>
      <c r="AV646" s="9" t="b">
        <f t="shared" si="85"/>
        <v>0</v>
      </c>
      <c r="AW646" s="9" t="b">
        <f t="shared" si="86"/>
        <v>0</v>
      </c>
      <c r="AX646" s="9" t="str">
        <f t="shared" si="87"/>
        <v>Yes</v>
      </c>
      <c r="AY646" s="9" t="str">
        <f t="shared" si="93"/>
        <v/>
      </c>
      <c r="AZ646" s="9" t="str">
        <f>IF(OR(G646="Missing date",G646="Invalid date",G646="Ship date before order date",NOT(ISNUMBER(AP646)),AP646&lt;0,AP646&gt;0.5,AV646=TRUE,AW646=TRUE),"Invalid",IF(OR(O646="Unknown",Z646="Unknown",AC646="",AH646&lt;&gt;"Paid",AJ646&lt;&gt;"Completed",AO646&lt;&gt;""),"Warning","Clean"))</f>
        <v>Clean</v>
      </c>
    </row>
    <row r="647" spans="1:52" ht="15.75" customHeight="1">
      <c r="A647" s="6" t="s">
        <v>3147</v>
      </c>
      <c r="B647" s="7" t="s">
        <v>3148</v>
      </c>
      <c r="C647" s="7" t="str">
        <f t="shared" si="92"/>
        <v>2024-01</v>
      </c>
      <c r="D647" s="7" cm="1">
        <f t="array" ref="D647">_xlfn.LET(_xlpm.x,B647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45295</v>
      </c>
      <c r="E647" s="7" t="s">
        <v>2838</v>
      </c>
      <c r="F647" s="7" cm="1">
        <f t="array" ref="F647">_xlfn.LET(_xlpm.x,E647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45300</v>
      </c>
      <c r="G647" s="8" t="str">
        <f t="shared" si="64"/>
        <v>OK</v>
      </c>
      <c r="H647" s="6">
        <f t="shared" si="65"/>
        <v>5</v>
      </c>
      <c r="I647" s="6" t="s">
        <v>3149</v>
      </c>
      <c r="J647" s="6" t="s">
        <v>442</v>
      </c>
      <c r="K647" s="6" t="str">
        <f t="shared" si="66"/>
        <v>Kabir Singh</v>
      </c>
      <c r="L647" s="6" t="s">
        <v>43</v>
      </c>
      <c r="M647" s="8" t="str">
        <f t="shared" si="67"/>
        <v>Consumer</v>
      </c>
      <c r="N647" s="6" t="s">
        <v>8</v>
      </c>
      <c r="O647" s="6" t="str">
        <f t="shared" si="68"/>
        <v>East</v>
      </c>
      <c r="P647" s="6" t="s">
        <v>263</v>
      </c>
      <c r="Q647" s="6" t="str">
        <f t="shared" si="69"/>
        <v>Bihar</v>
      </c>
      <c r="R647" s="6" t="s">
        <v>264</v>
      </c>
      <c r="S647" s="6" t="str">
        <f t="shared" si="70"/>
        <v>Patna</v>
      </c>
      <c r="T647" s="6" t="s">
        <v>14</v>
      </c>
      <c r="U647" s="8" t="str">
        <f t="shared" si="71"/>
        <v>Furniture</v>
      </c>
      <c r="V647" s="6" t="s">
        <v>16</v>
      </c>
      <c r="W647" s="6" t="str">
        <f t="shared" si="72"/>
        <v>Chairs</v>
      </c>
      <c r="X647" s="6" t="s">
        <v>3150</v>
      </c>
      <c r="Y647" s="6" t="s">
        <v>36</v>
      </c>
      <c r="Z647" s="6" t="str">
        <f t="shared" si="73"/>
        <v>Second Class</v>
      </c>
      <c r="AA647" s="6">
        <v>6</v>
      </c>
      <c r="AB647" s="6">
        <v>2423.61</v>
      </c>
      <c r="AC647" s="6">
        <v>0.1</v>
      </c>
      <c r="AD647" s="6">
        <v>13087.49</v>
      </c>
      <c r="AE647" s="6">
        <v>7608.89</v>
      </c>
      <c r="AF647" s="6">
        <v>5133.22</v>
      </c>
      <c r="AG647" s="6" t="s">
        <v>52</v>
      </c>
      <c r="AH647" s="6" t="str">
        <f t="shared" si="74"/>
        <v>Paid</v>
      </c>
      <c r="AI647" s="6" t="s">
        <v>134</v>
      </c>
      <c r="AJ647" s="6" t="str">
        <f t="shared" si="75"/>
        <v>Completed</v>
      </c>
      <c r="AK647" s="9" t="str">
        <f>_xlfn.TEXTJOIN("|",FALSE,A647,TEXT(B647,"mm-dd-yyyy"),TEXT(E647,"mm-dd-yyyy"),I647,J647,L647,N647,P647,R647,T647,V647,X647,Y647,AA647,AB647,AC647,AD647,AE647,AF647,AG647,AI647)</f>
        <v>ORD-2024-10646|01-04-2024|09-01-2024|CUST-2314|Kabir Singh|Consumer|East|Bihar|Patna|Furniture|Chairs|Basic Chairs 480|Second Class|6|2423.61|0.1|13087.49|7608.89|5133.22|Paid|Completed</v>
      </c>
      <c r="AL647" s="27" t="str">
        <f>IF(COUNTIF($AK$2:AK647,AK647)&gt;1,"Remove exact duplicate copy","Keep")</f>
        <v>Keep</v>
      </c>
      <c r="AM647" s="9">
        <f t="shared" si="76"/>
        <v>1</v>
      </c>
      <c r="AN647" s="9" t="str">
        <f t="shared" si="77"/>
        <v>Unique</v>
      </c>
      <c r="AO647" s="9" t="str">
        <f t="shared" si="78"/>
        <v/>
      </c>
      <c r="AP647" s="9">
        <f t="shared" si="79"/>
        <v>0.1</v>
      </c>
      <c r="AQ647" s="10">
        <f t="shared" si="80"/>
        <v>13087.494000000001</v>
      </c>
      <c r="AR647" s="10">
        <f t="shared" si="81"/>
        <v>5478.6040000000003</v>
      </c>
      <c r="AS647" s="11">
        <f t="shared" si="82"/>
        <v>0.41861367806548755</v>
      </c>
      <c r="AT647" s="9">
        <f t="shared" si="83"/>
        <v>1</v>
      </c>
      <c r="AU647" s="9">
        <f t="shared" si="84"/>
        <v>2024</v>
      </c>
      <c r="AV647" s="9" t="b">
        <f t="shared" si="85"/>
        <v>0</v>
      </c>
      <c r="AW647" s="9" t="b">
        <f t="shared" si="86"/>
        <v>1</v>
      </c>
      <c r="AX647" s="9" t="str">
        <f t="shared" si="87"/>
        <v>No</v>
      </c>
      <c r="AY647" s="9" t="str">
        <f t="shared" si="93"/>
        <v>Profit mismatch</v>
      </c>
      <c r="AZ647" s="9" t="str">
        <f>IF(OR(G647="Missing date",G647="Invalid date",G647="Ship date before order date",NOT(ISNUMBER(AP647)),AP647&lt;0,AP647&gt;0.5,AV647=TRUE,AW647=TRUE),"Invalid",IF(OR(O647="Unknown",Z647="Unknown",AC647="",AH647&lt;&gt;"Paid",AJ647&lt;&gt;"Completed",AO647&lt;&gt;""),"Warning","Clean"))</f>
        <v>Invalid</v>
      </c>
    </row>
    <row r="648" spans="1:52" ht="15.75" customHeight="1">
      <c r="A648" s="6" t="s">
        <v>3151</v>
      </c>
      <c r="B648" s="7" t="s">
        <v>3152</v>
      </c>
      <c r="C648" s="7" t="str">
        <f t="shared" si="92"/>
        <v>2024-09</v>
      </c>
      <c r="D648" s="7" cm="1">
        <f t="array" ref="D648">_xlfn.LET(_xlpm.x,B648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45553</v>
      </c>
      <c r="E648" s="7" t="s">
        <v>3153</v>
      </c>
      <c r="F648" s="7" cm="1">
        <f t="array" ref="F648">_xlfn.LET(_xlpm.x,E648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45559</v>
      </c>
      <c r="G648" s="8" t="str">
        <f t="shared" si="64"/>
        <v>OK</v>
      </c>
      <c r="H648" s="6">
        <f t="shared" si="65"/>
        <v>6</v>
      </c>
      <c r="I648" s="6" t="s">
        <v>3154</v>
      </c>
      <c r="J648" s="6" t="s">
        <v>169</v>
      </c>
      <c r="K648" s="6" t="str">
        <f t="shared" si="66"/>
        <v>Vikram Iyer</v>
      </c>
      <c r="L648" s="6" t="s">
        <v>46</v>
      </c>
      <c r="M648" s="8" t="str">
        <f t="shared" si="67"/>
        <v>Small Business</v>
      </c>
      <c r="N648" s="6" t="s">
        <v>8</v>
      </c>
      <c r="O648" s="6" t="str">
        <f t="shared" si="68"/>
        <v>East</v>
      </c>
      <c r="P648" s="6" t="s">
        <v>385</v>
      </c>
      <c r="Q648" s="6" t="str">
        <f t="shared" si="69"/>
        <v>Jharkhand</v>
      </c>
      <c r="R648" s="6" t="s">
        <v>386</v>
      </c>
      <c r="S648" s="6" t="str">
        <f t="shared" si="70"/>
        <v>Ranchi</v>
      </c>
      <c r="T648" s="6" t="s">
        <v>27</v>
      </c>
      <c r="U648" s="8" t="str">
        <f t="shared" si="71"/>
        <v>Technology</v>
      </c>
      <c r="V648" s="6" t="s">
        <v>30</v>
      </c>
      <c r="W648" s="6" t="str">
        <f t="shared" si="72"/>
        <v>Machines</v>
      </c>
      <c r="X648" s="6" t="s">
        <v>3155</v>
      </c>
      <c r="Y648" s="6" t="s">
        <v>35</v>
      </c>
      <c r="Z648" s="6" t="str">
        <f t="shared" si="73"/>
        <v>First Class</v>
      </c>
      <c r="AA648" s="6">
        <v>3</v>
      </c>
      <c r="AB648" s="6">
        <v>729.14</v>
      </c>
      <c r="AC648" s="6">
        <v>0.25</v>
      </c>
      <c r="AD648" s="6">
        <v>1640.57</v>
      </c>
      <c r="AE648" s="6">
        <v>1136.98</v>
      </c>
      <c r="AF648" s="6">
        <v>503.59</v>
      </c>
      <c r="AG648" s="6" t="s">
        <v>52</v>
      </c>
      <c r="AH648" s="6" t="str">
        <f t="shared" si="74"/>
        <v>Paid</v>
      </c>
      <c r="AI648" s="6" t="s">
        <v>134</v>
      </c>
      <c r="AJ648" s="6" t="str">
        <f t="shared" si="75"/>
        <v>Completed</v>
      </c>
      <c r="AK648" s="9" t="str">
        <f>_xlfn.TEXTJOIN("|",FALSE,A648,TEXT(B648,"mm-dd-yyyy"),TEXT(E648,"mm-dd-yyyy"),I648,J648,L648,N648,P648,R648,T648,V648,X648,Y648,AA648,AB648,AC648,AD648,AE648,AF648,AG648,AI648)</f>
        <v>ORD-2024-10647|09-18-2024|24-09-2024|CUST-6360|Vikram Iyer|Small Business|East|Jharkhand|Ranchi|Technology|Machines|Elite Machines 955|First Class|3|729.14|0.25|1640.57|1136.98|503.59|Paid|Completed</v>
      </c>
      <c r="AL648" s="27" t="str">
        <f>IF(COUNTIF($AK$2:AK648,AK648)&gt;1,"Remove exact duplicate copy","Keep")</f>
        <v>Keep</v>
      </c>
      <c r="AM648" s="9">
        <f t="shared" si="76"/>
        <v>1</v>
      </c>
      <c r="AN648" s="9" t="str">
        <f t="shared" si="77"/>
        <v>Unique</v>
      </c>
      <c r="AO648" s="9" t="str">
        <f t="shared" si="78"/>
        <v/>
      </c>
      <c r="AP648" s="9">
        <f t="shared" si="79"/>
        <v>0.25</v>
      </c>
      <c r="AQ648" s="10">
        <f t="shared" si="80"/>
        <v>1640.5650000000001</v>
      </c>
      <c r="AR648" s="10">
        <f t="shared" si="81"/>
        <v>503.58500000000004</v>
      </c>
      <c r="AS648" s="11">
        <f t="shared" si="82"/>
        <v>0.30695827352162214</v>
      </c>
      <c r="AT648" s="9">
        <f t="shared" si="83"/>
        <v>9</v>
      </c>
      <c r="AU648" s="9">
        <f t="shared" si="84"/>
        <v>2024</v>
      </c>
      <c r="AV648" s="9" t="b">
        <f t="shared" si="85"/>
        <v>0</v>
      </c>
      <c r="AW648" s="9" t="b">
        <f t="shared" si="86"/>
        <v>0</v>
      </c>
      <c r="AX648" s="9" t="str">
        <f t="shared" si="87"/>
        <v>Yes</v>
      </c>
      <c r="AY648" s="9" t="str">
        <f t="shared" si="93"/>
        <v/>
      </c>
      <c r="AZ648" s="9" t="str">
        <f>IF(OR(G648="Missing date",G648="Invalid date",G648="Ship date before order date",NOT(ISNUMBER(AP648)),AP648&lt;0,AP648&gt;0.5,AV648=TRUE,AW648=TRUE),"Invalid",IF(OR(O648="Unknown",Z648="Unknown",AC648="",AH648&lt;&gt;"Paid",AJ648&lt;&gt;"Completed",AO648&lt;&gt;""),"Warning","Clean"))</f>
        <v>Clean</v>
      </c>
    </row>
    <row r="649" spans="1:52" ht="15.75" customHeight="1">
      <c r="A649" s="6" t="s">
        <v>3156</v>
      </c>
      <c r="B649" s="7" t="s">
        <v>1414</v>
      </c>
      <c r="C649" s="7" t="str">
        <f t="shared" si="92"/>
        <v>2025-01</v>
      </c>
      <c r="D649" s="7" cm="1">
        <f t="array" ref="D649">_xlfn.LET(_xlpm.x,B649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45658</v>
      </c>
      <c r="E649" s="7" t="s">
        <v>3157</v>
      </c>
      <c r="F649" s="7" cm="1">
        <f t="array" ref="F649">_xlfn.LET(_xlpm.x,E649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45666</v>
      </c>
      <c r="G649" s="8" t="str">
        <f t="shared" si="64"/>
        <v>OK</v>
      </c>
      <c r="H649" s="6">
        <f t="shared" si="65"/>
        <v>8</v>
      </c>
      <c r="I649" s="6" t="s">
        <v>3158</v>
      </c>
      <c r="J649" s="6" t="s">
        <v>3159</v>
      </c>
      <c r="K649" s="6" t="str">
        <f t="shared" si="66"/>
        <v>Rohan Mehta</v>
      </c>
      <c r="L649" s="6" t="s">
        <v>46</v>
      </c>
      <c r="M649" s="8" t="str">
        <f t="shared" si="67"/>
        <v>Small Business</v>
      </c>
      <c r="N649" s="6" t="s">
        <v>7</v>
      </c>
      <c r="O649" s="6" t="str">
        <f t="shared" si="68"/>
        <v>North</v>
      </c>
      <c r="P649" s="6" t="s">
        <v>232</v>
      </c>
      <c r="Q649" s="6" t="str">
        <f t="shared" si="69"/>
        <v>Punjab</v>
      </c>
      <c r="R649" s="6" t="s">
        <v>233</v>
      </c>
      <c r="S649" s="6" t="str">
        <f t="shared" si="70"/>
        <v>Ludhiana</v>
      </c>
      <c r="T649" s="6" t="s">
        <v>20</v>
      </c>
      <c r="U649" s="8" t="str">
        <f t="shared" si="71"/>
        <v>Office Supplies</v>
      </c>
      <c r="V649" s="6" t="s">
        <v>21</v>
      </c>
      <c r="W649" s="6" t="str">
        <f t="shared" si="72"/>
        <v>Art</v>
      </c>
      <c r="X649" s="6" t="s">
        <v>3160</v>
      </c>
      <c r="Y649" s="6" t="s">
        <v>35</v>
      </c>
      <c r="Z649" s="6" t="str">
        <f t="shared" si="73"/>
        <v>First Class</v>
      </c>
      <c r="AA649" s="6">
        <v>8</v>
      </c>
      <c r="AB649" s="6">
        <v>2123.81</v>
      </c>
      <c r="AC649" s="6">
        <v>0.15</v>
      </c>
      <c r="AD649" s="6">
        <v>14441.91</v>
      </c>
      <c r="AE649" s="6">
        <v>10872.89</v>
      </c>
      <c r="AF649" s="6">
        <v>3569.02</v>
      </c>
      <c r="AG649" s="6" t="s">
        <v>52</v>
      </c>
      <c r="AH649" s="6" t="str">
        <f t="shared" si="74"/>
        <v>Paid</v>
      </c>
      <c r="AI649" s="6" t="s">
        <v>134</v>
      </c>
      <c r="AJ649" s="6" t="str">
        <f t="shared" si="75"/>
        <v>Completed</v>
      </c>
      <c r="AK649" s="9" t="str">
        <f>_xlfn.TEXTJOIN("|",FALSE,A649,TEXT(B649,"mm-dd-yyyy"),TEXT(E649,"mm-dd-yyyy"),I649,J649,L649,N649,P649,R649,T649,V649,X649,Y649,AA649,AB649,AC649,AD649,AE649,AF649,AG649,AI649)</f>
        <v>ORD-2025-10648|01-01-2025|09-01-2025|CUST-9942|Rohan  Mehta|Small Business|North|Punjab|Ludhiana|Office Supplies|Art|Prime Art 461|First Class|8|2123.81|0.15|14441.91|10872.89|3569.02|Paid|Completed</v>
      </c>
      <c r="AL649" s="27" t="str">
        <f>IF(COUNTIF($AK$2:AK649,AK649)&gt;1,"Remove exact duplicate copy","Keep")</f>
        <v>Keep</v>
      </c>
      <c r="AM649" s="9">
        <f t="shared" si="76"/>
        <v>1</v>
      </c>
      <c r="AN649" s="9" t="str">
        <f t="shared" si="77"/>
        <v>Unique</v>
      </c>
      <c r="AO649" s="9" t="str">
        <f t="shared" si="78"/>
        <v/>
      </c>
      <c r="AP649" s="9">
        <f t="shared" si="79"/>
        <v>0.15</v>
      </c>
      <c r="AQ649" s="10">
        <f t="shared" si="80"/>
        <v>14441.907999999999</v>
      </c>
      <c r="AR649" s="10">
        <f t="shared" si="81"/>
        <v>3569.018</v>
      </c>
      <c r="AS649" s="11">
        <f t="shared" si="82"/>
        <v>0.24712925743606731</v>
      </c>
      <c r="AT649" s="9">
        <f t="shared" si="83"/>
        <v>1</v>
      </c>
      <c r="AU649" s="9">
        <f t="shared" si="84"/>
        <v>2025</v>
      </c>
      <c r="AV649" s="9" t="b">
        <f t="shared" si="85"/>
        <v>0</v>
      </c>
      <c r="AW649" s="9" t="b">
        <f t="shared" si="86"/>
        <v>0</v>
      </c>
      <c r="AX649" s="9" t="str">
        <f t="shared" si="87"/>
        <v>Yes</v>
      </c>
      <c r="AY649" s="9" t="str">
        <f t="shared" si="93"/>
        <v/>
      </c>
      <c r="AZ649" s="9" t="str">
        <f>IF(OR(G649="Missing date",G649="Invalid date",G649="Ship date before order date",NOT(ISNUMBER(AP649)),AP649&lt;0,AP649&gt;0.5,AV649=TRUE,AW649=TRUE),"Invalid",IF(OR(O649="Unknown",Z649="Unknown",AC649="",AH649&lt;&gt;"Paid",AJ649&lt;&gt;"Completed",AO649&lt;&gt;""),"Warning","Clean"))</f>
        <v>Clean</v>
      </c>
    </row>
    <row r="650" spans="1:52" ht="15.75" customHeight="1">
      <c r="A650" s="6" t="s">
        <v>3161</v>
      </c>
      <c r="B650" s="7" t="s">
        <v>3162</v>
      </c>
      <c r="C650" s="7" t="str">
        <f t="shared" si="92"/>
        <v>2024-04</v>
      </c>
      <c r="D650" s="7" cm="1">
        <f t="array" ref="D650">_xlfn.LET(_xlpm.x,B650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45403</v>
      </c>
      <c r="E650" s="7" t="s">
        <v>433</v>
      </c>
      <c r="F650" s="7" cm="1">
        <f t="array" ref="F650">_xlfn.LET(_xlpm.x,E650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45406</v>
      </c>
      <c r="G650" s="8" t="str">
        <f t="shared" si="64"/>
        <v>OK</v>
      </c>
      <c r="H650" s="6">
        <f t="shared" si="65"/>
        <v>3</v>
      </c>
      <c r="I650" s="6" t="s">
        <v>3163</v>
      </c>
      <c r="J650" s="6" t="s">
        <v>177</v>
      </c>
      <c r="K650" s="6" t="str">
        <f t="shared" si="66"/>
        <v>Neha Gupta</v>
      </c>
      <c r="L650" s="6" t="s">
        <v>46</v>
      </c>
      <c r="M650" s="8" t="str">
        <f t="shared" si="67"/>
        <v>Small Business</v>
      </c>
      <c r="N650" s="6" t="s">
        <v>10</v>
      </c>
      <c r="O650" s="6" t="str">
        <f t="shared" si="68"/>
        <v>South</v>
      </c>
      <c r="P650" s="6" t="s">
        <v>183</v>
      </c>
      <c r="Q650" s="6" t="str">
        <f t="shared" si="69"/>
        <v>Andhra Pradesh</v>
      </c>
      <c r="R650" s="6" t="s">
        <v>184</v>
      </c>
      <c r="S650" s="6" t="str">
        <f t="shared" si="70"/>
        <v>Vijayawada</v>
      </c>
      <c r="T650" s="6" t="s">
        <v>20</v>
      </c>
      <c r="U650" s="8" t="str">
        <f t="shared" si="71"/>
        <v>Office Supplies</v>
      </c>
      <c r="V650" s="6" t="s">
        <v>21</v>
      </c>
      <c r="W650" s="6" t="str">
        <f t="shared" si="72"/>
        <v>Art</v>
      </c>
      <c r="X650" s="6" t="s">
        <v>3164</v>
      </c>
      <c r="Y650" s="6" t="s">
        <v>37</v>
      </c>
      <c r="Z650" s="6" t="str">
        <f t="shared" si="73"/>
        <v>Same Day</v>
      </c>
      <c r="AA650" s="6">
        <v>9</v>
      </c>
      <c r="AB650" s="6">
        <v>703.59</v>
      </c>
      <c r="AC650" s="6">
        <v>0.2</v>
      </c>
      <c r="AD650" s="6">
        <v>5065.8500000000004</v>
      </c>
      <c r="AE650" s="6">
        <v>3517.23</v>
      </c>
      <c r="AF650" s="6">
        <v>1548.62</v>
      </c>
      <c r="AG650" s="6" t="s">
        <v>50</v>
      </c>
      <c r="AH650" s="6" t="str">
        <f t="shared" si="74"/>
        <v>Failed</v>
      </c>
      <c r="AI650" s="6" t="s">
        <v>59</v>
      </c>
      <c r="AJ650" s="6" t="str">
        <f t="shared" si="75"/>
        <v>Returned</v>
      </c>
      <c r="AK650" s="9" t="str">
        <f>_xlfn.TEXTJOIN("|",FALSE,A650,TEXT(B650,"mm-dd-yyyy"),TEXT(E650,"mm-dd-yyyy"),I650,J650,L650,N650,P650,R650,T650,V650,X650,Y650,AA650,AB650,AC650,AD650,AE650,AF650,AG650,AI650)</f>
        <v>ORD-2024-10649|21-04-2024|04-24-2024|CUST-1808|Neha Gupta|Small Business|South|Andhra Pradesh|Vijayawada|Office Supplies|Art|Prime Art 301|Same Day|9|703.59|0.2|5065.85|3517.23|1548.62|Failed|Returned</v>
      </c>
      <c r="AL650" s="27" t="str">
        <f>IF(COUNTIF($AK$2:AK650,AK650)&gt;1,"Remove exact duplicate copy","Keep")</f>
        <v>Keep</v>
      </c>
      <c r="AM650" s="9">
        <f t="shared" si="76"/>
        <v>1</v>
      </c>
      <c r="AN650" s="9" t="str">
        <f t="shared" si="77"/>
        <v>Unique</v>
      </c>
      <c r="AO650" s="9" t="str">
        <f t="shared" si="78"/>
        <v/>
      </c>
      <c r="AP650" s="9">
        <f t="shared" si="79"/>
        <v>0.2</v>
      </c>
      <c r="AQ650" s="10">
        <f t="shared" si="80"/>
        <v>5065.8480000000009</v>
      </c>
      <c r="AR650" s="10">
        <f t="shared" si="81"/>
        <v>1548.6180000000008</v>
      </c>
      <c r="AS650" s="11">
        <f t="shared" si="82"/>
        <v>0.30569768378364304</v>
      </c>
      <c r="AT650" s="9">
        <f t="shared" si="83"/>
        <v>4</v>
      </c>
      <c r="AU650" s="9">
        <f t="shared" si="84"/>
        <v>2024</v>
      </c>
      <c r="AV650" s="9" t="b">
        <f t="shared" si="85"/>
        <v>0</v>
      </c>
      <c r="AW650" s="9" t="b">
        <f t="shared" si="86"/>
        <v>0</v>
      </c>
      <c r="AX650" s="9" t="str">
        <f t="shared" si="87"/>
        <v>No</v>
      </c>
      <c r="AY650" s="9" t="str">
        <f t="shared" si="93"/>
        <v>Failed payment excluded; Returned order excluded</v>
      </c>
      <c r="AZ650" s="9" t="str">
        <f>IF(OR(G650="Missing date",G650="Invalid date",G650="Ship date before order date",NOT(ISNUMBER(AP650)),AP650&lt;0,AP650&gt;0.5,AV650=TRUE,AW650=TRUE),"Invalid",IF(OR(O650="Unknown",Z650="Unknown",AC650="",AH650&lt;&gt;"Paid",AJ650&lt;&gt;"Completed",AO650&lt;&gt;""),"Warning","Clean"))</f>
        <v>Warning</v>
      </c>
    </row>
    <row r="651" spans="1:52" ht="15.75" customHeight="1">
      <c r="A651" s="6" t="s">
        <v>3165</v>
      </c>
      <c r="B651" s="7" t="s">
        <v>3166</v>
      </c>
      <c r="C651" s="7" t="str">
        <f t="shared" si="92"/>
        <v>2025-08</v>
      </c>
      <c r="D651" s="7" cm="1">
        <f t="array" ref="D651">_xlfn.LET(_xlpm.x,B651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45880</v>
      </c>
      <c r="E651" s="7" t="s">
        <v>3167</v>
      </c>
      <c r="F651" s="7" cm="1">
        <f t="array" ref="F651">_xlfn.LET(_xlpm.x,E651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45888</v>
      </c>
      <c r="G651" s="8" t="str">
        <f t="shared" si="64"/>
        <v>OK</v>
      </c>
      <c r="H651" s="6">
        <f t="shared" si="65"/>
        <v>8</v>
      </c>
      <c r="I651" s="6" t="s">
        <v>3168</v>
      </c>
      <c r="J651" s="6" t="s">
        <v>442</v>
      </c>
      <c r="K651" s="6" t="str">
        <f t="shared" si="66"/>
        <v>Kabir Singh</v>
      </c>
      <c r="L651" s="6" t="s">
        <v>46</v>
      </c>
      <c r="M651" s="8" t="str">
        <f t="shared" si="67"/>
        <v>Small Business</v>
      </c>
      <c r="N651" s="6" t="s">
        <v>10</v>
      </c>
      <c r="O651" s="6" t="str">
        <f t="shared" si="68"/>
        <v>South</v>
      </c>
      <c r="P651" s="6" t="s">
        <v>316</v>
      </c>
      <c r="Q651" s="6" t="str">
        <f t="shared" si="69"/>
        <v>Kerala</v>
      </c>
      <c r="R651" s="6" t="s">
        <v>317</v>
      </c>
      <c r="S651" s="6" t="str">
        <f t="shared" si="70"/>
        <v>Kochi</v>
      </c>
      <c r="T651" s="6" t="s">
        <v>27</v>
      </c>
      <c r="U651" s="8" t="str">
        <f t="shared" si="71"/>
        <v>Technology</v>
      </c>
      <c r="V651" s="6" t="s">
        <v>28</v>
      </c>
      <c r="W651" s="6" t="str">
        <f t="shared" si="72"/>
        <v>Accessories</v>
      </c>
      <c r="X651" s="6" t="s">
        <v>3169</v>
      </c>
      <c r="Y651" s="6" t="s">
        <v>34</v>
      </c>
      <c r="Z651" s="6" t="str">
        <f t="shared" si="73"/>
        <v>Standard Class</v>
      </c>
      <c r="AA651" s="6">
        <v>4</v>
      </c>
      <c r="AB651" s="6">
        <v>2258.96</v>
      </c>
      <c r="AC651" s="6">
        <v>0.25</v>
      </c>
      <c r="AD651" s="6">
        <v>6776.88</v>
      </c>
      <c r="AE651" s="6">
        <v>3836.24</v>
      </c>
      <c r="AF651" s="6">
        <v>2940.64</v>
      </c>
      <c r="AG651" s="6" t="s">
        <v>52</v>
      </c>
      <c r="AH651" s="6" t="str">
        <f t="shared" si="74"/>
        <v>Paid</v>
      </c>
      <c r="AI651" s="6" t="s">
        <v>134</v>
      </c>
      <c r="AJ651" s="6" t="str">
        <f t="shared" si="75"/>
        <v>Completed</v>
      </c>
      <c r="AK651" s="9" t="str">
        <f>_xlfn.TEXTJOIN("|",FALSE,A651,TEXT(B651,"mm-dd-yyyy"),TEXT(E651,"mm-dd-yyyy"),I651,J651,L651,N651,P651,R651,T651,V651,X651,Y651,AA651,AB651,AC651,AD651,AE651,AF651,AG651,AI651)</f>
        <v>ORD-2025-10650|08-11-2025|19-08-2025|CUST-7277|Kabir Singh|Small Business|South|Kerala|Kochi|Technology|Accessories|Classic Accessories 354|Standard Class|4|2258.96|0.25|6776.88|3836.24|2940.64|Paid|Completed</v>
      </c>
      <c r="AL651" s="27" t="str">
        <f>IF(COUNTIF($AK$2:AK651,AK651)&gt;1,"Remove exact duplicate copy","Keep")</f>
        <v>Keep</v>
      </c>
      <c r="AM651" s="9">
        <f t="shared" si="76"/>
        <v>1</v>
      </c>
      <c r="AN651" s="9" t="str">
        <f t="shared" si="77"/>
        <v>Unique</v>
      </c>
      <c r="AO651" s="9" t="str">
        <f t="shared" si="78"/>
        <v/>
      </c>
      <c r="AP651" s="9">
        <f t="shared" si="79"/>
        <v>0.25</v>
      </c>
      <c r="AQ651" s="10">
        <f t="shared" si="80"/>
        <v>6776.88</v>
      </c>
      <c r="AR651" s="10">
        <f t="shared" si="81"/>
        <v>2940.6400000000003</v>
      </c>
      <c r="AS651" s="11">
        <f t="shared" si="82"/>
        <v>0.43392239496641527</v>
      </c>
      <c r="AT651" s="9">
        <f t="shared" si="83"/>
        <v>8</v>
      </c>
      <c r="AU651" s="9">
        <f t="shared" si="84"/>
        <v>2025</v>
      </c>
      <c r="AV651" s="9" t="b">
        <f t="shared" si="85"/>
        <v>0</v>
      </c>
      <c r="AW651" s="9" t="b">
        <f t="shared" si="86"/>
        <v>0</v>
      </c>
      <c r="AX651" s="9" t="str">
        <f t="shared" si="87"/>
        <v>Yes</v>
      </c>
      <c r="AY651" s="9" t="str">
        <f t="shared" si="93"/>
        <v/>
      </c>
      <c r="AZ651" s="9" t="str">
        <f>IF(OR(G651="Missing date",G651="Invalid date",G651="Ship date before order date",NOT(ISNUMBER(AP651)),AP651&lt;0,AP651&gt;0.5,AV651=TRUE,AW651=TRUE),"Invalid",IF(OR(O651="Unknown",Z651="Unknown",AC651="",AH651&lt;&gt;"Paid",AJ651&lt;&gt;"Completed",AO651&lt;&gt;""),"Warning","Clean"))</f>
        <v>Clean</v>
      </c>
    </row>
    <row r="652" spans="1:52" ht="15.75" customHeight="1">
      <c r="A652" s="6" t="s">
        <v>3170</v>
      </c>
      <c r="B652" s="7" t="s">
        <v>3171</v>
      </c>
      <c r="C652" s="7" t="str">
        <f t="shared" si="92"/>
        <v>2024-04</v>
      </c>
      <c r="D652" s="7" cm="1">
        <f t="array" ref="D652">_xlfn.LET(_xlpm.x,B652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45395</v>
      </c>
      <c r="E652" s="7" t="s">
        <v>3172</v>
      </c>
      <c r="F652" s="7" cm="1">
        <f t="array" ref="F652">_xlfn.LET(_xlpm.x,E652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45403</v>
      </c>
      <c r="G652" s="8" t="str">
        <f t="shared" si="64"/>
        <v>OK</v>
      </c>
      <c r="H652" s="6">
        <f t="shared" si="65"/>
        <v>8</v>
      </c>
      <c r="I652" s="6" t="s">
        <v>625</v>
      </c>
      <c r="J652" s="6" t="s">
        <v>239</v>
      </c>
      <c r="K652" s="6" t="str">
        <f t="shared" si="66"/>
        <v>Aarav Sharma</v>
      </c>
      <c r="L652" s="6" t="s">
        <v>44</v>
      </c>
      <c r="M652" s="8" t="str">
        <f t="shared" si="67"/>
        <v>Home Office</v>
      </c>
      <c r="N652" s="6" t="s">
        <v>8</v>
      </c>
      <c r="O652" s="6" t="str">
        <f t="shared" si="68"/>
        <v>East</v>
      </c>
      <c r="P652" s="6" t="s">
        <v>263</v>
      </c>
      <c r="Q652" s="6" t="str">
        <f t="shared" si="69"/>
        <v>Bihar</v>
      </c>
      <c r="R652" s="6" t="s">
        <v>264</v>
      </c>
      <c r="S652" s="6" t="str">
        <f t="shared" si="70"/>
        <v>Patna</v>
      </c>
      <c r="T652" s="6" t="s">
        <v>27</v>
      </c>
      <c r="U652" s="8" t="str">
        <f t="shared" si="71"/>
        <v>Technology</v>
      </c>
      <c r="V652" s="6" t="s">
        <v>28</v>
      </c>
      <c r="W652" s="6" t="str">
        <f t="shared" si="72"/>
        <v>Accessories</v>
      </c>
      <c r="X652" s="6" t="s">
        <v>3173</v>
      </c>
      <c r="Y652" s="6" t="s">
        <v>37</v>
      </c>
      <c r="Z652" s="6" t="str">
        <f t="shared" si="73"/>
        <v>Same Day</v>
      </c>
      <c r="AA652" s="6">
        <v>7</v>
      </c>
      <c r="AB652" s="6">
        <v>2648.76</v>
      </c>
      <c r="AC652" s="6">
        <v>0.15</v>
      </c>
      <c r="AD652" s="6">
        <v>15760.12</v>
      </c>
      <c r="AE652" s="6">
        <v>9931.5300000000007</v>
      </c>
      <c r="AF652" s="6">
        <v>5828.59</v>
      </c>
      <c r="AG652" s="6" t="s">
        <v>50</v>
      </c>
      <c r="AH652" s="6" t="str">
        <f t="shared" si="74"/>
        <v>Failed</v>
      </c>
      <c r="AI652" s="6" t="s">
        <v>59</v>
      </c>
      <c r="AJ652" s="6" t="str">
        <f t="shared" si="75"/>
        <v>Returned</v>
      </c>
      <c r="AK652" s="9" t="str">
        <f>_xlfn.TEXTJOIN("|",FALSE,A652,TEXT(B652,"mm-dd-yyyy"),TEXT(E652,"mm-dd-yyyy"),I652,J652,L652,N652,P652,R652,T652,V652,X652,Y652,AA652,AB652,AC652,AD652,AE652,AF652,AG652,AI652)</f>
        <v>ORD-2024-10651|04-13-2024|04-21-2024|CUST-7744|Aarav Sharma|Home Office|East|Bihar|Patna|Technology|Accessories|Basic Accessories 210|Same Day|7|2648.76|0.15|15760.12|9931.53|5828.59|Failed|Returned</v>
      </c>
      <c r="AL652" s="27" t="str">
        <f>IF(COUNTIF($AK$2:AK652,AK652)&gt;1,"Remove exact duplicate copy","Keep")</f>
        <v>Keep</v>
      </c>
      <c r="AM652" s="9">
        <f t="shared" si="76"/>
        <v>1</v>
      </c>
      <c r="AN652" s="9" t="str">
        <f t="shared" si="77"/>
        <v>Unique</v>
      </c>
      <c r="AO652" s="9" t="str">
        <f t="shared" si="78"/>
        <v/>
      </c>
      <c r="AP652" s="9">
        <f t="shared" si="79"/>
        <v>0.15</v>
      </c>
      <c r="AQ652" s="10">
        <f t="shared" si="80"/>
        <v>15760.121999999999</v>
      </c>
      <c r="AR652" s="10">
        <f t="shared" si="81"/>
        <v>5828.5919999999987</v>
      </c>
      <c r="AS652" s="11">
        <f t="shared" si="82"/>
        <v>0.36983165485647884</v>
      </c>
      <c r="AT652" s="9">
        <f t="shared" si="83"/>
        <v>4</v>
      </c>
      <c r="AU652" s="9">
        <f t="shared" si="84"/>
        <v>2024</v>
      </c>
      <c r="AV652" s="9" t="b">
        <f t="shared" si="85"/>
        <v>0</v>
      </c>
      <c r="AW652" s="9" t="b">
        <f t="shared" si="86"/>
        <v>0</v>
      </c>
      <c r="AX652" s="9" t="str">
        <f t="shared" si="87"/>
        <v>No</v>
      </c>
      <c r="AY652" s="9" t="str">
        <f t="shared" si="93"/>
        <v>Failed payment excluded; Returned order excluded</v>
      </c>
      <c r="AZ652" s="9" t="str">
        <f>IF(OR(G652="Missing date",G652="Invalid date",G652="Ship date before order date",NOT(ISNUMBER(AP652)),AP652&lt;0,AP652&gt;0.5,AV652=TRUE,AW652=TRUE),"Invalid",IF(OR(O652="Unknown",Z652="Unknown",AC652="",AH652&lt;&gt;"Paid",AJ652&lt;&gt;"Completed",AO652&lt;&gt;""),"Warning","Clean"))</f>
        <v>Warning</v>
      </c>
    </row>
    <row r="653" spans="1:52" ht="15.75" customHeight="1">
      <c r="A653" s="6" t="s">
        <v>3174</v>
      </c>
      <c r="B653" s="7" t="s">
        <v>1456</v>
      </c>
      <c r="C653" s="7" t="str">
        <f t="shared" si="92"/>
        <v>2025-08</v>
      </c>
      <c r="D653" s="7" cm="1">
        <f t="array" ref="D653">_xlfn.LET(_xlpm.x,B653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45875</v>
      </c>
      <c r="E653" s="7" t="s">
        <v>3175</v>
      </c>
      <c r="F653" s="7" cm="1">
        <f t="array" ref="F653">_xlfn.LET(_xlpm.x,E653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45878</v>
      </c>
      <c r="G653" s="8" t="str">
        <f t="shared" si="64"/>
        <v>OK</v>
      </c>
      <c r="H653" s="6">
        <f t="shared" si="65"/>
        <v>3</v>
      </c>
      <c r="I653" s="6" t="s">
        <v>3176</v>
      </c>
      <c r="J653" s="6" t="s">
        <v>139</v>
      </c>
      <c r="K653" s="6" t="str">
        <f t="shared" si="66"/>
        <v>Mira Das</v>
      </c>
      <c r="L653" s="6" t="s">
        <v>46</v>
      </c>
      <c r="M653" s="8" t="str">
        <f t="shared" si="67"/>
        <v>Small Business</v>
      </c>
      <c r="N653" s="6" t="s">
        <v>10</v>
      </c>
      <c r="O653" s="6" t="str">
        <f t="shared" si="68"/>
        <v>South</v>
      </c>
      <c r="P653" s="6" t="s">
        <v>183</v>
      </c>
      <c r="Q653" s="6" t="str">
        <f t="shared" si="69"/>
        <v>Andhra Pradesh</v>
      </c>
      <c r="R653" s="6" t="s">
        <v>184</v>
      </c>
      <c r="S653" s="6" t="str">
        <f t="shared" si="70"/>
        <v>Vijayawada</v>
      </c>
      <c r="T653" s="6" t="s">
        <v>20</v>
      </c>
      <c r="U653" s="8" t="str">
        <f t="shared" si="71"/>
        <v>Office Supplies</v>
      </c>
      <c r="V653" s="6" t="s">
        <v>24</v>
      </c>
      <c r="W653" s="6" t="str">
        <f t="shared" si="72"/>
        <v>Paper</v>
      </c>
      <c r="X653" s="6" t="s">
        <v>3177</v>
      </c>
      <c r="Y653" s="6" t="s">
        <v>36</v>
      </c>
      <c r="Z653" s="6" t="str">
        <f t="shared" si="73"/>
        <v>Second Class</v>
      </c>
      <c r="AA653" s="6">
        <v>3</v>
      </c>
      <c r="AB653" s="6">
        <v>598.54999999999995</v>
      </c>
      <c r="AC653" s="6">
        <v>0</v>
      </c>
      <c r="AD653" s="6">
        <v>1795.65</v>
      </c>
      <c r="AE653" s="6">
        <v>996.72</v>
      </c>
      <c r="AF653" s="6">
        <v>798.93</v>
      </c>
      <c r="AG653" s="6" t="s">
        <v>52</v>
      </c>
      <c r="AH653" s="6" t="str">
        <f t="shared" si="74"/>
        <v>Paid</v>
      </c>
      <c r="AI653" s="6" t="s">
        <v>134</v>
      </c>
      <c r="AJ653" s="6" t="str">
        <f t="shared" si="75"/>
        <v>Completed</v>
      </c>
      <c r="AK653" s="9" t="str">
        <f>_xlfn.TEXTJOIN("|",FALSE,A653,TEXT(B653,"mm-dd-yyyy"),TEXT(E653,"mm-dd-yyyy"),I653,J653,L653,N653,P653,R653,T653,V653,X653,Y653,AA653,AB653,AC653,AD653,AE653,AF653,AG653,AI653)</f>
        <v>ORD-2025-10652|08-06-2025|09-08-2025|CUST-2660|Mira Das|Small Business|South|Andhra Pradesh|Vijayawada|Office Supplies|Paper|Smart Paper 364|Second Class|3|598.55|0|1795.65|996.72|798.93|Paid|Completed</v>
      </c>
      <c r="AL653" s="27" t="str">
        <f>IF(COUNTIF($AK$2:AK653,AK653)&gt;1,"Remove exact duplicate copy","Keep")</f>
        <v>Keep</v>
      </c>
      <c r="AM653" s="9">
        <f t="shared" si="76"/>
        <v>1</v>
      </c>
      <c r="AN653" s="9" t="str">
        <f t="shared" si="77"/>
        <v>Unique</v>
      </c>
      <c r="AO653" s="9" t="str">
        <f t="shared" si="78"/>
        <v/>
      </c>
      <c r="AP653" s="9">
        <f t="shared" si="79"/>
        <v>0</v>
      </c>
      <c r="AQ653" s="10">
        <f t="shared" si="80"/>
        <v>1795.6499999999999</v>
      </c>
      <c r="AR653" s="10">
        <f t="shared" si="81"/>
        <v>798.92999999999984</v>
      </c>
      <c r="AS653" s="11">
        <f t="shared" si="82"/>
        <v>0.44492523598696843</v>
      </c>
      <c r="AT653" s="9">
        <f t="shared" si="83"/>
        <v>8</v>
      </c>
      <c r="AU653" s="9">
        <f t="shared" si="84"/>
        <v>2025</v>
      </c>
      <c r="AV653" s="9" t="b">
        <f t="shared" si="85"/>
        <v>0</v>
      </c>
      <c r="AW653" s="9" t="b">
        <f t="shared" si="86"/>
        <v>0</v>
      </c>
      <c r="AX653" s="9" t="str">
        <f t="shared" si="87"/>
        <v>Yes</v>
      </c>
      <c r="AY653" s="9" t="str">
        <f t="shared" si="93"/>
        <v/>
      </c>
      <c r="AZ653" s="9" t="str">
        <f>IF(OR(G653="Missing date",G653="Invalid date",G653="Ship date before order date",NOT(ISNUMBER(AP653)),AP653&lt;0,AP653&gt;0.5,AV653=TRUE,AW653=TRUE),"Invalid",IF(OR(O653="Unknown",Z653="Unknown",AC653="",AH653&lt;&gt;"Paid",AJ653&lt;&gt;"Completed",AO653&lt;&gt;""),"Warning","Clean"))</f>
        <v>Clean</v>
      </c>
    </row>
    <row r="654" spans="1:52" ht="15.75" customHeight="1">
      <c r="A654" s="6" t="s">
        <v>3178</v>
      </c>
      <c r="B654" s="7" t="s">
        <v>3179</v>
      </c>
      <c r="C654" s="7" t="str">
        <f t="shared" si="92"/>
        <v>2025-03</v>
      </c>
      <c r="D654" s="7" cm="1">
        <f t="array" ref="D654">_xlfn.LET(_xlpm.x,B654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45733</v>
      </c>
      <c r="E654" s="7" t="s">
        <v>3180</v>
      </c>
      <c r="F654" s="7" cm="1">
        <f t="array" ref="F654">_xlfn.LET(_xlpm.x,E654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45737</v>
      </c>
      <c r="G654" s="8" t="str">
        <f t="shared" si="64"/>
        <v>OK</v>
      </c>
      <c r="H654" s="6">
        <f t="shared" si="65"/>
        <v>4</v>
      </c>
      <c r="I654" s="6" t="s">
        <v>2660</v>
      </c>
      <c r="J654" s="6" t="s">
        <v>245</v>
      </c>
      <c r="K654" s="6" t="str">
        <f t="shared" si="66"/>
        <v>Sneha Kapoor</v>
      </c>
      <c r="L654" s="6" t="s">
        <v>43</v>
      </c>
      <c r="M654" s="8" t="str">
        <f t="shared" si="67"/>
        <v>Consumer</v>
      </c>
      <c r="N654" s="6" t="s">
        <v>7</v>
      </c>
      <c r="O654" s="6" t="str">
        <f t="shared" si="68"/>
        <v>North</v>
      </c>
      <c r="P654" s="6" t="s">
        <v>251</v>
      </c>
      <c r="Q654" s="6" t="str">
        <f t="shared" si="69"/>
        <v>Uttar Pradesh</v>
      </c>
      <c r="R654" s="6" t="s">
        <v>252</v>
      </c>
      <c r="S654" s="6" t="str">
        <f t="shared" si="70"/>
        <v>Noida</v>
      </c>
      <c r="T654" s="6" t="s">
        <v>20</v>
      </c>
      <c r="U654" s="8" t="str">
        <f t="shared" si="71"/>
        <v>Office Supplies</v>
      </c>
      <c r="V654" s="6" t="s">
        <v>22</v>
      </c>
      <c r="W654" s="6" t="str">
        <f t="shared" si="72"/>
        <v>Binders</v>
      </c>
      <c r="X654" s="6" t="s">
        <v>3181</v>
      </c>
      <c r="Y654" s="6" t="s">
        <v>34</v>
      </c>
      <c r="Z654" s="6" t="str">
        <f t="shared" si="73"/>
        <v>Standard Class</v>
      </c>
      <c r="AA654" s="6">
        <v>5</v>
      </c>
      <c r="AB654" s="6">
        <v>4320.59</v>
      </c>
      <c r="AC654" s="6">
        <v>0.15</v>
      </c>
      <c r="AD654" s="6">
        <v>18362.509999999998</v>
      </c>
      <c r="AE654" s="6">
        <v>11133.97</v>
      </c>
      <c r="AF654" s="6">
        <v>7228.54</v>
      </c>
      <c r="AG654" s="6" t="s">
        <v>52</v>
      </c>
      <c r="AH654" s="6" t="str">
        <f t="shared" si="74"/>
        <v>Paid</v>
      </c>
      <c r="AI654" s="6" t="s">
        <v>134</v>
      </c>
      <c r="AJ654" s="6" t="str">
        <f t="shared" si="75"/>
        <v>Completed</v>
      </c>
      <c r="AK654" s="9" t="str">
        <f>_xlfn.TEXTJOIN("|",FALSE,A654,TEXT(B654,"mm-dd-yyyy"),TEXT(E654,"mm-dd-yyyy"),I654,J654,L654,N654,P654,R654,T654,V654,X654,Y654,AA654,AB654,AC654,AD654,AE654,AF654,AG654,AI654)</f>
        <v>ORD-2025-10653|03-17-2025|03-21-2025|CUST-8177|Sneha Kapoor|Consumer|North|Uttar Pradesh|Noida|Office Supplies|Binders|Smart Binders 999|Standard Class|5|4320.59|0.15|18362.51|11133.97|7228.54|Paid|Completed</v>
      </c>
      <c r="AL654" s="27" t="str">
        <f>IF(COUNTIF($AK$2:AK654,AK654)&gt;1,"Remove exact duplicate copy","Keep")</f>
        <v>Keep</v>
      </c>
      <c r="AM654" s="9">
        <f t="shared" si="76"/>
        <v>1</v>
      </c>
      <c r="AN654" s="9" t="str">
        <f t="shared" si="77"/>
        <v>Unique</v>
      </c>
      <c r="AO654" s="9" t="str">
        <f t="shared" si="78"/>
        <v/>
      </c>
      <c r="AP654" s="9">
        <f t="shared" si="79"/>
        <v>0.15</v>
      </c>
      <c r="AQ654" s="10">
        <f t="shared" si="80"/>
        <v>18362.5075</v>
      </c>
      <c r="AR654" s="10">
        <f t="shared" si="81"/>
        <v>7228.5375000000004</v>
      </c>
      <c r="AS654" s="11">
        <f t="shared" si="82"/>
        <v>0.39365742941153326</v>
      </c>
      <c r="AT654" s="9">
        <f t="shared" si="83"/>
        <v>3</v>
      </c>
      <c r="AU654" s="9">
        <f t="shared" si="84"/>
        <v>2025</v>
      </c>
      <c r="AV654" s="9" t="b">
        <f t="shared" si="85"/>
        <v>0</v>
      </c>
      <c r="AW654" s="9" t="b">
        <f t="shared" si="86"/>
        <v>0</v>
      </c>
      <c r="AX654" s="9" t="str">
        <f t="shared" si="87"/>
        <v>Yes</v>
      </c>
      <c r="AY654" s="9" t="str">
        <f t="shared" si="93"/>
        <v/>
      </c>
      <c r="AZ654" s="9" t="str">
        <f>IF(OR(G654="Missing date",G654="Invalid date",G654="Ship date before order date",NOT(ISNUMBER(AP654)),AP654&lt;0,AP654&gt;0.5,AV654=TRUE,AW654=TRUE),"Invalid",IF(OR(O654="Unknown",Z654="Unknown",AC654="",AH654&lt;&gt;"Paid",AJ654&lt;&gt;"Completed",AO654&lt;&gt;""),"Warning","Clean"))</f>
        <v>Clean</v>
      </c>
    </row>
    <row r="655" spans="1:52" ht="15.75" customHeight="1">
      <c r="A655" s="6" t="s">
        <v>3182</v>
      </c>
      <c r="B655" s="7" t="s">
        <v>3183</v>
      </c>
      <c r="C655" s="7" t="str">
        <f t="shared" si="92"/>
        <v>2025-04</v>
      </c>
      <c r="D655" s="7" cm="1">
        <f t="array" ref="D655">_xlfn.LET(_xlpm.x,B655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45751</v>
      </c>
      <c r="E655" s="7" t="s">
        <v>3184</v>
      </c>
      <c r="F655" s="7" cm="1">
        <f t="array" ref="F655">_xlfn.LET(_xlpm.x,E655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45754</v>
      </c>
      <c r="G655" s="8" t="str">
        <f t="shared" si="64"/>
        <v>OK</v>
      </c>
      <c r="H655" s="6">
        <f t="shared" si="65"/>
        <v>3</v>
      </c>
      <c r="I655" s="6" t="s">
        <v>3185</v>
      </c>
      <c r="J655" s="6" t="s">
        <v>220</v>
      </c>
      <c r="K655" s="6" t="str">
        <f t="shared" si="66"/>
        <v>Priya Menon</v>
      </c>
      <c r="L655" s="6" t="s">
        <v>46</v>
      </c>
      <c r="M655" s="8" t="str">
        <f t="shared" si="67"/>
        <v>Small Business</v>
      </c>
      <c r="N655" s="6" t="s">
        <v>10</v>
      </c>
      <c r="O655" s="6" t="str">
        <f t="shared" si="68"/>
        <v>South</v>
      </c>
      <c r="P655" s="6" t="s">
        <v>413</v>
      </c>
      <c r="Q655" s="6" t="str">
        <f t="shared" si="69"/>
        <v>Tamil Nadu</v>
      </c>
      <c r="R655" s="6" t="s">
        <v>414</v>
      </c>
      <c r="S655" s="6" t="str">
        <f t="shared" si="70"/>
        <v>Chennai</v>
      </c>
      <c r="T655" s="6" t="s">
        <v>27</v>
      </c>
      <c r="U655" s="8" t="str">
        <f t="shared" si="71"/>
        <v>Technology</v>
      </c>
      <c r="V655" s="6" t="s">
        <v>29</v>
      </c>
      <c r="W655" s="6" t="str">
        <f t="shared" si="72"/>
        <v>Copiers</v>
      </c>
      <c r="X655" s="6" t="s">
        <v>3186</v>
      </c>
      <c r="Y655" s="6" t="s">
        <v>36</v>
      </c>
      <c r="Z655" s="6" t="str">
        <f t="shared" si="73"/>
        <v>Second Class</v>
      </c>
      <c r="AA655" s="6">
        <v>7</v>
      </c>
      <c r="AB655" s="6">
        <v>4457.93</v>
      </c>
      <c r="AC655" s="6">
        <v>0.15</v>
      </c>
      <c r="AD655" s="6">
        <v>26524.68</v>
      </c>
      <c r="AE655" s="6">
        <v>20574.3</v>
      </c>
      <c r="AF655" s="6">
        <v>5950.38</v>
      </c>
      <c r="AG655" s="6" t="s">
        <v>52</v>
      </c>
      <c r="AH655" s="6" t="str">
        <f t="shared" si="74"/>
        <v>Paid</v>
      </c>
      <c r="AI655" s="6" t="s">
        <v>134</v>
      </c>
      <c r="AJ655" s="6" t="str">
        <f t="shared" si="75"/>
        <v>Completed</v>
      </c>
      <c r="AK655" s="9" t="str">
        <f>_xlfn.TEXTJOIN("|",FALSE,A655,TEXT(B655,"mm-dd-yyyy"),TEXT(E655,"mm-dd-yyyy"),I655,J655,L655,N655,P655,R655,T655,V655,X655,Y655,AA655,AB655,AC655,AD655,AE655,AF655,AG655,AI655)</f>
        <v>ORD-2025-10654|04-04-2025|04-07-2025|CUST-3970|Priya Menon|Small Business|South|Tamil Nadu|Chennai|Technology|Copiers|Max Copiers 356|Second Class|7|4457.93|0.15|26524.68|20574.3|5950.38|Paid|Completed</v>
      </c>
      <c r="AL655" s="27" t="str">
        <f>IF(COUNTIF($AK$2:AK655,AK655)&gt;1,"Remove exact duplicate copy","Keep")</f>
        <v>Keep</v>
      </c>
      <c r="AM655" s="9">
        <f t="shared" si="76"/>
        <v>1</v>
      </c>
      <c r="AN655" s="9" t="str">
        <f t="shared" si="77"/>
        <v>Unique</v>
      </c>
      <c r="AO655" s="9" t="str">
        <f t="shared" si="78"/>
        <v/>
      </c>
      <c r="AP655" s="9">
        <f t="shared" si="79"/>
        <v>0.15</v>
      </c>
      <c r="AQ655" s="10">
        <f t="shared" si="80"/>
        <v>26524.683500000003</v>
      </c>
      <c r="AR655" s="10">
        <f t="shared" si="81"/>
        <v>5950.3835000000036</v>
      </c>
      <c r="AS655" s="11">
        <f t="shared" si="82"/>
        <v>0.22433381721595294</v>
      </c>
      <c r="AT655" s="9">
        <f t="shared" si="83"/>
        <v>4</v>
      </c>
      <c r="AU655" s="9">
        <f t="shared" si="84"/>
        <v>2025</v>
      </c>
      <c r="AV655" s="9" t="b">
        <f t="shared" si="85"/>
        <v>0</v>
      </c>
      <c r="AW655" s="9" t="b">
        <f t="shared" si="86"/>
        <v>0</v>
      </c>
      <c r="AX655" s="9" t="str">
        <f t="shared" si="87"/>
        <v>Yes</v>
      </c>
      <c r="AY655" s="9" t="str">
        <f t="shared" si="93"/>
        <v/>
      </c>
      <c r="AZ655" s="9" t="str">
        <f>IF(OR(G655="Missing date",G655="Invalid date",G655="Ship date before order date",NOT(ISNUMBER(AP655)),AP655&lt;0,AP655&gt;0.5,AV655=TRUE,AW655=TRUE),"Invalid",IF(OR(O655="Unknown",Z655="Unknown",AC655="",AH655&lt;&gt;"Paid",AJ655&lt;&gt;"Completed",AO655&lt;&gt;""),"Warning","Clean"))</f>
        <v>Clean</v>
      </c>
    </row>
    <row r="656" spans="1:52" ht="15.75" customHeight="1">
      <c r="A656" s="6" t="s">
        <v>3187</v>
      </c>
      <c r="B656" s="7" t="s">
        <v>3188</v>
      </c>
      <c r="C656" s="7" t="str">
        <f t="shared" si="92"/>
        <v>2025-10</v>
      </c>
      <c r="D656" s="7" cm="1">
        <f t="array" ref="D656">_xlfn.LET(_xlpm.x,B656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45942</v>
      </c>
      <c r="E656" s="7" t="s">
        <v>218</v>
      </c>
      <c r="F656" s="7" cm="1">
        <f t="array" ref="F656">_xlfn.LET(_xlpm.x,E656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45946</v>
      </c>
      <c r="G656" s="8" t="str">
        <f t="shared" si="64"/>
        <v>OK</v>
      </c>
      <c r="H656" s="6">
        <f t="shared" si="65"/>
        <v>4</v>
      </c>
      <c r="I656" s="6" t="s">
        <v>1502</v>
      </c>
      <c r="J656" s="6" t="s">
        <v>284</v>
      </c>
      <c r="K656" s="6" t="str">
        <f t="shared" si="66"/>
        <v>Diya Patel</v>
      </c>
      <c r="L656" s="6" t="s">
        <v>45</v>
      </c>
      <c r="M656" s="8" t="str">
        <f t="shared" si="67"/>
        <v>Corporate</v>
      </c>
      <c r="N656" s="6" t="s">
        <v>8</v>
      </c>
      <c r="O656" s="6" t="str">
        <f t="shared" si="68"/>
        <v>East</v>
      </c>
      <c r="P656" s="6" t="s">
        <v>263</v>
      </c>
      <c r="Q656" s="6" t="str">
        <f t="shared" si="69"/>
        <v>Bihar</v>
      </c>
      <c r="R656" s="6" t="s">
        <v>264</v>
      </c>
      <c r="S656" s="6" t="str">
        <f t="shared" si="70"/>
        <v>Patna</v>
      </c>
      <c r="T656" s="6" t="s">
        <v>27</v>
      </c>
      <c r="U656" s="8" t="str">
        <f t="shared" si="71"/>
        <v>Technology</v>
      </c>
      <c r="V656" s="6" t="s">
        <v>30</v>
      </c>
      <c r="W656" s="6" t="str">
        <f t="shared" si="72"/>
        <v>Machines</v>
      </c>
      <c r="X656" s="6" t="s">
        <v>3189</v>
      </c>
      <c r="Y656" s="6" t="s">
        <v>37</v>
      </c>
      <c r="Z656" s="6" t="str">
        <f t="shared" si="73"/>
        <v>Same Day</v>
      </c>
      <c r="AA656" s="6">
        <v>1</v>
      </c>
      <c r="AB656" s="6">
        <v>2570.06</v>
      </c>
      <c r="AC656" s="6">
        <v>0.2</v>
      </c>
      <c r="AD656" s="6">
        <v>2056.0500000000002</v>
      </c>
      <c r="AE656" s="6">
        <v>1662.39</v>
      </c>
      <c r="AF656" s="6">
        <v>393.66</v>
      </c>
      <c r="AG656" s="6" t="s">
        <v>52</v>
      </c>
      <c r="AH656" s="6" t="str">
        <f t="shared" si="74"/>
        <v>Paid</v>
      </c>
      <c r="AI656" s="6" t="s">
        <v>134</v>
      </c>
      <c r="AJ656" s="6" t="str">
        <f t="shared" si="75"/>
        <v>Completed</v>
      </c>
      <c r="AK656" s="9" t="str">
        <f>_xlfn.TEXTJOIN("|",FALSE,A656,TEXT(B656,"mm-dd-yyyy"),TEXT(E656,"mm-dd-yyyy"),I656,J656,L656,N656,P656,R656,T656,V656,X656,Y656,AA656,AB656,AC656,AD656,AE656,AF656,AG656,AI656)</f>
        <v>ORD-2025-10655|10-12-2025|16-10-2025|CUST-8249|Diya Patel|Corporate|East|Bihar|Patna|Technology|Machines|Classic Machines 639|Same Day|1|2570.06|0.2|2056.05|1662.39|393.66|Paid|Completed</v>
      </c>
      <c r="AL656" s="27" t="str">
        <f>IF(COUNTIF($AK$2:AK656,AK656)&gt;1,"Remove exact duplicate copy","Keep")</f>
        <v>Keep</v>
      </c>
      <c r="AM656" s="9">
        <f t="shared" si="76"/>
        <v>1</v>
      </c>
      <c r="AN656" s="9" t="str">
        <f t="shared" si="77"/>
        <v>Unique</v>
      </c>
      <c r="AO656" s="9" t="str">
        <f t="shared" si="78"/>
        <v/>
      </c>
      <c r="AP656" s="9">
        <f t="shared" si="79"/>
        <v>0.2</v>
      </c>
      <c r="AQ656" s="10">
        <f t="shared" si="80"/>
        <v>2056.0480000000002</v>
      </c>
      <c r="AR656" s="10">
        <f t="shared" si="81"/>
        <v>393.65800000000013</v>
      </c>
      <c r="AS656" s="11">
        <f t="shared" si="82"/>
        <v>0.19146342886936496</v>
      </c>
      <c r="AT656" s="9">
        <f t="shared" si="83"/>
        <v>10</v>
      </c>
      <c r="AU656" s="9">
        <f t="shared" si="84"/>
        <v>2025</v>
      </c>
      <c r="AV656" s="9" t="b">
        <f t="shared" si="85"/>
        <v>0</v>
      </c>
      <c r="AW656" s="9" t="b">
        <f t="shared" si="86"/>
        <v>0</v>
      </c>
      <c r="AX656" s="9" t="str">
        <f t="shared" si="87"/>
        <v>Yes</v>
      </c>
      <c r="AY656" s="9" t="str">
        <f t="shared" si="93"/>
        <v/>
      </c>
      <c r="AZ656" s="9" t="str">
        <f>IF(OR(G656="Missing date",G656="Invalid date",G656="Ship date before order date",NOT(ISNUMBER(AP656)),AP656&lt;0,AP656&gt;0.5,AV656=TRUE,AW656=TRUE),"Invalid",IF(OR(O656="Unknown",Z656="Unknown",AC656="",AH656&lt;&gt;"Paid",AJ656&lt;&gt;"Completed",AO656&lt;&gt;""),"Warning","Clean"))</f>
        <v>Clean</v>
      </c>
    </row>
    <row r="657" spans="1:52" ht="15.75" customHeight="1">
      <c r="A657" s="6" t="s">
        <v>3190</v>
      </c>
      <c r="B657" s="7" t="s">
        <v>780</v>
      </c>
      <c r="C657" s="7" t="str">
        <f t="shared" si="92"/>
        <v>2025-08</v>
      </c>
      <c r="D657" s="7" cm="1">
        <f t="array" ref="D657">_xlfn.LET(_xlpm.x,B657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45895</v>
      </c>
      <c r="E657" s="7" t="s">
        <v>780</v>
      </c>
      <c r="F657" s="7" cm="1">
        <f t="array" ref="F657">_xlfn.LET(_xlpm.x,E657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45895</v>
      </c>
      <c r="G657" s="8" t="str">
        <f t="shared" si="64"/>
        <v>OK</v>
      </c>
      <c r="H657" s="6">
        <f t="shared" si="65"/>
        <v>0</v>
      </c>
      <c r="I657" s="6" t="s">
        <v>3191</v>
      </c>
      <c r="J657" s="6" t="s">
        <v>177</v>
      </c>
      <c r="K657" s="6" t="str">
        <f t="shared" si="66"/>
        <v>Neha Gupta</v>
      </c>
      <c r="L657" s="6" t="s">
        <v>44</v>
      </c>
      <c r="M657" s="8" t="str">
        <f t="shared" si="67"/>
        <v>Home Office</v>
      </c>
      <c r="N657" s="6" t="s">
        <v>8</v>
      </c>
      <c r="O657" s="6" t="str">
        <f t="shared" si="68"/>
        <v>East</v>
      </c>
      <c r="P657" s="6" t="s">
        <v>201</v>
      </c>
      <c r="Q657" s="6" t="str">
        <f t="shared" si="69"/>
        <v>West Bengal</v>
      </c>
      <c r="R657" s="6" t="s">
        <v>202</v>
      </c>
      <c r="S657" s="6" t="str">
        <f t="shared" si="70"/>
        <v>Kolkata</v>
      </c>
      <c r="T657" s="6" t="s">
        <v>14</v>
      </c>
      <c r="U657" s="8" t="str">
        <f t="shared" si="71"/>
        <v>Furniture</v>
      </c>
      <c r="V657" s="6" t="s">
        <v>17</v>
      </c>
      <c r="W657" s="6" t="str">
        <f t="shared" si="72"/>
        <v>Furnishings</v>
      </c>
      <c r="X657" s="6" t="s">
        <v>3192</v>
      </c>
      <c r="Y657" s="6" t="s">
        <v>34</v>
      </c>
      <c r="Z657" s="6" t="str">
        <f t="shared" si="73"/>
        <v>Standard Class</v>
      </c>
      <c r="AA657" s="6">
        <v>4</v>
      </c>
      <c r="AB657" s="6">
        <v>2151.8200000000002</v>
      </c>
      <c r="AC657" s="6">
        <v>0</v>
      </c>
      <c r="AD657" s="6">
        <v>8607.2800000000007</v>
      </c>
      <c r="AE657" s="6">
        <v>5124.01</v>
      </c>
      <c r="AF657" s="6">
        <v>3483.27</v>
      </c>
      <c r="AG657" s="6" t="s">
        <v>52</v>
      </c>
      <c r="AH657" s="6" t="str">
        <f t="shared" si="74"/>
        <v>Paid</v>
      </c>
      <c r="AI657" s="6" t="s">
        <v>134</v>
      </c>
      <c r="AJ657" s="6" t="str">
        <f t="shared" si="75"/>
        <v>Completed</v>
      </c>
      <c r="AK657" s="9" t="str">
        <f>_xlfn.TEXTJOIN("|",FALSE,A657,TEXT(B657,"mm-dd-yyyy"),TEXT(E657,"mm-dd-yyyy"),I657,J657,L657,N657,P657,R657,T657,V657,X657,Y657,AA657,AB657,AC657,AD657,AE657,AF657,AG657,AI657)</f>
        <v>ORD-2025-10656|08-26-2025|08-26-2025|CUST-8039|Neha Gupta|Home Office|East|West Bengal|Kolkata|Furniture|Furnishings|Smart Furnishings 748|Standard Class|4|2151.82|0|8607.28|5124.01|3483.27|Paid|Completed</v>
      </c>
      <c r="AL657" s="27" t="str">
        <f>IF(COUNTIF($AK$2:AK657,AK657)&gt;1,"Remove exact duplicate copy","Keep")</f>
        <v>Keep</v>
      </c>
      <c r="AM657" s="9">
        <f t="shared" si="76"/>
        <v>1</v>
      </c>
      <c r="AN657" s="9" t="str">
        <f t="shared" si="77"/>
        <v>Unique</v>
      </c>
      <c r="AO657" s="9" t="str">
        <f t="shared" si="78"/>
        <v/>
      </c>
      <c r="AP657" s="9">
        <f t="shared" si="79"/>
        <v>0</v>
      </c>
      <c r="AQ657" s="10">
        <f t="shared" si="80"/>
        <v>8607.2800000000007</v>
      </c>
      <c r="AR657" s="10">
        <f t="shared" si="81"/>
        <v>3483.2700000000004</v>
      </c>
      <c r="AS657" s="11">
        <f t="shared" si="82"/>
        <v>0.40468882155570635</v>
      </c>
      <c r="AT657" s="9">
        <f t="shared" si="83"/>
        <v>8</v>
      </c>
      <c r="AU657" s="9">
        <f t="shared" si="84"/>
        <v>2025</v>
      </c>
      <c r="AV657" s="9" t="b">
        <f t="shared" si="85"/>
        <v>0</v>
      </c>
      <c r="AW657" s="9" t="b">
        <f t="shared" si="86"/>
        <v>0</v>
      </c>
      <c r="AX657" s="9" t="str">
        <f t="shared" si="87"/>
        <v>Yes</v>
      </c>
      <c r="AY657" s="9" t="str">
        <f t="shared" si="93"/>
        <v/>
      </c>
      <c r="AZ657" s="9" t="str">
        <f>IF(OR(G657="Missing date",G657="Invalid date",G657="Ship date before order date",NOT(ISNUMBER(AP657)),AP657&lt;0,AP657&gt;0.5,AV657=TRUE,AW657=TRUE),"Invalid",IF(OR(O657="Unknown",Z657="Unknown",AC657="",AH657&lt;&gt;"Paid",AJ657&lt;&gt;"Completed",AO657&lt;&gt;""),"Warning","Clean"))</f>
        <v>Clean</v>
      </c>
    </row>
    <row r="658" spans="1:52" ht="15.75" customHeight="1">
      <c r="A658" s="6" t="s">
        <v>3193</v>
      </c>
      <c r="B658" s="7" t="s">
        <v>3194</v>
      </c>
      <c r="C658" s="7" t="str">
        <f t="shared" si="92"/>
        <v>2024-05</v>
      </c>
      <c r="D658" s="7" cm="1">
        <f t="array" ref="D658">_xlfn.LET(_xlpm.x,B658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45419</v>
      </c>
      <c r="E658" s="7" t="s">
        <v>2419</v>
      </c>
      <c r="F658" s="7" cm="1">
        <f t="array" ref="F658">_xlfn.LET(_xlpm.x,E658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45426</v>
      </c>
      <c r="G658" s="8" t="str">
        <f t="shared" si="64"/>
        <v>OK</v>
      </c>
      <c r="H658" s="6">
        <f t="shared" si="65"/>
        <v>7</v>
      </c>
      <c r="I658" s="6" t="s">
        <v>3195</v>
      </c>
      <c r="J658" s="6" t="s">
        <v>177</v>
      </c>
      <c r="K658" s="6" t="str">
        <f t="shared" si="66"/>
        <v>Neha Gupta</v>
      </c>
      <c r="L658" s="6" t="s">
        <v>46</v>
      </c>
      <c r="M658" s="8" t="str">
        <f t="shared" si="67"/>
        <v>Small Business</v>
      </c>
      <c r="N658" s="6" t="s">
        <v>7</v>
      </c>
      <c r="O658" s="6" t="str">
        <f t="shared" si="68"/>
        <v>North</v>
      </c>
      <c r="P658" s="6" t="s">
        <v>397</v>
      </c>
      <c r="Q658" s="6" t="str">
        <f t="shared" si="69"/>
        <v>Haryana</v>
      </c>
      <c r="R658" s="6" t="s">
        <v>398</v>
      </c>
      <c r="S658" s="6" t="str">
        <f t="shared" si="70"/>
        <v>Gurugram</v>
      </c>
      <c r="T658" s="6" t="s">
        <v>27</v>
      </c>
      <c r="U658" s="8" t="str">
        <f t="shared" si="71"/>
        <v>Technology</v>
      </c>
      <c r="V658" s="6" t="s">
        <v>30</v>
      </c>
      <c r="W658" s="6" t="str">
        <f t="shared" si="72"/>
        <v>Machines</v>
      </c>
      <c r="X658" s="6" t="s">
        <v>3196</v>
      </c>
      <c r="Y658" s="6" t="s">
        <v>37</v>
      </c>
      <c r="Z658" s="6" t="str">
        <f t="shared" si="73"/>
        <v>Same Day</v>
      </c>
      <c r="AA658" s="6">
        <v>4</v>
      </c>
      <c r="AB658" s="6">
        <v>2751.1</v>
      </c>
      <c r="AC658" s="6">
        <v>-0.05</v>
      </c>
      <c r="AD658" s="6">
        <v>9903.9599999999991</v>
      </c>
      <c r="AE658" s="6">
        <v>7696.28</v>
      </c>
      <c r="AF658" s="6">
        <v>2207.6799999999998</v>
      </c>
      <c r="AG658" s="6" t="s">
        <v>52</v>
      </c>
      <c r="AH658" s="6" t="str">
        <f t="shared" si="74"/>
        <v>Paid</v>
      </c>
      <c r="AI658" s="6" t="s">
        <v>134</v>
      </c>
      <c r="AJ658" s="6" t="str">
        <f t="shared" si="75"/>
        <v>Completed</v>
      </c>
      <c r="AK658" s="9" t="str">
        <f>_xlfn.TEXTJOIN("|",FALSE,A658,TEXT(B658,"mm-dd-yyyy"),TEXT(E658,"mm-dd-yyyy"),I658,J658,L658,N658,P658,R658,T658,V658,X658,Y658,AA658,AB658,AC658,AD658,AE658,AF658,AG658,AI658)</f>
        <v>ORD-2024-10657|07-05-2024|05-14-2024|CUST-4446|Neha Gupta|Small Business|North|Haryana|Gurugram|Technology|Machines|Pro Machines 589|Same Day|4|2751.1|-0.05|9903.96|7696.28|2207.68|Paid|Completed</v>
      </c>
      <c r="AL658" s="27" t="str">
        <f>IF(COUNTIF($AK$2:AK658,AK658)&gt;1,"Remove exact duplicate copy","Keep")</f>
        <v>Keep</v>
      </c>
      <c r="AM658" s="9">
        <f t="shared" si="76"/>
        <v>1</v>
      </c>
      <c r="AN658" s="9" t="str">
        <f t="shared" si="77"/>
        <v>Unique</v>
      </c>
      <c r="AO658" s="9" t="str">
        <f t="shared" si="78"/>
        <v/>
      </c>
      <c r="AP658" s="9">
        <f t="shared" si="79"/>
        <v>-0.05</v>
      </c>
      <c r="AQ658" s="10">
        <f t="shared" si="80"/>
        <v>11554.62</v>
      </c>
      <c r="AR658" s="10">
        <f t="shared" si="81"/>
        <v>3858.3400000000011</v>
      </c>
      <c r="AS658" s="11">
        <f t="shared" si="82"/>
        <v>0.33392184251840396</v>
      </c>
      <c r="AT658" s="9">
        <f t="shared" si="83"/>
        <v>5</v>
      </c>
      <c r="AU658" s="9">
        <f t="shared" si="84"/>
        <v>2024</v>
      </c>
      <c r="AV658" s="9" t="b">
        <f t="shared" si="85"/>
        <v>1</v>
      </c>
      <c r="AW658" s="9" t="b">
        <f t="shared" si="86"/>
        <v>1</v>
      </c>
      <c r="AX658" s="9" t="str">
        <f t="shared" si="87"/>
        <v>No</v>
      </c>
      <c r="AY658" s="9" t="str">
        <f t="shared" si="93"/>
        <v>Negative discount; Sales mismatch; Profit mismatch</v>
      </c>
      <c r="AZ658" s="9" t="str">
        <f>IF(OR(G658="Missing date",G658="Invalid date",G658="Ship date before order date",NOT(ISNUMBER(AP658)),AP658&lt;0,AP658&gt;0.5,AV658=TRUE,AW658=TRUE),"Invalid",IF(OR(O658="Unknown",Z658="Unknown",AC658="",AH658&lt;&gt;"Paid",AJ658&lt;&gt;"Completed",AO658&lt;&gt;""),"Warning","Clean"))</f>
        <v>Invalid</v>
      </c>
    </row>
    <row r="659" spans="1:52" ht="15.75" customHeight="1">
      <c r="A659" s="6" t="s">
        <v>3197</v>
      </c>
      <c r="B659" s="7" t="s">
        <v>3198</v>
      </c>
      <c r="C659" s="7" t="str">
        <f t="shared" si="92"/>
        <v>2025-08</v>
      </c>
      <c r="D659" s="7" cm="1">
        <f t="array" ref="D659">_xlfn.LET(_xlpm.x,B659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45876</v>
      </c>
      <c r="E659" s="7" t="s">
        <v>3199</v>
      </c>
      <c r="F659" s="7" cm="1">
        <f t="array" ref="F659">_xlfn.LET(_xlpm.x,E659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45879</v>
      </c>
      <c r="G659" s="8" t="str">
        <f t="shared" si="64"/>
        <v>OK</v>
      </c>
      <c r="H659" s="6">
        <f t="shared" si="65"/>
        <v>3</v>
      </c>
      <c r="I659" s="6" t="s">
        <v>3200</v>
      </c>
      <c r="J659" s="6" t="s">
        <v>190</v>
      </c>
      <c r="K659" s="6" t="str">
        <f t="shared" si="66"/>
        <v>Aditi Sen</v>
      </c>
      <c r="L659" s="6" t="s">
        <v>44</v>
      </c>
      <c r="M659" s="8" t="str">
        <f t="shared" si="67"/>
        <v>Home Office</v>
      </c>
      <c r="N659" s="6" t="s">
        <v>8</v>
      </c>
      <c r="O659" s="6" t="str">
        <f t="shared" si="68"/>
        <v>East</v>
      </c>
      <c r="P659" s="6" t="s">
        <v>263</v>
      </c>
      <c r="Q659" s="6" t="str">
        <f t="shared" si="69"/>
        <v>Bihar</v>
      </c>
      <c r="R659" s="6" t="s">
        <v>264</v>
      </c>
      <c r="S659" s="6" t="str">
        <f t="shared" si="70"/>
        <v>Patna</v>
      </c>
      <c r="T659" s="6" t="s">
        <v>20</v>
      </c>
      <c r="U659" s="8" t="str">
        <f t="shared" si="71"/>
        <v>Office Supplies</v>
      </c>
      <c r="V659" s="6" t="s">
        <v>25</v>
      </c>
      <c r="W659" s="6" t="str">
        <f t="shared" si="72"/>
        <v>Storage</v>
      </c>
      <c r="X659" s="6" t="s">
        <v>3201</v>
      </c>
      <c r="Y659" s="6" t="s">
        <v>36</v>
      </c>
      <c r="Z659" s="6" t="str">
        <f t="shared" si="73"/>
        <v>Second Class</v>
      </c>
      <c r="AA659" s="6">
        <v>1</v>
      </c>
      <c r="AB659" s="6">
        <v>2541.25</v>
      </c>
      <c r="AC659" s="6">
        <v>0.2</v>
      </c>
      <c r="AD659" s="6">
        <v>2033</v>
      </c>
      <c r="AE659" s="6">
        <v>1291.4100000000001</v>
      </c>
      <c r="AF659" s="6">
        <v>741.59</v>
      </c>
      <c r="AG659" s="6" t="s">
        <v>52</v>
      </c>
      <c r="AH659" s="6" t="str">
        <f t="shared" si="74"/>
        <v>Paid</v>
      </c>
      <c r="AI659" s="6" t="s">
        <v>134</v>
      </c>
      <c r="AJ659" s="6" t="str">
        <f t="shared" si="75"/>
        <v>Completed</v>
      </c>
      <c r="AK659" s="9" t="str">
        <f>_xlfn.TEXTJOIN("|",FALSE,A659,TEXT(B659,"mm-dd-yyyy"),TEXT(E659,"mm-dd-yyyy"),I659,J659,L659,N659,P659,R659,T659,V659,X659,Y659,AA659,AB659,AC659,AD659,AE659,AF659,AG659,AI659)</f>
        <v>ORD-2025-10658|08-07-2025|08-10-2025|CUST-7787|Aditi Sen|Home Office|East|Bihar|Patna|Office Supplies|Storage|Eco Storage 316|Second Class|1|2541.25|0.2|2033|1291.41|741.59|Paid|Completed</v>
      </c>
      <c r="AL659" s="27" t="str">
        <f>IF(COUNTIF($AK$2:AK659,AK659)&gt;1,"Remove exact duplicate copy","Keep")</f>
        <v>Keep</v>
      </c>
      <c r="AM659" s="9">
        <f t="shared" si="76"/>
        <v>1</v>
      </c>
      <c r="AN659" s="9" t="str">
        <f t="shared" si="77"/>
        <v>Unique</v>
      </c>
      <c r="AO659" s="9" t="str">
        <f t="shared" si="78"/>
        <v/>
      </c>
      <c r="AP659" s="9">
        <f t="shared" si="79"/>
        <v>0.2</v>
      </c>
      <c r="AQ659" s="10">
        <f t="shared" si="80"/>
        <v>2033</v>
      </c>
      <c r="AR659" s="10">
        <f t="shared" si="81"/>
        <v>741.58999999999992</v>
      </c>
      <c r="AS659" s="11">
        <f t="shared" si="82"/>
        <v>0.36477619281849477</v>
      </c>
      <c r="AT659" s="9">
        <f t="shared" si="83"/>
        <v>8</v>
      </c>
      <c r="AU659" s="9">
        <f t="shared" si="84"/>
        <v>2025</v>
      </c>
      <c r="AV659" s="9" t="b">
        <f t="shared" si="85"/>
        <v>0</v>
      </c>
      <c r="AW659" s="9" t="b">
        <f t="shared" si="86"/>
        <v>0</v>
      </c>
      <c r="AX659" s="9" t="str">
        <f t="shared" si="87"/>
        <v>Yes</v>
      </c>
      <c r="AY659" s="9" t="str">
        <f t="shared" si="93"/>
        <v/>
      </c>
      <c r="AZ659" s="9" t="str">
        <f>IF(OR(G659="Missing date",G659="Invalid date",G659="Ship date before order date",NOT(ISNUMBER(AP659)),AP659&lt;0,AP659&gt;0.5,AV659=TRUE,AW659=TRUE),"Invalid",IF(OR(O659="Unknown",Z659="Unknown",AC659="",AH659&lt;&gt;"Paid",AJ659&lt;&gt;"Completed",AO659&lt;&gt;""),"Warning","Clean"))</f>
        <v>Clean</v>
      </c>
    </row>
    <row r="660" spans="1:52" ht="15.75" customHeight="1">
      <c r="A660" s="6" t="s">
        <v>3202</v>
      </c>
      <c r="B660" s="7" t="s">
        <v>3203</v>
      </c>
      <c r="C660" s="7" t="str">
        <f t="shared" si="92"/>
        <v>2025-06</v>
      </c>
      <c r="D660" s="7" cm="1">
        <f t="array" ref="D660">_xlfn.LET(_xlpm.x,B660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45817</v>
      </c>
      <c r="E660" s="7" t="s">
        <v>2303</v>
      </c>
      <c r="F660" s="7" cm="1">
        <f t="array" ref="F660">_xlfn.LET(_xlpm.x,E660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45820</v>
      </c>
      <c r="G660" s="8" t="str">
        <f t="shared" si="64"/>
        <v>OK</v>
      </c>
      <c r="H660" s="6">
        <f t="shared" si="65"/>
        <v>3</v>
      </c>
      <c r="I660" s="6" t="s">
        <v>3204</v>
      </c>
      <c r="J660" s="6" t="s">
        <v>245</v>
      </c>
      <c r="K660" s="6" t="str">
        <f t="shared" si="66"/>
        <v>Sneha Kapoor</v>
      </c>
      <c r="L660" s="6" t="s">
        <v>43</v>
      </c>
      <c r="M660" s="8" t="str">
        <f t="shared" si="67"/>
        <v>Consumer</v>
      </c>
      <c r="N660" s="6"/>
      <c r="O660" s="6" t="str">
        <f t="shared" si="68"/>
        <v>Unknown</v>
      </c>
      <c r="P660" s="6" t="s">
        <v>263</v>
      </c>
      <c r="Q660" s="6" t="str">
        <f t="shared" si="69"/>
        <v>Bihar</v>
      </c>
      <c r="R660" s="6" t="s">
        <v>264</v>
      </c>
      <c r="S660" s="6" t="str">
        <f t="shared" si="70"/>
        <v>Patna</v>
      </c>
      <c r="T660" s="6" t="s">
        <v>20</v>
      </c>
      <c r="U660" s="8" t="str">
        <f t="shared" si="71"/>
        <v>Office Supplies</v>
      </c>
      <c r="V660" s="6" t="s">
        <v>21</v>
      </c>
      <c r="W660" s="6" t="str">
        <f t="shared" si="72"/>
        <v>Art</v>
      </c>
      <c r="X660" s="6" t="s">
        <v>3205</v>
      </c>
      <c r="Y660" s="6" t="s">
        <v>35</v>
      </c>
      <c r="Z660" s="6" t="str">
        <f t="shared" si="73"/>
        <v>First Class</v>
      </c>
      <c r="AA660" s="6">
        <v>7</v>
      </c>
      <c r="AB660" s="6">
        <v>2852.42</v>
      </c>
      <c r="AC660" s="6">
        <v>0</v>
      </c>
      <c r="AD660" s="6">
        <v>19966.939999999999</v>
      </c>
      <c r="AE660" s="6">
        <v>12690.83</v>
      </c>
      <c r="AF660" s="6">
        <v>7276.11</v>
      </c>
      <c r="AG660" s="6" t="s">
        <v>56</v>
      </c>
      <c r="AH660" s="6" t="str">
        <f t="shared" si="74"/>
        <v>Refunded</v>
      </c>
      <c r="AI660" s="6" t="s">
        <v>58</v>
      </c>
      <c r="AJ660" s="6" t="str">
        <f t="shared" si="75"/>
        <v>Cancelled</v>
      </c>
      <c r="AK660" s="9" t="str">
        <f>_xlfn.TEXTJOIN("|",FALSE,A660,TEXT(B660,"mm-dd-yyyy"),TEXT(E660,"mm-dd-yyyy"),I660,J660,L660,N660,P660,R660,T660,V660,X660,Y660,AA660,AB660,AC660,AD660,AE660,AF660,AG660,AI660)</f>
        <v>ORD-2025-10659|06-09-2025|06-12-2025|CUST-9074|Sneha Kapoor|Consumer||Bihar|Patna|Office Supplies|Art|Eco Art 763|First Class|7|2852.42|0|19966.94|12690.83|7276.11|Refunded|Cancelled</v>
      </c>
      <c r="AL660" s="27" t="str">
        <f>IF(COUNTIF($AK$2:AK660,AK660)&gt;1,"Remove exact duplicate copy","Keep")</f>
        <v>Keep</v>
      </c>
      <c r="AM660" s="9">
        <f t="shared" si="76"/>
        <v>1</v>
      </c>
      <c r="AN660" s="9" t="str">
        <f t="shared" si="77"/>
        <v>Unique</v>
      </c>
      <c r="AO660" s="9" t="str">
        <f t="shared" si="78"/>
        <v/>
      </c>
      <c r="AP660" s="9">
        <f t="shared" si="79"/>
        <v>0</v>
      </c>
      <c r="AQ660" s="10">
        <f t="shared" si="80"/>
        <v>19966.940000000002</v>
      </c>
      <c r="AR660" s="10">
        <f t="shared" si="81"/>
        <v>7276.1100000000024</v>
      </c>
      <c r="AS660" s="11">
        <f t="shared" si="82"/>
        <v>0.36440786620283339</v>
      </c>
      <c r="AT660" s="9">
        <f t="shared" si="83"/>
        <v>6</v>
      </c>
      <c r="AU660" s="9">
        <f t="shared" si="84"/>
        <v>2025</v>
      </c>
      <c r="AV660" s="9" t="b">
        <f t="shared" si="85"/>
        <v>0</v>
      </c>
      <c r="AW660" s="9" t="b">
        <f t="shared" si="86"/>
        <v>0</v>
      </c>
      <c r="AX660" s="9" t="str">
        <f t="shared" si="87"/>
        <v>No</v>
      </c>
      <c r="AY660" s="9" t="str">
        <f t="shared" si="93"/>
        <v>Missing region filled as Unknown; Refunded order summarized separately; Cancelled order excluded</v>
      </c>
      <c r="AZ660" s="9" t="str">
        <f>IF(OR(G660="Missing date",G660="Invalid date",G660="Ship date before order date",NOT(ISNUMBER(AP660)),AP660&lt;0,AP660&gt;0.5,AV660=TRUE,AW660=TRUE),"Invalid",IF(OR(O660="Unknown",Z660="Unknown",AC660="",AH660&lt;&gt;"Paid",AJ660&lt;&gt;"Completed",AO660&lt;&gt;""),"Warning","Clean"))</f>
        <v>Warning</v>
      </c>
    </row>
    <row r="661" spans="1:52" ht="15.75" customHeight="1">
      <c r="A661" s="6" t="s">
        <v>3206</v>
      </c>
      <c r="B661" s="7" t="s">
        <v>260</v>
      </c>
      <c r="C661" s="7" t="str">
        <f t="shared" si="92"/>
        <v>2025-01</v>
      </c>
      <c r="D661" s="7" cm="1">
        <f t="array" ref="D661">_xlfn.LET(_xlpm.x,B661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45678</v>
      </c>
      <c r="E661" s="7" t="s">
        <v>1924</v>
      </c>
      <c r="F661" s="7" cm="1">
        <f t="array" ref="F661">_xlfn.LET(_xlpm.x,E661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45679</v>
      </c>
      <c r="G661" s="8" t="str">
        <f t="shared" si="64"/>
        <v>OK</v>
      </c>
      <c r="H661" s="6">
        <f t="shared" si="65"/>
        <v>1</v>
      </c>
      <c r="I661" s="6" t="s">
        <v>3207</v>
      </c>
      <c r="J661" s="6" t="s">
        <v>284</v>
      </c>
      <c r="K661" s="6" t="str">
        <f t="shared" si="66"/>
        <v>Diya Patel</v>
      </c>
      <c r="L661" s="6" t="s">
        <v>45</v>
      </c>
      <c r="M661" s="8" t="str">
        <f t="shared" si="67"/>
        <v>Corporate</v>
      </c>
      <c r="N661" s="6" t="s">
        <v>10</v>
      </c>
      <c r="O661" s="6" t="str">
        <f t="shared" si="68"/>
        <v>South</v>
      </c>
      <c r="P661" s="6" t="s">
        <v>303</v>
      </c>
      <c r="Q661" s="6" t="str">
        <f t="shared" si="69"/>
        <v>Karnataka</v>
      </c>
      <c r="R661" s="6" t="s">
        <v>304</v>
      </c>
      <c r="S661" s="6" t="str">
        <f t="shared" si="70"/>
        <v>Bengaluru</v>
      </c>
      <c r="T661" s="6" t="s">
        <v>27</v>
      </c>
      <c r="U661" s="8" t="str">
        <f t="shared" si="71"/>
        <v>Technology</v>
      </c>
      <c r="V661" s="6" t="s">
        <v>31</v>
      </c>
      <c r="W661" s="6" t="str">
        <f t="shared" si="72"/>
        <v>Phones</v>
      </c>
      <c r="X661" s="6" t="s">
        <v>3208</v>
      </c>
      <c r="Y661" s="6" t="s">
        <v>36</v>
      </c>
      <c r="Z661" s="6" t="str">
        <f t="shared" si="73"/>
        <v>Second Class</v>
      </c>
      <c r="AA661" s="6">
        <v>2</v>
      </c>
      <c r="AB661" s="6">
        <v>444.31</v>
      </c>
      <c r="AC661" s="6">
        <v>0.2</v>
      </c>
      <c r="AD661" s="6">
        <v>710.9</v>
      </c>
      <c r="AE661" s="6">
        <v>513.88</v>
      </c>
      <c r="AF661" s="6">
        <v>197.02</v>
      </c>
      <c r="AG661" s="6" t="s">
        <v>56</v>
      </c>
      <c r="AH661" s="6" t="str">
        <f t="shared" si="74"/>
        <v>Refunded</v>
      </c>
      <c r="AI661" s="6" t="s">
        <v>58</v>
      </c>
      <c r="AJ661" s="6" t="str">
        <f t="shared" si="75"/>
        <v>Cancelled</v>
      </c>
      <c r="AK661" s="9" t="str">
        <f>_xlfn.TEXTJOIN("|",FALSE,A661,TEXT(B661,"mm-dd-yyyy"),TEXT(E661,"mm-dd-yyyy"),I661,J661,L661,N661,P661,R661,T661,V661,X661,Y661,AA661,AB661,AC661,AD661,AE661,AF661,AG661,AI661)</f>
        <v>ORD-2025-10660|21-01-2025|01-22-2025|CUST-8330|Diya Patel|Corporate|South|Karnataka|Bengaluru|Technology|Phones|Pro Phones 356|Second Class|2|444.31|0.2|710.9|513.88|197.02|Refunded|Cancelled</v>
      </c>
      <c r="AL661" s="27" t="str">
        <f>IF(COUNTIF($AK$2:AK661,AK661)&gt;1,"Remove exact duplicate copy","Keep")</f>
        <v>Keep</v>
      </c>
      <c r="AM661" s="9">
        <f t="shared" si="76"/>
        <v>1</v>
      </c>
      <c r="AN661" s="9" t="str">
        <f t="shared" si="77"/>
        <v>Unique</v>
      </c>
      <c r="AO661" s="9" t="str">
        <f t="shared" si="78"/>
        <v/>
      </c>
      <c r="AP661" s="9">
        <f t="shared" si="79"/>
        <v>0.2</v>
      </c>
      <c r="AQ661" s="10">
        <f t="shared" si="80"/>
        <v>710.89600000000007</v>
      </c>
      <c r="AR661" s="10">
        <f t="shared" si="81"/>
        <v>197.01600000000008</v>
      </c>
      <c r="AS661" s="11">
        <f t="shared" si="82"/>
        <v>0.27713758411919615</v>
      </c>
      <c r="AT661" s="9">
        <f t="shared" si="83"/>
        <v>1</v>
      </c>
      <c r="AU661" s="9">
        <f t="shared" si="84"/>
        <v>2025</v>
      </c>
      <c r="AV661" s="9" t="b">
        <f t="shared" si="85"/>
        <v>0</v>
      </c>
      <c r="AW661" s="9" t="b">
        <f t="shared" si="86"/>
        <v>0</v>
      </c>
      <c r="AX661" s="9" t="str">
        <f t="shared" si="87"/>
        <v>No</v>
      </c>
      <c r="AY661" s="9" t="str">
        <f t="shared" si="93"/>
        <v>Refunded order summarized separately; Cancelled order excluded</v>
      </c>
      <c r="AZ661" s="9" t="str">
        <f>IF(OR(G661="Missing date",G661="Invalid date",G661="Ship date before order date",NOT(ISNUMBER(AP661)),AP661&lt;0,AP661&gt;0.5,AV661=TRUE,AW661=TRUE),"Invalid",IF(OR(O661="Unknown",Z661="Unknown",AC661="",AH661&lt;&gt;"Paid",AJ661&lt;&gt;"Completed",AO661&lt;&gt;""),"Warning","Clean"))</f>
        <v>Warning</v>
      </c>
    </row>
    <row r="662" spans="1:52" ht="15.75" customHeight="1">
      <c r="A662" s="6" t="s">
        <v>3209</v>
      </c>
      <c r="B662" s="7" t="s">
        <v>248</v>
      </c>
      <c r="C662" s="7" t="str">
        <f t="shared" si="92"/>
        <v>2025-07</v>
      </c>
      <c r="D662" s="7" cm="1">
        <f t="array" ref="D662">_xlfn.LET(_xlpm.x,B662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45853</v>
      </c>
      <c r="E662" s="7" t="s">
        <v>3210</v>
      </c>
      <c r="F662" s="7" cm="1">
        <f t="array" ref="F662">_xlfn.LET(_xlpm.x,E662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45853</v>
      </c>
      <c r="G662" s="8" t="str">
        <f t="shared" si="64"/>
        <v>OK</v>
      </c>
      <c r="H662" s="6">
        <f t="shared" si="65"/>
        <v>0</v>
      </c>
      <c r="I662" s="6" t="s">
        <v>3211</v>
      </c>
      <c r="J662" s="6" t="s">
        <v>153</v>
      </c>
      <c r="K662" s="6" t="str">
        <f t="shared" si="66"/>
        <v>Arjun Bose</v>
      </c>
      <c r="L662" s="6" t="s">
        <v>46</v>
      </c>
      <c r="M662" s="8" t="str">
        <f t="shared" si="67"/>
        <v>Small Business</v>
      </c>
      <c r="N662" s="6" t="s">
        <v>8</v>
      </c>
      <c r="O662" s="6" t="str">
        <f t="shared" si="68"/>
        <v>East</v>
      </c>
      <c r="P662" s="6" t="s">
        <v>385</v>
      </c>
      <c r="Q662" s="6" t="str">
        <f t="shared" si="69"/>
        <v>Jharkhand</v>
      </c>
      <c r="R662" s="6" t="s">
        <v>386</v>
      </c>
      <c r="S662" s="6" t="str">
        <f t="shared" si="70"/>
        <v>Ranchi</v>
      </c>
      <c r="T662" s="6" t="s">
        <v>27</v>
      </c>
      <c r="U662" s="8" t="str">
        <f t="shared" si="71"/>
        <v>Technology</v>
      </c>
      <c r="V662" s="6" t="s">
        <v>31</v>
      </c>
      <c r="W662" s="6" t="str">
        <f t="shared" si="72"/>
        <v>Phones</v>
      </c>
      <c r="X662" s="6" t="s">
        <v>3212</v>
      </c>
      <c r="Y662" s="6" t="s">
        <v>37</v>
      </c>
      <c r="Z662" s="6" t="str">
        <f t="shared" si="73"/>
        <v>Same Day</v>
      </c>
      <c r="AA662" s="6">
        <v>4</v>
      </c>
      <c r="AB662" s="6">
        <v>4442.91</v>
      </c>
      <c r="AC662" s="6">
        <v>0.1</v>
      </c>
      <c r="AD662" s="6">
        <v>15994.48</v>
      </c>
      <c r="AE662" s="6">
        <v>9224.2800000000007</v>
      </c>
      <c r="AF662" s="6">
        <v>6770.2</v>
      </c>
      <c r="AG662" s="6" t="s">
        <v>52</v>
      </c>
      <c r="AH662" s="6" t="str">
        <f t="shared" si="74"/>
        <v>Paid</v>
      </c>
      <c r="AI662" s="6" t="s">
        <v>134</v>
      </c>
      <c r="AJ662" s="6" t="str">
        <f t="shared" si="75"/>
        <v>Completed</v>
      </c>
      <c r="AK662" s="9" t="str">
        <f>_xlfn.TEXTJOIN("|",FALSE,A662,TEXT(B662,"mm-dd-yyyy"),TEXT(E662,"mm-dd-yyyy"),I662,J662,L662,N662,P662,R662,T662,V662,X662,Y662,AA662,AB662,AC662,AD662,AE662,AF662,AG662,AI662)</f>
        <v>ORD-2025-10661|07-15-2025|15-07-2025|CUST-5638|Arjun Bose|Small Business|East|Jharkhand|Ranchi|Technology|Phones|Basic Phones 865|Same Day|4|4442.91|0.1|15994.48|9224.28|6770.2|Paid|Completed</v>
      </c>
      <c r="AL662" s="27" t="str">
        <f>IF(COUNTIF($AK$2:AK662,AK662)&gt;1,"Remove exact duplicate copy","Keep")</f>
        <v>Keep</v>
      </c>
      <c r="AM662" s="9">
        <f t="shared" si="76"/>
        <v>1</v>
      </c>
      <c r="AN662" s="9" t="str">
        <f t="shared" si="77"/>
        <v>Unique</v>
      </c>
      <c r="AO662" s="9" t="str">
        <f t="shared" si="78"/>
        <v/>
      </c>
      <c r="AP662" s="9">
        <f t="shared" si="79"/>
        <v>0.1</v>
      </c>
      <c r="AQ662" s="10">
        <f t="shared" si="80"/>
        <v>15994.476000000001</v>
      </c>
      <c r="AR662" s="10">
        <f t="shared" si="81"/>
        <v>6770.1959999999999</v>
      </c>
      <c r="AS662" s="11">
        <f t="shared" si="82"/>
        <v>0.42328338858991066</v>
      </c>
      <c r="AT662" s="9">
        <f t="shared" si="83"/>
        <v>7</v>
      </c>
      <c r="AU662" s="9">
        <f t="shared" si="84"/>
        <v>2025</v>
      </c>
      <c r="AV662" s="9" t="b">
        <f t="shared" si="85"/>
        <v>0</v>
      </c>
      <c r="AW662" s="9" t="b">
        <f t="shared" si="86"/>
        <v>0</v>
      </c>
      <c r="AX662" s="9" t="str">
        <f t="shared" si="87"/>
        <v>Yes</v>
      </c>
      <c r="AY662" s="9" t="str">
        <f t="shared" si="93"/>
        <v/>
      </c>
      <c r="AZ662" s="9" t="str">
        <f>IF(OR(G662="Missing date",G662="Invalid date",G662="Ship date before order date",NOT(ISNUMBER(AP662)),AP662&lt;0,AP662&gt;0.5,AV662=TRUE,AW662=TRUE),"Invalid",IF(OR(O662="Unknown",Z662="Unknown",AC662="",AH662&lt;&gt;"Paid",AJ662&lt;&gt;"Completed",AO662&lt;&gt;""),"Warning","Clean"))</f>
        <v>Clean</v>
      </c>
    </row>
    <row r="663" spans="1:52" ht="15.75" customHeight="1">
      <c r="A663" s="6" t="s">
        <v>3213</v>
      </c>
      <c r="B663" s="7" t="s">
        <v>3214</v>
      </c>
      <c r="C663" s="7" t="str">
        <f t="shared" si="92"/>
        <v>2024-05</v>
      </c>
      <c r="D663" s="7" cm="1">
        <f t="array" ref="D663">_xlfn.LET(_xlpm.x,B663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45429</v>
      </c>
      <c r="E663" s="7" t="s">
        <v>3215</v>
      </c>
      <c r="F663" s="7" cm="1">
        <f t="array" ref="F663">_xlfn.LET(_xlpm.x,E663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45434</v>
      </c>
      <c r="G663" s="8" t="str">
        <f t="shared" si="64"/>
        <v>OK</v>
      </c>
      <c r="H663" s="6">
        <f t="shared" si="65"/>
        <v>5</v>
      </c>
      <c r="I663" s="6" t="s">
        <v>3216</v>
      </c>
      <c r="J663" s="6" t="s">
        <v>245</v>
      </c>
      <c r="K663" s="6" t="str">
        <f t="shared" si="66"/>
        <v>Sneha Kapoor</v>
      </c>
      <c r="L663" s="6" t="s">
        <v>43</v>
      </c>
      <c r="M663" s="8" t="str">
        <f t="shared" si="67"/>
        <v>Consumer</v>
      </c>
      <c r="N663" s="6" t="s">
        <v>10</v>
      </c>
      <c r="O663" s="6" t="str">
        <f t="shared" si="68"/>
        <v>South</v>
      </c>
      <c r="P663" s="6" t="s">
        <v>183</v>
      </c>
      <c r="Q663" s="6" t="str">
        <f t="shared" si="69"/>
        <v>Andhra Pradesh</v>
      </c>
      <c r="R663" s="6" t="s">
        <v>184</v>
      </c>
      <c r="S663" s="6" t="str">
        <f t="shared" si="70"/>
        <v>Vijayawada</v>
      </c>
      <c r="T663" s="6" t="s">
        <v>27</v>
      </c>
      <c r="U663" s="8" t="str">
        <f t="shared" si="71"/>
        <v>Technology</v>
      </c>
      <c r="V663" s="6" t="s">
        <v>30</v>
      </c>
      <c r="W663" s="6" t="str">
        <f t="shared" si="72"/>
        <v>Machines</v>
      </c>
      <c r="X663" s="6" t="s">
        <v>3217</v>
      </c>
      <c r="Y663" s="6" t="s">
        <v>36</v>
      </c>
      <c r="Z663" s="6" t="str">
        <f t="shared" si="73"/>
        <v>Second Class</v>
      </c>
      <c r="AA663" s="6">
        <v>7</v>
      </c>
      <c r="AB663" s="6">
        <v>232.5</v>
      </c>
      <c r="AC663" s="6">
        <v>0</v>
      </c>
      <c r="AD663" s="6">
        <v>1627.5</v>
      </c>
      <c r="AE663" s="6">
        <v>939.9</v>
      </c>
      <c r="AF663" s="6">
        <v>687.6</v>
      </c>
      <c r="AG663" s="6" t="s">
        <v>52</v>
      </c>
      <c r="AH663" s="6" t="str">
        <f t="shared" si="74"/>
        <v>Paid</v>
      </c>
      <c r="AI663" s="6" t="s">
        <v>134</v>
      </c>
      <c r="AJ663" s="6" t="str">
        <f t="shared" si="75"/>
        <v>Completed</v>
      </c>
      <c r="AK663" s="9" t="str">
        <f>_xlfn.TEXTJOIN("|",FALSE,A663,TEXT(B663,"mm-dd-yyyy"),TEXT(E663,"mm-dd-yyyy"),I663,J663,L663,N663,P663,R663,T663,V663,X663,Y663,AA663,AB663,AC663,AD663,AE663,AF663,AG663,AI663)</f>
        <v>ORD-2024-10662|17-05-2024|05-22-2024|CUST-4537|Sneha Kapoor|Consumer|South|Andhra Pradesh|Vijayawada|Technology|Machines|Max Machines 595|Second Class|7|232.5|0|1627.5|939.9|687.6|Paid|Completed</v>
      </c>
      <c r="AL663" s="27" t="str">
        <f>IF(COUNTIF($AK$2:AK663,AK663)&gt;1,"Remove exact duplicate copy","Keep")</f>
        <v>Keep</v>
      </c>
      <c r="AM663" s="9">
        <f t="shared" si="76"/>
        <v>1</v>
      </c>
      <c r="AN663" s="9" t="str">
        <f t="shared" si="77"/>
        <v>Unique</v>
      </c>
      <c r="AO663" s="9" t="str">
        <f t="shared" si="78"/>
        <v/>
      </c>
      <c r="AP663" s="9">
        <f t="shared" si="79"/>
        <v>0</v>
      </c>
      <c r="AQ663" s="10">
        <f t="shared" si="80"/>
        <v>1627.5</v>
      </c>
      <c r="AR663" s="10">
        <f t="shared" si="81"/>
        <v>687.6</v>
      </c>
      <c r="AS663" s="11">
        <f t="shared" si="82"/>
        <v>0.4224884792626728</v>
      </c>
      <c r="AT663" s="9">
        <f t="shared" si="83"/>
        <v>5</v>
      </c>
      <c r="AU663" s="9">
        <f t="shared" si="84"/>
        <v>2024</v>
      </c>
      <c r="AV663" s="9" t="b">
        <f t="shared" si="85"/>
        <v>0</v>
      </c>
      <c r="AW663" s="9" t="b">
        <f t="shared" si="86"/>
        <v>0</v>
      </c>
      <c r="AX663" s="9" t="str">
        <f t="shared" si="87"/>
        <v>Yes</v>
      </c>
      <c r="AY663" s="9" t="str">
        <f t="shared" si="93"/>
        <v/>
      </c>
      <c r="AZ663" s="9" t="str">
        <f>IF(OR(G663="Missing date",G663="Invalid date",G663="Ship date before order date",NOT(ISNUMBER(AP663)),AP663&lt;0,AP663&gt;0.5,AV663=TRUE,AW663=TRUE),"Invalid",IF(OR(O663="Unknown",Z663="Unknown",AC663="",AH663&lt;&gt;"Paid",AJ663&lt;&gt;"Completed",AO663&lt;&gt;""),"Warning","Clean"))</f>
        <v>Clean</v>
      </c>
    </row>
    <row r="664" spans="1:52" ht="15.75" customHeight="1">
      <c r="A664" s="6" t="s">
        <v>3218</v>
      </c>
      <c r="B664" s="7" t="s">
        <v>3219</v>
      </c>
      <c r="C664" s="7" t="str">
        <f t="shared" si="92"/>
        <v>2024-01</v>
      </c>
      <c r="D664" s="7" cm="1">
        <f t="array" ref="D664">_xlfn.LET(_xlpm.x,B664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45305</v>
      </c>
      <c r="E664" s="7" t="s">
        <v>3220</v>
      </c>
      <c r="F664" s="7" cm="1">
        <f t="array" ref="F664">_xlfn.LET(_xlpm.x,E664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45309</v>
      </c>
      <c r="G664" s="8" t="str">
        <f t="shared" si="64"/>
        <v>OK</v>
      </c>
      <c r="H664" s="6">
        <f t="shared" si="65"/>
        <v>4</v>
      </c>
      <c r="I664" s="6" t="s">
        <v>3221</v>
      </c>
      <c r="J664" s="6" t="s">
        <v>139</v>
      </c>
      <c r="K664" s="6" t="str">
        <f t="shared" si="66"/>
        <v>Mira Das</v>
      </c>
      <c r="L664" s="6" t="s">
        <v>44</v>
      </c>
      <c r="M664" s="8" t="str">
        <f t="shared" si="67"/>
        <v>Home Office</v>
      </c>
      <c r="N664" s="6" t="s">
        <v>9</v>
      </c>
      <c r="O664" s="6" t="str">
        <f t="shared" si="68"/>
        <v>West</v>
      </c>
      <c r="P664" s="6" t="s">
        <v>131</v>
      </c>
      <c r="Q664" s="6" t="str">
        <f t="shared" si="69"/>
        <v>Rajasthan</v>
      </c>
      <c r="R664" s="6" t="s">
        <v>214</v>
      </c>
      <c r="S664" s="6" t="str">
        <f t="shared" si="70"/>
        <v>Udaipur</v>
      </c>
      <c r="T664" s="6" t="s">
        <v>27</v>
      </c>
      <c r="U664" s="8" t="str">
        <f t="shared" si="71"/>
        <v>Technology</v>
      </c>
      <c r="V664" s="6" t="s">
        <v>30</v>
      </c>
      <c r="W664" s="6" t="str">
        <f t="shared" si="72"/>
        <v>Machines</v>
      </c>
      <c r="X664" s="6" t="s">
        <v>3222</v>
      </c>
      <c r="Y664" s="6" t="s">
        <v>37</v>
      </c>
      <c r="Z664" s="6" t="str">
        <f t="shared" si="73"/>
        <v>Same Day</v>
      </c>
      <c r="AA664" s="6">
        <v>6</v>
      </c>
      <c r="AB664" s="6">
        <v>1784.8</v>
      </c>
      <c r="AC664" s="6">
        <v>0.1</v>
      </c>
      <c r="AD664" s="6">
        <v>9637.92</v>
      </c>
      <c r="AE664" s="6">
        <v>7329.29</v>
      </c>
      <c r="AF664" s="6">
        <v>2308.63</v>
      </c>
      <c r="AG664" s="6" t="s">
        <v>52</v>
      </c>
      <c r="AH664" s="6" t="str">
        <f t="shared" si="74"/>
        <v>Paid</v>
      </c>
      <c r="AI664" s="6" t="s">
        <v>134</v>
      </c>
      <c r="AJ664" s="6" t="str">
        <f t="shared" si="75"/>
        <v>Completed</v>
      </c>
      <c r="AK664" s="9" t="str">
        <f>_xlfn.TEXTJOIN("|",FALSE,A664,TEXT(B664,"mm-dd-yyyy"),TEXT(E664,"mm-dd-yyyy"),I664,J664,L664,N664,P664,R664,T664,V664,X664,Y664,AA664,AB664,AC664,AD664,AE664,AF664,AG664,AI664)</f>
        <v>ORD-2024-10663|01-14-2024|18-01-2024|CUST-3181|Mira Das|Home Office|West|Rajasthan|Udaipur|Technology|Machines|Elite Machines 367|Same Day|6|1784.8|0.1|9637.92|7329.29|2308.63|Paid|Completed</v>
      </c>
      <c r="AL664" s="27" t="str">
        <f>IF(COUNTIF($AK$2:AK664,AK664)&gt;1,"Remove exact duplicate copy","Keep")</f>
        <v>Keep</v>
      </c>
      <c r="AM664" s="9">
        <f t="shared" si="76"/>
        <v>1</v>
      </c>
      <c r="AN664" s="9" t="str">
        <f t="shared" si="77"/>
        <v>Unique</v>
      </c>
      <c r="AO664" s="9" t="str">
        <f t="shared" si="78"/>
        <v/>
      </c>
      <c r="AP664" s="9">
        <f t="shared" si="79"/>
        <v>0.1</v>
      </c>
      <c r="AQ664" s="10">
        <f t="shared" si="80"/>
        <v>9637.92</v>
      </c>
      <c r="AR664" s="10">
        <f t="shared" si="81"/>
        <v>2308.63</v>
      </c>
      <c r="AS664" s="11">
        <f t="shared" si="82"/>
        <v>0.2395361239769577</v>
      </c>
      <c r="AT664" s="9">
        <f t="shared" si="83"/>
        <v>1</v>
      </c>
      <c r="AU664" s="9">
        <f t="shared" si="84"/>
        <v>2024</v>
      </c>
      <c r="AV664" s="9" t="b">
        <f t="shared" si="85"/>
        <v>0</v>
      </c>
      <c r="AW664" s="9" t="b">
        <f t="shared" si="86"/>
        <v>0</v>
      </c>
      <c r="AX664" s="9" t="str">
        <f t="shared" si="87"/>
        <v>Yes</v>
      </c>
      <c r="AY664" s="9" t="str">
        <f t="shared" si="93"/>
        <v/>
      </c>
      <c r="AZ664" s="9" t="str">
        <f>IF(OR(G664="Missing date",G664="Invalid date",G664="Ship date before order date",NOT(ISNUMBER(AP664)),AP664&lt;0,AP664&gt;0.5,AV664=TRUE,AW664=TRUE),"Invalid",IF(OR(O664="Unknown",Z664="Unknown",AC664="",AH664&lt;&gt;"Paid",AJ664&lt;&gt;"Completed",AO664&lt;&gt;""),"Warning","Clean"))</f>
        <v>Clean</v>
      </c>
    </row>
    <row r="665" spans="1:52" ht="15.75" customHeight="1">
      <c r="A665" s="6" t="s">
        <v>3223</v>
      </c>
      <c r="B665" s="7" t="s">
        <v>1310</v>
      </c>
      <c r="C665" s="7" t="str">
        <f t="shared" si="92"/>
        <v>2024-05</v>
      </c>
      <c r="D665" s="7" cm="1">
        <f t="array" ref="D665">_xlfn.LET(_xlpm.x,B665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45414</v>
      </c>
      <c r="E665" s="7" t="s">
        <v>2775</v>
      </c>
      <c r="F665" s="7" cm="1">
        <f t="array" ref="F665">_xlfn.LET(_xlpm.x,E665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45420</v>
      </c>
      <c r="G665" s="8" t="str">
        <f t="shared" si="64"/>
        <v>OK</v>
      </c>
      <c r="H665" s="6">
        <f t="shared" si="65"/>
        <v>6</v>
      </c>
      <c r="I665" s="6" t="s">
        <v>3224</v>
      </c>
      <c r="J665" s="6" t="s">
        <v>226</v>
      </c>
      <c r="K665" s="6" t="str">
        <f t="shared" si="66"/>
        <v>Rahul Verma</v>
      </c>
      <c r="L665" s="6" t="s">
        <v>44</v>
      </c>
      <c r="M665" s="8" t="str">
        <f t="shared" si="67"/>
        <v>Home Office</v>
      </c>
      <c r="N665" s="6" t="s">
        <v>8</v>
      </c>
      <c r="O665" s="6" t="str">
        <f t="shared" si="68"/>
        <v>East</v>
      </c>
      <c r="P665" s="6" t="s">
        <v>385</v>
      </c>
      <c r="Q665" s="6" t="str">
        <f t="shared" si="69"/>
        <v>Jharkhand</v>
      </c>
      <c r="R665" s="6" t="s">
        <v>386</v>
      </c>
      <c r="S665" s="6" t="str">
        <f t="shared" si="70"/>
        <v>Ranchi</v>
      </c>
      <c r="T665" s="6" t="s">
        <v>27</v>
      </c>
      <c r="U665" s="8" t="str">
        <f t="shared" si="71"/>
        <v>Technology</v>
      </c>
      <c r="V665" s="6" t="s">
        <v>29</v>
      </c>
      <c r="W665" s="6" t="str">
        <f t="shared" si="72"/>
        <v>Copiers</v>
      </c>
      <c r="X665" s="6" t="s">
        <v>3225</v>
      </c>
      <c r="Y665" s="6" t="s">
        <v>36</v>
      </c>
      <c r="Z665" s="6" t="str">
        <f t="shared" si="73"/>
        <v>Second Class</v>
      </c>
      <c r="AA665" s="6">
        <v>2</v>
      </c>
      <c r="AB665" s="6">
        <v>3185.01</v>
      </c>
      <c r="AC665" s="6">
        <v>-0.24</v>
      </c>
      <c r="AD665" s="6">
        <v>4777.5200000000004</v>
      </c>
      <c r="AE665" s="6">
        <v>3152.98</v>
      </c>
      <c r="AF665" s="6">
        <v>1624.54</v>
      </c>
      <c r="AG665" s="6" t="s">
        <v>52</v>
      </c>
      <c r="AH665" s="6" t="str">
        <f t="shared" si="74"/>
        <v>Paid</v>
      </c>
      <c r="AI665" s="6" t="s">
        <v>134</v>
      </c>
      <c r="AJ665" s="6" t="str">
        <f t="shared" si="75"/>
        <v>Completed</v>
      </c>
      <c r="AK665" s="9" t="str">
        <f>_xlfn.TEXTJOIN("|",FALSE,A665,TEXT(B665,"mm-dd-yyyy"),TEXT(E665,"mm-dd-yyyy"),I665,J665,L665,N665,P665,R665,T665,V665,X665,Y665,AA665,AB665,AC665,AD665,AE665,AF665,AG665,AI665)</f>
        <v>ORD-2024-10664|05-02-2024|05-08-2024|CUST-1015|Rahul Verma|Home Office|East|Jharkhand|Ranchi|Technology|Copiers|Basic Copiers 787|Second Class|2|3185.01|-0.24|4777.52|3152.98|1624.54|Paid|Completed</v>
      </c>
      <c r="AL665" s="27" t="str">
        <f>IF(COUNTIF($AK$2:AK665,AK665)&gt;1,"Remove exact duplicate copy","Keep")</f>
        <v>Keep</v>
      </c>
      <c r="AM665" s="9">
        <f t="shared" si="76"/>
        <v>1</v>
      </c>
      <c r="AN665" s="9" t="str">
        <f t="shared" si="77"/>
        <v>Unique</v>
      </c>
      <c r="AO665" s="9" t="str">
        <f t="shared" si="78"/>
        <v/>
      </c>
      <c r="AP665" s="9">
        <f t="shared" si="79"/>
        <v>-0.24</v>
      </c>
      <c r="AQ665" s="10">
        <f t="shared" si="80"/>
        <v>7898.8248000000003</v>
      </c>
      <c r="AR665" s="10">
        <f t="shared" si="81"/>
        <v>4745.8448000000008</v>
      </c>
      <c r="AS665" s="11">
        <f t="shared" si="82"/>
        <v>0.60082922715287979</v>
      </c>
      <c r="AT665" s="9">
        <f t="shared" si="83"/>
        <v>5</v>
      </c>
      <c r="AU665" s="9">
        <f t="shared" si="84"/>
        <v>2024</v>
      </c>
      <c r="AV665" s="9" t="b">
        <f t="shared" si="85"/>
        <v>1</v>
      </c>
      <c r="AW665" s="9" t="b">
        <f t="shared" si="86"/>
        <v>1</v>
      </c>
      <c r="AX665" s="9" t="str">
        <f t="shared" si="87"/>
        <v>No</v>
      </c>
      <c r="AY665" s="9" t="str">
        <f t="shared" si="93"/>
        <v>Negative discount; Sales mismatch; Profit mismatch</v>
      </c>
      <c r="AZ665" s="9" t="str">
        <f>IF(OR(G665="Missing date",G665="Invalid date",G665="Ship date before order date",NOT(ISNUMBER(AP665)),AP665&lt;0,AP665&gt;0.5,AV665=TRUE,AW665=TRUE),"Invalid",IF(OR(O665="Unknown",Z665="Unknown",AC665="",AH665&lt;&gt;"Paid",AJ665&lt;&gt;"Completed",AO665&lt;&gt;""),"Warning","Clean"))</f>
        <v>Invalid</v>
      </c>
    </row>
    <row r="666" spans="1:52" ht="15.75" customHeight="1">
      <c r="A666" s="6" t="s">
        <v>3226</v>
      </c>
      <c r="B666" s="7" t="s">
        <v>3227</v>
      </c>
      <c r="C666" s="7" t="str">
        <f t="shared" si="92"/>
        <v>2024-12</v>
      </c>
      <c r="D666" s="7" cm="1">
        <f t="array" ref="D666">_xlfn.LET(_xlpm.x,B666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45633</v>
      </c>
      <c r="E666" s="7" t="s">
        <v>3228</v>
      </c>
      <c r="F666" s="7" cm="1">
        <f t="array" ref="F666">_xlfn.LET(_xlpm.x,E666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45636</v>
      </c>
      <c r="G666" s="8" t="str">
        <f t="shared" si="64"/>
        <v>OK</v>
      </c>
      <c r="H666" s="6">
        <f t="shared" si="65"/>
        <v>3</v>
      </c>
      <c r="I666" s="6" t="s">
        <v>3229</v>
      </c>
      <c r="J666" s="6" t="s">
        <v>139</v>
      </c>
      <c r="K666" s="6" t="str">
        <f t="shared" si="66"/>
        <v>Mira Das</v>
      </c>
      <c r="L666" s="6" t="s">
        <v>44</v>
      </c>
      <c r="M666" s="8" t="str">
        <f t="shared" si="67"/>
        <v>Home Office</v>
      </c>
      <c r="N666" s="6" t="s">
        <v>10</v>
      </c>
      <c r="O666" s="6" t="str">
        <f t="shared" si="68"/>
        <v>South</v>
      </c>
      <c r="P666" s="6" t="s">
        <v>154</v>
      </c>
      <c r="Q666" s="6" t="str">
        <f t="shared" si="69"/>
        <v>Telangana</v>
      </c>
      <c r="R666" s="6" t="s">
        <v>155</v>
      </c>
      <c r="S666" s="6" t="str">
        <f t="shared" si="70"/>
        <v>Hyderabad</v>
      </c>
      <c r="T666" s="6" t="s">
        <v>27</v>
      </c>
      <c r="U666" s="8" t="str">
        <f t="shared" si="71"/>
        <v>Technology</v>
      </c>
      <c r="V666" s="6" t="s">
        <v>28</v>
      </c>
      <c r="W666" s="6" t="str">
        <f t="shared" si="72"/>
        <v>Accessories</v>
      </c>
      <c r="X666" s="6" t="s">
        <v>3230</v>
      </c>
      <c r="Y666" s="6" t="s">
        <v>34</v>
      </c>
      <c r="Z666" s="6" t="str">
        <f t="shared" si="73"/>
        <v>Standard Class</v>
      </c>
      <c r="AA666" s="6">
        <v>1</v>
      </c>
      <c r="AB666" s="6">
        <v>1908.83</v>
      </c>
      <c r="AC666" s="6">
        <v>0.2</v>
      </c>
      <c r="AD666" s="6">
        <v>1527.06</v>
      </c>
      <c r="AE666" s="6">
        <v>1055.8900000000001</v>
      </c>
      <c r="AF666" s="6">
        <v>471.17</v>
      </c>
      <c r="AG666" s="6" t="s">
        <v>52</v>
      </c>
      <c r="AH666" s="6" t="str">
        <f t="shared" si="74"/>
        <v>Paid</v>
      </c>
      <c r="AI666" s="6" t="s">
        <v>134</v>
      </c>
      <c r="AJ666" s="6" t="str">
        <f t="shared" si="75"/>
        <v>Completed</v>
      </c>
      <c r="AK666" s="9" t="str">
        <f>_xlfn.TEXTJOIN("|",FALSE,A666,TEXT(B666,"mm-dd-yyyy"),TEXT(E666,"mm-dd-yyyy"),I666,J666,L666,N666,P666,R666,T666,V666,X666,Y666,AA666,AB666,AC666,AD666,AE666,AF666,AG666,AI666)</f>
        <v>ORD-2024-10665|12-07-2024|12-10-2024|CUST-2709|Mira Das|Home Office|South|Telangana|Hyderabad|Technology|Accessories|Max Accessories 903|Standard Class|1|1908.83|0.2|1527.06|1055.89|471.17|Paid|Completed</v>
      </c>
      <c r="AL666" s="27" t="str">
        <f>IF(COUNTIF($AK$2:AK666,AK666)&gt;1,"Remove exact duplicate copy","Keep")</f>
        <v>Keep</v>
      </c>
      <c r="AM666" s="9">
        <f t="shared" si="76"/>
        <v>1</v>
      </c>
      <c r="AN666" s="9" t="str">
        <f t="shared" si="77"/>
        <v>Unique</v>
      </c>
      <c r="AO666" s="9" t="str">
        <f t="shared" si="78"/>
        <v/>
      </c>
      <c r="AP666" s="9">
        <f t="shared" si="79"/>
        <v>0.2</v>
      </c>
      <c r="AQ666" s="10">
        <f t="shared" si="80"/>
        <v>1527.0640000000001</v>
      </c>
      <c r="AR666" s="10">
        <f t="shared" si="81"/>
        <v>471.17399999999998</v>
      </c>
      <c r="AS666" s="11">
        <f t="shared" si="82"/>
        <v>0.30854895407134209</v>
      </c>
      <c r="AT666" s="9">
        <f t="shared" si="83"/>
        <v>12</v>
      </c>
      <c r="AU666" s="9">
        <f t="shared" si="84"/>
        <v>2024</v>
      </c>
      <c r="AV666" s="9" t="b">
        <f t="shared" si="85"/>
        <v>0</v>
      </c>
      <c r="AW666" s="9" t="b">
        <f t="shared" si="86"/>
        <v>0</v>
      </c>
      <c r="AX666" s="9" t="str">
        <f t="shared" si="87"/>
        <v>Yes</v>
      </c>
      <c r="AY666" s="9" t="str">
        <f t="shared" si="93"/>
        <v/>
      </c>
      <c r="AZ666" s="9" t="str">
        <f>IF(OR(G666="Missing date",G666="Invalid date",G666="Ship date before order date",NOT(ISNUMBER(AP666)),AP666&lt;0,AP666&gt;0.5,AV666=TRUE,AW666=TRUE),"Invalid",IF(OR(O666="Unknown",Z666="Unknown",AC666="",AH666&lt;&gt;"Paid",AJ666&lt;&gt;"Completed",AO666&lt;&gt;""),"Warning","Clean"))</f>
        <v>Clean</v>
      </c>
    </row>
    <row r="667" spans="1:52" ht="15.75" customHeight="1">
      <c r="A667" s="6" t="s">
        <v>3231</v>
      </c>
      <c r="B667" s="7" t="s">
        <v>3232</v>
      </c>
      <c r="C667" s="7" t="str">
        <f t="shared" si="92"/>
        <v>2025-01</v>
      </c>
      <c r="D667" s="7" cm="1">
        <f t="array" ref="D667">_xlfn.LET(_xlpm.x,B667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45670</v>
      </c>
      <c r="E667" s="7" t="s">
        <v>3233</v>
      </c>
      <c r="F667" s="7" cm="1">
        <f t="array" ref="F667">_xlfn.LET(_xlpm.x,E667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45670</v>
      </c>
      <c r="G667" s="8" t="str">
        <f t="shared" si="64"/>
        <v>OK</v>
      </c>
      <c r="H667" s="6">
        <f t="shared" si="65"/>
        <v>0</v>
      </c>
      <c r="I667" s="6" t="s">
        <v>3234</v>
      </c>
      <c r="J667" s="6" t="s">
        <v>3235</v>
      </c>
      <c r="K667" s="6" t="str">
        <f t="shared" si="66"/>
        <v>Rahul Verma</v>
      </c>
      <c r="L667" s="6" t="s">
        <v>44</v>
      </c>
      <c r="M667" s="8" t="str">
        <f t="shared" si="67"/>
        <v>Home Office</v>
      </c>
      <c r="N667" s="6" t="s">
        <v>9</v>
      </c>
      <c r="O667" s="6" t="str">
        <f t="shared" si="68"/>
        <v>West</v>
      </c>
      <c r="P667" s="6" t="s">
        <v>309</v>
      </c>
      <c r="Q667" s="6" t="str">
        <f t="shared" si="69"/>
        <v>Gujarat</v>
      </c>
      <c r="R667" s="6" t="s">
        <v>310</v>
      </c>
      <c r="S667" s="6" t="str">
        <f t="shared" si="70"/>
        <v>Ahmedabad</v>
      </c>
      <c r="T667" s="6" t="s">
        <v>20</v>
      </c>
      <c r="U667" s="8" t="str">
        <f t="shared" si="71"/>
        <v>Office Supplies</v>
      </c>
      <c r="V667" s="6" t="s">
        <v>21</v>
      </c>
      <c r="W667" s="6" t="str">
        <f t="shared" si="72"/>
        <v>Art</v>
      </c>
      <c r="X667" s="6" t="s">
        <v>3236</v>
      </c>
      <c r="Y667" s="6" t="s">
        <v>34</v>
      </c>
      <c r="Z667" s="6" t="str">
        <f t="shared" si="73"/>
        <v>Standard Class</v>
      </c>
      <c r="AA667" s="6">
        <v>3</v>
      </c>
      <c r="AB667" s="6">
        <v>2110.52</v>
      </c>
      <c r="AC667" s="6">
        <v>0.1</v>
      </c>
      <c r="AD667" s="6">
        <v>5698.4</v>
      </c>
      <c r="AE667" s="6">
        <v>3640.89</v>
      </c>
      <c r="AF667" s="6">
        <v>2057.5100000000002</v>
      </c>
      <c r="AG667" s="6" t="s">
        <v>50</v>
      </c>
      <c r="AH667" s="6" t="str">
        <f t="shared" si="74"/>
        <v>Failed</v>
      </c>
      <c r="AI667" s="6" t="s">
        <v>58</v>
      </c>
      <c r="AJ667" s="6" t="str">
        <f t="shared" si="75"/>
        <v>Cancelled</v>
      </c>
      <c r="AK667" s="9" t="str">
        <f>_xlfn.TEXTJOIN("|",FALSE,A667,TEXT(B667,"mm-dd-yyyy"),TEXT(E667,"mm-dd-yyyy"),I667,J667,L667,N667,P667,R667,T667,V667,X667,Y667,AA667,AB667,AC667,AD667,AE667,AF667,AG667,AI667)</f>
        <v>ORD-2025-10666|01-13-2025|01-13-2025|CUST-1197|  Rahul Verma |Home Office|West|Gujarat|Ahmedabad|Office Supplies|Art|Max Art 660|Standard Class|3|2110.52|0.1|5698.4|3640.89|2057.51|Failed|Cancelled</v>
      </c>
      <c r="AL667" s="27" t="str">
        <f>IF(COUNTIF($AK$2:AK667,AK667)&gt;1,"Remove exact duplicate copy","Keep")</f>
        <v>Keep</v>
      </c>
      <c r="AM667" s="9">
        <f t="shared" si="76"/>
        <v>1</v>
      </c>
      <c r="AN667" s="9" t="str">
        <f t="shared" si="77"/>
        <v>Unique</v>
      </c>
      <c r="AO667" s="9" t="str">
        <f t="shared" si="78"/>
        <v/>
      </c>
      <c r="AP667" s="9">
        <f t="shared" si="79"/>
        <v>0.1</v>
      </c>
      <c r="AQ667" s="10">
        <f t="shared" si="80"/>
        <v>5698.4039999999995</v>
      </c>
      <c r="AR667" s="10">
        <f t="shared" si="81"/>
        <v>2057.5139999999997</v>
      </c>
      <c r="AS667" s="11">
        <f t="shared" si="82"/>
        <v>0.36106846759197836</v>
      </c>
      <c r="AT667" s="9">
        <f t="shared" si="83"/>
        <v>1</v>
      </c>
      <c r="AU667" s="9">
        <f t="shared" si="84"/>
        <v>2025</v>
      </c>
      <c r="AV667" s="9" t="b">
        <f t="shared" si="85"/>
        <v>0</v>
      </c>
      <c r="AW667" s="9" t="b">
        <f t="shared" si="86"/>
        <v>0</v>
      </c>
      <c r="AX667" s="9" t="str">
        <f t="shared" si="87"/>
        <v>No</v>
      </c>
      <c r="AY667" s="9" t="str">
        <f t="shared" si="93"/>
        <v>Failed payment excluded; Cancelled order excluded</v>
      </c>
      <c r="AZ667" s="9" t="str">
        <f>IF(OR(G667="Missing date",G667="Invalid date",G667="Ship date before order date",NOT(ISNUMBER(AP667)),AP667&lt;0,AP667&gt;0.5,AV667=TRUE,AW667=TRUE),"Invalid",IF(OR(O667="Unknown",Z667="Unknown",AC667="",AH667&lt;&gt;"Paid",AJ667&lt;&gt;"Completed",AO667&lt;&gt;""),"Warning","Clean"))</f>
        <v>Warning</v>
      </c>
    </row>
    <row r="668" spans="1:52" ht="15.75" customHeight="1">
      <c r="A668" s="6" t="s">
        <v>3237</v>
      </c>
      <c r="B668" s="7" t="s">
        <v>2241</v>
      </c>
      <c r="C668" s="7" t="str">
        <f t="shared" si="92"/>
        <v>2024-06</v>
      </c>
      <c r="D668" s="7" cm="1">
        <f t="array" ref="D668">_xlfn.LET(_xlpm.x,B668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45464</v>
      </c>
      <c r="E668" s="7" t="s">
        <v>2182</v>
      </c>
      <c r="F668" s="7" cm="1">
        <f t="array" ref="F668">_xlfn.LET(_xlpm.x,E668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45469</v>
      </c>
      <c r="G668" s="8" t="str">
        <f t="shared" si="64"/>
        <v>OK</v>
      </c>
      <c r="H668" s="6">
        <f t="shared" si="65"/>
        <v>5</v>
      </c>
      <c r="I668" s="6" t="s">
        <v>3238</v>
      </c>
      <c r="J668" s="6" t="s">
        <v>257</v>
      </c>
      <c r="K668" s="6" t="str">
        <f t="shared" si="66"/>
        <v>Rohan Mehta</v>
      </c>
      <c r="L668" s="6" t="s">
        <v>46</v>
      </c>
      <c r="M668" s="8" t="str">
        <f t="shared" si="67"/>
        <v>Small Business</v>
      </c>
      <c r="N668" s="6" t="s">
        <v>7</v>
      </c>
      <c r="O668" s="6" t="str">
        <f t="shared" si="68"/>
        <v>North</v>
      </c>
      <c r="P668" s="6" t="s">
        <v>232</v>
      </c>
      <c r="Q668" s="6" t="str">
        <f t="shared" si="69"/>
        <v>Punjab</v>
      </c>
      <c r="R668" s="6" t="s">
        <v>233</v>
      </c>
      <c r="S668" s="6" t="str">
        <f t="shared" si="70"/>
        <v>Ludhiana</v>
      </c>
      <c r="T668" s="6" t="s">
        <v>27</v>
      </c>
      <c r="U668" s="8" t="str">
        <f t="shared" si="71"/>
        <v>Technology</v>
      </c>
      <c r="V668" s="6" t="s">
        <v>29</v>
      </c>
      <c r="W668" s="6" t="str">
        <f t="shared" si="72"/>
        <v>Copiers</v>
      </c>
      <c r="X668" s="6" t="s">
        <v>3239</v>
      </c>
      <c r="Y668" s="6" t="s">
        <v>37</v>
      </c>
      <c r="Z668" s="6" t="str">
        <f t="shared" si="73"/>
        <v>Same Day</v>
      </c>
      <c r="AA668" s="6">
        <v>1</v>
      </c>
      <c r="AB668" s="6">
        <v>279.83</v>
      </c>
      <c r="AC668" s="6">
        <v>0.05</v>
      </c>
      <c r="AD668" s="6">
        <v>265.83999999999997</v>
      </c>
      <c r="AE668" s="6">
        <v>223.49</v>
      </c>
      <c r="AF668" s="6">
        <v>42.35</v>
      </c>
      <c r="AG668" s="6" t="s">
        <v>52</v>
      </c>
      <c r="AH668" s="6" t="str">
        <f t="shared" si="74"/>
        <v>Paid</v>
      </c>
      <c r="AI668" s="6" t="s">
        <v>134</v>
      </c>
      <c r="AJ668" s="6" t="str">
        <f t="shared" si="75"/>
        <v>Completed</v>
      </c>
      <c r="AK668" s="9" t="str">
        <f>_xlfn.TEXTJOIN("|",FALSE,A668,TEXT(B668,"mm-dd-yyyy"),TEXT(E668,"mm-dd-yyyy"),I668,J668,L668,N668,P668,R668,T668,V668,X668,Y668,AA668,AB668,AC668,AD668,AE668,AF668,AG668,AI668)</f>
        <v>ORD-2024-10667|06-21-2024|06-26-2024|CUST-7758|Rohan Mehta|Small Business|North|Punjab|Ludhiana|Technology|Copiers|Classic Copiers 908|Same Day|1|279.83|0.05|265.84|223.49|42.35|Paid|Completed</v>
      </c>
      <c r="AL668" s="27" t="str">
        <f>IF(COUNTIF($AK$2:AK668,AK668)&gt;1,"Remove exact duplicate copy","Keep")</f>
        <v>Keep</v>
      </c>
      <c r="AM668" s="9">
        <f t="shared" si="76"/>
        <v>1</v>
      </c>
      <c r="AN668" s="9" t="str">
        <f t="shared" si="77"/>
        <v>Unique</v>
      </c>
      <c r="AO668" s="9" t="str">
        <f t="shared" si="78"/>
        <v/>
      </c>
      <c r="AP668" s="9">
        <f t="shared" si="79"/>
        <v>0.05</v>
      </c>
      <c r="AQ668" s="10">
        <f t="shared" si="80"/>
        <v>265.83849999999995</v>
      </c>
      <c r="AR668" s="10">
        <f t="shared" si="81"/>
        <v>42.348499999999945</v>
      </c>
      <c r="AS668" s="11">
        <f t="shared" si="82"/>
        <v>0.15930160605028976</v>
      </c>
      <c r="AT668" s="9">
        <f t="shared" si="83"/>
        <v>6</v>
      </c>
      <c r="AU668" s="9">
        <f t="shared" si="84"/>
        <v>2024</v>
      </c>
      <c r="AV668" s="9" t="b">
        <f t="shared" si="85"/>
        <v>0</v>
      </c>
      <c r="AW668" s="9" t="b">
        <f t="shared" si="86"/>
        <v>0</v>
      </c>
      <c r="AX668" s="9" t="str">
        <f t="shared" si="87"/>
        <v>Yes</v>
      </c>
      <c r="AY668" s="9" t="str">
        <f t="shared" si="93"/>
        <v/>
      </c>
      <c r="AZ668" s="9" t="str">
        <f>IF(OR(G668="Missing date",G668="Invalid date",G668="Ship date before order date",NOT(ISNUMBER(AP668)),AP668&lt;0,AP668&gt;0.5,AV668=TRUE,AW668=TRUE),"Invalid",IF(OR(O668="Unknown",Z668="Unknown",AC668="",AH668&lt;&gt;"Paid",AJ668&lt;&gt;"Completed",AO668&lt;&gt;""),"Warning","Clean"))</f>
        <v>Clean</v>
      </c>
    </row>
    <row r="669" spans="1:52" ht="15.75" customHeight="1">
      <c r="A669" s="6" t="s">
        <v>3240</v>
      </c>
      <c r="B669" s="7" t="s">
        <v>3241</v>
      </c>
      <c r="C669" s="7" t="str">
        <f t="shared" si="92"/>
        <v>2025-05</v>
      </c>
      <c r="D669" s="7" cm="1">
        <f t="array" ref="D669">_xlfn.LET(_xlpm.x,B669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45797</v>
      </c>
      <c r="E669" s="7" t="s">
        <v>3242</v>
      </c>
      <c r="F669" s="7" cm="1">
        <f t="array" ref="F669">_xlfn.LET(_xlpm.x,E669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45804</v>
      </c>
      <c r="G669" s="8" t="str">
        <f t="shared" si="64"/>
        <v>OK</v>
      </c>
      <c r="H669" s="6">
        <f t="shared" si="65"/>
        <v>7</v>
      </c>
      <c r="I669" s="6" t="s">
        <v>3243</v>
      </c>
      <c r="J669" s="6" t="s">
        <v>284</v>
      </c>
      <c r="K669" s="6" t="str">
        <f t="shared" si="66"/>
        <v>Diya Patel</v>
      </c>
      <c r="L669" s="6" t="s">
        <v>46</v>
      </c>
      <c r="M669" s="8" t="str">
        <f t="shared" si="67"/>
        <v>Small Business</v>
      </c>
      <c r="N669" s="6" t="s">
        <v>8</v>
      </c>
      <c r="O669" s="6" t="str">
        <f t="shared" si="68"/>
        <v>East</v>
      </c>
      <c r="P669" s="6" t="s">
        <v>263</v>
      </c>
      <c r="Q669" s="6" t="str">
        <f t="shared" si="69"/>
        <v>Bihar</v>
      </c>
      <c r="R669" s="6" t="s">
        <v>264</v>
      </c>
      <c r="S669" s="6" t="str">
        <f t="shared" si="70"/>
        <v>Patna</v>
      </c>
      <c r="T669" s="6" t="s">
        <v>27</v>
      </c>
      <c r="U669" s="8" t="str">
        <f t="shared" si="71"/>
        <v>Technology</v>
      </c>
      <c r="V669" s="6" t="s">
        <v>30</v>
      </c>
      <c r="W669" s="6" t="str">
        <f t="shared" si="72"/>
        <v>Machines</v>
      </c>
      <c r="X669" s="6" t="s">
        <v>3244</v>
      </c>
      <c r="Y669" s="6" t="s">
        <v>34</v>
      </c>
      <c r="Z669" s="6" t="str">
        <f t="shared" si="73"/>
        <v>Standard Class</v>
      </c>
      <c r="AA669" s="6">
        <v>1</v>
      </c>
      <c r="AB669" s="6">
        <v>3959.14</v>
      </c>
      <c r="AC669" s="6">
        <v>0</v>
      </c>
      <c r="AD669" s="6">
        <v>3959.14</v>
      </c>
      <c r="AE669" s="6">
        <v>3239.53</v>
      </c>
      <c r="AF669" s="6">
        <v>719.61</v>
      </c>
      <c r="AG669" s="6" t="s">
        <v>54</v>
      </c>
      <c r="AH669" s="6" t="str">
        <f t="shared" si="74"/>
        <v>Pending</v>
      </c>
      <c r="AI669" s="6" t="s">
        <v>59</v>
      </c>
      <c r="AJ669" s="6" t="str">
        <f t="shared" si="75"/>
        <v>Returned</v>
      </c>
      <c r="AK669" s="9" t="str">
        <f>_xlfn.TEXTJOIN("|",FALSE,A669,TEXT(B669,"mm-dd-yyyy"),TEXT(E669,"mm-dd-yyyy"),I669,J669,L669,N669,P669,R669,T669,V669,X669,Y669,AA669,AB669,AC669,AD669,AE669,AF669,AG669,AI669)</f>
        <v>ORD-2025-10668|20-05-2025|27-05-2025|CUST-3912|Diya Patel|Small Business|East|Bihar|Patna|Technology|Machines|Pro Machines 706|Standard Class|1|3959.14|0|3959.14|3239.53|719.61|Pending|Returned</v>
      </c>
      <c r="AL669" s="27" t="str">
        <f>IF(COUNTIF($AK$2:AK669,AK669)&gt;1,"Remove exact duplicate copy","Keep")</f>
        <v>Keep</v>
      </c>
      <c r="AM669" s="9">
        <f t="shared" si="76"/>
        <v>1</v>
      </c>
      <c r="AN669" s="9" t="str">
        <f t="shared" si="77"/>
        <v>Unique</v>
      </c>
      <c r="AO669" s="9" t="str">
        <f t="shared" si="78"/>
        <v/>
      </c>
      <c r="AP669" s="9">
        <f t="shared" si="79"/>
        <v>0</v>
      </c>
      <c r="AQ669" s="10">
        <f t="shared" si="80"/>
        <v>3959.14</v>
      </c>
      <c r="AR669" s="10">
        <f t="shared" si="81"/>
        <v>719.60999999999967</v>
      </c>
      <c r="AS669" s="11">
        <f t="shared" si="82"/>
        <v>0.18175916992074029</v>
      </c>
      <c r="AT669" s="9">
        <f t="shared" si="83"/>
        <v>5</v>
      </c>
      <c r="AU669" s="9">
        <f t="shared" si="84"/>
        <v>2025</v>
      </c>
      <c r="AV669" s="9" t="b">
        <f t="shared" si="85"/>
        <v>0</v>
      </c>
      <c r="AW669" s="9" t="b">
        <f t="shared" si="86"/>
        <v>0</v>
      </c>
      <c r="AX669" s="9" t="str">
        <f t="shared" si="87"/>
        <v>No</v>
      </c>
      <c r="AY669" s="9" t="str">
        <f t="shared" si="93"/>
        <v>Returned order excluded</v>
      </c>
      <c r="AZ669" s="9" t="str">
        <f>IF(OR(G669="Missing date",G669="Invalid date",G669="Ship date before order date",NOT(ISNUMBER(AP669)),AP669&lt;0,AP669&gt;0.5,AV669=TRUE,AW669=TRUE),"Invalid",IF(OR(O669="Unknown",Z669="Unknown",AC669="",AH669&lt;&gt;"Paid",AJ669&lt;&gt;"Completed",AO669&lt;&gt;""),"Warning","Clean"))</f>
        <v>Warning</v>
      </c>
    </row>
    <row r="670" spans="1:52" ht="15.75" customHeight="1">
      <c r="A670" s="6" t="s">
        <v>3245</v>
      </c>
      <c r="B670" s="7" t="s">
        <v>3246</v>
      </c>
      <c r="C670" s="7" t="str">
        <f t="shared" si="92"/>
        <v>2024-11</v>
      </c>
      <c r="D670" s="7" cm="1">
        <f t="array" ref="D670">_xlfn.LET(_xlpm.x,B670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45617</v>
      </c>
      <c r="E670" s="7" t="s">
        <v>295</v>
      </c>
      <c r="F670" s="7" cm="1">
        <f t="array" ref="F670">_xlfn.LET(_xlpm.x,E670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45619</v>
      </c>
      <c r="G670" s="8" t="str">
        <f t="shared" si="64"/>
        <v>OK</v>
      </c>
      <c r="H670" s="6">
        <f t="shared" si="65"/>
        <v>2</v>
      </c>
      <c r="I670" s="6" t="s">
        <v>3247</v>
      </c>
      <c r="J670" s="6" t="s">
        <v>139</v>
      </c>
      <c r="K670" s="6" t="str">
        <f t="shared" si="66"/>
        <v>Mira Das</v>
      </c>
      <c r="L670" s="6" t="s">
        <v>45</v>
      </c>
      <c r="M670" s="8" t="str">
        <f t="shared" si="67"/>
        <v>Corporate</v>
      </c>
      <c r="N670" s="6" t="s">
        <v>9</v>
      </c>
      <c r="O670" s="6" t="str">
        <f t="shared" si="68"/>
        <v>West</v>
      </c>
      <c r="P670" s="6" t="s">
        <v>309</v>
      </c>
      <c r="Q670" s="6" t="str">
        <f t="shared" si="69"/>
        <v>Gujarat</v>
      </c>
      <c r="R670" s="6" t="s">
        <v>310</v>
      </c>
      <c r="S670" s="6" t="str">
        <f t="shared" si="70"/>
        <v>Ahmedabad</v>
      </c>
      <c r="T670" s="6" t="s">
        <v>20</v>
      </c>
      <c r="U670" s="8" t="str">
        <f t="shared" si="71"/>
        <v>Office Supplies</v>
      </c>
      <c r="V670" s="6" t="s">
        <v>24</v>
      </c>
      <c r="W670" s="6" t="str">
        <f t="shared" si="72"/>
        <v>Paper</v>
      </c>
      <c r="X670" s="6" t="s">
        <v>3248</v>
      </c>
      <c r="Y670" s="6" t="s">
        <v>36</v>
      </c>
      <c r="Z670" s="6" t="str">
        <f t="shared" si="73"/>
        <v>Second Class</v>
      </c>
      <c r="AA670" s="6">
        <v>5</v>
      </c>
      <c r="AB670" s="6">
        <v>600.46</v>
      </c>
      <c r="AC670" s="6">
        <v>0.2</v>
      </c>
      <c r="AD670" s="6">
        <v>2401.84</v>
      </c>
      <c r="AE670" s="6">
        <v>1873.11</v>
      </c>
      <c r="AF670" s="6">
        <v>528.73</v>
      </c>
      <c r="AG670" s="6" t="s">
        <v>52</v>
      </c>
      <c r="AH670" s="6" t="str">
        <f t="shared" si="74"/>
        <v>Paid</v>
      </c>
      <c r="AI670" s="6" t="s">
        <v>134</v>
      </c>
      <c r="AJ670" s="6" t="str">
        <f t="shared" si="75"/>
        <v>Completed</v>
      </c>
      <c r="AK670" s="9" t="str">
        <f>_xlfn.TEXTJOIN("|",FALSE,A670,TEXT(B670,"mm-dd-yyyy"),TEXT(E670,"mm-dd-yyyy"),I670,J670,L670,N670,P670,R670,T670,V670,X670,Y670,AA670,AB670,AC670,AD670,AE670,AF670,AG670,AI670)</f>
        <v>ORD-2024-10669|11-21-2024|11-23-2024|CUST-4190|Mira Das|Corporate|West|Gujarat|Ahmedabad|Office Supplies|Paper|Pro Paper 187|Second Class|5|600.46|0.2|2401.84|1873.11|528.73|Paid|Completed</v>
      </c>
      <c r="AL670" s="27" t="str">
        <f>IF(COUNTIF($AK$2:AK670,AK670)&gt;1,"Remove exact duplicate copy","Keep")</f>
        <v>Keep</v>
      </c>
      <c r="AM670" s="9">
        <f t="shared" si="76"/>
        <v>1</v>
      </c>
      <c r="AN670" s="9" t="str">
        <f t="shared" si="77"/>
        <v>Unique</v>
      </c>
      <c r="AO670" s="9" t="str">
        <f t="shared" si="78"/>
        <v/>
      </c>
      <c r="AP670" s="9">
        <f t="shared" si="79"/>
        <v>0.2</v>
      </c>
      <c r="AQ670" s="10">
        <f t="shared" si="80"/>
        <v>2401.84</v>
      </c>
      <c r="AR670" s="10">
        <f t="shared" si="81"/>
        <v>528.73000000000025</v>
      </c>
      <c r="AS670" s="11">
        <f t="shared" si="82"/>
        <v>0.22013539619624964</v>
      </c>
      <c r="AT670" s="9">
        <f t="shared" si="83"/>
        <v>11</v>
      </c>
      <c r="AU670" s="9">
        <f t="shared" si="84"/>
        <v>2024</v>
      </c>
      <c r="AV670" s="9" t="b">
        <f t="shared" si="85"/>
        <v>0</v>
      </c>
      <c r="AW670" s="9" t="b">
        <f t="shared" si="86"/>
        <v>0</v>
      </c>
      <c r="AX670" s="9" t="str">
        <f t="shared" si="87"/>
        <v>Yes</v>
      </c>
      <c r="AY670" s="9" t="str">
        <f t="shared" si="93"/>
        <v/>
      </c>
      <c r="AZ670" s="9" t="str">
        <f>IF(OR(G670="Missing date",G670="Invalid date",G670="Ship date before order date",NOT(ISNUMBER(AP670)),AP670&lt;0,AP670&gt;0.5,AV670=TRUE,AW670=TRUE),"Invalid",IF(OR(O670="Unknown",Z670="Unknown",AC670="",AH670&lt;&gt;"Paid",AJ670&lt;&gt;"Completed",AO670&lt;&gt;""),"Warning","Clean"))</f>
        <v>Clean</v>
      </c>
    </row>
    <row r="671" spans="1:52" ht="15.75" customHeight="1">
      <c r="A671" s="6" t="s">
        <v>3249</v>
      </c>
      <c r="B671" s="7" t="s">
        <v>3250</v>
      </c>
      <c r="C671" s="7" t="str">
        <f t="shared" si="92"/>
        <v>2024-03</v>
      </c>
      <c r="D671" s="7" cm="1">
        <f t="array" ref="D671">_xlfn.LET(_xlpm.x,B671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45375</v>
      </c>
      <c r="E671" s="7" t="s">
        <v>3251</v>
      </c>
      <c r="F671" s="7" cm="1">
        <f t="array" ref="F671">_xlfn.LET(_xlpm.x,E671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45383</v>
      </c>
      <c r="G671" s="8" t="str">
        <f t="shared" si="64"/>
        <v>OK</v>
      </c>
      <c r="H671" s="6">
        <f t="shared" si="65"/>
        <v>8</v>
      </c>
      <c r="I671" s="6" t="s">
        <v>3252</v>
      </c>
      <c r="J671" s="6" t="s">
        <v>161</v>
      </c>
      <c r="K671" s="6" t="str">
        <f t="shared" si="66"/>
        <v>Ananya Rao</v>
      </c>
      <c r="L671" s="6" t="s">
        <v>44</v>
      </c>
      <c r="M671" s="8" t="str">
        <f t="shared" si="67"/>
        <v>Home Office</v>
      </c>
      <c r="N671" s="6" t="s">
        <v>9</v>
      </c>
      <c r="O671" s="6" t="str">
        <f t="shared" si="68"/>
        <v>West</v>
      </c>
      <c r="P671" s="6" t="s">
        <v>162</v>
      </c>
      <c r="Q671" s="6" t="str">
        <f t="shared" si="69"/>
        <v>Maharashtra</v>
      </c>
      <c r="R671" s="6" t="s">
        <v>163</v>
      </c>
      <c r="S671" s="6" t="str">
        <f t="shared" si="70"/>
        <v>Mumbai</v>
      </c>
      <c r="T671" s="6" t="s">
        <v>14</v>
      </c>
      <c r="U671" s="8" t="str">
        <f t="shared" si="71"/>
        <v>Furniture</v>
      </c>
      <c r="V671" s="6" t="s">
        <v>18</v>
      </c>
      <c r="W671" s="6" t="str">
        <f t="shared" si="72"/>
        <v>Tables</v>
      </c>
      <c r="X671" s="6" t="s">
        <v>3253</v>
      </c>
      <c r="Y671" s="6" t="s">
        <v>36</v>
      </c>
      <c r="Z671" s="6" t="str">
        <f t="shared" si="73"/>
        <v>Second Class</v>
      </c>
      <c r="AA671" s="6">
        <v>4</v>
      </c>
      <c r="AB671" s="6">
        <v>1700.72</v>
      </c>
      <c r="AC671" s="6">
        <v>0.25</v>
      </c>
      <c r="AD671" s="6">
        <v>5102.16</v>
      </c>
      <c r="AE671" s="6">
        <v>3226.45</v>
      </c>
      <c r="AF671" s="6">
        <v>1875.71</v>
      </c>
      <c r="AG671" s="6" t="s">
        <v>52</v>
      </c>
      <c r="AH671" s="6" t="str">
        <f t="shared" si="74"/>
        <v>Paid</v>
      </c>
      <c r="AI671" s="6" t="s">
        <v>134</v>
      </c>
      <c r="AJ671" s="6" t="str">
        <f t="shared" si="75"/>
        <v>Completed</v>
      </c>
      <c r="AK671" s="9" t="str">
        <f>_xlfn.TEXTJOIN("|",FALSE,A671,TEXT(B671,"mm-dd-yyyy"),TEXT(E671,"mm-dd-yyyy"),I671,J671,L671,N671,P671,R671,T671,V671,X671,Y671,AA671,AB671,AC671,AD671,AE671,AF671,AG671,AI671)</f>
        <v>ORD-2024-10670|03-24-2024|04-01-2024|CUST-7568|Ananya Rao|Home Office|West|Maharashtra|Mumbai|Furniture|Tables|Classic Tables 606|Second Class|4|1700.72|0.25|5102.16|3226.45|1875.71|Paid|Completed</v>
      </c>
      <c r="AL671" s="27" t="str">
        <f>IF(COUNTIF($AK$2:AK671,AK671)&gt;1,"Remove exact duplicate copy","Keep")</f>
        <v>Keep</v>
      </c>
      <c r="AM671" s="9">
        <f t="shared" si="76"/>
        <v>1</v>
      </c>
      <c r="AN671" s="9" t="str">
        <f t="shared" si="77"/>
        <v>Unique</v>
      </c>
      <c r="AO671" s="9" t="str">
        <f t="shared" si="78"/>
        <v/>
      </c>
      <c r="AP671" s="9">
        <f t="shared" si="79"/>
        <v>0.25</v>
      </c>
      <c r="AQ671" s="10">
        <f t="shared" si="80"/>
        <v>5102.16</v>
      </c>
      <c r="AR671" s="10">
        <f t="shared" si="81"/>
        <v>1875.71</v>
      </c>
      <c r="AS671" s="11">
        <f t="shared" si="82"/>
        <v>0.36763057214983458</v>
      </c>
      <c r="AT671" s="9">
        <f t="shared" si="83"/>
        <v>3</v>
      </c>
      <c r="AU671" s="9">
        <f t="shared" si="84"/>
        <v>2024</v>
      </c>
      <c r="AV671" s="9" t="b">
        <f t="shared" si="85"/>
        <v>0</v>
      </c>
      <c r="AW671" s="9" t="b">
        <f t="shared" si="86"/>
        <v>0</v>
      </c>
      <c r="AX671" s="9" t="str">
        <f t="shared" si="87"/>
        <v>Yes</v>
      </c>
      <c r="AY671" s="9" t="str">
        <f t="shared" si="93"/>
        <v/>
      </c>
      <c r="AZ671" s="9" t="str">
        <f>IF(OR(G671="Missing date",G671="Invalid date",G671="Ship date before order date",NOT(ISNUMBER(AP671)),AP671&lt;0,AP671&gt;0.5,AV671=TRUE,AW671=TRUE),"Invalid",IF(OR(O671="Unknown",Z671="Unknown",AC671="",AH671&lt;&gt;"Paid",AJ671&lt;&gt;"Completed",AO671&lt;&gt;""),"Warning","Clean"))</f>
        <v>Clean</v>
      </c>
    </row>
    <row r="672" spans="1:52" ht="15.75" customHeight="1">
      <c r="A672" s="6" t="s">
        <v>3254</v>
      </c>
      <c r="B672" s="7" t="s">
        <v>3255</v>
      </c>
      <c r="C672" s="7" t="str">
        <f t="shared" si="92"/>
        <v>2025-02</v>
      </c>
      <c r="D672" s="7" cm="1">
        <f t="array" ref="D672">_xlfn.LET(_xlpm.x,B672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45690</v>
      </c>
      <c r="E672" s="7" t="s">
        <v>3051</v>
      </c>
      <c r="F672" s="7" cm="1">
        <f t="array" ref="F672">_xlfn.LET(_xlpm.x,E672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45694</v>
      </c>
      <c r="G672" s="8" t="str">
        <f t="shared" si="64"/>
        <v>OK</v>
      </c>
      <c r="H672" s="6">
        <f t="shared" si="65"/>
        <v>4</v>
      </c>
      <c r="I672" s="6" t="s">
        <v>2522</v>
      </c>
      <c r="J672" s="6" t="s">
        <v>245</v>
      </c>
      <c r="K672" s="6" t="str">
        <f t="shared" si="66"/>
        <v>Sneha Kapoor</v>
      </c>
      <c r="L672" s="6" t="s">
        <v>213</v>
      </c>
      <c r="M672" s="8" t="str">
        <f t="shared" si="67"/>
        <v>Corporate</v>
      </c>
      <c r="N672" s="6" t="s">
        <v>7</v>
      </c>
      <c r="O672" s="6" t="str">
        <f t="shared" si="68"/>
        <v>North</v>
      </c>
      <c r="P672" s="6" t="s">
        <v>251</v>
      </c>
      <c r="Q672" s="6" t="str">
        <f t="shared" si="69"/>
        <v>Uttar Pradesh</v>
      </c>
      <c r="R672" s="6" t="s">
        <v>252</v>
      </c>
      <c r="S672" s="6" t="str">
        <f t="shared" si="70"/>
        <v>Noida</v>
      </c>
      <c r="T672" s="6" t="s">
        <v>14</v>
      </c>
      <c r="U672" s="8" t="str">
        <f t="shared" si="71"/>
        <v>Furniture</v>
      </c>
      <c r="V672" s="6" t="s">
        <v>18</v>
      </c>
      <c r="W672" s="6" t="str">
        <f t="shared" si="72"/>
        <v>Tables</v>
      </c>
      <c r="X672" s="6" t="s">
        <v>3256</v>
      </c>
      <c r="Y672" s="6" t="s">
        <v>34</v>
      </c>
      <c r="Z672" s="6" t="str">
        <f t="shared" si="73"/>
        <v>Standard Class</v>
      </c>
      <c r="AA672" s="6">
        <v>8</v>
      </c>
      <c r="AB672" s="6">
        <v>857.86</v>
      </c>
      <c r="AC672" s="6">
        <v>0.1</v>
      </c>
      <c r="AD672" s="6">
        <v>6176.59</v>
      </c>
      <c r="AE672" s="6">
        <v>3560.96</v>
      </c>
      <c r="AF672" s="6">
        <v>2615.63</v>
      </c>
      <c r="AG672" s="6" t="s">
        <v>52</v>
      </c>
      <c r="AH672" s="6" t="str">
        <f t="shared" si="74"/>
        <v>Paid</v>
      </c>
      <c r="AI672" s="6" t="s">
        <v>134</v>
      </c>
      <c r="AJ672" s="6" t="str">
        <f t="shared" si="75"/>
        <v>Completed</v>
      </c>
      <c r="AK672" s="9" t="str">
        <f>_xlfn.TEXTJOIN("|",FALSE,A672,TEXT(B672,"mm-dd-yyyy"),TEXT(E672,"mm-dd-yyyy"),I672,J672,L672,N672,P672,R672,T672,V672,X672,Y672,AA672,AB672,AC672,AD672,AE672,AF672,AG672,AI672)</f>
        <v>ORD-2025-10671|02-02-2025|02-06-2025|CUST-5604|Sneha Kapoor|Corporate |North|Uttar Pradesh|Noida|Furniture|Tables|Smart Tables 835|Standard Class|8|857.86|0.1|6176.59|3560.96|2615.63|Paid|Completed</v>
      </c>
      <c r="AL672" s="27" t="str">
        <f>IF(COUNTIF($AK$2:AK672,AK672)&gt;1,"Remove exact duplicate copy","Keep")</f>
        <v>Keep</v>
      </c>
      <c r="AM672" s="9">
        <f t="shared" si="76"/>
        <v>1</v>
      </c>
      <c r="AN672" s="9" t="str">
        <f t="shared" si="77"/>
        <v>Unique</v>
      </c>
      <c r="AO672" s="9" t="str">
        <f t="shared" si="78"/>
        <v/>
      </c>
      <c r="AP672" s="9">
        <f t="shared" si="79"/>
        <v>0.1</v>
      </c>
      <c r="AQ672" s="10">
        <f t="shared" si="80"/>
        <v>6176.5920000000006</v>
      </c>
      <c r="AR672" s="10">
        <f t="shared" si="81"/>
        <v>2615.6320000000005</v>
      </c>
      <c r="AS672" s="11">
        <f t="shared" si="82"/>
        <v>0.42347495188285067</v>
      </c>
      <c r="AT672" s="9">
        <f t="shared" si="83"/>
        <v>2</v>
      </c>
      <c r="AU672" s="9">
        <f t="shared" si="84"/>
        <v>2025</v>
      </c>
      <c r="AV672" s="9" t="b">
        <f t="shared" si="85"/>
        <v>0</v>
      </c>
      <c r="AW672" s="9" t="b">
        <f t="shared" si="86"/>
        <v>0</v>
      </c>
      <c r="AX672" s="9" t="str">
        <f t="shared" si="87"/>
        <v>Yes</v>
      </c>
      <c r="AY672" s="9" t="str">
        <f t="shared" si="93"/>
        <v/>
      </c>
      <c r="AZ672" s="9" t="str">
        <f>IF(OR(G672="Missing date",G672="Invalid date",G672="Ship date before order date",NOT(ISNUMBER(AP672)),AP672&lt;0,AP672&gt;0.5,AV672=TRUE,AW672=TRUE),"Invalid",IF(OR(O672="Unknown",Z672="Unknown",AC672="",AH672&lt;&gt;"Paid",AJ672&lt;&gt;"Completed",AO672&lt;&gt;""),"Warning","Clean"))</f>
        <v>Clean</v>
      </c>
    </row>
    <row r="673" spans="1:52" ht="15.75" customHeight="1">
      <c r="A673" s="6" t="s">
        <v>3257</v>
      </c>
      <c r="B673" s="7" t="s">
        <v>3258</v>
      </c>
      <c r="C673" s="7" t="str">
        <f t="shared" si="92"/>
        <v>2024-03</v>
      </c>
      <c r="D673" s="7" cm="1">
        <f t="array" ref="D673">_xlfn.LET(_xlpm.x,B673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45373</v>
      </c>
      <c r="E673" s="7" t="s">
        <v>3259</v>
      </c>
      <c r="F673" s="7" cm="1">
        <f t="array" ref="F673">_xlfn.LET(_xlpm.x,E673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45378</v>
      </c>
      <c r="G673" s="8" t="str">
        <f t="shared" si="64"/>
        <v>OK</v>
      </c>
      <c r="H673" s="6">
        <f t="shared" si="65"/>
        <v>5</v>
      </c>
      <c r="I673" s="6" t="s">
        <v>3260</v>
      </c>
      <c r="J673" s="6" t="s">
        <v>190</v>
      </c>
      <c r="K673" s="6" t="str">
        <f t="shared" si="66"/>
        <v>Aditi Sen</v>
      </c>
      <c r="L673" s="6" t="s">
        <v>44</v>
      </c>
      <c r="M673" s="8" t="str">
        <f t="shared" si="67"/>
        <v>Home Office</v>
      </c>
      <c r="N673" s="6" t="s">
        <v>9</v>
      </c>
      <c r="O673" s="6" t="str">
        <f t="shared" si="68"/>
        <v>West</v>
      </c>
      <c r="P673" s="6" t="s">
        <v>323</v>
      </c>
      <c r="Q673" s="6" t="str">
        <f t="shared" si="69"/>
        <v>Goa</v>
      </c>
      <c r="R673" s="6" t="s">
        <v>324</v>
      </c>
      <c r="S673" s="6" t="str">
        <f t="shared" si="70"/>
        <v>Panaji</v>
      </c>
      <c r="T673" s="6" t="s">
        <v>27</v>
      </c>
      <c r="U673" s="8" t="str">
        <f t="shared" si="71"/>
        <v>Technology</v>
      </c>
      <c r="V673" s="6" t="s">
        <v>3261</v>
      </c>
      <c r="W673" s="6" t="str">
        <f t="shared" si="72"/>
        <v>Copiers</v>
      </c>
      <c r="X673" s="6" t="s">
        <v>3262</v>
      </c>
      <c r="Y673" s="6" t="s">
        <v>36</v>
      </c>
      <c r="Z673" s="6" t="str">
        <f t="shared" si="73"/>
        <v>Second Class</v>
      </c>
      <c r="AA673" s="6">
        <v>9</v>
      </c>
      <c r="AB673" s="6">
        <v>3649.51</v>
      </c>
      <c r="AC673" s="6">
        <v>0.05</v>
      </c>
      <c r="AD673" s="6">
        <v>31203.31</v>
      </c>
      <c r="AE673" s="6">
        <v>17738.13</v>
      </c>
      <c r="AF673" s="6">
        <v>13465.18</v>
      </c>
      <c r="AG673" s="6" t="s">
        <v>52</v>
      </c>
      <c r="AH673" s="6" t="str">
        <f t="shared" si="74"/>
        <v>Paid</v>
      </c>
      <c r="AI673" s="6" t="s">
        <v>134</v>
      </c>
      <c r="AJ673" s="6" t="str">
        <f t="shared" si="75"/>
        <v>Completed</v>
      </c>
      <c r="AK673" s="9" t="str">
        <f>_xlfn.TEXTJOIN("|",FALSE,A673,TEXT(B673,"mm-dd-yyyy"),TEXT(E673,"mm-dd-yyyy"),I673,J673,L673,N673,P673,R673,T673,V673,X673,Y673,AA673,AB673,AC673,AD673,AE673,AF673,AG673,AI673)</f>
        <v>ORD-2024-10672|03-22-2024|27-03-2024|CUST-3293|Aditi Sen|Home Office|West|Goa|Panaji|Technology|COPIERS|Classic Copiers 583|Second Class|9|3649.51|0.05|31203.31|17738.13|13465.18|Paid|Completed</v>
      </c>
      <c r="AL673" s="27" t="str">
        <f>IF(COUNTIF($AK$2:AK673,AK673)&gt;1,"Remove exact duplicate copy","Keep")</f>
        <v>Keep</v>
      </c>
      <c r="AM673" s="9">
        <f t="shared" si="76"/>
        <v>1</v>
      </c>
      <c r="AN673" s="9" t="str">
        <f t="shared" si="77"/>
        <v>Unique</v>
      </c>
      <c r="AO673" s="9" t="str">
        <f t="shared" si="78"/>
        <v/>
      </c>
      <c r="AP673" s="9">
        <f t="shared" si="79"/>
        <v>0.05</v>
      </c>
      <c r="AQ673" s="10">
        <f t="shared" si="80"/>
        <v>31203.310500000003</v>
      </c>
      <c r="AR673" s="10">
        <f t="shared" si="81"/>
        <v>13465.180500000002</v>
      </c>
      <c r="AS673" s="11">
        <f t="shared" si="82"/>
        <v>0.43153051020019179</v>
      </c>
      <c r="AT673" s="9">
        <f t="shared" si="83"/>
        <v>3</v>
      </c>
      <c r="AU673" s="9">
        <f t="shared" si="84"/>
        <v>2024</v>
      </c>
      <c r="AV673" s="9" t="b">
        <f t="shared" si="85"/>
        <v>0</v>
      </c>
      <c r="AW673" s="9" t="b">
        <f t="shared" si="86"/>
        <v>0</v>
      </c>
      <c r="AX673" s="9" t="str">
        <f t="shared" si="87"/>
        <v>Yes</v>
      </c>
      <c r="AY673" s="9" t="str">
        <f t="shared" si="93"/>
        <v/>
      </c>
      <c r="AZ673" s="9" t="str">
        <f>IF(OR(G673="Missing date",G673="Invalid date",G673="Ship date before order date",NOT(ISNUMBER(AP673)),AP673&lt;0,AP673&gt;0.5,AV673=TRUE,AW673=TRUE),"Invalid",IF(OR(O673="Unknown",Z673="Unknown",AC673="",AH673&lt;&gt;"Paid",AJ673&lt;&gt;"Completed",AO673&lt;&gt;""),"Warning","Clean"))</f>
        <v>Clean</v>
      </c>
    </row>
    <row r="674" spans="1:52" ht="15.75" customHeight="1">
      <c r="A674" s="6" t="s">
        <v>3263</v>
      </c>
      <c r="B674" s="7" t="s">
        <v>3264</v>
      </c>
      <c r="C674" s="7" t="str">
        <f t="shared" si="92"/>
        <v>2024-09</v>
      </c>
      <c r="D674" s="7" cm="1">
        <f t="array" ref="D674">_xlfn.LET(_xlpm.x,B674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45539</v>
      </c>
      <c r="E674" s="7" t="s">
        <v>3265</v>
      </c>
      <c r="F674" s="7" cm="1">
        <f t="array" ref="F674">_xlfn.LET(_xlpm.x,E674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45540</v>
      </c>
      <c r="G674" s="8" t="str">
        <f t="shared" si="64"/>
        <v>OK</v>
      </c>
      <c r="H674" s="6">
        <f t="shared" si="65"/>
        <v>1</v>
      </c>
      <c r="I674" s="6" t="s">
        <v>3266</v>
      </c>
      <c r="J674" s="6" t="s">
        <v>190</v>
      </c>
      <c r="K674" s="6" t="str">
        <f t="shared" si="66"/>
        <v>Aditi Sen</v>
      </c>
      <c r="L674" s="6" t="s">
        <v>45</v>
      </c>
      <c r="M674" s="8" t="str">
        <f t="shared" si="67"/>
        <v>Corporate</v>
      </c>
      <c r="N674" s="6" t="s">
        <v>9</v>
      </c>
      <c r="O674" s="6" t="str">
        <f t="shared" si="68"/>
        <v>West</v>
      </c>
      <c r="P674" s="6" t="s">
        <v>170</v>
      </c>
      <c r="Q674" s="6" t="str">
        <f t="shared" si="69"/>
        <v>Madhya Pradesh</v>
      </c>
      <c r="R674" s="6" t="s">
        <v>171</v>
      </c>
      <c r="S674" s="6" t="str">
        <f t="shared" si="70"/>
        <v>Indore</v>
      </c>
      <c r="T674" s="6" t="s">
        <v>14</v>
      </c>
      <c r="U674" s="8" t="str">
        <f t="shared" si="71"/>
        <v>Furniture</v>
      </c>
      <c r="V674" s="6" t="s">
        <v>16</v>
      </c>
      <c r="W674" s="6" t="str">
        <f t="shared" si="72"/>
        <v>Chairs</v>
      </c>
      <c r="X674" s="6" t="s">
        <v>3267</v>
      </c>
      <c r="Y674" s="6" t="s">
        <v>34</v>
      </c>
      <c r="Z674" s="6" t="str">
        <f t="shared" si="73"/>
        <v>Standard Class</v>
      </c>
      <c r="AA674" s="6">
        <v>5</v>
      </c>
      <c r="AB674" s="6">
        <v>2528.5300000000002</v>
      </c>
      <c r="AC674" s="6">
        <v>0.05</v>
      </c>
      <c r="AD674" s="6">
        <v>12010.52</v>
      </c>
      <c r="AE674" s="6">
        <v>7864.61</v>
      </c>
      <c r="AF674" s="6">
        <v>4145.91</v>
      </c>
      <c r="AG674" s="6" t="s">
        <v>52</v>
      </c>
      <c r="AH674" s="6" t="str">
        <f t="shared" si="74"/>
        <v>Paid</v>
      </c>
      <c r="AI674" s="6" t="s">
        <v>59</v>
      </c>
      <c r="AJ674" s="6" t="str">
        <f t="shared" si="75"/>
        <v>Returned</v>
      </c>
      <c r="AK674" s="9" t="str">
        <f>_xlfn.TEXTJOIN("|",FALSE,A674,TEXT(B674,"mm-dd-yyyy"),TEXT(E674,"mm-dd-yyyy"),I674,J674,L674,N674,P674,R674,T674,V674,X674,Y674,AA674,AB674,AC674,AD674,AE674,AF674,AG674,AI674)</f>
        <v>ORD-2024-10673|09-04-2024|09-05-2024|CUST-8180|Aditi Sen|Corporate|West|Madhya Pradesh|Indore|Furniture|Chairs|Classic Chairs 460|Standard Class|5|2528.53|0.05|12010.52|7864.61|4145.91|Paid|Returned</v>
      </c>
      <c r="AL674" s="27" t="str">
        <f>IF(COUNTIF($AK$2:AK674,AK674)&gt;1,"Remove exact duplicate copy","Keep")</f>
        <v>Keep</v>
      </c>
      <c r="AM674" s="9">
        <f t="shared" si="76"/>
        <v>1</v>
      </c>
      <c r="AN674" s="9" t="str">
        <f t="shared" si="77"/>
        <v>Unique</v>
      </c>
      <c r="AO674" s="9" t="str">
        <f t="shared" si="78"/>
        <v/>
      </c>
      <c r="AP674" s="9">
        <f t="shared" si="79"/>
        <v>0.05</v>
      </c>
      <c r="AQ674" s="10">
        <f t="shared" si="80"/>
        <v>12010.5175</v>
      </c>
      <c r="AR674" s="10">
        <f t="shared" si="81"/>
        <v>4145.9075000000003</v>
      </c>
      <c r="AS674" s="11">
        <f t="shared" si="82"/>
        <v>0.34518974723612039</v>
      </c>
      <c r="AT674" s="9">
        <f t="shared" si="83"/>
        <v>9</v>
      </c>
      <c r="AU674" s="9">
        <f t="shared" si="84"/>
        <v>2024</v>
      </c>
      <c r="AV674" s="9" t="b">
        <f t="shared" si="85"/>
        <v>0</v>
      </c>
      <c r="AW674" s="9" t="b">
        <f t="shared" si="86"/>
        <v>0</v>
      </c>
      <c r="AX674" s="9" t="str">
        <f t="shared" si="87"/>
        <v>No</v>
      </c>
      <c r="AY674" s="9" t="str">
        <f t="shared" si="93"/>
        <v>Returned order excluded</v>
      </c>
      <c r="AZ674" s="9" t="str">
        <f>IF(OR(G674="Missing date",G674="Invalid date",G674="Ship date before order date",NOT(ISNUMBER(AP674)),AP674&lt;0,AP674&gt;0.5,AV674=TRUE,AW674=TRUE),"Invalid",IF(OR(O674="Unknown",Z674="Unknown",AC674="",AH674&lt;&gt;"Paid",AJ674&lt;&gt;"Completed",AO674&lt;&gt;""),"Warning","Clean"))</f>
        <v>Warning</v>
      </c>
    </row>
    <row r="675" spans="1:52" ht="15.75" customHeight="1">
      <c r="A675" s="6" t="s">
        <v>3268</v>
      </c>
      <c r="B675" s="7" t="s">
        <v>2492</v>
      </c>
      <c r="C675" s="7" t="str">
        <f t="shared" si="92"/>
        <v>2025-02</v>
      </c>
      <c r="D675" s="7" cm="1">
        <f t="array" ref="D675">_xlfn.LET(_xlpm.x,B675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45701</v>
      </c>
      <c r="E675" s="7" t="s">
        <v>3269</v>
      </c>
      <c r="F675" s="7" cm="1">
        <f t="array" ref="F675">_xlfn.LET(_xlpm.x,E675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45704</v>
      </c>
      <c r="G675" s="8" t="str">
        <f t="shared" si="64"/>
        <v>OK</v>
      </c>
      <c r="H675" s="6">
        <f t="shared" si="65"/>
        <v>3</v>
      </c>
      <c r="I675" s="6" t="s">
        <v>3270</v>
      </c>
      <c r="J675" s="6" t="s">
        <v>153</v>
      </c>
      <c r="K675" s="6" t="str">
        <f t="shared" si="66"/>
        <v>Arjun Bose</v>
      </c>
      <c r="L675" s="6" t="s">
        <v>46</v>
      </c>
      <c r="M675" s="8" t="str">
        <f t="shared" si="67"/>
        <v>Small Business</v>
      </c>
      <c r="N675" s="6" t="s">
        <v>9</v>
      </c>
      <c r="O675" s="6" t="str">
        <f t="shared" si="68"/>
        <v>West</v>
      </c>
      <c r="P675" s="6" t="s">
        <v>131</v>
      </c>
      <c r="Q675" s="6" t="str">
        <f t="shared" si="69"/>
        <v>Rajasthan</v>
      </c>
      <c r="R675" s="6" t="s">
        <v>214</v>
      </c>
      <c r="S675" s="6" t="str">
        <f t="shared" si="70"/>
        <v>Udaipur</v>
      </c>
      <c r="T675" s="6" t="s">
        <v>14</v>
      </c>
      <c r="U675" s="8" t="str">
        <f t="shared" si="71"/>
        <v>Furniture</v>
      </c>
      <c r="V675" s="6" t="s">
        <v>15</v>
      </c>
      <c r="W675" s="6" t="str">
        <f t="shared" si="72"/>
        <v>Bookcases</v>
      </c>
      <c r="X675" s="6" t="s">
        <v>3271</v>
      </c>
      <c r="Y675" s="6" t="s">
        <v>36</v>
      </c>
      <c r="Z675" s="6" t="str">
        <f t="shared" si="73"/>
        <v>Second Class</v>
      </c>
      <c r="AA675" s="6">
        <v>4</v>
      </c>
      <c r="AB675" s="6">
        <v>4072.9</v>
      </c>
      <c r="AC675" s="6">
        <v>0.15</v>
      </c>
      <c r="AD675" s="6">
        <v>13847.86</v>
      </c>
      <c r="AE675" s="6">
        <v>8471.7800000000007</v>
      </c>
      <c r="AF675" s="6">
        <v>5376.08</v>
      </c>
      <c r="AG675" s="6" t="s">
        <v>52</v>
      </c>
      <c r="AH675" s="6" t="str">
        <f t="shared" si="74"/>
        <v>Paid</v>
      </c>
      <c r="AI675" s="6" t="s">
        <v>134</v>
      </c>
      <c r="AJ675" s="6" t="str">
        <f t="shared" si="75"/>
        <v>Completed</v>
      </c>
      <c r="AK675" s="9" t="str">
        <f>_xlfn.TEXTJOIN("|",FALSE,A675,TEXT(B675,"mm-dd-yyyy"),TEXT(E675,"mm-dd-yyyy"),I675,J675,L675,N675,P675,R675,T675,V675,X675,Y675,AA675,AB675,AC675,AD675,AE675,AF675,AG675,AI675)</f>
        <v>ORD-2025-10674|02-13-2025|02-16-2025|CUST-2807|Arjun Bose|Small Business|West|Rajasthan|Udaipur|Furniture|Bookcases|Classic Bookcases 488|Second Class|4|4072.9|0.15|13847.86|8471.78|5376.08|Paid|Completed</v>
      </c>
      <c r="AL675" s="27" t="str">
        <f>IF(COUNTIF($AK$2:AK675,AK675)&gt;1,"Remove exact duplicate copy","Keep")</f>
        <v>Keep</v>
      </c>
      <c r="AM675" s="9">
        <f t="shared" si="76"/>
        <v>1</v>
      </c>
      <c r="AN675" s="9" t="str">
        <f t="shared" si="77"/>
        <v>Unique</v>
      </c>
      <c r="AO675" s="9" t="str">
        <f t="shared" si="78"/>
        <v/>
      </c>
      <c r="AP675" s="9">
        <f t="shared" si="79"/>
        <v>0.15</v>
      </c>
      <c r="AQ675" s="10">
        <f t="shared" si="80"/>
        <v>13847.86</v>
      </c>
      <c r="AR675" s="10">
        <f t="shared" si="81"/>
        <v>5376.08</v>
      </c>
      <c r="AS675" s="11">
        <f t="shared" si="82"/>
        <v>0.38822460654570451</v>
      </c>
      <c r="AT675" s="9">
        <f t="shared" si="83"/>
        <v>2</v>
      </c>
      <c r="AU675" s="9">
        <f t="shared" si="84"/>
        <v>2025</v>
      </c>
      <c r="AV675" s="9" t="b">
        <f t="shared" si="85"/>
        <v>0</v>
      </c>
      <c r="AW675" s="9" t="b">
        <f t="shared" si="86"/>
        <v>0</v>
      </c>
      <c r="AX675" s="9" t="str">
        <f t="shared" si="87"/>
        <v>Yes</v>
      </c>
      <c r="AY675" s="9" t="str">
        <f t="shared" si="93"/>
        <v/>
      </c>
      <c r="AZ675" s="9" t="str">
        <f>IF(OR(G675="Missing date",G675="Invalid date",G675="Ship date before order date",NOT(ISNUMBER(AP675)),AP675&lt;0,AP675&gt;0.5,AV675=TRUE,AW675=TRUE),"Invalid",IF(OR(O675="Unknown",Z675="Unknown",AC675="",AH675&lt;&gt;"Paid",AJ675&lt;&gt;"Completed",AO675&lt;&gt;""),"Warning","Clean"))</f>
        <v>Clean</v>
      </c>
    </row>
    <row r="676" spans="1:52" ht="15.75" customHeight="1">
      <c r="A676" s="6" t="s">
        <v>3272</v>
      </c>
      <c r="B676" s="7" t="s">
        <v>3273</v>
      </c>
      <c r="C676" s="7" t="str">
        <f t="shared" si="92"/>
        <v>2024-05</v>
      </c>
      <c r="D676" s="7" cm="1">
        <f t="array" ref="D676">_xlfn.LET(_xlpm.x,B676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45430</v>
      </c>
      <c r="E676" s="7" t="s">
        <v>3274</v>
      </c>
      <c r="F676" s="7" cm="1">
        <f t="array" ref="F676">_xlfn.LET(_xlpm.x,E676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45433</v>
      </c>
      <c r="G676" s="8" t="str">
        <f t="shared" si="64"/>
        <v>OK</v>
      </c>
      <c r="H676" s="6">
        <f t="shared" si="65"/>
        <v>3</v>
      </c>
      <c r="I676" s="6" t="s">
        <v>3275</v>
      </c>
      <c r="J676" s="6" t="s">
        <v>169</v>
      </c>
      <c r="K676" s="6" t="str">
        <f t="shared" si="66"/>
        <v>Vikram Iyer</v>
      </c>
      <c r="L676" s="6" t="s">
        <v>45</v>
      </c>
      <c r="M676" s="8" t="str">
        <f t="shared" si="67"/>
        <v>Corporate</v>
      </c>
      <c r="N676" s="6" t="s">
        <v>8</v>
      </c>
      <c r="O676" s="6" t="str">
        <f t="shared" si="68"/>
        <v>East</v>
      </c>
      <c r="P676" s="6" t="s">
        <v>385</v>
      </c>
      <c r="Q676" s="6" t="str">
        <f t="shared" si="69"/>
        <v>Jharkhand</v>
      </c>
      <c r="R676" s="6" t="s">
        <v>386</v>
      </c>
      <c r="S676" s="6" t="str">
        <f t="shared" si="70"/>
        <v>Ranchi</v>
      </c>
      <c r="T676" s="6" t="s">
        <v>27</v>
      </c>
      <c r="U676" s="8" t="str">
        <f t="shared" si="71"/>
        <v>Technology</v>
      </c>
      <c r="V676" s="6" t="s">
        <v>28</v>
      </c>
      <c r="W676" s="6" t="str">
        <f t="shared" si="72"/>
        <v>Accessories</v>
      </c>
      <c r="X676" s="6" t="s">
        <v>3276</v>
      </c>
      <c r="Y676" s="6" t="s">
        <v>36</v>
      </c>
      <c r="Z676" s="6" t="str">
        <f t="shared" si="73"/>
        <v>Second Class</v>
      </c>
      <c r="AA676" s="6">
        <v>1</v>
      </c>
      <c r="AB676" s="6">
        <v>1033.71</v>
      </c>
      <c r="AC676" s="6">
        <v>0</v>
      </c>
      <c r="AD676" s="6">
        <v>1033.71</v>
      </c>
      <c r="AE676" s="6">
        <v>630.82000000000005</v>
      </c>
      <c r="AF676" s="6">
        <v>402.89</v>
      </c>
      <c r="AG676" s="6" t="s">
        <v>54</v>
      </c>
      <c r="AH676" s="6" t="str">
        <f t="shared" si="74"/>
        <v>Pending</v>
      </c>
      <c r="AI676" s="6" t="s">
        <v>59</v>
      </c>
      <c r="AJ676" s="6" t="str">
        <f t="shared" si="75"/>
        <v>Returned</v>
      </c>
      <c r="AK676" s="9" t="str">
        <f>_xlfn.TEXTJOIN("|",FALSE,A676,TEXT(B676,"mm-dd-yyyy"),TEXT(E676,"mm-dd-yyyy"),I676,J676,L676,N676,P676,R676,T676,V676,X676,Y676,AA676,AB676,AC676,AD676,AE676,AF676,AG676,AI676)</f>
        <v>ORD-2024-10675|05-18-2024|05-21-2024|CUST-4081|Vikram Iyer|Corporate|East|Jharkhand|Ranchi|Technology|Accessories|Basic Accessories 944|Second Class|1|1033.71|0|1033.71|630.82|402.89|Pending|Returned</v>
      </c>
      <c r="AL676" s="27" t="str">
        <f>IF(COUNTIF($AK$2:AK676,AK676)&gt;1,"Remove exact duplicate copy","Keep")</f>
        <v>Keep</v>
      </c>
      <c r="AM676" s="9">
        <f t="shared" si="76"/>
        <v>1</v>
      </c>
      <c r="AN676" s="9" t="str">
        <f t="shared" si="77"/>
        <v>Unique</v>
      </c>
      <c r="AO676" s="9" t="str">
        <f t="shared" si="78"/>
        <v/>
      </c>
      <c r="AP676" s="9">
        <f t="shared" si="79"/>
        <v>0</v>
      </c>
      <c r="AQ676" s="10">
        <f t="shared" si="80"/>
        <v>1033.71</v>
      </c>
      <c r="AR676" s="10">
        <f t="shared" si="81"/>
        <v>402.89</v>
      </c>
      <c r="AS676" s="11">
        <f t="shared" si="82"/>
        <v>0.38975147768716562</v>
      </c>
      <c r="AT676" s="9">
        <f t="shared" si="83"/>
        <v>5</v>
      </c>
      <c r="AU676" s="9">
        <f t="shared" si="84"/>
        <v>2024</v>
      </c>
      <c r="AV676" s="9" t="b">
        <f t="shared" si="85"/>
        <v>0</v>
      </c>
      <c r="AW676" s="9" t="b">
        <f t="shared" si="86"/>
        <v>0</v>
      </c>
      <c r="AX676" s="9" t="str">
        <f t="shared" si="87"/>
        <v>No</v>
      </c>
      <c r="AY676" s="9" t="str">
        <f t="shared" si="93"/>
        <v>Returned order excluded</v>
      </c>
      <c r="AZ676" s="9" t="str">
        <f>IF(OR(G676="Missing date",G676="Invalid date",G676="Ship date before order date",NOT(ISNUMBER(AP676)),AP676&lt;0,AP676&gt;0.5,AV676=TRUE,AW676=TRUE),"Invalid",IF(OR(O676="Unknown",Z676="Unknown",AC676="",AH676&lt;&gt;"Paid",AJ676&lt;&gt;"Completed",AO676&lt;&gt;""),"Warning","Clean"))</f>
        <v>Warning</v>
      </c>
    </row>
    <row r="677" spans="1:52" ht="15.75" customHeight="1">
      <c r="A677" s="6" t="s">
        <v>3277</v>
      </c>
      <c r="B677" s="7" t="s">
        <v>3278</v>
      </c>
      <c r="C677" s="7" t="str">
        <f t="shared" si="92"/>
        <v>2025-06</v>
      </c>
      <c r="D677" s="7" cm="1">
        <f t="array" ref="D677">_xlfn.LET(_xlpm.x,B677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45815</v>
      </c>
      <c r="E677" s="7" t="s">
        <v>3279</v>
      </c>
      <c r="F677" s="7" cm="1">
        <f t="array" ref="F677">_xlfn.LET(_xlpm.x,E677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45818</v>
      </c>
      <c r="G677" s="8" t="str">
        <f t="shared" si="64"/>
        <v>OK</v>
      </c>
      <c r="H677" s="6">
        <f t="shared" si="65"/>
        <v>3</v>
      </c>
      <c r="I677" s="6" t="s">
        <v>3129</v>
      </c>
      <c r="J677" s="6" t="s">
        <v>239</v>
      </c>
      <c r="K677" s="6" t="str">
        <f t="shared" si="66"/>
        <v>Aarav Sharma</v>
      </c>
      <c r="L677" s="6" t="s">
        <v>43</v>
      </c>
      <c r="M677" s="8" t="str">
        <f t="shared" si="67"/>
        <v>Consumer</v>
      </c>
      <c r="N677" s="6" t="s">
        <v>7</v>
      </c>
      <c r="O677" s="6" t="str">
        <f t="shared" si="68"/>
        <v>North</v>
      </c>
      <c r="P677" s="6" t="s">
        <v>131</v>
      </c>
      <c r="Q677" s="6" t="str">
        <f t="shared" si="69"/>
        <v>Rajasthan</v>
      </c>
      <c r="R677" s="6" t="s">
        <v>132</v>
      </c>
      <c r="S677" s="6" t="str">
        <f t="shared" si="70"/>
        <v>Jaipur</v>
      </c>
      <c r="T677" s="6" t="s">
        <v>14</v>
      </c>
      <c r="U677" s="8" t="str">
        <f t="shared" si="71"/>
        <v>Furniture</v>
      </c>
      <c r="V677" s="6" t="s">
        <v>17</v>
      </c>
      <c r="W677" s="6" t="str">
        <f t="shared" si="72"/>
        <v>Furnishings</v>
      </c>
      <c r="X677" s="6" t="s">
        <v>3280</v>
      </c>
      <c r="Y677" s="6" t="s">
        <v>37</v>
      </c>
      <c r="Z677" s="6" t="str">
        <f t="shared" si="73"/>
        <v>Same Day</v>
      </c>
      <c r="AA677" s="6">
        <v>3</v>
      </c>
      <c r="AB677" s="6">
        <v>963.26</v>
      </c>
      <c r="AC677" s="6">
        <v>0</v>
      </c>
      <c r="AD677" s="6">
        <v>2889.78</v>
      </c>
      <c r="AE677" s="6">
        <v>1811.23</v>
      </c>
      <c r="AF677" s="6">
        <v>1078.55</v>
      </c>
      <c r="AG677" s="6" t="s">
        <v>52</v>
      </c>
      <c r="AH677" s="6" t="str">
        <f t="shared" si="74"/>
        <v>Paid</v>
      </c>
      <c r="AI677" s="6" t="s">
        <v>134</v>
      </c>
      <c r="AJ677" s="6" t="str">
        <f t="shared" si="75"/>
        <v>Completed</v>
      </c>
      <c r="AK677" s="9" t="str">
        <f>_xlfn.TEXTJOIN("|",FALSE,A677,TEXT(B677,"mm-dd-yyyy"),TEXT(E677,"mm-dd-yyyy"),I677,J677,L677,N677,P677,R677,T677,V677,X677,Y677,AA677,AB677,AC677,AD677,AE677,AF677,AG677,AI677)</f>
        <v>ORD-2025-10676|07-06-2025|06-10-2025|CUST-5061|Aarav Sharma|Consumer|North|Rajasthan|Jaipur|Furniture|Furnishings|Eco Furnishings 217|Same Day|3|963.26|0|2889.78|1811.23|1078.55|Paid|Completed</v>
      </c>
      <c r="AL677" s="27" t="str">
        <f>IF(COUNTIF($AK$2:AK677,AK677)&gt;1,"Remove exact duplicate copy","Keep")</f>
        <v>Keep</v>
      </c>
      <c r="AM677" s="9">
        <f t="shared" si="76"/>
        <v>1</v>
      </c>
      <c r="AN677" s="9" t="str">
        <f t="shared" si="77"/>
        <v>Unique</v>
      </c>
      <c r="AO677" s="9" t="str">
        <f t="shared" si="78"/>
        <v/>
      </c>
      <c r="AP677" s="9">
        <f t="shared" si="79"/>
        <v>0</v>
      </c>
      <c r="AQ677" s="10">
        <f t="shared" si="80"/>
        <v>2889.7799999999997</v>
      </c>
      <c r="AR677" s="10">
        <f t="shared" si="81"/>
        <v>1078.5499999999997</v>
      </c>
      <c r="AS677" s="11">
        <f t="shared" si="82"/>
        <v>0.37322910394562903</v>
      </c>
      <c r="AT677" s="9">
        <f t="shared" si="83"/>
        <v>6</v>
      </c>
      <c r="AU677" s="9">
        <f t="shared" si="84"/>
        <v>2025</v>
      </c>
      <c r="AV677" s="9" t="b">
        <f t="shared" si="85"/>
        <v>0</v>
      </c>
      <c r="AW677" s="9" t="b">
        <f t="shared" si="86"/>
        <v>0</v>
      </c>
      <c r="AX677" s="9" t="str">
        <f t="shared" si="87"/>
        <v>Yes</v>
      </c>
      <c r="AY677" s="9" t="str">
        <f t="shared" si="93"/>
        <v/>
      </c>
      <c r="AZ677" s="9" t="str">
        <f>IF(OR(G677="Missing date",G677="Invalid date",G677="Ship date before order date",NOT(ISNUMBER(AP677)),AP677&lt;0,AP677&gt;0.5,AV677=TRUE,AW677=TRUE),"Invalid",IF(OR(O677="Unknown",Z677="Unknown",AC677="",AH677&lt;&gt;"Paid",AJ677&lt;&gt;"Completed",AO677&lt;&gt;""),"Warning","Clean"))</f>
        <v>Clean</v>
      </c>
    </row>
    <row r="678" spans="1:52" ht="15.75" customHeight="1">
      <c r="A678" s="6" t="s">
        <v>3281</v>
      </c>
      <c r="B678" s="7" t="s">
        <v>3282</v>
      </c>
      <c r="C678" s="7" t="str">
        <f t="shared" si="92"/>
        <v>2025-09</v>
      </c>
      <c r="D678" s="7" cm="1">
        <f t="array" ref="D678">_xlfn.LET(_xlpm.x,B678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45911</v>
      </c>
      <c r="E678" s="7" t="s">
        <v>3283</v>
      </c>
      <c r="F678" s="7" cm="1">
        <f t="array" ref="F678">_xlfn.LET(_xlpm.x,E678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45918</v>
      </c>
      <c r="G678" s="8" t="str">
        <f t="shared" si="64"/>
        <v>OK</v>
      </c>
      <c r="H678" s="6">
        <f t="shared" si="65"/>
        <v>7</v>
      </c>
      <c r="I678" s="6" t="s">
        <v>3284</v>
      </c>
      <c r="J678" s="6" t="s">
        <v>226</v>
      </c>
      <c r="K678" s="6" t="str">
        <f t="shared" si="66"/>
        <v>Rahul Verma</v>
      </c>
      <c r="L678" s="6" t="s">
        <v>46</v>
      </c>
      <c r="M678" s="8" t="str">
        <f t="shared" si="67"/>
        <v>Small Business</v>
      </c>
      <c r="N678" s="6" t="s">
        <v>7</v>
      </c>
      <c r="O678" s="6" t="str">
        <f t="shared" si="68"/>
        <v>North</v>
      </c>
      <c r="P678" s="6" t="s">
        <v>583</v>
      </c>
      <c r="Q678" s="6" t="str">
        <f t="shared" si="69"/>
        <v>Delhi</v>
      </c>
      <c r="R678" s="6" t="s">
        <v>584</v>
      </c>
      <c r="S678" s="6" t="str">
        <f t="shared" si="70"/>
        <v>New Delhi</v>
      </c>
      <c r="T678" s="6" t="s">
        <v>27</v>
      </c>
      <c r="U678" s="8" t="str">
        <f t="shared" si="71"/>
        <v>Technology</v>
      </c>
      <c r="V678" s="6" t="s">
        <v>31</v>
      </c>
      <c r="W678" s="6" t="str">
        <f t="shared" si="72"/>
        <v>Phones</v>
      </c>
      <c r="X678" s="6" t="s">
        <v>3285</v>
      </c>
      <c r="Y678" s="6" t="s">
        <v>37</v>
      </c>
      <c r="Z678" s="6" t="str">
        <f t="shared" si="73"/>
        <v>Same Day</v>
      </c>
      <c r="AA678" s="6">
        <v>7</v>
      </c>
      <c r="AB678" s="6">
        <v>3411.21</v>
      </c>
      <c r="AC678" s="6">
        <v>0.15</v>
      </c>
      <c r="AD678" s="6">
        <v>20296.7</v>
      </c>
      <c r="AE678" s="6">
        <v>14920.87</v>
      </c>
      <c r="AF678" s="6">
        <v>5375.83</v>
      </c>
      <c r="AG678" s="6" t="s">
        <v>52</v>
      </c>
      <c r="AH678" s="6" t="str">
        <f t="shared" si="74"/>
        <v>Paid</v>
      </c>
      <c r="AI678" s="6" t="s">
        <v>134</v>
      </c>
      <c r="AJ678" s="6" t="str">
        <f t="shared" si="75"/>
        <v>Completed</v>
      </c>
      <c r="AK678" s="9" t="str">
        <f>_xlfn.TEXTJOIN("|",FALSE,A678,TEXT(B678,"mm-dd-yyyy"),TEXT(E678,"mm-dd-yyyy"),I678,J678,L678,N678,P678,R678,T678,V678,X678,Y678,AA678,AB678,AC678,AD678,AE678,AF678,AG678,AI678)</f>
        <v>ORD-2025-10677|09-11-2025|09-18-2025|CUST-9212|Rahul Verma|Small Business|North|Delhi|New Delhi|Technology|Phones|Smart Phones 967|Same Day|7|3411.21|0.15|20296.7|14920.87|5375.83|Paid|Completed</v>
      </c>
      <c r="AL678" s="27" t="str">
        <f>IF(COUNTIF($AK$2:AK678,AK678)&gt;1,"Remove exact duplicate copy","Keep")</f>
        <v>Keep</v>
      </c>
      <c r="AM678" s="9">
        <f t="shared" si="76"/>
        <v>1</v>
      </c>
      <c r="AN678" s="9" t="str">
        <f t="shared" si="77"/>
        <v>Unique</v>
      </c>
      <c r="AO678" s="9" t="str">
        <f t="shared" si="78"/>
        <v/>
      </c>
      <c r="AP678" s="9">
        <f t="shared" si="79"/>
        <v>0.15</v>
      </c>
      <c r="AQ678" s="10">
        <f t="shared" si="80"/>
        <v>20296.699499999999</v>
      </c>
      <c r="AR678" s="10">
        <f t="shared" si="81"/>
        <v>5375.829499999998</v>
      </c>
      <c r="AS678" s="11">
        <f t="shared" si="82"/>
        <v>0.26486225014071862</v>
      </c>
      <c r="AT678" s="9">
        <f t="shared" si="83"/>
        <v>9</v>
      </c>
      <c r="AU678" s="9">
        <f t="shared" si="84"/>
        <v>2025</v>
      </c>
      <c r="AV678" s="9" t="b">
        <f t="shared" si="85"/>
        <v>0</v>
      </c>
      <c r="AW678" s="9" t="b">
        <f t="shared" si="86"/>
        <v>0</v>
      </c>
      <c r="AX678" s="9" t="str">
        <f t="shared" si="87"/>
        <v>Yes</v>
      </c>
      <c r="AY678" s="9" t="str">
        <f t="shared" si="93"/>
        <v/>
      </c>
      <c r="AZ678" s="9" t="str">
        <f>IF(OR(G678="Missing date",G678="Invalid date",G678="Ship date before order date",NOT(ISNUMBER(AP678)),AP678&lt;0,AP678&gt;0.5,AV678=TRUE,AW678=TRUE),"Invalid",IF(OR(O678="Unknown",Z678="Unknown",AC678="",AH678&lt;&gt;"Paid",AJ678&lt;&gt;"Completed",AO678&lt;&gt;""),"Warning","Clean"))</f>
        <v>Clean</v>
      </c>
    </row>
    <row r="679" spans="1:52" ht="15.75" customHeight="1">
      <c r="A679" s="6" t="s">
        <v>3286</v>
      </c>
      <c r="B679" s="7" t="s">
        <v>3287</v>
      </c>
      <c r="C679" s="7" t="str">
        <f t="shared" si="92"/>
        <v>2024-06</v>
      </c>
      <c r="D679" s="7" cm="1">
        <f t="array" ref="D679">_xlfn.LET(_xlpm.x,B679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45465</v>
      </c>
      <c r="E679" s="7" t="s">
        <v>3288</v>
      </c>
      <c r="F679" s="7" cm="1">
        <f t="array" ref="F679">_xlfn.LET(_xlpm.x,E679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45470</v>
      </c>
      <c r="G679" s="8" t="str">
        <f t="shared" si="64"/>
        <v>OK</v>
      </c>
      <c r="H679" s="6">
        <f t="shared" si="65"/>
        <v>5</v>
      </c>
      <c r="I679" s="6" t="s">
        <v>128</v>
      </c>
      <c r="J679" s="6" t="s">
        <v>147</v>
      </c>
      <c r="K679" s="6" t="str">
        <f t="shared" si="66"/>
        <v>Isha Nair</v>
      </c>
      <c r="L679" s="6" t="s">
        <v>44</v>
      </c>
      <c r="M679" s="8" t="str">
        <f t="shared" si="67"/>
        <v>Home Office</v>
      </c>
      <c r="N679" s="6" t="s">
        <v>10</v>
      </c>
      <c r="O679" s="6" t="str">
        <f t="shared" si="68"/>
        <v>South</v>
      </c>
      <c r="P679" s="6" t="s">
        <v>303</v>
      </c>
      <c r="Q679" s="6" t="str">
        <f t="shared" si="69"/>
        <v>Karnataka</v>
      </c>
      <c r="R679" s="6" t="s">
        <v>304</v>
      </c>
      <c r="S679" s="6" t="str">
        <f t="shared" si="70"/>
        <v>Bengaluru</v>
      </c>
      <c r="T679" s="6" t="s">
        <v>14</v>
      </c>
      <c r="U679" s="8" t="str">
        <f t="shared" si="71"/>
        <v>Furniture</v>
      </c>
      <c r="V679" s="6" t="s">
        <v>16</v>
      </c>
      <c r="W679" s="6" t="str">
        <f t="shared" si="72"/>
        <v>Chairs</v>
      </c>
      <c r="X679" s="6" t="s">
        <v>3289</v>
      </c>
      <c r="Y679" s="6" t="s">
        <v>37</v>
      </c>
      <c r="Z679" s="6" t="str">
        <f t="shared" si="73"/>
        <v>Same Day</v>
      </c>
      <c r="AA679" s="6">
        <v>7</v>
      </c>
      <c r="AB679" s="6">
        <v>2623.48</v>
      </c>
      <c r="AC679" s="6">
        <v>0</v>
      </c>
      <c r="AD679" s="6">
        <v>18364.36</v>
      </c>
      <c r="AE679" s="6">
        <v>15445.81</v>
      </c>
      <c r="AF679" s="6">
        <v>2918.55</v>
      </c>
      <c r="AG679" s="6" t="s">
        <v>52</v>
      </c>
      <c r="AH679" s="6" t="str">
        <f t="shared" si="74"/>
        <v>Paid</v>
      </c>
      <c r="AI679" s="6" t="s">
        <v>134</v>
      </c>
      <c r="AJ679" s="6" t="str">
        <f t="shared" si="75"/>
        <v>Completed</v>
      </c>
      <c r="AK679" s="9" t="str">
        <f>_xlfn.TEXTJOIN("|",FALSE,A679,TEXT(B679,"mm-dd-yyyy"),TEXT(E679,"mm-dd-yyyy"),I679,J679,L679,N679,P679,R679,T679,V679,X679,Y679,AA679,AB679,AC679,AD679,AE679,AF679,AG679,AI679)</f>
        <v>ORD-2024-10678|06-22-2024|27-06-2024|CUST-4655|Isha Nair|Home Office|South|Karnataka|Bengaluru|Furniture|Chairs|Smart Chairs 610|Same Day|7|2623.48|0|18364.36|15445.81|2918.55|Paid|Completed</v>
      </c>
      <c r="AL679" s="27" t="str">
        <f>IF(COUNTIF($AK$2:AK679,AK679)&gt;1,"Remove exact duplicate copy","Keep")</f>
        <v>Keep</v>
      </c>
      <c r="AM679" s="9">
        <f t="shared" si="76"/>
        <v>1</v>
      </c>
      <c r="AN679" s="9" t="str">
        <f t="shared" si="77"/>
        <v>Unique</v>
      </c>
      <c r="AO679" s="9" t="str">
        <f t="shared" si="78"/>
        <v/>
      </c>
      <c r="AP679" s="9">
        <f t="shared" si="79"/>
        <v>0</v>
      </c>
      <c r="AQ679" s="10">
        <f t="shared" si="80"/>
        <v>18364.36</v>
      </c>
      <c r="AR679" s="10">
        <f t="shared" si="81"/>
        <v>2918.5500000000011</v>
      </c>
      <c r="AS679" s="11">
        <f t="shared" si="82"/>
        <v>0.15892467801763857</v>
      </c>
      <c r="AT679" s="9">
        <f t="shared" si="83"/>
        <v>6</v>
      </c>
      <c r="AU679" s="9">
        <f t="shared" si="84"/>
        <v>2024</v>
      </c>
      <c r="AV679" s="9" t="b">
        <f t="shared" si="85"/>
        <v>0</v>
      </c>
      <c r="AW679" s="9" t="b">
        <f t="shared" si="86"/>
        <v>0</v>
      </c>
      <c r="AX679" s="9" t="str">
        <f t="shared" si="87"/>
        <v>Yes</v>
      </c>
      <c r="AY679" s="9" t="str">
        <f t="shared" si="93"/>
        <v/>
      </c>
      <c r="AZ679" s="9" t="str">
        <f>IF(OR(G679="Missing date",G679="Invalid date",G679="Ship date before order date",NOT(ISNUMBER(AP679)),AP679&lt;0,AP679&gt;0.5,AV679=TRUE,AW679=TRUE),"Invalid",IF(OR(O679="Unknown",Z679="Unknown",AC679="",AH679&lt;&gt;"Paid",AJ679&lt;&gt;"Completed",AO679&lt;&gt;""),"Warning","Clean"))</f>
        <v>Clean</v>
      </c>
    </row>
    <row r="680" spans="1:52" ht="15.75" customHeight="1">
      <c r="A680" s="6" t="s">
        <v>3290</v>
      </c>
      <c r="B680" s="7" t="s">
        <v>3291</v>
      </c>
      <c r="C680" s="7" t="str">
        <f t="shared" si="92"/>
        <v>2024-11</v>
      </c>
      <c r="D680" s="7" cm="1">
        <f t="array" ref="D680">_xlfn.LET(_xlpm.x,B680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45620</v>
      </c>
      <c r="E680" s="7" t="s">
        <v>3292</v>
      </c>
      <c r="F680" s="7" cm="1">
        <f t="array" ref="F680">_xlfn.LET(_xlpm.x,E680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45627</v>
      </c>
      <c r="G680" s="8" t="str">
        <f t="shared" si="64"/>
        <v>OK</v>
      </c>
      <c r="H680" s="6">
        <f t="shared" si="65"/>
        <v>7</v>
      </c>
      <c r="I680" s="6" t="s">
        <v>3293</v>
      </c>
      <c r="J680" s="6" t="s">
        <v>442</v>
      </c>
      <c r="K680" s="6" t="str">
        <f t="shared" si="66"/>
        <v>Kabir Singh</v>
      </c>
      <c r="L680" s="6" t="s">
        <v>45</v>
      </c>
      <c r="M680" s="8" t="str">
        <f t="shared" si="67"/>
        <v>Corporate</v>
      </c>
      <c r="N680" s="6" t="s">
        <v>10</v>
      </c>
      <c r="O680" s="6" t="str">
        <f t="shared" si="68"/>
        <v>South</v>
      </c>
      <c r="P680" s="6" t="s">
        <v>303</v>
      </c>
      <c r="Q680" s="6" t="str">
        <f t="shared" si="69"/>
        <v>Karnataka</v>
      </c>
      <c r="R680" s="6" t="s">
        <v>304</v>
      </c>
      <c r="S680" s="6" t="str">
        <f t="shared" si="70"/>
        <v>Bengaluru</v>
      </c>
      <c r="T680" s="6" t="s">
        <v>14</v>
      </c>
      <c r="U680" s="8" t="str">
        <f t="shared" si="71"/>
        <v>Furniture</v>
      </c>
      <c r="V680" s="6" t="s">
        <v>18</v>
      </c>
      <c r="W680" s="6" t="str">
        <f t="shared" si="72"/>
        <v>Tables</v>
      </c>
      <c r="X680" s="6" t="s">
        <v>3294</v>
      </c>
      <c r="Y680" s="6" t="s">
        <v>36</v>
      </c>
      <c r="Z680" s="6" t="str">
        <f t="shared" si="73"/>
        <v>Second Class</v>
      </c>
      <c r="AA680" s="6">
        <v>9</v>
      </c>
      <c r="AB680" s="6">
        <v>2763.61</v>
      </c>
      <c r="AC680" s="6">
        <v>0.15</v>
      </c>
      <c r="AD680" s="6">
        <v>21141.62</v>
      </c>
      <c r="AE680" s="6">
        <v>11676.33</v>
      </c>
      <c r="AF680" s="6">
        <v>9465.2900000000009</v>
      </c>
      <c r="AG680" s="6" t="s">
        <v>52</v>
      </c>
      <c r="AH680" s="6" t="str">
        <f t="shared" si="74"/>
        <v>Paid</v>
      </c>
      <c r="AI680" s="6" t="s">
        <v>134</v>
      </c>
      <c r="AJ680" s="6" t="str">
        <f t="shared" si="75"/>
        <v>Completed</v>
      </c>
      <c r="AK680" s="9" t="str">
        <f>_xlfn.TEXTJOIN("|",FALSE,A680,TEXT(B680,"mm-dd-yyyy"),TEXT(E680,"mm-dd-yyyy"),I680,J680,L680,N680,P680,R680,T680,V680,X680,Y680,AA680,AB680,AC680,AD680,AE680,AF680,AG680,AI680)</f>
        <v>ORD-2024-10679|24-11-2024|12-01-2024|CUST-1674|Kabir Singh|Corporate|South|Karnataka|Bengaluru|Furniture|Tables|Prime Tables 123|Second Class|9|2763.61|0.15|21141.62|11676.33|9465.29|Paid|Completed</v>
      </c>
      <c r="AL680" s="27" t="str">
        <f>IF(COUNTIF($AK$2:AK680,AK680)&gt;1,"Remove exact duplicate copy","Keep")</f>
        <v>Keep</v>
      </c>
      <c r="AM680" s="9">
        <f t="shared" si="76"/>
        <v>1</v>
      </c>
      <c r="AN680" s="9" t="str">
        <f t="shared" si="77"/>
        <v>Unique</v>
      </c>
      <c r="AO680" s="9" t="str">
        <f t="shared" si="78"/>
        <v/>
      </c>
      <c r="AP680" s="9">
        <f t="shared" si="79"/>
        <v>0.15</v>
      </c>
      <c r="AQ680" s="10">
        <f t="shared" si="80"/>
        <v>21141.6165</v>
      </c>
      <c r="AR680" s="10">
        <f t="shared" si="81"/>
        <v>9465.2865000000002</v>
      </c>
      <c r="AS680" s="11">
        <f t="shared" si="82"/>
        <v>0.44770874071999178</v>
      </c>
      <c r="AT680" s="9">
        <f t="shared" si="83"/>
        <v>11</v>
      </c>
      <c r="AU680" s="9">
        <f t="shared" si="84"/>
        <v>2024</v>
      </c>
      <c r="AV680" s="9" t="b">
        <f t="shared" si="85"/>
        <v>0</v>
      </c>
      <c r="AW680" s="9" t="b">
        <f t="shared" si="86"/>
        <v>0</v>
      </c>
      <c r="AX680" s="9" t="str">
        <f t="shared" si="87"/>
        <v>Yes</v>
      </c>
      <c r="AY680" s="9" t="str">
        <f t="shared" si="93"/>
        <v/>
      </c>
      <c r="AZ680" s="9" t="str">
        <f>IF(OR(G680="Missing date",G680="Invalid date",G680="Ship date before order date",NOT(ISNUMBER(AP680)),AP680&lt;0,AP680&gt;0.5,AV680=TRUE,AW680=TRUE),"Invalid",IF(OR(O680="Unknown",Z680="Unknown",AC680="",AH680&lt;&gt;"Paid",AJ680&lt;&gt;"Completed",AO680&lt;&gt;""),"Warning","Clean"))</f>
        <v>Clean</v>
      </c>
    </row>
    <row r="681" spans="1:52" ht="15.75" customHeight="1">
      <c r="A681" s="6" t="s">
        <v>3295</v>
      </c>
      <c r="B681" s="7" t="s">
        <v>3296</v>
      </c>
      <c r="C681" s="7" t="str">
        <f t="shared" si="92"/>
        <v>2025-08</v>
      </c>
      <c r="D681" s="7" cm="1">
        <f t="array" ref="D681">_xlfn.LET(_xlpm.x,B681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45885</v>
      </c>
      <c r="E681" s="7" t="s">
        <v>719</v>
      </c>
      <c r="F681" s="7" cm="1">
        <f t="array" ref="F681">_xlfn.LET(_xlpm.x,E681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45892</v>
      </c>
      <c r="G681" s="8" t="str">
        <f t="shared" si="64"/>
        <v>OK</v>
      </c>
      <c r="H681" s="6">
        <f t="shared" si="65"/>
        <v>7</v>
      </c>
      <c r="I681" s="6" t="s">
        <v>3297</v>
      </c>
      <c r="J681" s="6" t="s">
        <v>257</v>
      </c>
      <c r="K681" s="6" t="str">
        <f t="shared" si="66"/>
        <v>Rohan Mehta</v>
      </c>
      <c r="L681" s="6" t="s">
        <v>45</v>
      </c>
      <c r="M681" s="8" t="str">
        <f t="shared" si="67"/>
        <v>Corporate</v>
      </c>
      <c r="N681" s="6" t="s">
        <v>7</v>
      </c>
      <c r="O681" s="6" t="str">
        <f t="shared" si="68"/>
        <v>North</v>
      </c>
      <c r="P681" s="6" t="s">
        <v>232</v>
      </c>
      <c r="Q681" s="6" t="str">
        <f t="shared" si="69"/>
        <v>Punjab</v>
      </c>
      <c r="R681" s="6" t="s">
        <v>233</v>
      </c>
      <c r="S681" s="6" t="str">
        <f t="shared" si="70"/>
        <v>Ludhiana</v>
      </c>
      <c r="T681" s="6" t="s">
        <v>27</v>
      </c>
      <c r="U681" s="8" t="str">
        <f t="shared" si="71"/>
        <v>Technology</v>
      </c>
      <c r="V681" s="6" t="s">
        <v>29</v>
      </c>
      <c r="W681" s="6" t="str">
        <f t="shared" si="72"/>
        <v>Copiers</v>
      </c>
      <c r="X681" s="6" t="s">
        <v>3298</v>
      </c>
      <c r="Y681" s="6" t="s">
        <v>37</v>
      </c>
      <c r="Z681" s="6" t="str">
        <f t="shared" si="73"/>
        <v>Same Day</v>
      </c>
      <c r="AA681" s="6">
        <v>4</v>
      </c>
      <c r="AB681" s="6">
        <v>1410.57</v>
      </c>
      <c r="AC681" s="6" t="s">
        <v>761</v>
      </c>
      <c r="AD681" s="6">
        <v>5360.17</v>
      </c>
      <c r="AE681" s="6">
        <v>3881.51</v>
      </c>
      <c r="AF681" s="6">
        <v>1478.66</v>
      </c>
      <c r="AG681" s="6" t="s">
        <v>56</v>
      </c>
      <c r="AH681" s="6" t="str">
        <f t="shared" si="74"/>
        <v>Refunded</v>
      </c>
      <c r="AI681" s="6" t="s">
        <v>58</v>
      </c>
      <c r="AJ681" s="6" t="str">
        <f t="shared" si="75"/>
        <v>Cancelled</v>
      </c>
      <c r="AK681" s="9" t="str">
        <f>_xlfn.TEXTJOIN("|",FALSE,A681,TEXT(B681,"mm-dd-yyyy"),TEXT(E681,"mm-dd-yyyy"),I681,J681,L681,N681,P681,R681,T681,V681,X681,Y681,AA681,AB681,AC681,AD681,AE681,AF681,AG681,AI681)</f>
        <v>ORD-2025-10680|16-08-2025|23-08-2025|CUST-2897|Rohan Mehta|Corporate|North|Punjab|Ludhiana|Technology|Copiers|Smart Copiers 579|Same Day|4|1410.57|70%|5360.17|3881.51|1478.66|Refunded|Cancelled</v>
      </c>
      <c r="AL681" s="27" t="str">
        <f>IF(COUNTIF($AK$2:AK681,AK681)&gt;1,"Remove exact duplicate copy","Keep")</f>
        <v>Keep</v>
      </c>
      <c r="AM681" s="9">
        <f t="shared" si="76"/>
        <v>1</v>
      </c>
      <c r="AN681" s="9" t="str">
        <f t="shared" si="77"/>
        <v>Unique</v>
      </c>
      <c r="AO681" s="9" t="str">
        <f t="shared" si="78"/>
        <v/>
      </c>
      <c r="AP681" s="9">
        <f t="shared" si="79"/>
        <v>0.7</v>
      </c>
      <c r="AQ681" s="10">
        <f t="shared" si="80"/>
        <v>1692.6840000000002</v>
      </c>
      <c r="AR681" s="10">
        <f t="shared" si="81"/>
        <v>-2188.826</v>
      </c>
      <c r="AS681" s="11">
        <f t="shared" si="82"/>
        <v>-1.2931096412561351</v>
      </c>
      <c r="AT681" s="9">
        <f t="shared" si="83"/>
        <v>8</v>
      </c>
      <c r="AU681" s="9">
        <f t="shared" si="84"/>
        <v>2025</v>
      </c>
      <c r="AV681" s="9" t="b">
        <f t="shared" si="85"/>
        <v>1</v>
      </c>
      <c r="AW681" s="9" t="b">
        <f t="shared" si="86"/>
        <v>1</v>
      </c>
      <c r="AX681" s="9" t="str">
        <f t="shared" si="87"/>
        <v>No</v>
      </c>
      <c r="AY681" s="9" t="str">
        <f t="shared" si="93"/>
        <v>Discount above 50%; Refunded order summarized separately; Cancelled order excluded; Sales mismatch; Profit mismatch</v>
      </c>
      <c r="AZ681" s="9" t="str">
        <f>IF(OR(G681="Missing date",G681="Invalid date",G681="Ship date before order date",NOT(ISNUMBER(AP681)),AP681&lt;0,AP681&gt;0.5,AV681=TRUE,AW681=TRUE),"Invalid",IF(OR(O681="Unknown",Z681="Unknown",AC681="",AH681&lt;&gt;"Paid",AJ681&lt;&gt;"Completed",AO681&lt;&gt;""),"Warning","Clean"))</f>
        <v>Invalid</v>
      </c>
    </row>
    <row r="682" spans="1:52" ht="15.75" customHeight="1">
      <c r="A682" s="6" t="s">
        <v>3299</v>
      </c>
      <c r="B682" s="7" t="s">
        <v>348</v>
      </c>
      <c r="C682" s="7" t="str">
        <f t="shared" si="92"/>
        <v>2024-05</v>
      </c>
      <c r="D682" s="7" cm="1">
        <f t="array" ref="D682">_xlfn.LET(_xlpm.x,B682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45441</v>
      </c>
      <c r="E682" s="7" t="s">
        <v>655</v>
      </c>
      <c r="F682" s="7" cm="1">
        <f t="array" ref="F682">_xlfn.LET(_xlpm.x,E682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45448</v>
      </c>
      <c r="G682" s="8" t="str">
        <f t="shared" si="64"/>
        <v>OK</v>
      </c>
      <c r="H682" s="6">
        <f t="shared" si="65"/>
        <v>7</v>
      </c>
      <c r="I682" s="6" t="s">
        <v>3300</v>
      </c>
      <c r="J682" s="6" t="s">
        <v>442</v>
      </c>
      <c r="K682" s="6" t="str">
        <f t="shared" si="66"/>
        <v>Kabir Singh</v>
      </c>
      <c r="L682" s="6" t="s">
        <v>45</v>
      </c>
      <c r="M682" s="8" t="str">
        <f t="shared" si="67"/>
        <v>Corporate</v>
      </c>
      <c r="N682" s="6" t="s">
        <v>10</v>
      </c>
      <c r="O682" s="6" t="str">
        <f t="shared" si="68"/>
        <v>South</v>
      </c>
      <c r="P682" s="6" t="s">
        <v>413</v>
      </c>
      <c r="Q682" s="6" t="str">
        <f t="shared" si="69"/>
        <v>Tamil Nadu</v>
      </c>
      <c r="R682" s="6" t="s">
        <v>414</v>
      </c>
      <c r="S682" s="6" t="str">
        <f t="shared" si="70"/>
        <v>Chennai</v>
      </c>
      <c r="T682" s="6" t="s">
        <v>27</v>
      </c>
      <c r="U682" s="8" t="str">
        <f t="shared" si="71"/>
        <v>Technology</v>
      </c>
      <c r="V682" s="6" t="s">
        <v>28</v>
      </c>
      <c r="W682" s="6" t="str">
        <f t="shared" si="72"/>
        <v>Accessories</v>
      </c>
      <c r="X682" s="6" t="s">
        <v>3301</v>
      </c>
      <c r="Y682" s="6" t="s">
        <v>35</v>
      </c>
      <c r="Z682" s="6" t="str">
        <f t="shared" si="73"/>
        <v>First Class</v>
      </c>
      <c r="AA682" s="6">
        <v>4</v>
      </c>
      <c r="AB682" s="6">
        <v>3700.24</v>
      </c>
      <c r="AC682" s="6">
        <v>0</v>
      </c>
      <c r="AD682" s="6">
        <v>14800.96</v>
      </c>
      <c r="AE682" s="6">
        <v>12048.39</v>
      </c>
      <c r="AF682" s="6">
        <v>2752.57</v>
      </c>
      <c r="AG682" s="6" t="s">
        <v>52</v>
      </c>
      <c r="AH682" s="6" t="str">
        <f t="shared" si="74"/>
        <v>Paid</v>
      </c>
      <c r="AI682" s="6" t="s">
        <v>134</v>
      </c>
      <c r="AJ682" s="6" t="str">
        <f t="shared" si="75"/>
        <v>Completed</v>
      </c>
      <c r="AK682" s="9" t="str">
        <f>_xlfn.TEXTJOIN("|",FALSE,A682,TEXT(B682,"mm-dd-yyyy"),TEXT(E682,"mm-dd-yyyy"),I682,J682,L682,N682,P682,R682,T682,V682,X682,Y682,AA682,AB682,AC682,AD682,AE682,AF682,AG682,AI682)</f>
        <v>ORD-2024-10681|05-29-2024|06-05-2024|CUST-1136|Kabir Singh|Corporate|South|Tamil Nadu|Chennai|Technology|Accessories|Eco Accessories 658|First Class|4|3700.24|0|14800.96|12048.39|2752.57|Paid|Completed</v>
      </c>
      <c r="AL682" s="27" t="str">
        <f>IF(COUNTIF($AK$2:AK682,AK682)&gt;1,"Remove exact duplicate copy","Keep")</f>
        <v>Keep</v>
      </c>
      <c r="AM682" s="9">
        <f t="shared" si="76"/>
        <v>1</v>
      </c>
      <c r="AN682" s="9" t="str">
        <f t="shared" si="77"/>
        <v>Unique</v>
      </c>
      <c r="AO682" s="9" t="str">
        <f t="shared" si="78"/>
        <v/>
      </c>
      <c r="AP682" s="9">
        <f t="shared" si="79"/>
        <v>0</v>
      </c>
      <c r="AQ682" s="10">
        <f t="shared" si="80"/>
        <v>14800.96</v>
      </c>
      <c r="AR682" s="10">
        <f t="shared" si="81"/>
        <v>2752.5699999999997</v>
      </c>
      <c r="AS682" s="11">
        <f t="shared" si="82"/>
        <v>0.18597239638509933</v>
      </c>
      <c r="AT682" s="9">
        <f t="shared" si="83"/>
        <v>5</v>
      </c>
      <c r="AU682" s="9">
        <f t="shared" si="84"/>
        <v>2024</v>
      </c>
      <c r="AV682" s="9" t="b">
        <f t="shared" si="85"/>
        <v>0</v>
      </c>
      <c r="AW682" s="9" t="b">
        <f t="shared" si="86"/>
        <v>0</v>
      </c>
      <c r="AX682" s="9" t="str">
        <f t="shared" si="87"/>
        <v>Yes</v>
      </c>
      <c r="AY682" s="9" t="str">
        <f t="shared" si="93"/>
        <v/>
      </c>
      <c r="AZ682" s="9" t="str">
        <f>IF(OR(G682="Missing date",G682="Invalid date",G682="Ship date before order date",NOT(ISNUMBER(AP682)),AP682&lt;0,AP682&gt;0.5,AV682=TRUE,AW682=TRUE),"Invalid",IF(OR(O682="Unknown",Z682="Unknown",AC682="",AH682&lt;&gt;"Paid",AJ682&lt;&gt;"Completed",AO682&lt;&gt;""),"Warning","Clean"))</f>
        <v>Clean</v>
      </c>
    </row>
    <row r="683" spans="1:52" ht="15.75" customHeight="1">
      <c r="A683" s="6" t="s">
        <v>3302</v>
      </c>
      <c r="B683" s="7" t="s">
        <v>3303</v>
      </c>
      <c r="C683" s="7" t="str">
        <f t="shared" si="92"/>
        <v>2024-07</v>
      </c>
      <c r="D683" s="7" cm="1">
        <f t="array" ref="D683">_xlfn.LET(_xlpm.x,B683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45477</v>
      </c>
      <c r="E683" s="7" t="s">
        <v>3304</v>
      </c>
      <c r="F683" s="7" cm="1">
        <f t="array" ref="F683">_xlfn.LET(_xlpm.x,E683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45483</v>
      </c>
      <c r="G683" s="8" t="str">
        <f t="shared" si="64"/>
        <v>OK</v>
      </c>
      <c r="H683" s="6">
        <f t="shared" si="65"/>
        <v>6</v>
      </c>
      <c r="I683" s="6" t="s">
        <v>3305</v>
      </c>
      <c r="J683" s="6" t="s">
        <v>169</v>
      </c>
      <c r="K683" s="6" t="str">
        <f t="shared" si="66"/>
        <v>Vikram Iyer</v>
      </c>
      <c r="L683" s="6" t="s">
        <v>45</v>
      </c>
      <c r="M683" s="8" t="str">
        <f t="shared" si="67"/>
        <v>Corporate</v>
      </c>
      <c r="N683" s="6" t="s">
        <v>7</v>
      </c>
      <c r="O683" s="6" t="str">
        <f t="shared" si="68"/>
        <v>North</v>
      </c>
      <c r="P683" s="6" t="s">
        <v>583</v>
      </c>
      <c r="Q683" s="6" t="str">
        <f t="shared" si="69"/>
        <v>Delhi</v>
      </c>
      <c r="R683" s="6" t="s">
        <v>584</v>
      </c>
      <c r="S683" s="6" t="str">
        <f t="shared" si="70"/>
        <v>New Delhi</v>
      </c>
      <c r="T683" s="6" t="s">
        <v>14</v>
      </c>
      <c r="U683" s="8" t="str">
        <f t="shared" si="71"/>
        <v>Furniture</v>
      </c>
      <c r="V683" s="6" t="s">
        <v>18</v>
      </c>
      <c r="W683" s="6" t="str">
        <f t="shared" si="72"/>
        <v>Tables</v>
      </c>
      <c r="X683" s="6" t="s">
        <v>3306</v>
      </c>
      <c r="Y683" s="6" t="s">
        <v>36</v>
      </c>
      <c r="Z683" s="6" t="str">
        <f t="shared" si="73"/>
        <v>Second Class</v>
      </c>
      <c r="AA683" s="6">
        <v>5</v>
      </c>
      <c r="AB683" s="6">
        <v>1200.27</v>
      </c>
      <c r="AC683" s="6">
        <v>0</v>
      </c>
      <c r="AD683" s="6">
        <v>6001.35</v>
      </c>
      <c r="AE683" s="6">
        <v>4182.99</v>
      </c>
      <c r="AF683" s="6">
        <v>1818.36</v>
      </c>
      <c r="AG683" s="6" t="s">
        <v>52</v>
      </c>
      <c r="AH683" s="6" t="str">
        <f t="shared" si="74"/>
        <v>Paid</v>
      </c>
      <c r="AI683" s="6" t="s">
        <v>58</v>
      </c>
      <c r="AJ683" s="6" t="str">
        <f t="shared" si="75"/>
        <v>Cancelled</v>
      </c>
      <c r="AK683" s="9" t="str">
        <f>_xlfn.TEXTJOIN("|",FALSE,A683,TEXT(B683,"mm-dd-yyyy"),TEXT(E683,"mm-dd-yyyy"),I683,J683,L683,N683,P683,R683,T683,V683,X683,Y683,AA683,AB683,AC683,AD683,AE683,AF683,AG683,AI683)</f>
        <v>ORD-2024-10682|07-04-2024|07-10-2024|CUST-1376|Vikram Iyer|Corporate|North|Delhi|New Delhi|Furniture|Tables|Smart Tables 777|Second Class|5|1200.27|0|6001.35|4182.99|1818.36|Paid|Cancelled</v>
      </c>
      <c r="AL683" s="27" t="str">
        <f>IF(COUNTIF($AK$2:AK683,AK683)&gt;1,"Remove exact duplicate copy","Keep")</f>
        <v>Keep</v>
      </c>
      <c r="AM683" s="9">
        <f t="shared" si="76"/>
        <v>1</v>
      </c>
      <c r="AN683" s="9" t="str">
        <f t="shared" si="77"/>
        <v>Unique</v>
      </c>
      <c r="AO683" s="9" t="str">
        <f t="shared" si="78"/>
        <v/>
      </c>
      <c r="AP683" s="9">
        <f t="shared" si="79"/>
        <v>0</v>
      </c>
      <c r="AQ683" s="10">
        <f t="shared" si="80"/>
        <v>6001.35</v>
      </c>
      <c r="AR683" s="10">
        <f t="shared" si="81"/>
        <v>1818.3600000000006</v>
      </c>
      <c r="AS683" s="11">
        <f t="shared" si="82"/>
        <v>0.30299182683896131</v>
      </c>
      <c r="AT683" s="9">
        <f t="shared" si="83"/>
        <v>7</v>
      </c>
      <c r="AU683" s="9">
        <f t="shared" si="84"/>
        <v>2024</v>
      </c>
      <c r="AV683" s="9" t="b">
        <f t="shared" si="85"/>
        <v>0</v>
      </c>
      <c r="AW683" s="9" t="b">
        <f t="shared" si="86"/>
        <v>0</v>
      </c>
      <c r="AX683" s="9" t="str">
        <f t="shared" si="87"/>
        <v>No</v>
      </c>
      <c r="AY683" s="9" t="str">
        <f t="shared" si="93"/>
        <v>Cancelled order excluded</v>
      </c>
      <c r="AZ683" s="9" t="str">
        <f>IF(OR(G683="Missing date",G683="Invalid date",G683="Ship date before order date",NOT(ISNUMBER(AP683)),AP683&lt;0,AP683&gt;0.5,AV683=TRUE,AW683=TRUE),"Invalid",IF(OR(O683="Unknown",Z683="Unknown",AC683="",AH683&lt;&gt;"Paid",AJ683&lt;&gt;"Completed",AO683&lt;&gt;""),"Warning","Clean"))</f>
        <v>Warning</v>
      </c>
    </row>
    <row r="684" spans="1:52" ht="15.75" customHeight="1">
      <c r="A684" s="6" t="s">
        <v>3307</v>
      </c>
      <c r="B684" s="7" t="s">
        <v>418</v>
      </c>
      <c r="C684" s="7" t="str">
        <f t="shared" si="92"/>
        <v>2025-02</v>
      </c>
      <c r="D684" s="7" cm="1">
        <f t="array" ref="D684">_xlfn.LET(_xlpm.x,B684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45693</v>
      </c>
      <c r="E684" s="7" t="s">
        <v>2978</v>
      </c>
      <c r="F684" s="7" cm="1">
        <f t="array" ref="F684">_xlfn.LET(_xlpm.x,E684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45693</v>
      </c>
      <c r="G684" s="8" t="str">
        <f t="shared" si="64"/>
        <v>OK</v>
      </c>
      <c r="H684" s="6">
        <f t="shared" si="65"/>
        <v>0</v>
      </c>
      <c r="I684" s="6" t="s">
        <v>3308</v>
      </c>
      <c r="J684" s="6" t="s">
        <v>3309</v>
      </c>
      <c r="K684" s="6" t="str">
        <f t="shared" si="66"/>
        <v>Ananya Rao</v>
      </c>
      <c r="L684" s="6" t="s">
        <v>45</v>
      </c>
      <c r="M684" s="8" t="str">
        <f t="shared" si="67"/>
        <v>Corporate</v>
      </c>
      <c r="N684" s="6" t="s">
        <v>7</v>
      </c>
      <c r="O684" s="6" t="str">
        <f t="shared" si="68"/>
        <v>North</v>
      </c>
      <c r="P684" s="6" t="s">
        <v>397</v>
      </c>
      <c r="Q684" s="6" t="str">
        <f t="shared" si="69"/>
        <v>Haryana</v>
      </c>
      <c r="R684" s="6" t="s">
        <v>398</v>
      </c>
      <c r="S684" s="6" t="str">
        <f t="shared" si="70"/>
        <v>Gurugram</v>
      </c>
      <c r="T684" s="6" t="s">
        <v>20</v>
      </c>
      <c r="U684" s="8" t="str">
        <f t="shared" si="71"/>
        <v>Office Supplies</v>
      </c>
      <c r="V684" s="6" t="s">
        <v>25</v>
      </c>
      <c r="W684" s="6" t="str">
        <f t="shared" si="72"/>
        <v>Storage</v>
      </c>
      <c r="X684" s="6" t="s">
        <v>3310</v>
      </c>
      <c r="Y684" s="6" t="s">
        <v>37</v>
      </c>
      <c r="Z684" s="6" t="str">
        <f t="shared" si="73"/>
        <v>Same Day</v>
      </c>
      <c r="AA684" s="6">
        <v>3</v>
      </c>
      <c r="AB684" s="6">
        <v>2590.7800000000002</v>
      </c>
      <c r="AC684" s="6"/>
      <c r="AD684" s="6">
        <v>7383.72</v>
      </c>
      <c r="AE684" s="6">
        <v>4113.66</v>
      </c>
      <c r="AF684" s="6">
        <v>3270.06</v>
      </c>
      <c r="AG684" s="6" t="s">
        <v>52</v>
      </c>
      <c r="AH684" s="6" t="str">
        <f t="shared" si="74"/>
        <v>Paid</v>
      </c>
      <c r="AI684" s="6" t="s">
        <v>134</v>
      </c>
      <c r="AJ684" s="6" t="str">
        <f t="shared" si="75"/>
        <v>Completed</v>
      </c>
      <c r="AK684" s="9" t="str">
        <f>_xlfn.TEXTJOIN("|",FALSE,A684,TEXT(B684,"mm-dd-yyyy"),TEXT(E684,"mm-dd-yyyy"),I684,J684,L684,N684,P684,R684,T684,V684,X684,Y684,AA684,AB684,AC684,AD684,AE684,AF684,AG684,AI684)</f>
        <v>ORD-2025-10683|02-05-2025|05-02-2025|CUST-1553|ananya rao|Corporate|North|Haryana|Gurugram|Office Supplies|Storage|Eco Storage 861|Same Day|3|2590.78||7383.72|4113.66|3270.06|Paid|Completed</v>
      </c>
      <c r="AL684" s="27" t="str">
        <f>IF(COUNTIF($AK$2:AK684,AK684)&gt;1,"Remove exact duplicate copy","Keep")</f>
        <v>Keep</v>
      </c>
      <c r="AM684" s="9">
        <f t="shared" si="76"/>
        <v>1</v>
      </c>
      <c r="AN684" s="9" t="str">
        <f t="shared" si="77"/>
        <v>Unique</v>
      </c>
      <c r="AO684" s="9" t="str">
        <f t="shared" si="78"/>
        <v/>
      </c>
      <c r="AP684" s="9">
        <f t="shared" si="79"/>
        <v>0</v>
      </c>
      <c r="AQ684" s="10">
        <f t="shared" si="80"/>
        <v>7772.34</v>
      </c>
      <c r="AR684" s="10">
        <f t="shared" si="81"/>
        <v>3658.6800000000003</v>
      </c>
      <c r="AS684" s="11">
        <f t="shared" si="82"/>
        <v>0.47073082237781677</v>
      </c>
      <c r="AT684" s="9">
        <f t="shared" si="83"/>
        <v>2</v>
      </c>
      <c r="AU684" s="9">
        <f t="shared" si="84"/>
        <v>2025</v>
      </c>
      <c r="AV684" s="9" t="b">
        <f t="shared" si="85"/>
        <v>1</v>
      </c>
      <c r="AW684" s="9" t="b">
        <f t="shared" si="86"/>
        <v>1</v>
      </c>
      <c r="AX684" s="9" t="str">
        <f t="shared" si="87"/>
        <v>No</v>
      </c>
      <c r="AY684" s="9" t="str">
        <f t="shared" si="93"/>
        <v>Missing discount treated as 0; Sales mismatch; Profit mismatch</v>
      </c>
      <c r="AZ684" s="9" t="str">
        <f>IF(OR(G684="Missing date",G684="Invalid date",G684="Ship date before order date",NOT(ISNUMBER(AP684)),AP684&lt;0,AP684&gt;0.5,AV684=TRUE,AW684=TRUE),"Invalid",IF(OR(O684="Unknown",Z684="Unknown",AC684="",AH684&lt;&gt;"Paid",AJ684&lt;&gt;"Completed",AO684&lt;&gt;""),"Warning","Clean"))</f>
        <v>Invalid</v>
      </c>
    </row>
    <row r="685" spans="1:52" ht="15.75" customHeight="1">
      <c r="A685" s="6" t="s">
        <v>3311</v>
      </c>
      <c r="B685" s="7" t="s">
        <v>3312</v>
      </c>
      <c r="C685" s="7" t="str">
        <f t="shared" si="92"/>
        <v>2025-07</v>
      </c>
      <c r="D685" s="7" cm="1">
        <f t="array" ref="D685">_xlfn.LET(_xlpm.x,B685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45858</v>
      </c>
      <c r="E685" s="7" t="s">
        <v>1816</v>
      </c>
      <c r="F685" s="7" cm="1">
        <f t="array" ref="F685">_xlfn.LET(_xlpm.x,E685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45862</v>
      </c>
      <c r="G685" s="8" t="str">
        <f t="shared" si="64"/>
        <v>OK</v>
      </c>
      <c r="H685" s="6">
        <f t="shared" si="65"/>
        <v>4</v>
      </c>
      <c r="I685" s="6" t="s">
        <v>3313</v>
      </c>
      <c r="J685" s="6" t="s">
        <v>153</v>
      </c>
      <c r="K685" s="6" t="str">
        <f t="shared" si="66"/>
        <v>Arjun Bose</v>
      </c>
      <c r="L685" s="6" t="s">
        <v>46</v>
      </c>
      <c r="M685" s="8" t="str">
        <f t="shared" si="67"/>
        <v>Small Business</v>
      </c>
      <c r="N685" s="6" t="s">
        <v>10</v>
      </c>
      <c r="O685" s="6" t="str">
        <f t="shared" si="68"/>
        <v>South</v>
      </c>
      <c r="P685" s="6" t="s">
        <v>154</v>
      </c>
      <c r="Q685" s="6" t="str">
        <f t="shared" si="69"/>
        <v>Telangana</v>
      </c>
      <c r="R685" s="6" t="s">
        <v>155</v>
      </c>
      <c r="S685" s="6" t="str">
        <f t="shared" si="70"/>
        <v>Hyderabad</v>
      </c>
      <c r="T685" s="6" t="s">
        <v>14</v>
      </c>
      <c r="U685" s="8" t="str">
        <f t="shared" si="71"/>
        <v>Furniture</v>
      </c>
      <c r="V685" s="6" t="s">
        <v>17</v>
      </c>
      <c r="W685" s="6" t="str">
        <f t="shared" si="72"/>
        <v>Furnishings</v>
      </c>
      <c r="X685" s="6" t="s">
        <v>3314</v>
      </c>
      <c r="Y685" s="6" t="s">
        <v>36</v>
      </c>
      <c r="Z685" s="6" t="str">
        <f t="shared" si="73"/>
        <v>Second Class</v>
      </c>
      <c r="AA685" s="6">
        <v>6</v>
      </c>
      <c r="AB685" s="6">
        <v>1646.45</v>
      </c>
      <c r="AC685" s="6">
        <v>0.2</v>
      </c>
      <c r="AD685" s="6">
        <v>7902.96</v>
      </c>
      <c r="AE685" s="6">
        <v>5512.03</v>
      </c>
      <c r="AF685" s="6">
        <v>2390.9299999999998</v>
      </c>
      <c r="AG685" s="6" t="s">
        <v>56</v>
      </c>
      <c r="AH685" s="6" t="str">
        <f t="shared" si="74"/>
        <v>Refunded</v>
      </c>
      <c r="AI685" s="6" t="s">
        <v>58</v>
      </c>
      <c r="AJ685" s="6" t="str">
        <f t="shared" si="75"/>
        <v>Cancelled</v>
      </c>
      <c r="AK685" s="9" t="str">
        <f>_xlfn.TEXTJOIN("|",FALSE,A685,TEXT(B685,"mm-dd-yyyy"),TEXT(E685,"mm-dd-yyyy"),I685,J685,L685,N685,P685,R685,T685,V685,X685,Y685,AA685,AB685,AC685,AD685,AE685,AF685,AG685,AI685)</f>
        <v>ORD-2025-10684|07-20-2025|24-07-2025|CUST-5704|Arjun Bose|Small Business|South|Telangana|Hyderabad|Furniture|Furnishings|Eco Furnishings 875|Second Class|6|1646.45|0.2|7902.96|5512.03|2390.93|Refunded|Cancelled</v>
      </c>
      <c r="AL685" s="27" t="str">
        <f>IF(COUNTIF($AK$2:AK685,AK685)&gt;1,"Remove exact duplicate copy","Keep")</f>
        <v>Keep</v>
      </c>
      <c r="AM685" s="9">
        <f t="shared" si="76"/>
        <v>1</v>
      </c>
      <c r="AN685" s="9" t="str">
        <f t="shared" si="77"/>
        <v>Unique</v>
      </c>
      <c r="AO685" s="9" t="str">
        <f t="shared" si="78"/>
        <v/>
      </c>
      <c r="AP685" s="9">
        <f t="shared" si="79"/>
        <v>0.2</v>
      </c>
      <c r="AQ685" s="10">
        <f t="shared" si="80"/>
        <v>7902.9600000000009</v>
      </c>
      <c r="AR685" s="10">
        <f t="shared" si="81"/>
        <v>2390.9300000000012</v>
      </c>
      <c r="AS685" s="11">
        <f t="shared" si="82"/>
        <v>0.30253601182341816</v>
      </c>
      <c r="AT685" s="9">
        <f t="shared" si="83"/>
        <v>7</v>
      </c>
      <c r="AU685" s="9">
        <f t="shared" si="84"/>
        <v>2025</v>
      </c>
      <c r="AV685" s="9" t="b">
        <f t="shared" si="85"/>
        <v>0</v>
      </c>
      <c r="AW685" s="9" t="b">
        <f t="shared" si="86"/>
        <v>0</v>
      </c>
      <c r="AX685" s="9" t="str">
        <f t="shared" si="87"/>
        <v>No</v>
      </c>
      <c r="AY685" s="9" t="str">
        <f t="shared" si="93"/>
        <v>Refunded order summarized separately; Cancelled order excluded</v>
      </c>
      <c r="AZ685" s="9" t="str">
        <f>IF(OR(G685="Missing date",G685="Invalid date",G685="Ship date before order date",NOT(ISNUMBER(AP685)),AP685&lt;0,AP685&gt;0.5,AV685=TRUE,AW685=TRUE),"Invalid",IF(OR(O685="Unknown",Z685="Unknown",AC685="",AH685&lt;&gt;"Paid",AJ685&lt;&gt;"Completed",AO685&lt;&gt;""),"Warning","Clean"))</f>
        <v>Warning</v>
      </c>
    </row>
    <row r="686" spans="1:52" ht="15.75" customHeight="1">
      <c r="A686" s="6" t="s">
        <v>3315</v>
      </c>
      <c r="B686" s="7" t="s">
        <v>3316</v>
      </c>
      <c r="C686" s="7" t="str">
        <f t="shared" si="92"/>
        <v>2025-07</v>
      </c>
      <c r="D686" s="7" cm="1">
        <f t="array" ref="D686">_xlfn.LET(_xlpm.x,B686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45859</v>
      </c>
      <c r="E686" s="7" t="s">
        <v>570</v>
      </c>
      <c r="F686" s="7" cm="1">
        <f t="array" ref="F686">_xlfn.LET(_xlpm.x,E686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45859</v>
      </c>
      <c r="G686" s="8" t="str">
        <f t="shared" si="64"/>
        <v>OK</v>
      </c>
      <c r="H686" s="6">
        <f t="shared" si="65"/>
        <v>0</v>
      </c>
      <c r="I686" s="6" t="s">
        <v>3317</v>
      </c>
      <c r="J686" s="6" t="s">
        <v>147</v>
      </c>
      <c r="K686" s="6" t="str">
        <f t="shared" si="66"/>
        <v>Isha Nair</v>
      </c>
      <c r="L686" s="6" t="s">
        <v>44</v>
      </c>
      <c r="M686" s="8" t="str">
        <f t="shared" si="67"/>
        <v>Home Office</v>
      </c>
      <c r="N686" s="6" t="s">
        <v>10</v>
      </c>
      <c r="O686" s="6" t="str">
        <f t="shared" si="68"/>
        <v>South</v>
      </c>
      <c r="P686" s="6" t="s">
        <v>413</v>
      </c>
      <c r="Q686" s="6" t="str">
        <f t="shared" si="69"/>
        <v>Tamil Nadu</v>
      </c>
      <c r="R686" s="6" t="s">
        <v>414</v>
      </c>
      <c r="S686" s="6" t="str">
        <f t="shared" si="70"/>
        <v>Chennai</v>
      </c>
      <c r="T686" s="6" t="s">
        <v>14</v>
      </c>
      <c r="U686" s="8" t="str">
        <f t="shared" si="71"/>
        <v>Furniture</v>
      </c>
      <c r="V686" s="6" t="s">
        <v>15</v>
      </c>
      <c r="W686" s="6" t="str">
        <f t="shared" si="72"/>
        <v>Bookcases</v>
      </c>
      <c r="X686" s="6" t="s">
        <v>3318</v>
      </c>
      <c r="Y686" s="6" t="s">
        <v>35</v>
      </c>
      <c r="Z686" s="6" t="str">
        <f t="shared" si="73"/>
        <v>First Class</v>
      </c>
      <c r="AA686" s="6">
        <v>7</v>
      </c>
      <c r="AB686" s="6">
        <v>4396.6499999999996</v>
      </c>
      <c r="AC686" s="6">
        <v>0.2</v>
      </c>
      <c r="AD686" s="6">
        <v>24621.24</v>
      </c>
      <c r="AE686" s="6">
        <v>17155.48</v>
      </c>
      <c r="AF686" s="6">
        <v>7465.76</v>
      </c>
      <c r="AG686" s="6" t="s">
        <v>56</v>
      </c>
      <c r="AH686" s="6" t="str">
        <f t="shared" si="74"/>
        <v>Refunded</v>
      </c>
      <c r="AI686" s="6" t="s">
        <v>58</v>
      </c>
      <c r="AJ686" s="6" t="str">
        <f t="shared" si="75"/>
        <v>Cancelled</v>
      </c>
      <c r="AK686" s="9" t="str">
        <f>_xlfn.TEXTJOIN("|",FALSE,A686,TEXT(B686,"mm-dd-yyyy"),TEXT(E686,"mm-dd-yyyy"),I686,J686,L686,N686,P686,R686,T686,V686,X686,Y686,AA686,AB686,AC686,AD686,AE686,AF686,AG686,AI686)</f>
        <v>ORD-2025-10685|07-21-2025|21-07-2025|CUST-6738|Isha Nair|Home Office|South|Tamil Nadu|Chennai|Furniture|Bookcases|Prime Bookcases 784|First Class|7|4396.65|0.2|24621.24|17155.48|7465.76|Refunded|Cancelled</v>
      </c>
      <c r="AL686" s="27" t="str">
        <f>IF(COUNTIF($AK$2:AK686,AK686)&gt;1,"Remove exact duplicate copy","Keep")</f>
        <v>Keep</v>
      </c>
      <c r="AM686" s="9">
        <f t="shared" si="76"/>
        <v>1</v>
      </c>
      <c r="AN686" s="9" t="str">
        <f t="shared" si="77"/>
        <v>Unique</v>
      </c>
      <c r="AO686" s="9" t="str">
        <f t="shared" si="78"/>
        <v/>
      </c>
      <c r="AP686" s="9">
        <f t="shared" si="79"/>
        <v>0.2</v>
      </c>
      <c r="AQ686" s="10">
        <f t="shared" si="80"/>
        <v>24621.239999999998</v>
      </c>
      <c r="AR686" s="10">
        <f t="shared" si="81"/>
        <v>7465.7599999999984</v>
      </c>
      <c r="AS686" s="11">
        <f t="shared" si="82"/>
        <v>0.3032243705028666</v>
      </c>
      <c r="AT686" s="9">
        <f t="shared" si="83"/>
        <v>7</v>
      </c>
      <c r="AU686" s="9">
        <f t="shared" si="84"/>
        <v>2025</v>
      </c>
      <c r="AV686" s="9" t="b">
        <f t="shared" si="85"/>
        <v>0</v>
      </c>
      <c r="AW686" s="9" t="b">
        <f t="shared" si="86"/>
        <v>0</v>
      </c>
      <c r="AX686" s="9" t="str">
        <f t="shared" si="87"/>
        <v>No</v>
      </c>
      <c r="AY686" s="9" t="str">
        <f t="shared" si="93"/>
        <v>Refunded order summarized separately; Cancelled order excluded</v>
      </c>
      <c r="AZ686" s="9" t="str">
        <f>IF(OR(G686="Missing date",G686="Invalid date",G686="Ship date before order date",NOT(ISNUMBER(AP686)),AP686&lt;0,AP686&gt;0.5,AV686=TRUE,AW686=TRUE),"Invalid",IF(OR(O686="Unknown",Z686="Unknown",AC686="",AH686&lt;&gt;"Paid",AJ686&lt;&gt;"Completed",AO686&lt;&gt;""),"Warning","Clean"))</f>
        <v>Warning</v>
      </c>
    </row>
    <row r="687" spans="1:52" ht="15.75" customHeight="1">
      <c r="A687" s="6" t="s">
        <v>3319</v>
      </c>
      <c r="B687" s="7" t="s">
        <v>3320</v>
      </c>
      <c r="C687" s="7" t="str">
        <f t="shared" si="92"/>
        <v>2025-10</v>
      </c>
      <c r="D687" s="7" cm="1">
        <f t="array" ref="D687">_xlfn.LET(_xlpm.x,B687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45931</v>
      </c>
      <c r="E687" s="7" t="s">
        <v>575</v>
      </c>
      <c r="F687" s="7" cm="1">
        <f t="array" ref="F687">_xlfn.LET(_xlpm.x,E687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45933</v>
      </c>
      <c r="G687" s="8" t="str">
        <f t="shared" si="64"/>
        <v>OK</v>
      </c>
      <c r="H687" s="6">
        <f t="shared" si="65"/>
        <v>2</v>
      </c>
      <c r="I687" s="6" t="s">
        <v>2827</v>
      </c>
      <c r="J687" s="6" t="s">
        <v>177</v>
      </c>
      <c r="K687" s="6" t="str">
        <f t="shared" si="66"/>
        <v>Neha Gupta</v>
      </c>
      <c r="L687" s="6" t="s">
        <v>45</v>
      </c>
      <c r="M687" s="8" t="str">
        <f t="shared" si="67"/>
        <v>Corporate</v>
      </c>
      <c r="N687" s="6" t="s">
        <v>9</v>
      </c>
      <c r="O687" s="6" t="str">
        <f t="shared" si="68"/>
        <v>West</v>
      </c>
      <c r="P687" s="6" t="s">
        <v>323</v>
      </c>
      <c r="Q687" s="6" t="str">
        <f t="shared" si="69"/>
        <v>Goa</v>
      </c>
      <c r="R687" s="6" t="s">
        <v>324</v>
      </c>
      <c r="S687" s="6" t="str">
        <f t="shared" si="70"/>
        <v>Panaji</v>
      </c>
      <c r="T687" s="6" t="s">
        <v>20</v>
      </c>
      <c r="U687" s="8" t="str">
        <f t="shared" si="71"/>
        <v>Office Supplies</v>
      </c>
      <c r="V687" s="6" t="s">
        <v>21</v>
      </c>
      <c r="W687" s="6" t="str">
        <f t="shared" si="72"/>
        <v>Art</v>
      </c>
      <c r="X687" s="6" t="s">
        <v>3321</v>
      </c>
      <c r="Y687" s="6" t="s">
        <v>34</v>
      </c>
      <c r="Z687" s="6" t="str">
        <f t="shared" si="73"/>
        <v>Standard Class</v>
      </c>
      <c r="AA687" s="6">
        <v>9</v>
      </c>
      <c r="AB687" s="6">
        <v>818.15</v>
      </c>
      <c r="AC687" s="6">
        <v>0.55000000000000004</v>
      </c>
      <c r="AD687" s="6">
        <v>6627.01</v>
      </c>
      <c r="AE687" s="6">
        <v>5606.79</v>
      </c>
      <c r="AF687" s="6">
        <v>1020.22</v>
      </c>
      <c r="AG687" s="6" t="s">
        <v>50</v>
      </c>
      <c r="AH687" s="6" t="str">
        <f t="shared" si="74"/>
        <v>Failed</v>
      </c>
      <c r="AI687" s="6" t="s">
        <v>58</v>
      </c>
      <c r="AJ687" s="6" t="str">
        <f t="shared" si="75"/>
        <v>Cancelled</v>
      </c>
      <c r="AK687" s="9" t="str">
        <f>_xlfn.TEXTJOIN("|",FALSE,A687,TEXT(B687,"mm-dd-yyyy"),TEXT(E687,"mm-dd-yyyy"),I687,J687,L687,N687,P687,R687,T687,V687,X687,Y687,AA687,AB687,AC687,AD687,AE687,AF687,AG687,AI687)</f>
        <v>ORD-2025-10686|10-01-2025|10-03-2025|CUST-2586|Neha Gupta|Corporate|West|Goa|Panaji|Office Supplies|Art|Classic Art 380|Standard Class|9|818.15|0.55|6627.01|5606.79|1020.22|Failed|Cancelled</v>
      </c>
      <c r="AL687" s="27" t="str">
        <f>IF(COUNTIF($AK$2:AK687,AK687)&gt;1,"Remove exact duplicate copy","Keep")</f>
        <v>Keep</v>
      </c>
      <c r="AM687" s="9">
        <f t="shared" si="76"/>
        <v>1</v>
      </c>
      <c r="AN687" s="9" t="str">
        <f t="shared" si="77"/>
        <v>Unique</v>
      </c>
      <c r="AO687" s="9" t="str">
        <f t="shared" si="78"/>
        <v/>
      </c>
      <c r="AP687" s="9">
        <f t="shared" si="79"/>
        <v>0.55000000000000004</v>
      </c>
      <c r="AQ687" s="10">
        <f t="shared" si="80"/>
        <v>3313.5074999999993</v>
      </c>
      <c r="AR687" s="10">
        <f t="shared" si="81"/>
        <v>-2293.2825000000007</v>
      </c>
      <c r="AS687" s="11">
        <f t="shared" si="82"/>
        <v>-0.69210119488185895</v>
      </c>
      <c r="AT687" s="9">
        <f t="shared" si="83"/>
        <v>10</v>
      </c>
      <c r="AU687" s="9">
        <f t="shared" si="84"/>
        <v>2025</v>
      </c>
      <c r="AV687" s="9" t="b">
        <f t="shared" si="85"/>
        <v>1</v>
      </c>
      <c r="AW687" s="9" t="b">
        <f t="shared" si="86"/>
        <v>1</v>
      </c>
      <c r="AX687" s="9" t="str">
        <f t="shared" si="87"/>
        <v>No</v>
      </c>
      <c r="AY687" s="9" t="str">
        <f t="shared" si="93"/>
        <v>Discount above 50%; Failed payment excluded; Cancelled order excluded; Sales mismatch; Profit mismatch</v>
      </c>
      <c r="AZ687" s="9" t="str">
        <f>IF(OR(G687="Missing date",G687="Invalid date",G687="Ship date before order date",NOT(ISNUMBER(AP687)),AP687&lt;0,AP687&gt;0.5,AV687=TRUE,AW687=TRUE),"Invalid",IF(OR(O687="Unknown",Z687="Unknown",AC687="",AH687&lt;&gt;"Paid",AJ687&lt;&gt;"Completed",AO687&lt;&gt;""),"Warning","Clean"))</f>
        <v>Invalid</v>
      </c>
    </row>
    <row r="688" spans="1:52" ht="15.75" customHeight="1">
      <c r="A688" s="6" t="s">
        <v>3322</v>
      </c>
      <c r="B688" s="7" t="s">
        <v>3323</v>
      </c>
      <c r="C688" s="7" t="str">
        <f t="shared" si="92"/>
        <v>2024-03</v>
      </c>
      <c r="D688" s="7" cm="1">
        <f t="array" ref="D688">_xlfn.LET(_xlpm.x,B688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45376</v>
      </c>
      <c r="E688" s="7" t="s">
        <v>2260</v>
      </c>
      <c r="F688" s="7" cm="1">
        <f t="array" ref="F688">_xlfn.LET(_xlpm.x,E688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45384</v>
      </c>
      <c r="G688" s="8" t="str">
        <f t="shared" si="64"/>
        <v>OK</v>
      </c>
      <c r="H688" s="6">
        <f t="shared" si="65"/>
        <v>8</v>
      </c>
      <c r="I688" s="6" t="s">
        <v>3324</v>
      </c>
      <c r="J688" s="6" t="s">
        <v>245</v>
      </c>
      <c r="K688" s="6" t="str">
        <f t="shared" si="66"/>
        <v>Sneha Kapoor</v>
      </c>
      <c r="L688" s="6" t="s">
        <v>44</v>
      </c>
      <c r="M688" s="8" t="str">
        <f t="shared" si="67"/>
        <v>Home Office</v>
      </c>
      <c r="N688" s="6" t="s">
        <v>10</v>
      </c>
      <c r="O688" s="6" t="str">
        <f t="shared" si="68"/>
        <v>South</v>
      </c>
      <c r="P688" s="6" t="s">
        <v>413</v>
      </c>
      <c r="Q688" s="6" t="str">
        <f t="shared" si="69"/>
        <v>Tamil Nadu</v>
      </c>
      <c r="R688" s="6" t="s">
        <v>414</v>
      </c>
      <c r="S688" s="6" t="str">
        <f t="shared" si="70"/>
        <v>Chennai</v>
      </c>
      <c r="T688" s="6" t="s">
        <v>27</v>
      </c>
      <c r="U688" s="8" t="str">
        <f t="shared" si="71"/>
        <v>Technology</v>
      </c>
      <c r="V688" s="6" t="s">
        <v>29</v>
      </c>
      <c r="W688" s="6" t="str">
        <f t="shared" si="72"/>
        <v>Copiers</v>
      </c>
      <c r="X688" s="6" t="s">
        <v>3325</v>
      </c>
      <c r="Y688" s="6" t="s">
        <v>34</v>
      </c>
      <c r="Z688" s="6" t="str">
        <f t="shared" si="73"/>
        <v>Standard Class</v>
      </c>
      <c r="AA688" s="6">
        <v>2</v>
      </c>
      <c r="AB688" s="6">
        <v>2349.13</v>
      </c>
      <c r="AC688" s="6">
        <v>0</v>
      </c>
      <c r="AD688" s="6">
        <v>4698.26</v>
      </c>
      <c r="AE688" s="6">
        <v>2654.92</v>
      </c>
      <c r="AF688" s="6">
        <v>2043.34</v>
      </c>
      <c r="AG688" s="6" t="s">
        <v>52</v>
      </c>
      <c r="AH688" s="6" t="str">
        <f t="shared" si="74"/>
        <v>Paid</v>
      </c>
      <c r="AI688" s="6" t="s">
        <v>134</v>
      </c>
      <c r="AJ688" s="6" t="str">
        <f t="shared" si="75"/>
        <v>Completed</v>
      </c>
      <c r="AK688" s="9" t="str">
        <f>_xlfn.TEXTJOIN("|",FALSE,A688,TEXT(B688,"mm-dd-yyyy"),TEXT(E688,"mm-dd-yyyy"),I688,J688,L688,N688,P688,R688,T688,V688,X688,Y688,AA688,AB688,AC688,AD688,AE688,AF688,AG688,AI688)</f>
        <v>ORD-2024-10687|25-03-2024|04-02-2024|CUST-3127|Sneha Kapoor|Home Office|South|Tamil Nadu|Chennai|Technology|Copiers|Pro Copiers 502|Standard Class|2|2349.13|0|4698.26|2654.92|2043.34|Paid|Completed</v>
      </c>
      <c r="AL688" s="27" t="str">
        <f>IF(COUNTIF($AK$2:AK688,AK688)&gt;1,"Remove exact duplicate copy","Keep")</f>
        <v>Keep</v>
      </c>
      <c r="AM688" s="9">
        <f t="shared" si="76"/>
        <v>1</v>
      </c>
      <c r="AN688" s="9" t="str">
        <f t="shared" si="77"/>
        <v>Unique</v>
      </c>
      <c r="AO688" s="9" t="str">
        <f t="shared" si="78"/>
        <v/>
      </c>
      <c r="AP688" s="9">
        <f t="shared" si="79"/>
        <v>0</v>
      </c>
      <c r="AQ688" s="10">
        <f t="shared" si="80"/>
        <v>4698.26</v>
      </c>
      <c r="AR688" s="10">
        <f t="shared" si="81"/>
        <v>2043.3400000000001</v>
      </c>
      <c r="AS688" s="11">
        <f t="shared" si="82"/>
        <v>0.43491420227914163</v>
      </c>
      <c r="AT688" s="9">
        <f t="shared" si="83"/>
        <v>3</v>
      </c>
      <c r="AU688" s="9">
        <f t="shared" si="84"/>
        <v>2024</v>
      </c>
      <c r="AV688" s="9" t="b">
        <f t="shared" si="85"/>
        <v>0</v>
      </c>
      <c r="AW688" s="9" t="b">
        <f t="shared" si="86"/>
        <v>0</v>
      </c>
      <c r="AX688" s="9" t="str">
        <f t="shared" si="87"/>
        <v>Yes</v>
      </c>
      <c r="AY688" s="9" t="str">
        <f t="shared" si="93"/>
        <v/>
      </c>
      <c r="AZ688" s="9" t="str">
        <f>IF(OR(G688="Missing date",G688="Invalid date",G688="Ship date before order date",NOT(ISNUMBER(AP688)),AP688&lt;0,AP688&gt;0.5,AV688=TRUE,AW688=TRUE),"Invalid",IF(OR(O688="Unknown",Z688="Unknown",AC688="",AH688&lt;&gt;"Paid",AJ688&lt;&gt;"Completed",AO688&lt;&gt;""),"Warning","Clean"))</f>
        <v>Clean</v>
      </c>
    </row>
    <row r="689" spans="1:52" ht="15.75" customHeight="1">
      <c r="A689" s="6" t="s">
        <v>3326</v>
      </c>
      <c r="B689" s="7" t="s">
        <v>1276</v>
      </c>
      <c r="C689" s="7" t="str">
        <f t="shared" si="92"/>
        <v>2025-10</v>
      </c>
      <c r="D689" s="7" cm="1">
        <f t="array" ref="D689">_xlfn.LET(_xlpm.x,B689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45938</v>
      </c>
      <c r="E689" s="7" t="s">
        <v>3327</v>
      </c>
      <c r="F689" s="7" cm="1">
        <f t="array" ref="F689">_xlfn.LET(_xlpm.x,E689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45943</v>
      </c>
      <c r="G689" s="8" t="str">
        <f t="shared" si="64"/>
        <v>OK</v>
      </c>
      <c r="H689" s="6">
        <f t="shared" si="65"/>
        <v>5</v>
      </c>
      <c r="I689" s="6" t="s">
        <v>3328</v>
      </c>
      <c r="J689" s="6" t="s">
        <v>139</v>
      </c>
      <c r="K689" s="6" t="str">
        <f t="shared" si="66"/>
        <v>Mira Das</v>
      </c>
      <c r="L689" s="6" t="s">
        <v>44</v>
      </c>
      <c r="M689" s="8" t="str">
        <f t="shared" si="67"/>
        <v>Home Office</v>
      </c>
      <c r="N689" s="6" t="s">
        <v>7</v>
      </c>
      <c r="O689" s="6" t="str">
        <f t="shared" si="68"/>
        <v>North</v>
      </c>
      <c r="P689" s="6" t="s">
        <v>232</v>
      </c>
      <c r="Q689" s="6" t="str">
        <f t="shared" si="69"/>
        <v>Punjab</v>
      </c>
      <c r="R689" s="6" t="s">
        <v>233</v>
      </c>
      <c r="S689" s="6" t="str">
        <f t="shared" si="70"/>
        <v>Ludhiana</v>
      </c>
      <c r="T689" s="6" t="s">
        <v>14</v>
      </c>
      <c r="U689" s="8" t="str">
        <f t="shared" si="71"/>
        <v>Furniture</v>
      </c>
      <c r="V689" s="6" t="s">
        <v>18</v>
      </c>
      <c r="W689" s="6" t="str">
        <f t="shared" si="72"/>
        <v>Tables</v>
      </c>
      <c r="X689" s="6" t="s">
        <v>3329</v>
      </c>
      <c r="Y689" s="6" t="s">
        <v>35</v>
      </c>
      <c r="Z689" s="6" t="str">
        <f t="shared" si="73"/>
        <v>First Class</v>
      </c>
      <c r="AA689" s="6">
        <v>4</v>
      </c>
      <c r="AB689" s="6">
        <v>172.05</v>
      </c>
      <c r="AC689" s="6">
        <v>0</v>
      </c>
      <c r="AD689" s="6">
        <v>688.2</v>
      </c>
      <c r="AE689" s="6">
        <v>497.68</v>
      </c>
      <c r="AF689" s="6">
        <v>190.52</v>
      </c>
      <c r="AG689" s="6" t="s">
        <v>50</v>
      </c>
      <c r="AH689" s="6" t="str">
        <f t="shared" si="74"/>
        <v>Failed</v>
      </c>
      <c r="AI689" s="6" t="s">
        <v>58</v>
      </c>
      <c r="AJ689" s="6" t="str">
        <f t="shared" si="75"/>
        <v>Cancelled</v>
      </c>
      <c r="AK689" s="9" t="str">
        <f>_xlfn.TEXTJOIN("|",FALSE,A689,TEXT(B689,"mm-dd-yyyy"),TEXT(E689,"mm-dd-yyyy"),I689,J689,L689,N689,P689,R689,T689,V689,X689,Y689,AA689,AB689,AC689,AD689,AE689,AF689,AG689,AI689)</f>
        <v>ORD-2025-10688|10-08-2025|13-10-2025|CUST-9347|Mira Das|Home Office|North|Punjab|Ludhiana|Furniture|Tables|Prime Tables 604|First Class|4|172.05|0|688.2|497.68|190.52|Failed|Cancelled</v>
      </c>
      <c r="AL689" s="27" t="str">
        <f>IF(COUNTIF($AK$2:AK689,AK689)&gt;1,"Remove exact duplicate copy","Keep")</f>
        <v>Keep</v>
      </c>
      <c r="AM689" s="9">
        <f t="shared" si="76"/>
        <v>1</v>
      </c>
      <c r="AN689" s="9" t="str">
        <f t="shared" si="77"/>
        <v>Unique</v>
      </c>
      <c r="AO689" s="9" t="str">
        <f t="shared" si="78"/>
        <v/>
      </c>
      <c r="AP689" s="9">
        <f t="shared" si="79"/>
        <v>0</v>
      </c>
      <c r="AQ689" s="10">
        <f t="shared" si="80"/>
        <v>688.2</v>
      </c>
      <c r="AR689" s="10">
        <f t="shared" si="81"/>
        <v>190.52000000000004</v>
      </c>
      <c r="AS689" s="11">
        <f t="shared" si="82"/>
        <v>0.27683812845103173</v>
      </c>
      <c r="AT689" s="9">
        <f t="shared" si="83"/>
        <v>10</v>
      </c>
      <c r="AU689" s="9">
        <f t="shared" si="84"/>
        <v>2025</v>
      </c>
      <c r="AV689" s="9" t="b">
        <f t="shared" si="85"/>
        <v>0</v>
      </c>
      <c r="AW689" s="9" t="b">
        <f t="shared" si="86"/>
        <v>0</v>
      </c>
      <c r="AX689" s="9" t="str">
        <f t="shared" si="87"/>
        <v>No</v>
      </c>
      <c r="AY689" s="9" t="str">
        <f t="shared" si="93"/>
        <v>Failed payment excluded; Cancelled order excluded</v>
      </c>
      <c r="AZ689" s="9" t="str">
        <f>IF(OR(G689="Missing date",G689="Invalid date",G689="Ship date before order date",NOT(ISNUMBER(AP689)),AP689&lt;0,AP689&gt;0.5,AV689=TRUE,AW689=TRUE),"Invalid",IF(OR(O689="Unknown",Z689="Unknown",AC689="",AH689&lt;&gt;"Paid",AJ689&lt;&gt;"Completed",AO689&lt;&gt;""),"Warning","Clean"))</f>
        <v>Warning</v>
      </c>
    </row>
    <row r="690" spans="1:52" ht="15.75" customHeight="1">
      <c r="A690" s="6" t="s">
        <v>3330</v>
      </c>
      <c r="B690" s="7" t="s">
        <v>1247</v>
      </c>
      <c r="C690" s="7" t="str">
        <f t="shared" si="92"/>
        <v>2025-02</v>
      </c>
      <c r="D690" s="7" cm="1">
        <f t="array" ref="D690">_xlfn.LET(_xlpm.x,B690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45714</v>
      </c>
      <c r="E690" s="7" t="s">
        <v>3331</v>
      </c>
      <c r="F690" s="7" cm="1">
        <f t="array" ref="F690">_xlfn.LET(_xlpm.x,E690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45715</v>
      </c>
      <c r="G690" s="8" t="str">
        <f t="shared" si="64"/>
        <v>OK</v>
      </c>
      <c r="H690" s="6">
        <f t="shared" si="65"/>
        <v>1</v>
      </c>
      <c r="I690" s="6" t="s">
        <v>3332</v>
      </c>
      <c r="J690" s="6" t="s">
        <v>177</v>
      </c>
      <c r="K690" s="6" t="str">
        <f t="shared" si="66"/>
        <v>Neha Gupta</v>
      </c>
      <c r="L690" s="6" t="s">
        <v>44</v>
      </c>
      <c r="M690" s="8" t="str">
        <f t="shared" si="67"/>
        <v>Home Office</v>
      </c>
      <c r="N690" s="6" t="s">
        <v>7</v>
      </c>
      <c r="O690" s="6" t="str">
        <f t="shared" si="68"/>
        <v>North</v>
      </c>
      <c r="P690" s="6" t="s">
        <v>397</v>
      </c>
      <c r="Q690" s="6" t="str">
        <f t="shared" si="69"/>
        <v>Haryana</v>
      </c>
      <c r="R690" s="6" t="s">
        <v>398</v>
      </c>
      <c r="S690" s="6" t="str">
        <f t="shared" si="70"/>
        <v>Gurugram</v>
      </c>
      <c r="T690" s="6" t="s">
        <v>20</v>
      </c>
      <c r="U690" s="8" t="str">
        <f t="shared" si="71"/>
        <v>Office Supplies</v>
      </c>
      <c r="V690" s="6" t="s">
        <v>21</v>
      </c>
      <c r="W690" s="6" t="str">
        <f t="shared" si="72"/>
        <v>Art</v>
      </c>
      <c r="X690" s="6" t="s">
        <v>3333</v>
      </c>
      <c r="Y690" s="6" t="s">
        <v>36</v>
      </c>
      <c r="Z690" s="6" t="str">
        <f t="shared" si="73"/>
        <v>Second Class</v>
      </c>
      <c r="AA690" s="6">
        <v>6</v>
      </c>
      <c r="AB690" s="6">
        <v>3037.66</v>
      </c>
      <c r="AC690" s="6">
        <v>0.15</v>
      </c>
      <c r="AD690" s="6">
        <v>15492.07</v>
      </c>
      <c r="AE690" s="6">
        <v>12581.23</v>
      </c>
      <c r="AF690" s="6">
        <v>2910.84</v>
      </c>
      <c r="AG690" s="6" t="s">
        <v>52</v>
      </c>
      <c r="AH690" s="6" t="str">
        <f t="shared" si="74"/>
        <v>Paid</v>
      </c>
      <c r="AI690" s="6" t="s">
        <v>134</v>
      </c>
      <c r="AJ690" s="6" t="str">
        <f t="shared" si="75"/>
        <v>Completed</v>
      </c>
      <c r="AK690" s="9" t="str">
        <f>_xlfn.TEXTJOIN("|",FALSE,A690,TEXT(B690,"mm-dd-yyyy"),TEXT(E690,"mm-dd-yyyy"),I690,J690,L690,N690,P690,R690,T690,V690,X690,Y690,AA690,AB690,AC690,AD690,AE690,AF690,AG690,AI690)</f>
        <v>ORD-2025-10689|02-26-2025|02-27-2025|CUST-8575|Neha Gupta|Home Office|North|Haryana|Gurugram|Office Supplies|Art|Basic Art 798|Second Class|6|3037.66|0.15|15492.07|12581.23|2910.84|Paid|Completed</v>
      </c>
      <c r="AL690" s="27" t="str">
        <f>IF(COUNTIF($AK$2:AK690,AK690)&gt;1,"Remove exact duplicate copy","Keep")</f>
        <v>Keep</v>
      </c>
      <c r="AM690" s="9">
        <f t="shared" si="76"/>
        <v>1</v>
      </c>
      <c r="AN690" s="9" t="str">
        <f t="shared" si="77"/>
        <v>Unique</v>
      </c>
      <c r="AO690" s="9" t="str">
        <f t="shared" si="78"/>
        <v/>
      </c>
      <c r="AP690" s="9">
        <f t="shared" si="79"/>
        <v>0.15</v>
      </c>
      <c r="AQ690" s="10">
        <f t="shared" si="80"/>
        <v>15492.065999999999</v>
      </c>
      <c r="AR690" s="10">
        <f t="shared" si="81"/>
        <v>2910.8359999999993</v>
      </c>
      <c r="AS690" s="11">
        <f t="shared" si="82"/>
        <v>0.18789204745190213</v>
      </c>
      <c r="AT690" s="9">
        <f t="shared" si="83"/>
        <v>2</v>
      </c>
      <c r="AU690" s="9">
        <f t="shared" si="84"/>
        <v>2025</v>
      </c>
      <c r="AV690" s="9" t="b">
        <f t="shared" si="85"/>
        <v>0</v>
      </c>
      <c r="AW690" s="9" t="b">
        <f t="shared" si="86"/>
        <v>0</v>
      </c>
      <c r="AX690" s="9" t="str">
        <f t="shared" si="87"/>
        <v>Yes</v>
      </c>
      <c r="AY690" s="9" t="str">
        <f t="shared" si="93"/>
        <v/>
      </c>
      <c r="AZ690" s="9" t="str">
        <f>IF(OR(G690="Missing date",G690="Invalid date",G690="Ship date before order date",NOT(ISNUMBER(AP690)),AP690&lt;0,AP690&gt;0.5,AV690=TRUE,AW690=TRUE),"Invalid",IF(OR(O690="Unknown",Z690="Unknown",AC690="",AH690&lt;&gt;"Paid",AJ690&lt;&gt;"Completed",AO690&lt;&gt;""),"Warning","Clean"))</f>
        <v>Clean</v>
      </c>
    </row>
    <row r="691" spans="1:52" ht="15.75" customHeight="1">
      <c r="A691" s="6" t="s">
        <v>3334</v>
      </c>
      <c r="B691" s="7" t="s">
        <v>3335</v>
      </c>
      <c r="C691" s="7" t="str">
        <f t="shared" si="92"/>
        <v>2024-10</v>
      </c>
      <c r="D691" s="7" cm="1">
        <f t="array" ref="D691">_xlfn.LET(_xlpm.x,B691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45570</v>
      </c>
      <c r="E691" s="7" t="s">
        <v>3336</v>
      </c>
      <c r="F691" s="7" cm="1">
        <f t="array" ref="F691">_xlfn.LET(_xlpm.x,E691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45571</v>
      </c>
      <c r="G691" s="8" t="str">
        <f t="shared" si="64"/>
        <v>OK</v>
      </c>
      <c r="H691" s="6">
        <f t="shared" si="65"/>
        <v>1</v>
      </c>
      <c r="I691" s="6" t="s">
        <v>3337</v>
      </c>
      <c r="J691" s="6" t="s">
        <v>257</v>
      </c>
      <c r="K691" s="6" t="str">
        <f t="shared" si="66"/>
        <v>Rohan Mehta</v>
      </c>
      <c r="L691" s="6" t="s">
        <v>46</v>
      </c>
      <c r="M691" s="8" t="str">
        <f t="shared" si="67"/>
        <v>Small Business</v>
      </c>
      <c r="N691" s="6" t="s">
        <v>7</v>
      </c>
      <c r="O691" s="6" t="str">
        <f t="shared" si="68"/>
        <v>North</v>
      </c>
      <c r="P691" s="6" t="s">
        <v>232</v>
      </c>
      <c r="Q691" s="6" t="str">
        <f t="shared" si="69"/>
        <v>Punjab</v>
      </c>
      <c r="R691" s="6" t="s">
        <v>233</v>
      </c>
      <c r="S691" s="6" t="str">
        <f t="shared" si="70"/>
        <v>Ludhiana</v>
      </c>
      <c r="T691" s="6" t="s">
        <v>14</v>
      </c>
      <c r="U691" s="8" t="str">
        <f t="shared" si="71"/>
        <v>Furniture</v>
      </c>
      <c r="V691" s="6" t="s">
        <v>18</v>
      </c>
      <c r="W691" s="6" t="str">
        <f t="shared" si="72"/>
        <v>Tables</v>
      </c>
      <c r="X691" s="6" t="s">
        <v>3338</v>
      </c>
      <c r="Y691" s="6" t="s">
        <v>34</v>
      </c>
      <c r="Z691" s="6" t="str">
        <f t="shared" si="73"/>
        <v>Standard Class</v>
      </c>
      <c r="AA691" s="6">
        <v>9</v>
      </c>
      <c r="AB691" s="6">
        <v>489.58</v>
      </c>
      <c r="AC691" s="6">
        <v>0.15</v>
      </c>
      <c r="AD691" s="6">
        <v>3745.29</v>
      </c>
      <c r="AE691" s="6">
        <v>2302.65</v>
      </c>
      <c r="AF691" s="6">
        <v>1442.64</v>
      </c>
      <c r="AG691" s="6" t="s">
        <v>50</v>
      </c>
      <c r="AH691" s="6" t="str">
        <f t="shared" si="74"/>
        <v>Failed</v>
      </c>
      <c r="AI691" s="6" t="s">
        <v>58</v>
      </c>
      <c r="AJ691" s="6" t="str">
        <f t="shared" si="75"/>
        <v>Cancelled</v>
      </c>
      <c r="AK691" s="9" t="str">
        <f>_xlfn.TEXTJOIN("|",FALSE,A691,TEXT(B691,"mm-dd-yyyy"),TEXT(E691,"mm-dd-yyyy"),I691,J691,L691,N691,P691,R691,T691,V691,X691,Y691,AA691,AB691,AC691,AD691,AE691,AF691,AG691,AI691)</f>
        <v>ORD-2024-10690|05-10-2024|10-06-2024|CUST-4382|Rohan Mehta|Small Business|North|Punjab|Ludhiana|Furniture|Tables|Elite Tables 717|Standard Class|9|489.58|0.15|3745.29|2302.65|1442.64|Failed|Cancelled</v>
      </c>
      <c r="AL691" s="27" t="str">
        <f>IF(COUNTIF($AK$2:AK691,AK691)&gt;1,"Remove exact duplicate copy","Keep")</f>
        <v>Keep</v>
      </c>
      <c r="AM691" s="9">
        <f t="shared" si="76"/>
        <v>1</v>
      </c>
      <c r="AN691" s="9" t="str">
        <f t="shared" si="77"/>
        <v>Unique</v>
      </c>
      <c r="AO691" s="9" t="str">
        <f t="shared" si="78"/>
        <v/>
      </c>
      <c r="AP691" s="9">
        <f t="shared" si="79"/>
        <v>0.15</v>
      </c>
      <c r="AQ691" s="10">
        <f t="shared" si="80"/>
        <v>3745.2870000000003</v>
      </c>
      <c r="AR691" s="10">
        <f t="shared" si="81"/>
        <v>1442.6370000000002</v>
      </c>
      <c r="AS691" s="11">
        <f t="shared" si="82"/>
        <v>0.38518730340291679</v>
      </c>
      <c r="AT691" s="9">
        <f t="shared" si="83"/>
        <v>10</v>
      </c>
      <c r="AU691" s="9">
        <f t="shared" si="84"/>
        <v>2024</v>
      </c>
      <c r="AV691" s="9" t="b">
        <f t="shared" si="85"/>
        <v>0</v>
      </c>
      <c r="AW691" s="9" t="b">
        <f t="shared" si="86"/>
        <v>0</v>
      </c>
      <c r="AX691" s="9" t="str">
        <f t="shared" si="87"/>
        <v>No</v>
      </c>
      <c r="AY691" s="9" t="str">
        <f t="shared" si="93"/>
        <v>Failed payment excluded; Cancelled order excluded</v>
      </c>
      <c r="AZ691" s="9" t="str">
        <f>IF(OR(G691="Missing date",G691="Invalid date",G691="Ship date before order date",NOT(ISNUMBER(AP691)),AP691&lt;0,AP691&gt;0.5,AV691=TRUE,AW691=TRUE),"Invalid",IF(OR(O691="Unknown",Z691="Unknown",AC691="",AH691&lt;&gt;"Paid",AJ691&lt;&gt;"Completed",AO691&lt;&gt;""),"Warning","Clean"))</f>
        <v>Warning</v>
      </c>
    </row>
    <row r="692" spans="1:52" ht="15.75" customHeight="1">
      <c r="A692" s="6" t="s">
        <v>3339</v>
      </c>
      <c r="B692" s="7" t="s">
        <v>960</v>
      </c>
      <c r="C692" s="7" t="str">
        <f t="shared" si="92"/>
        <v>2024-09</v>
      </c>
      <c r="D692" s="7" cm="1">
        <f t="array" ref="D692">_xlfn.LET(_xlpm.x,B692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45546</v>
      </c>
      <c r="E692" s="7" t="s">
        <v>3340</v>
      </c>
      <c r="F692" s="7" cm="1">
        <f t="array" ref="F692">_xlfn.LET(_xlpm.x,E692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45550</v>
      </c>
      <c r="G692" s="8" t="str">
        <f t="shared" si="64"/>
        <v>OK</v>
      </c>
      <c r="H692" s="6">
        <f t="shared" si="65"/>
        <v>4</v>
      </c>
      <c r="I692" s="6" t="s">
        <v>3341</v>
      </c>
      <c r="J692" s="6" t="s">
        <v>245</v>
      </c>
      <c r="K692" s="6" t="str">
        <f t="shared" si="66"/>
        <v>Sneha Kapoor</v>
      </c>
      <c r="L692" s="6" t="s">
        <v>45</v>
      </c>
      <c r="M692" s="8" t="str">
        <f t="shared" si="67"/>
        <v>Corporate</v>
      </c>
      <c r="N692" s="6" t="s">
        <v>10</v>
      </c>
      <c r="O692" s="6" t="str">
        <f t="shared" si="68"/>
        <v>South</v>
      </c>
      <c r="P692" s="6" t="s">
        <v>413</v>
      </c>
      <c r="Q692" s="6" t="str">
        <f t="shared" si="69"/>
        <v>Tamil Nadu</v>
      </c>
      <c r="R692" s="6" t="s">
        <v>414</v>
      </c>
      <c r="S692" s="6" t="str">
        <f t="shared" si="70"/>
        <v>Chennai</v>
      </c>
      <c r="T692" s="6" t="s">
        <v>20</v>
      </c>
      <c r="U692" s="8" t="str">
        <f t="shared" si="71"/>
        <v>Office Supplies</v>
      </c>
      <c r="V692" s="6" t="s">
        <v>21</v>
      </c>
      <c r="W692" s="6" t="str">
        <f t="shared" si="72"/>
        <v>Art</v>
      </c>
      <c r="X692" s="6" t="s">
        <v>3342</v>
      </c>
      <c r="Y692" s="6" t="s">
        <v>34</v>
      </c>
      <c r="Z692" s="6" t="str">
        <f t="shared" si="73"/>
        <v>Standard Class</v>
      </c>
      <c r="AA692" s="6">
        <v>4</v>
      </c>
      <c r="AB692" s="6">
        <v>865.63</v>
      </c>
      <c r="AC692" s="6">
        <v>0</v>
      </c>
      <c r="AD692" s="6">
        <v>3462.52</v>
      </c>
      <c r="AE692" s="6">
        <v>2797.29</v>
      </c>
      <c r="AF692" s="6">
        <v>665.23</v>
      </c>
      <c r="AG692" s="6" t="s">
        <v>50</v>
      </c>
      <c r="AH692" s="6" t="str">
        <f t="shared" si="74"/>
        <v>Failed</v>
      </c>
      <c r="AI692" s="6" t="s">
        <v>59</v>
      </c>
      <c r="AJ692" s="6" t="str">
        <f t="shared" si="75"/>
        <v>Returned</v>
      </c>
      <c r="AK692" s="9" t="str">
        <f>_xlfn.TEXTJOIN("|",FALSE,A692,TEXT(B692,"mm-dd-yyyy"),TEXT(E692,"mm-dd-yyyy"),I692,J692,L692,N692,P692,R692,T692,V692,X692,Y692,AA692,AB692,AC692,AD692,AE692,AF692,AG692,AI692)</f>
        <v>ORD-2024-10691|09-11-2024|09-15-2024|CUST-6815|Sneha Kapoor|Corporate|South|Tamil Nadu|Chennai|Office Supplies|Art|Max Art 725|Standard Class|4|865.63|0|3462.52|2797.29|665.23|Failed|Returned</v>
      </c>
      <c r="AL692" s="27" t="str">
        <f>IF(COUNTIF($AK$2:AK692,AK692)&gt;1,"Remove exact duplicate copy","Keep")</f>
        <v>Keep</v>
      </c>
      <c r="AM692" s="9">
        <f t="shared" si="76"/>
        <v>1</v>
      </c>
      <c r="AN692" s="9" t="str">
        <f t="shared" si="77"/>
        <v>Unique</v>
      </c>
      <c r="AO692" s="9" t="str">
        <f t="shared" si="78"/>
        <v/>
      </c>
      <c r="AP692" s="9">
        <f t="shared" si="79"/>
        <v>0</v>
      </c>
      <c r="AQ692" s="10">
        <f t="shared" si="80"/>
        <v>3462.52</v>
      </c>
      <c r="AR692" s="10">
        <f t="shared" si="81"/>
        <v>665.23</v>
      </c>
      <c r="AS692" s="11">
        <f t="shared" si="82"/>
        <v>0.19212307798944123</v>
      </c>
      <c r="AT692" s="9">
        <f t="shared" si="83"/>
        <v>9</v>
      </c>
      <c r="AU692" s="9">
        <f t="shared" si="84"/>
        <v>2024</v>
      </c>
      <c r="AV692" s="9" t="b">
        <f t="shared" si="85"/>
        <v>0</v>
      </c>
      <c r="AW692" s="9" t="b">
        <f t="shared" si="86"/>
        <v>0</v>
      </c>
      <c r="AX692" s="9" t="str">
        <f t="shared" si="87"/>
        <v>No</v>
      </c>
      <c r="AY692" s="9" t="str">
        <f t="shared" si="93"/>
        <v>Failed payment excluded; Returned order excluded</v>
      </c>
      <c r="AZ692" s="9" t="str">
        <f>IF(OR(G692="Missing date",G692="Invalid date",G692="Ship date before order date",NOT(ISNUMBER(AP692)),AP692&lt;0,AP692&gt;0.5,AV692=TRUE,AW692=TRUE),"Invalid",IF(OR(O692="Unknown",Z692="Unknown",AC692="",AH692&lt;&gt;"Paid",AJ692&lt;&gt;"Completed",AO692&lt;&gt;""),"Warning","Clean"))</f>
        <v>Warning</v>
      </c>
    </row>
    <row r="693" spans="1:52" ht="15.75" customHeight="1">
      <c r="A693" s="6" t="s">
        <v>3343</v>
      </c>
      <c r="B693" s="7" t="s">
        <v>2553</v>
      </c>
      <c r="C693" s="7" t="str">
        <f t="shared" si="92"/>
        <v>2024-12</v>
      </c>
      <c r="D693" s="7" cm="1">
        <f t="array" ref="D693">_xlfn.LET(_xlpm.x,B693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45641</v>
      </c>
      <c r="E693" s="7" t="s">
        <v>3344</v>
      </c>
      <c r="F693" s="7" cm="1">
        <f t="array" ref="F693">_xlfn.LET(_xlpm.x,E693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45642</v>
      </c>
      <c r="G693" s="8" t="str">
        <f t="shared" si="64"/>
        <v>OK</v>
      </c>
      <c r="H693" s="6">
        <f t="shared" si="65"/>
        <v>1</v>
      </c>
      <c r="I693" s="6" t="s">
        <v>3345</v>
      </c>
      <c r="J693" s="6" t="s">
        <v>257</v>
      </c>
      <c r="K693" s="6" t="str">
        <f t="shared" si="66"/>
        <v>Rohan Mehta</v>
      </c>
      <c r="L693" s="6" t="s">
        <v>43</v>
      </c>
      <c r="M693" s="8" t="str">
        <f t="shared" si="67"/>
        <v>Consumer</v>
      </c>
      <c r="N693" s="6" t="s">
        <v>8</v>
      </c>
      <c r="O693" s="6" t="str">
        <f t="shared" si="68"/>
        <v>East</v>
      </c>
      <c r="P693" s="6" t="s">
        <v>140</v>
      </c>
      <c r="Q693" s="6" t="str">
        <f t="shared" si="69"/>
        <v>Odisha</v>
      </c>
      <c r="R693" s="6" t="s">
        <v>141</v>
      </c>
      <c r="S693" s="6" t="str">
        <f t="shared" si="70"/>
        <v>Bhubaneswar</v>
      </c>
      <c r="T693" s="6" t="s">
        <v>27</v>
      </c>
      <c r="U693" s="8" t="str">
        <f t="shared" si="71"/>
        <v>Technology</v>
      </c>
      <c r="V693" s="6" t="s">
        <v>29</v>
      </c>
      <c r="W693" s="6" t="str">
        <f t="shared" si="72"/>
        <v>Copiers</v>
      </c>
      <c r="X693" s="6" t="s">
        <v>3346</v>
      </c>
      <c r="Y693" s="6" t="s">
        <v>36</v>
      </c>
      <c r="Z693" s="6" t="str">
        <f t="shared" si="73"/>
        <v>Second Class</v>
      </c>
      <c r="AA693" s="6">
        <v>6</v>
      </c>
      <c r="AB693" s="6">
        <v>1538.1</v>
      </c>
      <c r="AC693" s="6">
        <v>0.05</v>
      </c>
      <c r="AD693" s="6">
        <v>8767.17</v>
      </c>
      <c r="AE693" s="6">
        <v>5098.2</v>
      </c>
      <c r="AF693" s="6">
        <v>3668.97</v>
      </c>
      <c r="AG693" s="6" t="s">
        <v>52</v>
      </c>
      <c r="AH693" s="6" t="str">
        <f t="shared" si="74"/>
        <v>Paid</v>
      </c>
      <c r="AI693" s="6" t="s">
        <v>134</v>
      </c>
      <c r="AJ693" s="6" t="str">
        <f t="shared" si="75"/>
        <v>Completed</v>
      </c>
      <c r="AK693" s="9" t="str">
        <f>_xlfn.TEXTJOIN("|",FALSE,A693,TEXT(B693,"mm-dd-yyyy"),TEXT(E693,"mm-dd-yyyy"),I693,J693,L693,N693,P693,R693,T693,V693,X693,Y693,AA693,AB693,AC693,AD693,AE693,AF693,AG693,AI693)</f>
        <v>ORD-2024-10692|15-12-2024|16-12-2024|CUST-7309|Rohan Mehta|Consumer|East|Odisha|Bhubaneswar|Technology|Copiers|Smart Copiers 456|Second Class|6|1538.1|0.05|8767.17|5098.2|3668.97|Paid|Completed</v>
      </c>
      <c r="AL693" s="27" t="str">
        <f>IF(COUNTIF($AK$2:AK693,AK693)&gt;1,"Remove exact duplicate copy","Keep")</f>
        <v>Keep</v>
      </c>
      <c r="AM693" s="9">
        <f t="shared" si="76"/>
        <v>1</v>
      </c>
      <c r="AN693" s="9" t="str">
        <f t="shared" si="77"/>
        <v>Unique</v>
      </c>
      <c r="AO693" s="9" t="str">
        <f t="shared" si="78"/>
        <v/>
      </c>
      <c r="AP693" s="9">
        <f t="shared" si="79"/>
        <v>0.05</v>
      </c>
      <c r="AQ693" s="10">
        <f t="shared" si="80"/>
        <v>8767.1699999999983</v>
      </c>
      <c r="AR693" s="10">
        <f t="shared" si="81"/>
        <v>3668.9699999999984</v>
      </c>
      <c r="AS693" s="11">
        <f t="shared" si="82"/>
        <v>0.41848966085977563</v>
      </c>
      <c r="AT693" s="9">
        <f t="shared" si="83"/>
        <v>12</v>
      </c>
      <c r="AU693" s="9">
        <f t="shared" si="84"/>
        <v>2024</v>
      </c>
      <c r="AV693" s="9" t="b">
        <f t="shared" si="85"/>
        <v>0</v>
      </c>
      <c r="AW693" s="9" t="b">
        <f t="shared" si="86"/>
        <v>0</v>
      </c>
      <c r="AX693" s="9" t="str">
        <f t="shared" si="87"/>
        <v>Yes</v>
      </c>
      <c r="AY693" s="9" t="str">
        <f t="shared" si="93"/>
        <v/>
      </c>
      <c r="AZ693" s="9" t="str">
        <f>IF(OR(G693="Missing date",G693="Invalid date",G693="Ship date before order date",NOT(ISNUMBER(AP693)),AP693&lt;0,AP693&gt;0.5,AV693=TRUE,AW693=TRUE),"Invalid",IF(OR(O693="Unknown",Z693="Unknown",AC693="",AH693&lt;&gt;"Paid",AJ693&lt;&gt;"Completed",AO693&lt;&gt;""),"Warning","Clean"))</f>
        <v>Clean</v>
      </c>
    </row>
    <row r="694" spans="1:52" ht="15.75" customHeight="1">
      <c r="A694" s="6" t="s">
        <v>3347</v>
      </c>
      <c r="B694" s="7" t="s">
        <v>301</v>
      </c>
      <c r="C694" s="7" t="str">
        <f t="shared" si="92"/>
        <v>2025-10</v>
      </c>
      <c r="D694" s="7" cm="1">
        <f t="array" ref="D694">_xlfn.LET(_xlpm.x,B694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45935</v>
      </c>
      <c r="E694" s="7" t="s">
        <v>3348</v>
      </c>
      <c r="F694" s="7" cm="1">
        <f t="array" ref="F694">_xlfn.LET(_xlpm.x,E694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45940</v>
      </c>
      <c r="G694" s="8" t="str">
        <f t="shared" si="64"/>
        <v>OK</v>
      </c>
      <c r="H694" s="6">
        <f t="shared" si="65"/>
        <v>5</v>
      </c>
      <c r="I694" s="6" t="s">
        <v>3349</v>
      </c>
      <c r="J694" s="6" t="s">
        <v>147</v>
      </c>
      <c r="K694" s="6" t="str">
        <f t="shared" si="66"/>
        <v>Isha Nair</v>
      </c>
      <c r="L694" s="6" t="s">
        <v>1868</v>
      </c>
      <c r="M694" s="8" t="str">
        <f t="shared" si="67"/>
        <v>Corporate</v>
      </c>
      <c r="N694" s="6" t="s">
        <v>10</v>
      </c>
      <c r="O694" s="6" t="str">
        <f t="shared" si="68"/>
        <v>South</v>
      </c>
      <c r="P694" s="6" t="s">
        <v>303</v>
      </c>
      <c r="Q694" s="6" t="str">
        <f t="shared" si="69"/>
        <v>Karnataka</v>
      </c>
      <c r="R694" s="6" t="s">
        <v>304</v>
      </c>
      <c r="S694" s="6" t="str">
        <f t="shared" si="70"/>
        <v>Bengaluru</v>
      </c>
      <c r="T694" s="6" t="s">
        <v>14</v>
      </c>
      <c r="U694" s="8" t="str">
        <f t="shared" si="71"/>
        <v>Furniture</v>
      </c>
      <c r="V694" s="6" t="s">
        <v>17</v>
      </c>
      <c r="W694" s="6" t="str">
        <f t="shared" si="72"/>
        <v>Furnishings</v>
      </c>
      <c r="X694" s="6" t="s">
        <v>3350</v>
      </c>
      <c r="Y694" s="6" t="s">
        <v>36</v>
      </c>
      <c r="Z694" s="6" t="str">
        <f t="shared" si="73"/>
        <v>Second Class</v>
      </c>
      <c r="AA694" s="6">
        <v>4</v>
      </c>
      <c r="AB694" s="6">
        <v>2365.6799999999998</v>
      </c>
      <c r="AC694" s="6">
        <v>0.1</v>
      </c>
      <c r="AD694" s="6">
        <v>8516.4500000000007</v>
      </c>
      <c r="AE694" s="6">
        <v>5903.81</v>
      </c>
      <c r="AF694" s="6">
        <v>2612.64</v>
      </c>
      <c r="AG694" s="6" t="s">
        <v>52</v>
      </c>
      <c r="AH694" s="6" t="str">
        <f t="shared" si="74"/>
        <v>Paid</v>
      </c>
      <c r="AI694" s="6" t="s">
        <v>134</v>
      </c>
      <c r="AJ694" s="6" t="str">
        <f t="shared" si="75"/>
        <v>Completed</v>
      </c>
      <c r="AK694" s="9" t="str">
        <f>_xlfn.TEXTJOIN("|",FALSE,A694,TEXT(B694,"mm-dd-yyyy"),TEXT(E694,"mm-dd-yyyy"),I694,J694,L694,N694,P694,R694,T694,V694,X694,Y694,AA694,AB694,AC694,AD694,AE694,AF694,AG694,AI694)</f>
        <v>ORD-2025-10693|05-10-2025|10-10-2025|CUST-9531|Isha Nair|corporate|South|Karnataka|Bengaluru|Furniture|Furnishings|Prime Furnishings 883|Second Class|4|2365.68|0.1|8516.45|5903.81|2612.64|Paid|Completed</v>
      </c>
      <c r="AL694" s="27" t="str">
        <f>IF(COUNTIF($AK$2:AK694,AK694)&gt;1,"Remove exact duplicate copy","Keep")</f>
        <v>Keep</v>
      </c>
      <c r="AM694" s="9">
        <f t="shared" si="76"/>
        <v>1</v>
      </c>
      <c r="AN694" s="9" t="str">
        <f t="shared" si="77"/>
        <v>Unique</v>
      </c>
      <c r="AO694" s="9" t="str">
        <f t="shared" si="78"/>
        <v/>
      </c>
      <c r="AP694" s="9">
        <f t="shared" si="79"/>
        <v>0.1</v>
      </c>
      <c r="AQ694" s="10">
        <f t="shared" si="80"/>
        <v>8516.4480000000003</v>
      </c>
      <c r="AR694" s="10">
        <f t="shared" si="81"/>
        <v>2612.6379999999999</v>
      </c>
      <c r="AS694" s="11">
        <f t="shared" si="82"/>
        <v>0.30677554774009069</v>
      </c>
      <c r="AT694" s="9">
        <f t="shared" si="83"/>
        <v>10</v>
      </c>
      <c r="AU694" s="9">
        <f t="shared" si="84"/>
        <v>2025</v>
      </c>
      <c r="AV694" s="9" t="b">
        <f t="shared" si="85"/>
        <v>0</v>
      </c>
      <c r="AW694" s="9" t="b">
        <f t="shared" si="86"/>
        <v>0</v>
      </c>
      <c r="AX694" s="9" t="str">
        <f t="shared" si="87"/>
        <v>Yes</v>
      </c>
      <c r="AY694" s="9" t="str">
        <f t="shared" si="93"/>
        <v/>
      </c>
      <c r="AZ694" s="9" t="str">
        <f>IF(OR(G694="Missing date",G694="Invalid date",G694="Ship date before order date",NOT(ISNUMBER(AP694)),AP694&lt;0,AP694&gt;0.5,AV694=TRUE,AW694=TRUE),"Invalid",IF(OR(O694="Unknown",Z694="Unknown",AC694="",AH694&lt;&gt;"Paid",AJ694&lt;&gt;"Completed",AO694&lt;&gt;""),"Warning","Clean"))</f>
        <v>Clean</v>
      </c>
    </row>
    <row r="695" spans="1:52" ht="15.75" customHeight="1">
      <c r="A695" s="6" t="s">
        <v>3351</v>
      </c>
      <c r="B695" s="7" t="s">
        <v>3352</v>
      </c>
      <c r="C695" s="7" t="str">
        <f t="shared" si="92"/>
        <v>2025-04</v>
      </c>
      <c r="D695" s="7" cm="1">
        <f t="array" ref="D695">_xlfn.LET(_xlpm.x,B695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45750</v>
      </c>
      <c r="E695" s="7" t="s">
        <v>2591</v>
      </c>
      <c r="F695" s="7" cm="1">
        <f t="array" ref="F695">_xlfn.LET(_xlpm.x,E695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45758</v>
      </c>
      <c r="G695" s="8" t="str">
        <f t="shared" si="64"/>
        <v>OK</v>
      </c>
      <c r="H695" s="6">
        <f t="shared" si="65"/>
        <v>8</v>
      </c>
      <c r="I695" s="6" t="s">
        <v>3353</v>
      </c>
      <c r="J695" s="6" t="s">
        <v>153</v>
      </c>
      <c r="K695" s="6" t="str">
        <f t="shared" si="66"/>
        <v>Arjun Bose</v>
      </c>
      <c r="L695" s="6" t="s">
        <v>43</v>
      </c>
      <c r="M695" s="8" t="str">
        <f t="shared" si="67"/>
        <v>Consumer</v>
      </c>
      <c r="N695" s="6" t="s">
        <v>10</v>
      </c>
      <c r="O695" s="6" t="str">
        <f t="shared" si="68"/>
        <v>South</v>
      </c>
      <c r="P695" s="6" t="s">
        <v>413</v>
      </c>
      <c r="Q695" s="6" t="str">
        <f t="shared" si="69"/>
        <v>Tamil Nadu</v>
      </c>
      <c r="R695" s="6" t="s">
        <v>414</v>
      </c>
      <c r="S695" s="6" t="str">
        <f t="shared" si="70"/>
        <v>Chennai</v>
      </c>
      <c r="T695" s="6" t="s">
        <v>14</v>
      </c>
      <c r="U695" s="8" t="str">
        <f t="shared" si="71"/>
        <v>Furniture</v>
      </c>
      <c r="V695" s="6" t="s">
        <v>15</v>
      </c>
      <c r="W695" s="6" t="str">
        <f t="shared" si="72"/>
        <v>Bookcases</v>
      </c>
      <c r="X695" s="6" t="s">
        <v>3354</v>
      </c>
      <c r="Y695" s="6" t="s">
        <v>36</v>
      </c>
      <c r="Z695" s="6" t="str">
        <f t="shared" si="73"/>
        <v>Second Class</v>
      </c>
      <c r="AA695" s="6">
        <v>3</v>
      </c>
      <c r="AB695" s="6">
        <v>4149.7700000000004</v>
      </c>
      <c r="AC695" s="6">
        <v>0.05</v>
      </c>
      <c r="AD695" s="6">
        <v>11826.84</v>
      </c>
      <c r="AE695" s="6">
        <v>8035.96</v>
      </c>
      <c r="AF695" s="6">
        <v>3790.88</v>
      </c>
      <c r="AG695" s="6" t="s">
        <v>52</v>
      </c>
      <c r="AH695" s="6" t="str">
        <f t="shared" si="74"/>
        <v>Paid</v>
      </c>
      <c r="AI695" s="6" t="s">
        <v>134</v>
      </c>
      <c r="AJ695" s="6" t="str">
        <f t="shared" si="75"/>
        <v>Completed</v>
      </c>
      <c r="AK695" s="9" t="str">
        <f>_xlfn.TEXTJOIN("|",FALSE,A695,TEXT(B695,"mm-dd-yyyy"),TEXT(E695,"mm-dd-yyyy"),I695,J695,L695,N695,P695,R695,T695,V695,X695,Y695,AA695,AB695,AC695,AD695,AE695,AF695,AG695,AI695)</f>
        <v>ORD-2025-10694|03-04-2025|04-11-2025|CUST-6032|Arjun Bose|Consumer|South|Tamil Nadu|Chennai|Furniture|Bookcases|Smart Bookcases 828|Second Class|3|4149.77|0.05|11826.84|8035.96|3790.88|Paid|Completed</v>
      </c>
      <c r="AL695" s="27" t="str">
        <f>IF(COUNTIF($AK$2:AK695,AK695)&gt;1,"Remove exact duplicate copy","Keep")</f>
        <v>Keep</v>
      </c>
      <c r="AM695" s="9">
        <f t="shared" si="76"/>
        <v>1</v>
      </c>
      <c r="AN695" s="9" t="str">
        <f t="shared" si="77"/>
        <v>Unique</v>
      </c>
      <c r="AO695" s="9" t="str">
        <f t="shared" si="78"/>
        <v/>
      </c>
      <c r="AP695" s="9">
        <f t="shared" si="79"/>
        <v>0.05</v>
      </c>
      <c r="AQ695" s="10">
        <f t="shared" si="80"/>
        <v>11826.844500000001</v>
      </c>
      <c r="AR695" s="10">
        <f t="shared" si="81"/>
        <v>3790.884500000001</v>
      </c>
      <c r="AS695" s="11">
        <f t="shared" si="82"/>
        <v>0.32053220112938835</v>
      </c>
      <c r="AT695" s="9">
        <f t="shared" si="83"/>
        <v>4</v>
      </c>
      <c r="AU695" s="9">
        <f t="shared" si="84"/>
        <v>2025</v>
      </c>
      <c r="AV695" s="9" t="b">
        <f t="shared" si="85"/>
        <v>0</v>
      </c>
      <c r="AW695" s="9" t="b">
        <f t="shared" si="86"/>
        <v>0</v>
      </c>
      <c r="AX695" s="9" t="str">
        <f t="shared" si="87"/>
        <v>Yes</v>
      </c>
      <c r="AY695" s="9" t="str">
        <f t="shared" si="93"/>
        <v/>
      </c>
      <c r="AZ695" s="9" t="str">
        <f>IF(OR(G695="Missing date",G695="Invalid date",G695="Ship date before order date",NOT(ISNUMBER(AP695)),AP695&lt;0,AP695&gt;0.5,AV695=TRUE,AW695=TRUE),"Invalid",IF(OR(O695="Unknown",Z695="Unknown",AC695="",AH695&lt;&gt;"Paid",AJ695&lt;&gt;"Completed",AO695&lt;&gt;""),"Warning","Clean"))</f>
        <v>Clean</v>
      </c>
    </row>
    <row r="696" spans="1:52" ht="15.75" customHeight="1">
      <c r="A696" s="6" t="s">
        <v>3355</v>
      </c>
      <c r="B696" s="7" t="s">
        <v>1817</v>
      </c>
      <c r="C696" s="7" t="str">
        <f t="shared" si="92"/>
        <v>2025-08</v>
      </c>
      <c r="D696" s="7" cm="1">
        <f t="array" ref="D696">_xlfn.LET(_xlpm.x,B696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45870</v>
      </c>
      <c r="E696" s="7" t="s">
        <v>3175</v>
      </c>
      <c r="F696" s="7" cm="1">
        <f t="array" ref="F696">_xlfn.LET(_xlpm.x,E696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45878</v>
      </c>
      <c r="G696" s="8" t="str">
        <f t="shared" si="64"/>
        <v>OK</v>
      </c>
      <c r="H696" s="6">
        <f t="shared" si="65"/>
        <v>8</v>
      </c>
      <c r="I696" s="6" t="s">
        <v>1825</v>
      </c>
      <c r="J696" s="6" t="s">
        <v>147</v>
      </c>
      <c r="K696" s="6" t="str">
        <f t="shared" si="66"/>
        <v>Isha Nair</v>
      </c>
      <c r="L696" s="6" t="s">
        <v>43</v>
      </c>
      <c r="M696" s="8" t="str">
        <f t="shared" si="67"/>
        <v>Consumer</v>
      </c>
      <c r="N696" s="6" t="s">
        <v>10</v>
      </c>
      <c r="O696" s="6" t="str">
        <f t="shared" si="68"/>
        <v>South</v>
      </c>
      <c r="P696" s="6" t="s">
        <v>183</v>
      </c>
      <c r="Q696" s="6" t="str">
        <f t="shared" si="69"/>
        <v>Andhra Pradesh</v>
      </c>
      <c r="R696" s="6" t="s">
        <v>184</v>
      </c>
      <c r="S696" s="6" t="str">
        <f t="shared" si="70"/>
        <v>Vijayawada</v>
      </c>
      <c r="T696" s="6" t="s">
        <v>20</v>
      </c>
      <c r="U696" s="8" t="str">
        <f t="shared" si="71"/>
        <v>Office Supplies</v>
      </c>
      <c r="V696" s="6" t="s">
        <v>25</v>
      </c>
      <c r="W696" s="6" t="str">
        <f t="shared" si="72"/>
        <v>Storage</v>
      </c>
      <c r="X696" s="6" t="s">
        <v>3356</v>
      </c>
      <c r="Y696" s="6" t="s">
        <v>35</v>
      </c>
      <c r="Z696" s="6" t="str">
        <f t="shared" si="73"/>
        <v>First Class</v>
      </c>
      <c r="AA696" s="6">
        <v>5</v>
      </c>
      <c r="AB696" s="6">
        <v>2736.24</v>
      </c>
      <c r="AC696" s="6">
        <v>0.15</v>
      </c>
      <c r="AD696" s="6">
        <v>11629.02</v>
      </c>
      <c r="AE696" s="6">
        <v>9627.2099999999991</v>
      </c>
      <c r="AF696" s="6">
        <v>2001.81</v>
      </c>
      <c r="AG696" s="6" t="s">
        <v>52</v>
      </c>
      <c r="AH696" s="6" t="str">
        <f t="shared" si="74"/>
        <v>Paid</v>
      </c>
      <c r="AI696" s="6" t="s">
        <v>134</v>
      </c>
      <c r="AJ696" s="6" t="str">
        <f t="shared" si="75"/>
        <v>Completed</v>
      </c>
      <c r="AK696" s="9" t="str">
        <f>_xlfn.TEXTJOIN("|",FALSE,A696,TEXT(B696,"mm-dd-yyyy"),TEXT(E696,"mm-dd-yyyy"),I696,J696,L696,N696,P696,R696,T696,V696,X696,Y696,AA696,AB696,AC696,AD696,AE696,AF696,AG696,AI696)</f>
        <v>ORD-2025-10695|01-08-2025|09-08-2025|CUST-8025|Isha Nair|Consumer|South|Andhra Pradesh|Vijayawada|Office Supplies|Storage|Classic Storage 291|First Class|5|2736.24|0.15|11629.02|9627.21|2001.81|Paid|Completed</v>
      </c>
      <c r="AL696" s="27" t="str">
        <f>IF(COUNTIF($AK$2:AK696,AK696)&gt;1,"Remove exact duplicate copy","Keep")</f>
        <v>Keep</v>
      </c>
      <c r="AM696" s="9">
        <f t="shared" si="76"/>
        <v>1</v>
      </c>
      <c r="AN696" s="9" t="str">
        <f t="shared" si="77"/>
        <v>Unique</v>
      </c>
      <c r="AO696" s="9" t="str">
        <f t="shared" si="78"/>
        <v/>
      </c>
      <c r="AP696" s="9">
        <f t="shared" si="79"/>
        <v>0.15</v>
      </c>
      <c r="AQ696" s="10">
        <f t="shared" si="80"/>
        <v>11629.019999999999</v>
      </c>
      <c r="AR696" s="10">
        <f t="shared" si="81"/>
        <v>2001.8099999999995</v>
      </c>
      <c r="AS696" s="11">
        <f t="shared" si="82"/>
        <v>0.17213918283741877</v>
      </c>
      <c r="AT696" s="9">
        <f t="shared" si="83"/>
        <v>8</v>
      </c>
      <c r="AU696" s="9">
        <f t="shared" si="84"/>
        <v>2025</v>
      </c>
      <c r="AV696" s="9" t="b">
        <f t="shared" si="85"/>
        <v>0</v>
      </c>
      <c r="AW696" s="9" t="b">
        <f t="shared" si="86"/>
        <v>0</v>
      </c>
      <c r="AX696" s="9" t="str">
        <f t="shared" si="87"/>
        <v>Yes</v>
      </c>
      <c r="AY696" s="9" t="str">
        <f t="shared" si="93"/>
        <v/>
      </c>
      <c r="AZ696" s="9" t="str">
        <f>IF(OR(G696="Missing date",G696="Invalid date",G696="Ship date before order date",NOT(ISNUMBER(AP696)),AP696&lt;0,AP696&gt;0.5,AV696=TRUE,AW696=TRUE),"Invalid",IF(OR(O696="Unknown",Z696="Unknown",AC696="",AH696&lt;&gt;"Paid",AJ696&lt;&gt;"Completed",AO696&lt;&gt;""),"Warning","Clean"))</f>
        <v>Clean</v>
      </c>
    </row>
    <row r="697" spans="1:52" ht="15.75" customHeight="1">
      <c r="A697" s="6" t="s">
        <v>3357</v>
      </c>
      <c r="B697" s="7" t="s">
        <v>3358</v>
      </c>
      <c r="C697" s="7" t="str">
        <f t="shared" si="92"/>
        <v>2024-07</v>
      </c>
      <c r="D697" s="7" cm="1">
        <f t="array" ref="D697">_xlfn.LET(_xlpm.x,B697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45474</v>
      </c>
      <c r="E697" s="7" t="s">
        <v>2193</v>
      </c>
      <c r="F697" s="7" cm="1">
        <f t="array" ref="F697">_xlfn.LET(_xlpm.x,E697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45474</v>
      </c>
      <c r="G697" s="8" t="str">
        <f t="shared" si="64"/>
        <v>OK</v>
      </c>
      <c r="H697" s="6">
        <f t="shared" si="65"/>
        <v>0</v>
      </c>
      <c r="I697" s="6" t="s">
        <v>3359</v>
      </c>
      <c r="J697" s="6" t="s">
        <v>239</v>
      </c>
      <c r="K697" s="6" t="str">
        <f t="shared" si="66"/>
        <v>Aarav Sharma</v>
      </c>
      <c r="L697" s="6" t="s">
        <v>43</v>
      </c>
      <c r="M697" s="8" t="str">
        <f t="shared" si="67"/>
        <v>Consumer</v>
      </c>
      <c r="N697" s="6" t="s">
        <v>9</v>
      </c>
      <c r="O697" s="6" t="str">
        <f t="shared" si="68"/>
        <v>West</v>
      </c>
      <c r="P697" s="6" t="s">
        <v>170</v>
      </c>
      <c r="Q697" s="6" t="str">
        <f t="shared" si="69"/>
        <v>Madhya Pradesh</v>
      </c>
      <c r="R697" s="6" t="s">
        <v>171</v>
      </c>
      <c r="S697" s="6" t="str">
        <f t="shared" si="70"/>
        <v>Indore</v>
      </c>
      <c r="T697" s="6" t="s">
        <v>27</v>
      </c>
      <c r="U697" s="8" t="str">
        <f t="shared" si="71"/>
        <v>Technology</v>
      </c>
      <c r="V697" s="6" t="s">
        <v>3360</v>
      </c>
      <c r="W697" s="6" t="str">
        <f t="shared" si="72"/>
        <v>Machines</v>
      </c>
      <c r="X697" s="6" t="s">
        <v>3361</v>
      </c>
      <c r="Y697" s="6" t="s">
        <v>34</v>
      </c>
      <c r="Z697" s="6" t="str">
        <f t="shared" si="73"/>
        <v>Standard Class</v>
      </c>
      <c r="AA697" s="6">
        <v>4</v>
      </c>
      <c r="AB697" s="6">
        <v>257.39</v>
      </c>
      <c r="AC697" s="6">
        <v>0</v>
      </c>
      <c r="AD697" s="6">
        <v>1029.56</v>
      </c>
      <c r="AE697" s="6">
        <v>626.33000000000004</v>
      </c>
      <c r="AF697" s="6">
        <v>403.23</v>
      </c>
      <c r="AG697" s="6" t="s">
        <v>52</v>
      </c>
      <c r="AH697" s="6" t="str">
        <f t="shared" si="74"/>
        <v>Paid</v>
      </c>
      <c r="AI697" s="6" t="s">
        <v>134</v>
      </c>
      <c r="AJ697" s="6" t="str">
        <f t="shared" si="75"/>
        <v>Completed</v>
      </c>
      <c r="AK697" s="9" t="str">
        <f>_xlfn.TEXTJOIN("|",FALSE,A697,TEXT(B697,"mm-dd-yyyy"),TEXT(E697,"mm-dd-yyyy"),I697,J697,L697,N697,P697,R697,T697,V697,X697,Y697,AA697,AB697,AC697,AD697,AE697,AF697,AG697,AI697)</f>
        <v>ORD-2024-10696|07-01-2024|01-07-2024|CUST-6257|Aarav Sharma|Consumer|West|Madhya Pradesh|Indore|Technology|Machines |Prime Machines 102|Standard Class|4|257.39|0|1029.56|626.33|403.23|Paid|Completed</v>
      </c>
      <c r="AL697" s="27" t="str">
        <f>IF(COUNTIF($AK$2:AK697,AK697)&gt;1,"Remove exact duplicate copy","Keep")</f>
        <v>Keep</v>
      </c>
      <c r="AM697" s="9">
        <f t="shared" si="76"/>
        <v>1</v>
      </c>
      <c r="AN697" s="9" t="str">
        <f t="shared" si="77"/>
        <v>Unique</v>
      </c>
      <c r="AO697" s="9" t="str">
        <f t="shared" si="78"/>
        <v/>
      </c>
      <c r="AP697" s="9">
        <f t="shared" si="79"/>
        <v>0</v>
      </c>
      <c r="AQ697" s="10">
        <f t="shared" si="80"/>
        <v>1029.56</v>
      </c>
      <c r="AR697" s="10">
        <f t="shared" si="81"/>
        <v>403.2299999999999</v>
      </c>
      <c r="AS697" s="11">
        <f t="shared" si="82"/>
        <v>0.39165274486188267</v>
      </c>
      <c r="AT697" s="9">
        <f t="shared" si="83"/>
        <v>7</v>
      </c>
      <c r="AU697" s="9">
        <f t="shared" si="84"/>
        <v>2024</v>
      </c>
      <c r="AV697" s="9" t="b">
        <f t="shared" si="85"/>
        <v>0</v>
      </c>
      <c r="AW697" s="9" t="b">
        <f t="shared" si="86"/>
        <v>0</v>
      </c>
      <c r="AX697" s="9" t="str">
        <f t="shared" si="87"/>
        <v>Yes</v>
      </c>
      <c r="AY697" s="9" t="str">
        <f t="shared" si="93"/>
        <v/>
      </c>
      <c r="AZ697" s="9" t="str">
        <f>IF(OR(G697="Missing date",G697="Invalid date",G697="Ship date before order date",NOT(ISNUMBER(AP697)),AP697&lt;0,AP697&gt;0.5,AV697=TRUE,AW697=TRUE),"Invalid",IF(OR(O697="Unknown",Z697="Unknown",AC697="",AH697&lt;&gt;"Paid",AJ697&lt;&gt;"Completed",AO697&lt;&gt;""),"Warning","Clean"))</f>
        <v>Clean</v>
      </c>
    </row>
    <row r="698" spans="1:52" ht="15.75" customHeight="1">
      <c r="A698" s="6" t="s">
        <v>3362</v>
      </c>
      <c r="B698" s="7" t="s">
        <v>3363</v>
      </c>
      <c r="C698" s="7" t="str">
        <f t="shared" si="92"/>
        <v>2025-09</v>
      </c>
      <c r="D698" s="7" cm="1">
        <f t="array" ref="D698">_xlfn.LET(_xlpm.x,B698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45922</v>
      </c>
      <c r="E698" s="7" t="s">
        <v>3364</v>
      </c>
      <c r="F698" s="7" cm="1">
        <f t="array" ref="F698">_xlfn.LET(_xlpm.x,E698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45925</v>
      </c>
      <c r="G698" s="8" t="str">
        <f t="shared" si="64"/>
        <v>OK</v>
      </c>
      <c r="H698" s="6">
        <f t="shared" si="65"/>
        <v>3</v>
      </c>
      <c r="I698" s="6" t="s">
        <v>3365</v>
      </c>
      <c r="J698" s="6" t="s">
        <v>147</v>
      </c>
      <c r="K698" s="6" t="str">
        <f t="shared" si="66"/>
        <v>Isha Nair</v>
      </c>
      <c r="L698" s="6" t="s">
        <v>46</v>
      </c>
      <c r="M698" s="8" t="str">
        <f t="shared" si="67"/>
        <v>Small Business</v>
      </c>
      <c r="N698" s="6" t="s">
        <v>10</v>
      </c>
      <c r="O698" s="6" t="str">
        <f t="shared" si="68"/>
        <v>South</v>
      </c>
      <c r="P698" s="6" t="s">
        <v>316</v>
      </c>
      <c r="Q698" s="6" t="str">
        <f t="shared" si="69"/>
        <v>Kerala</v>
      </c>
      <c r="R698" s="6" t="s">
        <v>317</v>
      </c>
      <c r="S698" s="6" t="str">
        <f t="shared" si="70"/>
        <v>Kochi</v>
      </c>
      <c r="T698" s="6" t="s">
        <v>27</v>
      </c>
      <c r="U698" s="8" t="str">
        <f t="shared" si="71"/>
        <v>Technology</v>
      </c>
      <c r="V698" s="6" t="s">
        <v>31</v>
      </c>
      <c r="W698" s="6" t="str">
        <f t="shared" si="72"/>
        <v>Phones</v>
      </c>
      <c r="X698" s="6" t="s">
        <v>3366</v>
      </c>
      <c r="Y698" s="6"/>
      <c r="Z698" s="6" t="str">
        <f t="shared" si="73"/>
        <v>Unknown</v>
      </c>
      <c r="AA698" s="6">
        <v>4</v>
      </c>
      <c r="AB698" s="6">
        <v>1178.8399999999999</v>
      </c>
      <c r="AC698" s="6">
        <v>0.25</v>
      </c>
      <c r="AD698" s="6">
        <v>3536.52</v>
      </c>
      <c r="AE698" s="6">
        <v>2102.41</v>
      </c>
      <c r="AF698" s="6">
        <v>1363.28</v>
      </c>
      <c r="AG698" s="6" t="s">
        <v>52</v>
      </c>
      <c r="AH698" s="6" t="str">
        <f t="shared" si="74"/>
        <v>Paid</v>
      </c>
      <c r="AI698" s="6" t="s">
        <v>134</v>
      </c>
      <c r="AJ698" s="6" t="str">
        <f t="shared" si="75"/>
        <v>Completed</v>
      </c>
      <c r="AK698" s="9" t="str">
        <f>_xlfn.TEXTJOIN("|",FALSE,A698,TEXT(B698,"mm-dd-yyyy"),TEXT(E698,"mm-dd-yyyy"),I698,J698,L698,N698,P698,R698,T698,V698,X698,Y698,AA698,AB698,AC698,AD698,AE698,AF698,AG698,AI698)</f>
        <v>ORD-2025-10697|09-22-2025|09-25-2025|CUST-7812|Isha Nair|Small Business|South|Kerala|Kochi|Technology|Phones|Classic Phones 842||4|1178.84|0.25|3536.52|2102.41|1363.28|Paid|Completed</v>
      </c>
      <c r="AL698" s="27" t="str">
        <f>IF(COUNTIF($AK$2:AK698,AK698)&gt;1,"Remove exact duplicate copy","Keep")</f>
        <v>Keep</v>
      </c>
      <c r="AM698" s="9">
        <f t="shared" si="76"/>
        <v>1</v>
      </c>
      <c r="AN698" s="9" t="str">
        <f t="shared" si="77"/>
        <v>Unique</v>
      </c>
      <c r="AO698" s="9" t="str">
        <f t="shared" si="78"/>
        <v/>
      </c>
      <c r="AP698" s="9">
        <f t="shared" si="79"/>
        <v>0.25</v>
      </c>
      <c r="AQ698" s="10">
        <f t="shared" si="80"/>
        <v>3536.5199999999995</v>
      </c>
      <c r="AR698" s="10">
        <f t="shared" si="81"/>
        <v>1434.1099999999997</v>
      </c>
      <c r="AS698" s="11">
        <f t="shared" si="82"/>
        <v>0.40551446054313278</v>
      </c>
      <c r="AT698" s="9">
        <f t="shared" si="83"/>
        <v>9</v>
      </c>
      <c r="AU698" s="9">
        <f t="shared" si="84"/>
        <v>2025</v>
      </c>
      <c r="AV698" s="9" t="b">
        <f t="shared" si="85"/>
        <v>0</v>
      </c>
      <c r="AW698" s="9" t="b">
        <f t="shared" si="86"/>
        <v>1</v>
      </c>
      <c r="AX698" s="9" t="str">
        <f t="shared" si="87"/>
        <v>No</v>
      </c>
      <c r="AY698" s="9" t="str">
        <f t="shared" si="93"/>
        <v>Missing ship mode filled as Unknown; Profit mismatch</v>
      </c>
      <c r="AZ698" s="9" t="str">
        <f>IF(OR(G698="Missing date",G698="Invalid date",G698="Ship date before order date",NOT(ISNUMBER(AP698)),AP698&lt;0,AP698&gt;0.5,AV698=TRUE,AW698=TRUE),"Invalid",IF(OR(O698="Unknown",Z698="Unknown",AC698="",AH698&lt;&gt;"Paid",AJ698&lt;&gt;"Completed",AO698&lt;&gt;""),"Warning","Clean"))</f>
        <v>Invalid</v>
      </c>
    </row>
    <row r="699" spans="1:52" ht="15.75" customHeight="1">
      <c r="A699" s="6" t="s">
        <v>3367</v>
      </c>
      <c r="B699" s="7" t="s">
        <v>2413</v>
      </c>
      <c r="C699" s="7" t="str">
        <f t="shared" si="92"/>
        <v>2025-03</v>
      </c>
      <c r="D699" s="7" cm="1">
        <f t="array" ref="D699">_xlfn.LET(_xlpm.x,B699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45717</v>
      </c>
      <c r="E699" s="7" t="s">
        <v>870</v>
      </c>
      <c r="F699" s="7" cm="1">
        <f t="array" ref="F699">_xlfn.LET(_xlpm.x,E699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45723</v>
      </c>
      <c r="G699" s="8" t="str">
        <f t="shared" si="64"/>
        <v>OK</v>
      </c>
      <c r="H699" s="6">
        <f t="shared" si="65"/>
        <v>6</v>
      </c>
      <c r="I699" s="6" t="s">
        <v>3368</v>
      </c>
      <c r="J699" s="6" t="s">
        <v>153</v>
      </c>
      <c r="K699" s="6" t="str">
        <f t="shared" si="66"/>
        <v>Arjun Bose</v>
      </c>
      <c r="L699" s="6" t="s">
        <v>45</v>
      </c>
      <c r="M699" s="8" t="str">
        <f t="shared" si="67"/>
        <v>Corporate</v>
      </c>
      <c r="N699" s="6" t="s">
        <v>10</v>
      </c>
      <c r="O699" s="6" t="str">
        <f t="shared" si="68"/>
        <v>South</v>
      </c>
      <c r="P699" s="6" t="s">
        <v>183</v>
      </c>
      <c r="Q699" s="6" t="str">
        <f t="shared" si="69"/>
        <v>Andhra Pradesh</v>
      </c>
      <c r="R699" s="6" t="s">
        <v>184</v>
      </c>
      <c r="S699" s="6" t="str">
        <f t="shared" si="70"/>
        <v>Vijayawada</v>
      </c>
      <c r="T699" s="6" t="s">
        <v>20</v>
      </c>
      <c r="U699" s="8" t="str">
        <f t="shared" si="71"/>
        <v>Office Supplies</v>
      </c>
      <c r="V699" s="6" t="s">
        <v>23</v>
      </c>
      <c r="W699" s="6" t="str">
        <f t="shared" si="72"/>
        <v>Labels</v>
      </c>
      <c r="X699" s="6" t="s">
        <v>3369</v>
      </c>
      <c r="Y699" s="6" t="s">
        <v>35</v>
      </c>
      <c r="Z699" s="6" t="str">
        <f t="shared" si="73"/>
        <v>First Class</v>
      </c>
      <c r="AA699" s="6">
        <v>7</v>
      </c>
      <c r="AB699" s="6">
        <v>567.15</v>
      </c>
      <c r="AC699" s="6"/>
      <c r="AD699" s="6">
        <v>2977.54</v>
      </c>
      <c r="AE699" s="6">
        <v>1849.3</v>
      </c>
      <c r="AF699" s="6">
        <v>1128.24</v>
      </c>
      <c r="AG699" s="6" t="s">
        <v>56</v>
      </c>
      <c r="AH699" s="6" t="str">
        <f t="shared" si="74"/>
        <v>Refunded</v>
      </c>
      <c r="AI699" s="6" t="s">
        <v>59</v>
      </c>
      <c r="AJ699" s="6" t="str">
        <f t="shared" si="75"/>
        <v>Returned</v>
      </c>
      <c r="AK699" s="9" t="str">
        <f>_xlfn.TEXTJOIN("|",FALSE,A699,TEXT(B699,"mm-dd-yyyy"),TEXT(E699,"mm-dd-yyyy"),I699,J699,L699,N699,P699,R699,T699,V699,X699,Y699,AA699,AB699,AC699,AD699,AE699,AF699,AG699,AI699)</f>
        <v>ORD-2025-10698|03-01-2025|07-03-2025|CUST-6205|Arjun Bose|Corporate|South|Andhra Pradesh|Vijayawada|Office Supplies|Labels|Max Labels 970|First Class|7|567.15||2977.54|1849.3|1128.24|Refunded|Returned</v>
      </c>
      <c r="AL699" s="27" t="str">
        <f>IF(COUNTIF($AK$2:AK699,AK699)&gt;1,"Remove exact duplicate copy","Keep")</f>
        <v>Keep</v>
      </c>
      <c r="AM699" s="9">
        <f t="shared" si="76"/>
        <v>1</v>
      </c>
      <c r="AN699" s="9" t="str">
        <f t="shared" si="77"/>
        <v>Unique</v>
      </c>
      <c r="AO699" s="9" t="str">
        <f t="shared" si="78"/>
        <v/>
      </c>
      <c r="AP699" s="9">
        <f t="shared" si="79"/>
        <v>0</v>
      </c>
      <c r="AQ699" s="10">
        <f t="shared" si="80"/>
        <v>3970.0499999999997</v>
      </c>
      <c r="AR699" s="10">
        <f t="shared" si="81"/>
        <v>2120.75</v>
      </c>
      <c r="AS699" s="11">
        <f t="shared" si="82"/>
        <v>0.53418722686112274</v>
      </c>
      <c r="AT699" s="9">
        <f t="shared" si="83"/>
        <v>3</v>
      </c>
      <c r="AU699" s="9">
        <f t="shared" si="84"/>
        <v>2025</v>
      </c>
      <c r="AV699" s="9" t="b">
        <f t="shared" si="85"/>
        <v>1</v>
      </c>
      <c r="AW699" s="9" t="b">
        <f t="shared" si="86"/>
        <v>1</v>
      </c>
      <c r="AX699" s="9" t="str">
        <f t="shared" si="87"/>
        <v>No</v>
      </c>
      <c r="AY699" s="9" t="str">
        <f t="shared" si="93"/>
        <v>Missing discount treated as 0; Refunded order summarized separately; Returned order excluded; Sales mismatch; Profit mismatch</v>
      </c>
      <c r="AZ699" s="9" t="str">
        <f>IF(OR(G699="Missing date",G699="Invalid date",G699="Ship date before order date",NOT(ISNUMBER(AP699)),AP699&lt;0,AP699&gt;0.5,AV699=TRUE,AW699=TRUE),"Invalid",IF(OR(O699="Unknown",Z699="Unknown",AC699="",AH699&lt;&gt;"Paid",AJ699&lt;&gt;"Completed",AO699&lt;&gt;""),"Warning","Clean"))</f>
        <v>Invalid</v>
      </c>
    </row>
    <row r="700" spans="1:52" ht="15.75" customHeight="1">
      <c r="A700" s="6" t="s">
        <v>3370</v>
      </c>
      <c r="B700" s="7" t="s">
        <v>3371</v>
      </c>
      <c r="C700" s="7" t="str">
        <f t="shared" si="92"/>
        <v>2024-09</v>
      </c>
      <c r="D700" s="7" cm="1">
        <f t="array" ref="D700">_xlfn.LET(_xlpm.x,B700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45549</v>
      </c>
      <c r="E700" s="7" t="s">
        <v>1828</v>
      </c>
      <c r="F700" s="7" cm="1">
        <f t="array" ref="F700">_xlfn.LET(_xlpm.x,E700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45549</v>
      </c>
      <c r="G700" s="8" t="str">
        <f t="shared" si="64"/>
        <v>OK</v>
      </c>
      <c r="H700" s="6">
        <f t="shared" si="65"/>
        <v>0</v>
      </c>
      <c r="I700" s="6" t="s">
        <v>3372</v>
      </c>
      <c r="J700" s="6" t="s">
        <v>139</v>
      </c>
      <c r="K700" s="6" t="str">
        <f t="shared" si="66"/>
        <v>Mira Das</v>
      </c>
      <c r="L700" s="6" t="s">
        <v>45</v>
      </c>
      <c r="M700" s="8" t="str">
        <f t="shared" si="67"/>
        <v>Corporate</v>
      </c>
      <c r="N700" s="6" t="s">
        <v>7</v>
      </c>
      <c r="O700" s="6" t="str">
        <f t="shared" si="68"/>
        <v>North</v>
      </c>
      <c r="P700" s="6" t="s">
        <v>131</v>
      </c>
      <c r="Q700" s="6" t="str">
        <f t="shared" si="69"/>
        <v>Rajasthan</v>
      </c>
      <c r="R700" s="6" t="s">
        <v>132</v>
      </c>
      <c r="S700" s="6" t="str">
        <f t="shared" si="70"/>
        <v>Jaipur</v>
      </c>
      <c r="T700" s="6" t="s">
        <v>27</v>
      </c>
      <c r="U700" s="8" t="str">
        <f t="shared" si="71"/>
        <v>Technology</v>
      </c>
      <c r="V700" s="6" t="s">
        <v>30</v>
      </c>
      <c r="W700" s="6" t="str">
        <f t="shared" si="72"/>
        <v>Machines</v>
      </c>
      <c r="X700" s="6" t="s">
        <v>3373</v>
      </c>
      <c r="Y700" s="6" t="s">
        <v>34</v>
      </c>
      <c r="Z700" s="6" t="str">
        <f t="shared" si="73"/>
        <v>Standard Class</v>
      </c>
      <c r="AA700" s="6">
        <v>8</v>
      </c>
      <c r="AB700" s="6">
        <v>4081.66</v>
      </c>
      <c r="AC700" s="6">
        <v>0.15</v>
      </c>
      <c r="AD700" s="6">
        <v>28208.1</v>
      </c>
      <c r="AE700" s="6">
        <v>23751.91</v>
      </c>
      <c r="AF700" s="6">
        <v>4003.38</v>
      </c>
      <c r="AG700" s="6" t="s">
        <v>52</v>
      </c>
      <c r="AH700" s="6" t="str">
        <f t="shared" si="74"/>
        <v>Paid</v>
      </c>
      <c r="AI700" s="6" t="s">
        <v>59</v>
      </c>
      <c r="AJ700" s="6" t="str">
        <f t="shared" si="75"/>
        <v>Returned</v>
      </c>
      <c r="AK700" s="9" t="str">
        <f>_xlfn.TEXTJOIN("|",FALSE,A700,TEXT(B700,"mm-dd-yyyy"),TEXT(E700,"mm-dd-yyyy"),I700,J700,L700,N700,P700,R700,T700,V700,X700,Y700,AA700,AB700,AC700,AD700,AE700,AF700,AG700,AI700)</f>
        <v>ORD-2024-10699|14-09-2024|09-14-2024|CUST-5357|Mira Das|Corporate|North|Rajasthan|Jaipur|Technology|Machines|Classic Machines 648|Standard Class|8|4081.66|0.15|28208.1|23751.91|4003.38|Paid|Returned</v>
      </c>
      <c r="AL700" s="27" t="str">
        <f>IF(COUNTIF($AK$2:AK700,AK700)&gt;1,"Remove exact duplicate copy","Keep")</f>
        <v>Keep</v>
      </c>
      <c r="AM700" s="9">
        <f t="shared" si="76"/>
        <v>1</v>
      </c>
      <c r="AN700" s="9" t="str">
        <f t="shared" si="77"/>
        <v>Unique</v>
      </c>
      <c r="AO700" s="9" t="str">
        <f t="shared" si="78"/>
        <v/>
      </c>
      <c r="AP700" s="9">
        <f t="shared" si="79"/>
        <v>0.15</v>
      </c>
      <c r="AQ700" s="10">
        <f t="shared" si="80"/>
        <v>27755.287999999997</v>
      </c>
      <c r="AR700" s="10">
        <f t="shared" si="81"/>
        <v>4003.377999999997</v>
      </c>
      <c r="AS700" s="11">
        <f t="shared" si="82"/>
        <v>0.14423838801456493</v>
      </c>
      <c r="AT700" s="9">
        <f t="shared" si="83"/>
        <v>9</v>
      </c>
      <c r="AU700" s="9">
        <f t="shared" si="84"/>
        <v>2024</v>
      </c>
      <c r="AV700" s="9" t="b">
        <f t="shared" si="85"/>
        <v>1</v>
      </c>
      <c r="AW700" s="9" t="b">
        <f t="shared" si="86"/>
        <v>0</v>
      </c>
      <c r="AX700" s="9" t="str">
        <f t="shared" si="87"/>
        <v>No</v>
      </c>
      <c r="AY700" s="9" t="str">
        <f t="shared" si="93"/>
        <v>Returned order excluded; Sales mismatch</v>
      </c>
      <c r="AZ700" s="9" t="str">
        <f>IF(OR(G700="Missing date",G700="Invalid date",G700="Ship date before order date",NOT(ISNUMBER(AP700)),AP700&lt;0,AP700&gt;0.5,AV700=TRUE,AW700=TRUE),"Invalid",IF(OR(O700="Unknown",Z700="Unknown",AC700="",AH700&lt;&gt;"Paid",AJ700&lt;&gt;"Completed",AO700&lt;&gt;""),"Warning","Clean"))</f>
        <v>Invalid</v>
      </c>
    </row>
    <row r="701" spans="1:52" ht="15.75" customHeight="1">
      <c r="A701" s="6" t="s">
        <v>3374</v>
      </c>
      <c r="B701" s="7" t="s">
        <v>3375</v>
      </c>
      <c r="C701" s="7" t="str">
        <f t="shared" si="92"/>
        <v>2024-06</v>
      </c>
      <c r="D701" s="7" cm="1">
        <f t="array" ref="D701">_xlfn.LET(_xlpm.x,B701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45454</v>
      </c>
      <c r="E701" s="7" t="s">
        <v>3376</v>
      </c>
      <c r="F701" s="7" cm="1">
        <f t="array" ref="F701">_xlfn.LET(_xlpm.x,E701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45454</v>
      </c>
      <c r="G701" s="8" t="str">
        <f t="shared" si="64"/>
        <v>OK</v>
      </c>
      <c r="H701" s="6">
        <f t="shared" si="65"/>
        <v>0</v>
      </c>
      <c r="I701" s="6" t="s">
        <v>3377</v>
      </c>
      <c r="J701" s="6" t="s">
        <v>153</v>
      </c>
      <c r="K701" s="6" t="str">
        <f t="shared" si="66"/>
        <v>Arjun Bose</v>
      </c>
      <c r="L701" s="6" t="s">
        <v>46</v>
      </c>
      <c r="M701" s="8" t="str">
        <f t="shared" si="67"/>
        <v>Small Business</v>
      </c>
      <c r="N701" s="6" t="s">
        <v>10</v>
      </c>
      <c r="O701" s="6" t="str">
        <f t="shared" si="68"/>
        <v>South</v>
      </c>
      <c r="P701" s="6" t="s">
        <v>303</v>
      </c>
      <c r="Q701" s="6" t="str">
        <f t="shared" si="69"/>
        <v>Karnataka</v>
      </c>
      <c r="R701" s="6" t="s">
        <v>304</v>
      </c>
      <c r="S701" s="6" t="str">
        <f t="shared" si="70"/>
        <v>Bengaluru</v>
      </c>
      <c r="T701" s="6" t="s">
        <v>14</v>
      </c>
      <c r="U701" s="8" t="str">
        <f t="shared" si="71"/>
        <v>Furniture</v>
      </c>
      <c r="V701" s="6" t="s">
        <v>15</v>
      </c>
      <c r="W701" s="6" t="str">
        <f t="shared" si="72"/>
        <v>Bookcases</v>
      </c>
      <c r="X701" s="6" t="s">
        <v>3378</v>
      </c>
      <c r="Y701" s="6" t="s">
        <v>34</v>
      </c>
      <c r="Z701" s="6" t="str">
        <f t="shared" si="73"/>
        <v>Standard Class</v>
      </c>
      <c r="AA701" s="6">
        <v>9</v>
      </c>
      <c r="AB701" s="6">
        <v>1400.11</v>
      </c>
      <c r="AC701" s="6">
        <v>0.25</v>
      </c>
      <c r="AD701" s="6">
        <v>9450.74</v>
      </c>
      <c r="AE701" s="6">
        <v>7798.56</v>
      </c>
      <c r="AF701" s="6">
        <v>1652.18</v>
      </c>
      <c r="AG701" s="6" t="s">
        <v>52</v>
      </c>
      <c r="AH701" s="6" t="str">
        <f t="shared" si="74"/>
        <v>Paid</v>
      </c>
      <c r="AI701" s="6" t="s">
        <v>134</v>
      </c>
      <c r="AJ701" s="6" t="str">
        <f t="shared" si="75"/>
        <v>Completed</v>
      </c>
      <c r="AK701" s="9" t="str">
        <f>_xlfn.TEXTJOIN("|",FALSE,A701,TEXT(B701,"mm-dd-yyyy"),TEXT(E701,"mm-dd-yyyy"),I701,J701,L701,N701,P701,R701,T701,V701,X701,Y701,AA701,AB701,AC701,AD701,AE701,AF701,AG701,AI701)</f>
        <v>ORD-2024-10700|06-11-2024|06-11-2024|CUST-9802|Arjun Bose|Small Business|South|Karnataka|Bengaluru|Furniture|Bookcases|Max Bookcases 565|Standard Class|9|1400.11|0.25|9450.74|7798.56|1652.18|Paid|Completed</v>
      </c>
      <c r="AL701" s="27" t="str">
        <f>IF(COUNTIF($AK$2:AK701,AK701)&gt;1,"Remove exact duplicate copy","Keep")</f>
        <v>Keep</v>
      </c>
      <c r="AM701" s="9">
        <f t="shared" si="76"/>
        <v>1</v>
      </c>
      <c r="AN701" s="9" t="str">
        <f t="shared" si="77"/>
        <v>Unique</v>
      </c>
      <c r="AO701" s="9" t="str">
        <f t="shared" si="78"/>
        <v/>
      </c>
      <c r="AP701" s="9">
        <f t="shared" si="79"/>
        <v>0.25</v>
      </c>
      <c r="AQ701" s="10">
        <f t="shared" si="80"/>
        <v>9450.7425000000003</v>
      </c>
      <c r="AR701" s="10">
        <f t="shared" si="81"/>
        <v>1652.1824999999999</v>
      </c>
      <c r="AS701" s="11">
        <f t="shared" si="82"/>
        <v>0.17482039109625511</v>
      </c>
      <c r="AT701" s="9">
        <f t="shared" si="83"/>
        <v>6</v>
      </c>
      <c r="AU701" s="9">
        <f t="shared" si="84"/>
        <v>2024</v>
      </c>
      <c r="AV701" s="9" t="b">
        <f t="shared" si="85"/>
        <v>0</v>
      </c>
      <c r="AW701" s="9" t="b">
        <f t="shared" si="86"/>
        <v>0</v>
      </c>
      <c r="AX701" s="9" t="str">
        <f t="shared" si="87"/>
        <v>Yes</v>
      </c>
      <c r="AY701" s="9" t="str">
        <f t="shared" si="93"/>
        <v/>
      </c>
      <c r="AZ701" s="9" t="str">
        <f>IF(OR(G701="Missing date",G701="Invalid date",G701="Ship date before order date",NOT(ISNUMBER(AP701)),AP701&lt;0,AP701&gt;0.5,AV701=TRUE,AW701=TRUE),"Invalid",IF(OR(O701="Unknown",Z701="Unknown",AC701="",AH701&lt;&gt;"Paid",AJ701&lt;&gt;"Completed",AO701&lt;&gt;""),"Warning","Clean"))</f>
        <v>Clean</v>
      </c>
    </row>
    <row r="702" spans="1:52" ht="15.75" customHeight="1">
      <c r="A702" s="6" t="s">
        <v>3379</v>
      </c>
      <c r="B702" s="7" t="s">
        <v>3380</v>
      </c>
      <c r="C702" s="7" t="str">
        <f t="shared" si="92"/>
        <v>2024-09</v>
      </c>
      <c r="D702" s="7" cm="1">
        <f t="array" ref="D702">_xlfn.LET(_xlpm.x,B702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45553</v>
      </c>
      <c r="E702" s="7" t="s">
        <v>1217</v>
      </c>
      <c r="F702" s="7" cm="1">
        <f t="array" ref="F702">_xlfn.LET(_xlpm.x,E702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45556</v>
      </c>
      <c r="G702" s="8" t="str">
        <f t="shared" si="64"/>
        <v>OK</v>
      </c>
      <c r="H702" s="6">
        <f t="shared" si="65"/>
        <v>3</v>
      </c>
      <c r="I702" s="6" t="s">
        <v>3381</v>
      </c>
      <c r="J702" s="6" t="s">
        <v>177</v>
      </c>
      <c r="K702" s="6" t="str">
        <f t="shared" si="66"/>
        <v>Neha Gupta</v>
      </c>
      <c r="L702" s="6" t="s">
        <v>45</v>
      </c>
      <c r="M702" s="8" t="str">
        <f t="shared" si="67"/>
        <v>Corporate</v>
      </c>
      <c r="N702" s="6" t="s">
        <v>8</v>
      </c>
      <c r="O702" s="6" t="str">
        <f t="shared" si="68"/>
        <v>East</v>
      </c>
      <c r="P702" s="6" t="s">
        <v>201</v>
      </c>
      <c r="Q702" s="6" t="str">
        <f t="shared" si="69"/>
        <v>West Bengal</v>
      </c>
      <c r="R702" s="6" t="s">
        <v>202</v>
      </c>
      <c r="S702" s="6" t="str">
        <f t="shared" si="70"/>
        <v>Kolkata</v>
      </c>
      <c r="T702" s="6" t="s">
        <v>27</v>
      </c>
      <c r="U702" s="8" t="str">
        <f t="shared" si="71"/>
        <v>Technology</v>
      </c>
      <c r="V702" s="6" t="s">
        <v>30</v>
      </c>
      <c r="W702" s="6" t="str">
        <f t="shared" si="72"/>
        <v>Machines</v>
      </c>
      <c r="X702" s="6" t="s">
        <v>3382</v>
      </c>
      <c r="Y702" s="6" t="s">
        <v>34</v>
      </c>
      <c r="Z702" s="6" t="str">
        <f t="shared" si="73"/>
        <v>Standard Class</v>
      </c>
      <c r="AA702" s="6">
        <v>3</v>
      </c>
      <c r="AB702" s="6">
        <v>3055.9</v>
      </c>
      <c r="AC702" s="6">
        <v>0.15</v>
      </c>
      <c r="AD702" s="6">
        <v>7792.55</v>
      </c>
      <c r="AE702" s="6">
        <v>4691.7299999999996</v>
      </c>
      <c r="AF702" s="6">
        <v>3100.82</v>
      </c>
      <c r="AG702" s="6" t="s">
        <v>52</v>
      </c>
      <c r="AH702" s="6" t="str">
        <f t="shared" si="74"/>
        <v>Paid</v>
      </c>
      <c r="AI702" s="6" t="s">
        <v>134</v>
      </c>
      <c r="AJ702" s="6" t="str">
        <f t="shared" si="75"/>
        <v>Completed</v>
      </c>
      <c r="AK702" s="9" t="str">
        <f>_xlfn.TEXTJOIN("|",FALSE,A702,TEXT(B702,"mm-dd-yyyy"),TEXT(E702,"mm-dd-yyyy"),I702,J702,L702,N702,P702,R702,T702,V702,X702,Y702,AA702,AB702,AC702,AD702,AE702,AF702,AG702,AI702)</f>
        <v>ORD-2024-10701|18-09-2024|09-21-2024|CUST-5646|Neha Gupta|Corporate|East|West Bengal|Kolkata|Technology|Machines|Basic Machines 220|Standard Class|3|3055.9|0.15|7792.55|4691.73|3100.82|Paid|Completed</v>
      </c>
      <c r="AL702" s="27" t="str">
        <f>IF(COUNTIF($AK$2:AK702,AK702)&gt;1,"Remove exact duplicate copy","Keep")</f>
        <v>Keep</v>
      </c>
      <c r="AM702" s="9">
        <f t="shared" si="76"/>
        <v>1</v>
      </c>
      <c r="AN702" s="9" t="str">
        <f t="shared" si="77"/>
        <v>Unique</v>
      </c>
      <c r="AO702" s="9" t="str">
        <f t="shared" si="78"/>
        <v/>
      </c>
      <c r="AP702" s="9">
        <f t="shared" si="79"/>
        <v>0.15</v>
      </c>
      <c r="AQ702" s="10">
        <f t="shared" si="80"/>
        <v>7792.5450000000001</v>
      </c>
      <c r="AR702" s="10">
        <f t="shared" si="81"/>
        <v>3100.8150000000005</v>
      </c>
      <c r="AS702" s="11">
        <f t="shared" si="82"/>
        <v>0.39792070498149201</v>
      </c>
      <c r="AT702" s="9">
        <f t="shared" si="83"/>
        <v>9</v>
      </c>
      <c r="AU702" s="9">
        <f t="shared" si="84"/>
        <v>2024</v>
      </c>
      <c r="AV702" s="9" t="b">
        <f t="shared" si="85"/>
        <v>0</v>
      </c>
      <c r="AW702" s="9" t="b">
        <f t="shared" si="86"/>
        <v>0</v>
      </c>
      <c r="AX702" s="9" t="str">
        <f t="shared" si="87"/>
        <v>Yes</v>
      </c>
      <c r="AY702" s="9" t="str">
        <f t="shared" si="93"/>
        <v/>
      </c>
      <c r="AZ702" s="9" t="str">
        <f>IF(OR(G702="Missing date",G702="Invalid date",G702="Ship date before order date",NOT(ISNUMBER(AP702)),AP702&lt;0,AP702&gt;0.5,AV702=TRUE,AW702=TRUE),"Invalid",IF(OR(O702="Unknown",Z702="Unknown",AC702="",AH702&lt;&gt;"Paid",AJ702&lt;&gt;"Completed",AO702&lt;&gt;""),"Warning","Clean"))</f>
        <v>Clean</v>
      </c>
    </row>
    <row r="703" spans="1:52" ht="15.75" customHeight="1">
      <c r="A703" s="6" t="s">
        <v>3383</v>
      </c>
      <c r="B703" s="7" t="s">
        <v>1709</v>
      </c>
      <c r="C703" s="7" t="str">
        <f t="shared" si="92"/>
        <v>2024-04</v>
      </c>
      <c r="D703" s="7" cm="1">
        <f t="array" ref="D703">_xlfn.LET(_xlpm.x,B703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45412</v>
      </c>
      <c r="E703" s="7" t="s">
        <v>1378</v>
      </c>
      <c r="F703" s="7" cm="1">
        <f t="array" ref="F703">_xlfn.LET(_xlpm.x,E703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45416</v>
      </c>
      <c r="G703" s="8" t="str">
        <f t="shared" si="64"/>
        <v>OK</v>
      </c>
      <c r="H703" s="6">
        <f t="shared" si="65"/>
        <v>4</v>
      </c>
      <c r="I703" s="6" t="s">
        <v>3384</v>
      </c>
      <c r="J703" s="6" t="s">
        <v>257</v>
      </c>
      <c r="K703" s="6" t="str">
        <f t="shared" si="66"/>
        <v>Rohan Mehta</v>
      </c>
      <c r="L703" s="6" t="s">
        <v>46</v>
      </c>
      <c r="M703" s="8" t="str">
        <f t="shared" si="67"/>
        <v>Small Business</v>
      </c>
      <c r="N703" s="6" t="s">
        <v>9</v>
      </c>
      <c r="O703" s="6" t="str">
        <f t="shared" si="68"/>
        <v>West</v>
      </c>
      <c r="P703" s="6" t="s">
        <v>309</v>
      </c>
      <c r="Q703" s="6" t="str">
        <f t="shared" si="69"/>
        <v>Gujarat</v>
      </c>
      <c r="R703" s="6" t="s">
        <v>310</v>
      </c>
      <c r="S703" s="6" t="str">
        <f t="shared" si="70"/>
        <v>Ahmedabad</v>
      </c>
      <c r="T703" s="6" t="s">
        <v>20</v>
      </c>
      <c r="U703" s="8" t="str">
        <f t="shared" si="71"/>
        <v>Office Supplies</v>
      </c>
      <c r="V703" s="6" t="s">
        <v>21</v>
      </c>
      <c r="W703" s="6" t="str">
        <f t="shared" si="72"/>
        <v>Art</v>
      </c>
      <c r="X703" s="6" t="s">
        <v>3385</v>
      </c>
      <c r="Y703" s="6" t="s">
        <v>37</v>
      </c>
      <c r="Z703" s="6" t="str">
        <f t="shared" si="73"/>
        <v>Same Day</v>
      </c>
      <c r="AA703" s="6">
        <v>7</v>
      </c>
      <c r="AB703" s="6">
        <v>1224.94</v>
      </c>
      <c r="AC703" s="6">
        <v>0</v>
      </c>
      <c r="AD703" s="6">
        <v>8574.58</v>
      </c>
      <c r="AE703" s="6">
        <v>6685.81</v>
      </c>
      <c r="AF703" s="6">
        <v>1888.77</v>
      </c>
      <c r="AG703" s="6" t="s">
        <v>52</v>
      </c>
      <c r="AH703" s="6" t="str">
        <f t="shared" si="74"/>
        <v>Paid</v>
      </c>
      <c r="AI703" s="6" t="s">
        <v>59</v>
      </c>
      <c r="AJ703" s="6" t="str">
        <f t="shared" si="75"/>
        <v>Returned</v>
      </c>
      <c r="AK703" s="9" t="str">
        <f>_xlfn.TEXTJOIN("|",FALSE,A703,TEXT(B703,"mm-dd-yyyy"),TEXT(E703,"mm-dd-yyyy"),I703,J703,L703,N703,P703,R703,T703,V703,X703,Y703,AA703,AB703,AC703,AD703,AE703,AF703,AG703,AI703)</f>
        <v>ORD-2024-10702|30-04-2024|05-04-2024|CUST-7171|Rohan Mehta|Small Business|West|Gujarat|Ahmedabad|Office Supplies|Art|Pro Art 151|Same Day|7|1224.94|0|8574.58|6685.81|1888.77|Paid|Returned</v>
      </c>
      <c r="AL703" s="27" t="str">
        <f>IF(COUNTIF($AK$2:AK703,AK703)&gt;1,"Remove exact duplicate copy","Keep")</f>
        <v>Keep</v>
      </c>
      <c r="AM703" s="9">
        <f t="shared" si="76"/>
        <v>1</v>
      </c>
      <c r="AN703" s="9" t="str">
        <f t="shared" si="77"/>
        <v>Unique</v>
      </c>
      <c r="AO703" s="9" t="str">
        <f t="shared" si="78"/>
        <v/>
      </c>
      <c r="AP703" s="9">
        <f t="shared" si="79"/>
        <v>0</v>
      </c>
      <c r="AQ703" s="10">
        <f t="shared" si="80"/>
        <v>8574.58</v>
      </c>
      <c r="AR703" s="10">
        <f t="shared" si="81"/>
        <v>1888.7699999999995</v>
      </c>
      <c r="AS703" s="11">
        <f t="shared" si="82"/>
        <v>0.22027551203674112</v>
      </c>
      <c r="AT703" s="9">
        <f t="shared" si="83"/>
        <v>4</v>
      </c>
      <c r="AU703" s="9">
        <f t="shared" si="84"/>
        <v>2024</v>
      </c>
      <c r="AV703" s="9" t="b">
        <f t="shared" si="85"/>
        <v>0</v>
      </c>
      <c r="AW703" s="9" t="b">
        <f t="shared" si="86"/>
        <v>0</v>
      </c>
      <c r="AX703" s="9" t="str">
        <f t="shared" si="87"/>
        <v>No</v>
      </c>
      <c r="AY703" s="9" t="str">
        <f t="shared" si="93"/>
        <v>Returned order excluded</v>
      </c>
      <c r="AZ703" s="9" t="str">
        <f>IF(OR(G703="Missing date",G703="Invalid date",G703="Ship date before order date",NOT(ISNUMBER(AP703)),AP703&lt;0,AP703&gt;0.5,AV703=TRUE,AW703=TRUE),"Invalid",IF(OR(O703="Unknown",Z703="Unknown",AC703="",AH703&lt;&gt;"Paid",AJ703&lt;&gt;"Completed",AO703&lt;&gt;""),"Warning","Clean"))</f>
        <v>Warning</v>
      </c>
    </row>
    <row r="704" spans="1:52" ht="15.75" customHeight="1">
      <c r="A704" s="6" t="s">
        <v>3386</v>
      </c>
      <c r="B704" s="7" t="s">
        <v>3387</v>
      </c>
      <c r="C704" s="7" t="str">
        <f t="shared" si="92"/>
        <v>2025-02</v>
      </c>
      <c r="D704" s="7" cm="1">
        <f t="array" ref="D704">_xlfn.LET(_xlpm.x,B704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45690</v>
      </c>
      <c r="E704" s="7" t="s">
        <v>2979</v>
      </c>
      <c r="F704" s="7" cm="1">
        <f t="array" ref="F704">_xlfn.LET(_xlpm.x,E704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45694</v>
      </c>
      <c r="G704" s="8" t="str">
        <f t="shared" si="64"/>
        <v>OK</v>
      </c>
      <c r="H704" s="6">
        <f t="shared" si="65"/>
        <v>4</v>
      </c>
      <c r="I704" s="6" t="s">
        <v>3388</v>
      </c>
      <c r="J704" s="6" t="s">
        <v>129</v>
      </c>
      <c r="K704" s="6" t="str">
        <f t="shared" si="66"/>
        <v>Karan Malhotra</v>
      </c>
      <c r="L704" s="6" t="s">
        <v>46</v>
      </c>
      <c r="M704" s="8" t="str">
        <f t="shared" si="67"/>
        <v>Small Business</v>
      </c>
      <c r="N704" s="6" t="s">
        <v>9</v>
      </c>
      <c r="O704" s="6" t="str">
        <f t="shared" si="68"/>
        <v>West</v>
      </c>
      <c r="P704" s="6" t="s">
        <v>131</v>
      </c>
      <c r="Q704" s="6" t="str">
        <f t="shared" si="69"/>
        <v>Rajasthan</v>
      </c>
      <c r="R704" s="6" t="s">
        <v>214</v>
      </c>
      <c r="S704" s="6" t="str">
        <f t="shared" si="70"/>
        <v>Udaipur</v>
      </c>
      <c r="T704" s="6" t="s">
        <v>14</v>
      </c>
      <c r="U704" s="8" t="str">
        <f t="shared" si="71"/>
        <v>Furniture</v>
      </c>
      <c r="V704" s="6" t="s">
        <v>18</v>
      </c>
      <c r="W704" s="6" t="str">
        <f t="shared" si="72"/>
        <v>Tables</v>
      </c>
      <c r="X704" s="6" t="s">
        <v>3389</v>
      </c>
      <c r="Y704" s="6" t="s">
        <v>36</v>
      </c>
      <c r="Z704" s="6" t="str">
        <f t="shared" si="73"/>
        <v>Second Class</v>
      </c>
      <c r="AA704" s="6">
        <v>3</v>
      </c>
      <c r="AB704" s="6">
        <v>997.34</v>
      </c>
      <c r="AC704" s="6">
        <v>0.1</v>
      </c>
      <c r="AD704" s="6">
        <v>2692.82</v>
      </c>
      <c r="AE704" s="6">
        <v>1820.08</v>
      </c>
      <c r="AF704" s="6">
        <v>872.74</v>
      </c>
      <c r="AG704" s="6" t="s">
        <v>52</v>
      </c>
      <c r="AH704" s="6" t="str">
        <f t="shared" si="74"/>
        <v>Paid</v>
      </c>
      <c r="AI704" s="6" t="s">
        <v>134</v>
      </c>
      <c r="AJ704" s="6" t="str">
        <f t="shared" si="75"/>
        <v>Completed</v>
      </c>
      <c r="AK704" s="9" t="str">
        <f>_xlfn.TEXTJOIN("|",FALSE,A704,TEXT(B704,"mm-dd-yyyy"),TEXT(E704,"mm-dd-yyyy"),I704,J704,L704,N704,P704,R704,T704,V704,X704,Y704,AA704,AB704,AC704,AD704,AE704,AF704,AG704,AI704)</f>
        <v>ORD-2025-10703|02-02-2025|02-06-2025|CUST-5231|Karan Malhotra|Small Business|West|Rajasthan|Udaipur|Furniture|Tables|Pro Tables 980|Second Class|3|997.34|0.1|2692.82|1820.08|872.74|Paid|Completed</v>
      </c>
      <c r="AL704" s="27" t="str">
        <f>IF(COUNTIF($AK$2:AK704,AK704)&gt;1,"Remove exact duplicate copy","Keep")</f>
        <v>Keep</v>
      </c>
      <c r="AM704" s="9">
        <f t="shared" si="76"/>
        <v>1</v>
      </c>
      <c r="AN704" s="9" t="str">
        <f t="shared" si="77"/>
        <v>Unique</v>
      </c>
      <c r="AO704" s="9" t="str">
        <f t="shared" si="78"/>
        <v/>
      </c>
      <c r="AP704" s="9">
        <f t="shared" si="79"/>
        <v>0.1</v>
      </c>
      <c r="AQ704" s="10">
        <f t="shared" si="80"/>
        <v>2692.8180000000002</v>
      </c>
      <c r="AR704" s="10">
        <f t="shared" si="81"/>
        <v>872.73800000000028</v>
      </c>
      <c r="AS704" s="11">
        <f t="shared" si="82"/>
        <v>0.32409839803506968</v>
      </c>
      <c r="AT704" s="9">
        <f t="shared" si="83"/>
        <v>2</v>
      </c>
      <c r="AU704" s="9">
        <f t="shared" si="84"/>
        <v>2025</v>
      </c>
      <c r="AV704" s="9" t="b">
        <f t="shared" si="85"/>
        <v>0</v>
      </c>
      <c r="AW704" s="9" t="b">
        <f t="shared" si="86"/>
        <v>0</v>
      </c>
      <c r="AX704" s="9" t="str">
        <f t="shared" si="87"/>
        <v>Yes</v>
      </c>
      <c r="AY704" s="9" t="str">
        <f t="shared" si="93"/>
        <v/>
      </c>
      <c r="AZ704" s="9" t="str">
        <f>IF(OR(G704="Missing date",G704="Invalid date",G704="Ship date before order date",NOT(ISNUMBER(AP704)),AP704&lt;0,AP704&gt;0.5,AV704=TRUE,AW704=TRUE),"Invalid",IF(OR(O704="Unknown",Z704="Unknown",AC704="",AH704&lt;&gt;"Paid",AJ704&lt;&gt;"Completed",AO704&lt;&gt;""),"Warning","Clean"))</f>
        <v>Clean</v>
      </c>
    </row>
    <row r="705" spans="1:52" ht="15.75" customHeight="1">
      <c r="A705" s="6" t="s">
        <v>3390</v>
      </c>
      <c r="B705" s="7" t="s">
        <v>3391</v>
      </c>
      <c r="C705" s="7" t="str">
        <f t="shared" si="92"/>
        <v>2024-10</v>
      </c>
      <c r="D705" s="7" cm="1">
        <f t="array" ref="D705">_xlfn.LET(_xlpm.x,B705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45584</v>
      </c>
      <c r="E705" s="7" t="s">
        <v>2470</v>
      </c>
      <c r="F705" s="7" cm="1">
        <f t="array" ref="F705">_xlfn.LET(_xlpm.x,E705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45585</v>
      </c>
      <c r="G705" s="8" t="str">
        <f t="shared" si="64"/>
        <v>OK</v>
      </c>
      <c r="H705" s="6">
        <f t="shared" si="65"/>
        <v>1</v>
      </c>
      <c r="I705" s="6" t="s">
        <v>3392</v>
      </c>
      <c r="J705" s="6" t="s">
        <v>190</v>
      </c>
      <c r="K705" s="6" t="str">
        <f t="shared" si="66"/>
        <v>Aditi Sen</v>
      </c>
      <c r="L705" s="6" t="s">
        <v>45</v>
      </c>
      <c r="M705" s="8" t="str">
        <f t="shared" si="67"/>
        <v>Corporate</v>
      </c>
      <c r="N705" s="6" t="s">
        <v>7</v>
      </c>
      <c r="O705" s="6" t="str">
        <f t="shared" si="68"/>
        <v>North</v>
      </c>
      <c r="P705" s="6" t="s">
        <v>131</v>
      </c>
      <c r="Q705" s="6" t="str">
        <f t="shared" si="69"/>
        <v>Rajasthan</v>
      </c>
      <c r="R705" s="6" t="s">
        <v>132</v>
      </c>
      <c r="S705" s="6" t="str">
        <f t="shared" si="70"/>
        <v>Jaipur</v>
      </c>
      <c r="T705" s="6" t="s">
        <v>14</v>
      </c>
      <c r="U705" s="8" t="str">
        <f t="shared" si="71"/>
        <v>Furniture</v>
      </c>
      <c r="V705" s="6" t="s">
        <v>18</v>
      </c>
      <c r="W705" s="6" t="str">
        <f t="shared" si="72"/>
        <v>Tables</v>
      </c>
      <c r="X705" s="6" t="s">
        <v>3393</v>
      </c>
      <c r="Y705" s="6" t="s">
        <v>35</v>
      </c>
      <c r="Z705" s="6" t="str">
        <f t="shared" si="73"/>
        <v>First Class</v>
      </c>
      <c r="AA705" s="6">
        <v>1</v>
      </c>
      <c r="AB705" s="6">
        <v>1150.03</v>
      </c>
      <c r="AC705" s="6">
        <v>0.1</v>
      </c>
      <c r="AD705" s="6">
        <v>1035.03</v>
      </c>
      <c r="AE705" s="6">
        <v>854.35</v>
      </c>
      <c r="AF705" s="6">
        <v>180.68</v>
      </c>
      <c r="AG705" s="6" t="s">
        <v>52</v>
      </c>
      <c r="AH705" s="6" t="str">
        <f t="shared" si="74"/>
        <v>Paid</v>
      </c>
      <c r="AI705" s="6" t="s">
        <v>134</v>
      </c>
      <c r="AJ705" s="6" t="str">
        <f t="shared" si="75"/>
        <v>Completed</v>
      </c>
      <c r="AK705" s="9" t="str">
        <f>_xlfn.TEXTJOIN("|",FALSE,A705,TEXT(B705,"mm-dd-yyyy"),TEXT(E705,"mm-dd-yyyy"),I705,J705,L705,N705,P705,R705,T705,V705,X705,Y705,AA705,AB705,AC705,AD705,AE705,AF705,AG705,AI705)</f>
        <v>ORD-2024-10704|10-19-2024|10-20-2024|CUST-8734|Aditi Sen|Corporate|North|Rajasthan|Jaipur|Furniture|Tables|Classic Tables 997|First Class|1|1150.03|0.1|1035.03|854.35|180.68|Paid|Completed</v>
      </c>
      <c r="AL705" s="27" t="str">
        <f>IF(COUNTIF($AK$2:AK705,AK705)&gt;1,"Remove exact duplicate copy","Keep")</f>
        <v>Keep</v>
      </c>
      <c r="AM705" s="9">
        <f t="shared" si="76"/>
        <v>1</v>
      </c>
      <c r="AN705" s="9" t="str">
        <f t="shared" si="77"/>
        <v>Unique</v>
      </c>
      <c r="AO705" s="9" t="str">
        <f t="shared" si="78"/>
        <v/>
      </c>
      <c r="AP705" s="9">
        <f t="shared" si="79"/>
        <v>0.1</v>
      </c>
      <c r="AQ705" s="10">
        <f t="shared" si="80"/>
        <v>1035.027</v>
      </c>
      <c r="AR705" s="10">
        <f t="shared" si="81"/>
        <v>180.67700000000002</v>
      </c>
      <c r="AS705" s="11">
        <f t="shared" si="82"/>
        <v>0.1745625959516032</v>
      </c>
      <c r="AT705" s="9">
        <f t="shared" si="83"/>
        <v>10</v>
      </c>
      <c r="AU705" s="9">
        <f t="shared" si="84"/>
        <v>2024</v>
      </c>
      <c r="AV705" s="9" t="b">
        <f t="shared" si="85"/>
        <v>0</v>
      </c>
      <c r="AW705" s="9" t="b">
        <f t="shared" si="86"/>
        <v>0</v>
      </c>
      <c r="AX705" s="9" t="str">
        <f t="shared" si="87"/>
        <v>Yes</v>
      </c>
      <c r="AY705" s="9" t="str">
        <f t="shared" si="93"/>
        <v/>
      </c>
      <c r="AZ705" s="9" t="str">
        <f>IF(OR(G705="Missing date",G705="Invalid date",G705="Ship date before order date",NOT(ISNUMBER(AP705)),AP705&lt;0,AP705&gt;0.5,AV705=TRUE,AW705=TRUE),"Invalid",IF(OR(O705="Unknown",Z705="Unknown",AC705="",AH705&lt;&gt;"Paid",AJ705&lt;&gt;"Completed",AO705&lt;&gt;""),"Warning","Clean"))</f>
        <v>Clean</v>
      </c>
    </row>
    <row r="706" spans="1:52" ht="15.75" customHeight="1">
      <c r="A706" s="6" t="s">
        <v>3394</v>
      </c>
      <c r="B706" s="7" t="s">
        <v>1645</v>
      </c>
      <c r="C706" s="7" t="str">
        <f t="shared" ref="C706:C769" si="94">TEXT(D706, "yyyy-mm")</f>
        <v>2024-03</v>
      </c>
      <c r="D706" s="7" cm="1">
        <f t="array" ref="D706">_xlfn.LET(_xlpm.x,B706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45364</v>
      </c>
      <c r="E706" s="7" t="s">
        <v>3395</v>
      </c>
      <c r="F706" s="7" cm="1">
        <f t="array" ref="F706">_xlfn.LET(_xlpm.x,E706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45371</v>
      </c>
      <c r="G706" s="8" t="str">
        <f t="shared" si="64"/>
        <v>OK</v>
      </c>
      <c r="H706" s="6">
        <f t="shared" si="65"/>
        <v>7</v>
      </c>
      <c r="I706" s="6" t="s">
        <v>3396</v>
      </c>
      <c r="J706" s="6" t="s">
        <v>220</v>
      </c>
      <c r="K706" s="6" t="str">
        <f t="shared" si="66"/>
        <v>Priya Menon</v>
      </c>
      <c r="L706" s="6" t="s">
        <v>44</v>
      </c>
      <c r="M706" s="8" t="str">
        <f t="shared" si="67"/>
        <v>Home Office</v>
      </c>
      <c r="N706" s="6" t="s">
        <v>10</v>
      </c>
      <c r="O706" s="6" t="str">
        <f t="shared" si="68"/>
        <v>South</v>
      </c>
      <c r="P706" s="6" t="s">
        <v>413</v>
      </c>
      <c r="Q706" s="6" t="str">
        <f t="shared" si="69"/>
        <v>Tamil Nadu</v>
      </c>
      <c r="R706" s="6" t="s">
        <v>414</v>
      </c>
      <c r="S706" s="6" t="str">
        <f t="shared" si="70"/>
        <v>Chennai</v>
      </c>
      <c r="T706" s="6" t="s">
        <v>14</v>
      </c>
      <c r="U706" s="8" t="str">
        <f t="shared" si="71"/>
        <v>Furniture</v>
      </c>
      <c r="V706" s="6" t="s">
        <v>15</v>
      </c>
      <c r="W706" s="6" t="str">
        <f t="shared" si="72"/>
        <v>Bookcases</v>
      </c>
      <c r="X706" s="6" t="s">
        <v>3397</v>
      </c>
      <c r="Y706" s="6"/>
      <c r="Z706" s="6" t="str">
        <f t="shared" si="73"/>
        <v>Unknown</v>
      </c>
      <c r="AA706" s="6">
        <v>1</v>
      </c>
      <c r="AB706" s="6">
        <v>2825.63</v>
      </c>
      <c r="AC706" s="6">
        <v>0.15</v>
      </c>
      <c r="AD706" s="6">
        <v>2401.79</v>
      </c>
      <c r="AE706" s="6">
        <v>1820.34</v>
      </c>
      <c r="AF706" s="6">
        <v>581.45000000000005</v>
      </c>
      <c r="AG706" s="6" t="s">
        <v>52</v>
      </c>
      <c r="AH706" s="6" t="str">
        <f t="shared" si="74"/>
        <v>Paid</v>
      </c>
      <c r="AI706" s="6" t="s">
        <v>134</v>
      </c>
      <c r="AJ706" s="6" t="str">
        <f t="shared" si="75"/>
        <v>Completed</v>
      </c>
      <c r="AK706" s="9" t="str">
        <f>_xlfn.TEXTJOIN("|",FALSE,A706,TEXT(B706,"mm-dd-yyyy"),TEXT(E706,"mm-dd-yyyy"),I706,J706,L706,N706,P706,R706,T706,V706,X706,Y706,AA706,AB706,AC706,AD706,AE706,AF706,AG706,AI706)</f>
        <v>ORD-2024-10705|03-13-2024|03-20-2024|CUST-4916|Priya Menon|Home Office|South|Tamil Nadu|Chennai|Furniture|Bookcases|Max Bookcases 738||1|2825.63|0.15|2401.79|1820.34|581.45|Paid|Completed</v>
      </c>
      <c r="AL706" s="27" t="str">
        <f>IF(COUNTIF($AK$2:AK706,AK706)&gt;1,"Remove exact duplicate copy","Keep")</f>
        <v>Keep</v>
      </c>
      <c r="AM706" s="9">
        <f t="shared" si="76"/>
        <v>1</v>
      </c>
      <c r="AN706" s="9" t="str">
        <f t="shared" si="77"/>
        <v>Unique</v>
      </c>
      <c r="AO706" s="9" t="str">
        <f t="shared" si="78"/>
        <v/>
      </c>
      <c r="AP706" s="9">
        <f t="shared" si="79"/>
        <v>0.15</v>
      </c>
      <c r="AQ706" s="10">
        <f t="shared" si="80"/>
        <v>2401.7855</v>
      </c>
      <c r="AR706" s="10">
        <f t="shared" si="81"/>
        <v>581.44550000000004</v>
      </c>
      <c r="AS706" s="11">
        <f t="shared" si="82"/>
        <v>0.24208885431276025</v>
      </c>
      <c r="AT706" s="9">
        <f t="shared" si="83"/>
        <v>3</v>
      </c>
      <c r="AU706" s="9">
        <f t="shared" si="84"/>
        <v>2024</v>
      </c>
      <c r="AV706" s="9" t="b">
        <f t="shared" si="85"/>
        <v>0</v>
      </c>
      <c r="AW706" s="9" t="b">
        <f t="shared" si="86"/>
        <v>0</v>
      </c>
      <c r="AX706" s="9" t="str">
        <f t="shared" si="87"/>
        <v>Yes</v>
      </c>
      <c r="AY706" s="9" t="str">
        <f t="shared" si="93"/>
        <v>Missing ship mode filled as Unknown</v>
      </c>
      <c r="AZ706" s="9" t="str">
        <f>IF(OR(G706="Missing date",G706="Invalid date",G706="Ship date before order date",NOT(ISNUMBER(AP706)),AP706&lt;0,AP706&gt;0.5,AV706=TRUE,AW706=TRUE),"Invalid",IF(OR(O706="Unknown",Z706="Unknown",AC706="",AH706&lt;&gt;"Paid",AJ706&lt;&gt;"Completed",AO706&lt;&gt;""),"Warning","Clean"))</f>
        <v>Warning</v>
      </c>
    </row>
    <row r="707" spans="1:52" ht="15.75" customHeight="1">
      <c r="A707" s="6" t="s">
        <v>3398</v>
      </c>
      <c r="B707" s="7" t="s">
        <v>3399</v>
      </c>
      <c r="C707" s="7" t="str">
        <f t="shared" si="94"/>
        <v>2024-09</v>
      </c>
      <c r="D707" s="7" cm="1">
        <f t="array" ref="D707">_xlfn.LET(_xlpm.x,B707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45543</v>
      </c>
      <c r="E707" s="7" t="s">
        <v>3400</v>
      </c>
      <c r="F707" s="7" cm="1">
        <f t="array" ref="F707">_xlfn.LET(_xlpm.x,E707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45549</v>
      </c>
      <c r="G707" s="8" t="str">
        <f t="shared" si="64"/>
        <v>OK</v>
      </c>
      <c r="H707" s="6">
        <f t="shared" si="65"/>
        <v>6</v>
      </c>
      <c r="I707" s="6" t="s">
        <v>3401</v>
      </c>
      <c r="J707" s="6" t="s">
        <v>257</v>
      </c>
      <c r="K707" s="6" t="str">
        <f t="shared" si="66"/>
        <v>Rohan Mehta</v>
      </c>
      <c r="L707" s="6" t="s">
        <v>43</v>
      </c>
      <c r="M707" s="8" t="str">
        <f t="shared" si="67"/>
        <v>Consumer</v>
      </c>
      <c r="N707" s="6" t="s">
        <v>7</v>
      </c>
      <c r="O707" s="6" t="str">
        <f t="shared" si="68"/>
        <v>North</v>
      </c>
      <c r="P707" s="6" t="s">
        <v>131</v>
      </c>
      <c r="Q707" s="6" t="str">
        <f t="shared" si="69"/>
        <v>Rajasthan</v>
      </c>
      <c r="R707" s="6" t="s">
        <v>132</v>
      </c>
      <c r="S707" s="6" t="str">
        <f t="shared" si="70"/>
        <v>Jaipur</v>
      </c>
      <c r="T707" s="6" t="s">
        <v>20</v>
      </c>
      <c r="U707" s="8" t="str">
        <f t="shared" si="71"/>
        <v>Office Supplies</v>
      </c>
      <c r="V707" s="6" t="s">
        <v>22</v>
      </c>
      <c r="W707" s="6" t="str">
        <f t="shared" si="72"/>
        <v>Binders</v>
      </c>
      <c r="X707" s="6" t="s">
        <v>3402</v>
      </c>
      <c r="Y707" s="6" t="s">
        <v>34</v>
      </c>
      <c r="Z707" s="6" t="str">
        <f t="shared" si="73"/>
        <v>Standard Class</v>
      </c>
      <c r="AA707" s="6">
        <v>5</v>
      </c>
      <c r="AB707" s="6">
        <v>3371.75</v>
      </c>
      <c r="AC707" s="6">
        <v>0.05</v>
      </c>
      <c r="AD707" s="6">
        <v>16015.81</v>
      </c>
      <c r="AE707" s="6">
        <v>11352.38</v>
      </c>
      <c r="AF707" s="6">
        <v>4663.43</v>
      </c>
      <c r="AG707" s="6" t="s">
        <v>52</v>
      </c>
      <c r="AH707" s="6" t="str">
        <f t="shared" si="74"/>
        <v>Paid</v>
      </c>
      <c r="AI707" s="6" t="s">
        <v>134</v>
      </c>
      <c r="AJ707" s="6" t="str">
        <f t="shared" si="75"/>
        <v>Completed</v>
      </c>
      <c r="AK707" s="9" t="str">
        <f>_xlfn.TEXTJOIN("|",FALSE,A707,TEXT(B707,"mm-dd-yyyy"),TEXT(E707,"mm-dd-yyyy"),I707,J707,L707,N707,P707,R707,T707,V707,X707,Y707,AA707,AB707,AC707,AD707,AE707,AF707,AG707,AI707)</f>
        <v>ORD-2024-10706|09-08-2024|09-14-2024|CUST-3289|Rohan Mehta|Consumer|North|Rajasthan|Jaipur|Office Supplies|Binders|Max Binders 411|Standard Class|5|3371.75|0.05|16015.81|11352.38|4663.43|Paid|Completed</v>
      </c>
      <c r="AL707" s="27" t="str">
        <f>IF(COUNTIF($AK$2:AK707,AK707)&gt;1,"Remove exact duplicate copy","Keep")</f>
        <v>Keep</v>
      </c>
      <c r="AM707" s="9">
        <f t="shared" si="76"/>
        <v>1</v>
      </c>
      <c r="AN707" s="9" t="str">
        <f t="shared" si="77"/>
        <v>Unique</v>
      </c>
      <c r="AO707" s="9" t="str">
        <f t="shared" si="78"/>
        <v/>
      </c>
      <c r="AP707" s="9">
        <f t="shared" si="79"/>
        <v>0.05</v>
      </c>
      <c r="AQ707" s="10">
        <f t="shared" si="80"/>
        <v>16015.8125</v>
      </c>
      <c r="AR707" s="10">
        <f t="shared" si="81"/>
        <v>4663.4325000000008</v>
      </c>
      <c r="AS707" s="11">
        <f t="shared" si="82"/>
        <v>0.29117676671102394</v>
      </c>
      <c r="AT707" s="9">
        <f t="shared" si="83"/>
        <v>9</v>
      </c>
      <c r="AU707" s="9">
        <f t="shared" si="84"/>
        <v>2024</v>
      </c>
      <c r="AV707" s="9" t="b">
        <f t="shared" si="85"/>
        <v>0</v>
      </c>
      <c r="AW707" s="9" t="b">
        <f t="shared" si="86"/>
        <v>0</v>
      </c>
      <c r="AX707" s="9" t="str">
        <f t="shared" si="87"/>
        <v>Yes</v>
      </c>
      <c r="AY707" s="9" t="str">
        <f t="shared" ref="AY707:AY770" si="95">_xlfn.TEXTJOIN("; ",TRUE,IF(O707="Unknown","Missing region filled as Unknown",""),IF(Z707="Unknown","Missing ship mode filled as Unknown",""),IF(AND(AC707="",AP707=0),"Missing discount treated as 0",""),IF(AP707&lt;0,"Negative discount",""),IF(AP707&gt;0.5,"Discount above 50%",""),IF(G707="Ship date before order date","Ship date before order date",""),IF(AH707="Failed","Failed payment excluded",""),IF(AH707="Refunded","Refunded order summarized separately",""),IF(AJ707="Cancelled","Cancelled order excluded",""),IF(AJ707="Returned","Returned order excluded",""),IF(AO707&lt;&gt;"","Duplicate order ID conflict",""),IF(AV707=TRUE,"Sales mismatch",""),IF(AW707=TRUE,"Profit mismatch",""))</f>
        <v/>
      </c>
      <c r="AZ707" s="9" t="str">
        <f>IF(OR(G707="Missing date",G707="Invalid date",G707="Ship date before order date",NOT(ISNUMBER(AP707)),AP707&lt;0,AP707&gt;0.5,AV707=TRUE,AW707=TRUE),"Invalid",IF(OR(O707="Unknown",Z707="Unknown",AC707="",AH707&lt;&gt;"Paid",AJ707&lt;&gt;"Completed",AO707&lt;&gt;""),"Warning","Clean"))</f>
        <v>Clean</v>
      </c>
    </row>
    <row r="708" spans="1:52" ht="15.75" customHeight="1">
      <c r="A708" s="6" t="s">
        <v>3403</v>
      </c>
      <c r="B708" s="7" t="s">
        <v>3404</v>
      </c>
      <c r="C708" s="7" t="str">
        <f t="shared" si="94"/>
        <v>2024-06</v>
      </c>
      <c r="D708" s="7" cm="1">
        <f t="array" ref="D708">_xlfn.LET(_xlpm.x,B708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45467</v>
      </c>
      <c r="E708" s="7" t="s">
        <v>1126</v>
      </c>
      <c r="F708" s="7" cm="1">
        <f t="array" ref="F708">_xlfn.LET(_xlpm.x,E708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45471</v>
      </c>
      <c r="G708" s="8" t="str">
        <f t="shared" si="64"/>
        <v>OK</v>
      </c>
      <c r="H708" s="6">
        <f t="shared" si="65"/>
        <v>4</v>
      </c>
      <c r="I708" s="6" t="s">
        <v>3405</v>
      </c>
      <c r="J708" s="6" t="s">
        <v>147</v>
      </c>
      <c r="K708" s="6" t="str">
        <f t="shared" si="66"/>
        <v>Isha Nair</v>
      </c>
      <c r="L708" s="6" t="s">
        <v>46</v>
      </c>
      <c r="M708" s="8" t="str">
        <f t="shared" si="67"/>
        <v>Small Business</v>
      </c>
      <c r="N708" s="6" t="s">
        <v>8</v>
      </c>
      <c r="O708" s="6" t="str">
        <f t="shared" si="68"/>
        <v>East</v>
      </c>
      <c r="P708" s="6" t="s">
        <v>140</v>
      </c>
      <c r="Q708" s="6" t="str">
        <f t="shared" si="69"/>
        <v>Odisha</v>
      </c>
      <c r="R708" s="6" t="s">
        <v>141</v>
      </c>
      <c r="S708" s="6" t="str">
        <f t="shared" si="70"/>
        <v>Bhubaneswar</v>
      </c>
      <c r="T708" s="6" t="s">
        <v>20</v>
      </c>
      <c r="U708" s="8" t="str">
        <f t="shared" si="71"/>
        <v>Office Supplies</v>
      </c>
      <c r="V708" s="6" t="s">
        <v>24</v>
      </c>
      <c r="W708" s="6" t="str">
        <f t="shared" si="72"/>
        <v>Paper</v>
      </c>
      <c r="X708" s="6" t="s">
        <v>3406</v>
      </c>
      <c r="Y708" s="6" t="s">
        <v>37</v>
      </c>
      <c r="Z708" s="6" t="str">
        <f t="shared" si="73"/>
        <v>Same Day</v>
      </c>
      <c r="AA708" s="6">
        <v>1</v>
      </c>
      <c r="AB708" s="6">
        <v>2112.75</v>
      </c>
      <c r="AC708" s="6">
        <v>0.1</v>
      </c>
      <c r="AD708" s="6">
        <v>1901.48</v>
      </c>
      <c r="AE708" s="6">
        <v>1354.28</v>
      </c>
      <c r="AF708" s="6">
        <v>547.20000000000005</v>
      </c>
      <c r="AG708" s="6" t="s">
        <v>52</v>
      </c>
      <c r="AH708" s="6" t="str">
        <f t="shared" si="74"/>
        <v>Paid</v>
      </c>
      <c r="AI708" s="6" t="s">
        <v>134</v>
      </c>
      <c r="AJ708" s="6" t="str">
        <f t="shared" si="75"/>
        <v>Completed</v>
      </c>
      <c r="AK708" s="9" t="str">
        <f>_xlfn.TEXTJOIN("|",FALSE,A708,TEXT(B708,"mm-dd-yyyy"),TEXT(E708,"mm-dd-yyyy"),I708,J708,L708,N708,P708,R708,T708,V708,X708,Y708,AA708,AB708,AC708,AD708,AE708,AF708,AG708,AI708)</f>
        <v>ORD-2024-10707|24-06-2024|28-06-2024|CUST-4928|Isha Nair|Small Business|East|Odisha|Bhubaneswar|Office Supplies|Paper|Max Paper 343|Same Day|1|2112.75|0.1|1901.48|1354.28|547.2|Paid|Completed</v>
      </c>
      <c r="AL708" s="27" t="str">
        <f>IF(COUNTIF($AK$2:AK708,AK708)&gt;1,"Remove exact duplicate copy","Keep")</f>
        <v>Keep</v>
      </c>
      <c r="AM708" s="9">
        <f t="shared" si="76"/>
        <v>1</v>
      </c>
      <c r="AN708" s="9" t="str">
        <f t="shared" si="77"/>
        <v>Unique</v>
      </c>
      <c r="AO708" s="9" t="str">
        <f t="shared" si="78"/>
        <v/>
      </c>
      <c r="AP708" s="9">
        <f t="shared" si="79"/>
        <v>0.1</v>
      </c>
      <c r="AQ708" s="10">
        <f t="shared" si="80"/>
        <v>1901.4750000000001</v>
      </c>
      <c r="AR708" s="10">
        <f t="shared" si="81"/>
        <v>547.19500000000016</v>
      </c>
      <c r="AS708" s="11">
        <f t="shared" si="82"/>
        <v>0.28777396494826391</v>
      </c>
      <c r="AT708" s="9">
        <f t="shared" si="83"/>
        <v>6</v>
      </c>
      <c r="AU708" s="9">
        <f t="shared" si="84"/>
        <v>2024</v>
      </c>
      <c r="AV708" s="9" t="b">
        <f t="shared" si="85"/>
        <v>0</v>
      </c>
      <c r="AW708" s="9" t="b">
        <f t="shared" si="86"/>
        <v>0</v>
      </c>
      <c r="AX708" s="9" t="str">
        <f t="shared" si="87"/>
        <v>Yes</v>
      </c>
      <c r="AY708" s="9" t="str">
        <f t="shared" si="95"/>
        <v/>
      </c>
      <c r="AZ708" s="9" t="str">
        <f>IF(OR(G708="Missing date",G708="Invalid date",G708="Ship date before order date",NOT(ISNUMBER(AP708)),AP708&lt;0,AP708&gt;0.5,AV708=TRUE,AW708=TRUE),"Invalid",IF(OR(O708="Unknown",Z708="Unknown",AC708="",AH708&lt;&gt;"Paid",AJ708&lt;&gt;"Completed",AO708&lt;&gt;""),"Warning","Clean"))</f>
        <v>Clean</v>
      </c>
    </row>
    <row r="709" spans="1:52" ht="15.75" customHeight="1">
      <c r="A709" s="6" t="s">
        <v>3407</v>
      </c>
      <c r="B709" s="7" t="s">
        <v>3408</v>
      </c>
      <c r="C709" s="7" t="str">
        <f t="shared" si="94"/>
        <v>2025-06</v>
      </c>
      <c r="D709" s="7" cm="1">
        <f t="array" ref="D709">_xlfn.LET(_xlpm.x,B709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45832</v>
      </c>
      <c r="E709" s="7" t="s">
        <v>2461</v>
      </c>
      <c r="F709" s="7" cm="1">
        <f t="array" ref="F709">_xlfn.LET(_xlpm.x,E709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45834</v>
      </c>
      <c r="G709" s="8" t="str">
        <f t="shared" si="64"/>
        <v>OK</v>
      </c>
      <c r="H709" s="6">
        <f t="shared" si="65"/>
        <v>2</v>
      </c>
      <c r="I709" s="6" t="s">
        <v>3409</v>
      </c>
      <c r="J709" s="6" t="s">
        <v>169</v>
      </c>
      <c r="K709" s="6" t="str">
        <f t="shared" si="66"/>
        <v>Vikram Iyer</v>
      </c>
      <c r="L709" s="6" t="s">
        <v>43</v>
      </c>
      <c r="M709" s="8" t="str">
        <f t="shared" si="67"/>
        <v>Consumer</v>
      </c>
      <c r="N709" s="6" t="s">
        <v>7</v>
      </c>
      <c r="O709" s="6" t="str">
        <f t="shared" si="68"/>
        <v>North</v>
      </c>
      <c r="P709" s="6" t="s">
        <v>131</v>
      </c>
      <c r="Q709" s="6" t="str">
        <f t="shared" si="69"/>
        <v>Rajasthan</v>
      </c>
      <c r="R709" s="6" t="s">
        <v>132</v>
      </c>
      <c r="S709" s="6" t="str">
        <f t="shared" si="70"/>
        <v>Jaipur</v>
      </c>
      <c r="T709" s="6" t="s">
        <v>27</v>
      </c>
      <c r="U709" s="8" t="str">
        <f t="shared" si="71"/>
        <v>Technology</v>
      </c>
      <c r="V709" s="6" t="s">
        <v>2248</v>
      </c>
      <c r="W709" s="6" t="str">
        <f t="shared" si="72"/>
        <v>Accessories</v>
      </c>
      <c r="X709" s="6" t="s">
        <v>3410</v>
      </c>
      <c r="Y709" s="6" t="s">
        <v>37</v>
      </c>
      <c r="Z709" s="6" t="str">
        <f t="shared" si="73"/>
        <v>Same Day</v>
      </c>
      <c r="AA709" s="6">
        <v>5</v>
      </c>
      <c r="AB709" s="6">
        <v>3722.66</v>
      </c>
      <c r="AC709" s="6">
        <v>0.55000000000000004</v>
      </c>
      <c r="AD709" s="6">
        <v>16751.97</v>
      </c>
      <c r="AE709" s="6">
        <v>11678.32</v>
      </c>
      <c r="AF709" s="6">
        <v>5073.6499999999996</v>
      </c>
      <c r="AG709" s="6" t="s">
        <v>52</v>
      </c>
      <c r="AH709" s="6" t="str">
        <f t="shared" si="74"/>
        <v>Paid</v>
      </c>
      <c r="AI709" s="6" t="s">
        <v>134</v>
      </c>
      <c r="AJ709" s="6" t="str">
        <f t="shared" si="75"/>
        <v>Completed</v>
      </c>
      <c r="AK709" s="9" t="str">
        <f>_xlfn.TEXTJOIN("|",FALSE,A709,TEXT(B709,"mm-dd-yyyy"),TEXT(E709,"mm-dd-yyyy"),I709,J709,L709,N709,P709,R709,T709,V709,X709,Y709,AA709,AB709,AC709,AD709,AE709,AF709,AG709,AI709)</f>
        <v>ORD-2025-10708|24-06-2025|06-26-2025|CUST-4902|Vikram Iyer|Consumer|North|Rajasthan|Jaipur|Technology|  Accessories |Pro Accessories 485|Same Day|5|3722.66|0.55|16751.97|11678.32|5073.65|Paid|Completed</v>
      </c>
      <c r="AL709" s="27" t="str">
        <f>IF(COUNTIF($AK$2:AK709,AK709)&gt;1,"Remove exact duplicate copy","Keep")</f>
        <v>Keep</v>
      </c>
      <c r="AM709" s="9">
        <f t="shared" si="76"/>
        <v>1</v>
      </c>
      <c r="AN709" s="9" t="str">
        <f t="shared" si="77"/>
        <v>Unique</v>
      </c>
      <c r="AO709" s="9" t="str">
        <f t="shared" si="78"/>
        <v/>
      </c>
      <c r="AP709" s="9">
        <f t="shared" si="79"/>
        <v>0.55000000000000004</v>
      </c>
      <c r="AQ709" s="10">
        <f t="shared" si="80"/>
        <v>8375.9849999999988</v>
      </c>
      <c r="AR709" s="10">
        <f t="shared" si="81"/>
        <v>-3302.3350000000009</v>
      </c>
      <c r="AS709" s="11">
        <f t="shared" si="82"/>
        <v>-0.39426228676388525</v>
      </c>
      <c r="AT709" s="9">
        <f t="shared" si="83"/>
        <v>6</v>
      </c>
      <c r="AU709" s="9">
        <f t="shared" si="84"/>
        <v>2025</v>
      </c>
      <c r="AV709" s="9" t="b">
        <f t="shared" si="85"/>
        <v>1</v>
      </c>
      <c r="AW709" s="9" t="b">
        <f t="shared" si="86"/>
        <v>1</v>
      </c>
      <c r="AX709" s="9" t="str">
        <f t="shared" si="87"/>
        <v>No</v>
      </c>
      <c r="AY709" s="9" t="str">
        <f t="shared" si="95"/>
        <v>Discount above 50%; Sales mismatch; Profit mismatch</v>
      </c>
      <c r="AZ709" s="9" t="str">
        <f>IF(OR(G709="Missing date",G709="Invalid date",G709="Ship date before order date",NOT(ISNUMBER(AP709)),AP709&lt;0,AP709&gt;0.5,AV709=TRUE,AW709=TRUE),"Invalid",IF(OR(O709="Unknown",Z709="Unknown",AC709="",AH709&lt;&gt;"Paid",AJ709&lt;&gt;"Completed",AO709&lt;&gt;""),"Warning","Clean"))</f>
        <v>Invalid</v>
      </c>
    </row>
    <row r="710" spans="1:52" ht="15.75" customHeight="1">
      <c r="A710" s="6" t="s">
        <v>3411</v>
      </c>
      <c r="B710" s="7" t="s">
        <v>3412</v>
      </c>
      <c r="C710" s="7" t="str">
        <f t="shared" si="94"/>
        <v>2025-03</v>
      </c>
      <c r="D710" s="7" cm="1">
        <f t="array" ref="D710">_xlfn.LET(_xlpm.x,B710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45736</v>
      </c>
      <c r="E710" s="7" t="s">
        <v>3413</v>
      </c>
      <c r="F710" s="7" cm="1">
        <f t="array" ref="F710">_xlfn.LET(_xlpm.x,E710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45742</v>
      </c>
      <c r="G710" s="8" t="str">
        <f t="shared" si="64"/>
        <v>OK</v>
      </c>
      <c r="H710" s="6">
        <f t="shared" si="65"/>
        <v>6</v>
      </c>
      <c r="I710" s="6" t="s">
        <v>3414</v>
      </c>
      <c r="J710" s="6" t="s">
        <v>245</v>
      </c>
      <c r="K710" s="6" t="str">
        <f t="shared" si="66"/>
        <v>Sneha Kapoor</v>
      </c>
      <c r="L710" s="6" t="s">
        <v>43</v>
      </c>
      <c r="M710" s="8" t="str">
        <f t="shared" si="67"/>
        <v>Consumer</v>
      </c>
      <c r="N710" s="6" t="s">
        <v>8</v>
      </c>
      <c r="O710" s="6" t="str">
        <f t="shared" si="68"/>
        <v>East</v>
      </c>
      <c r="P710" s="6" t="s">
        <v>290</v>
      </c>
      <c r="Q710" s="6" t="str">
        <f t="shared" si="69"/>
        <v>Assam</v>
      </c>
      <c r="R710" s="6" t="s">
        <v>291</v>
      </c>
      <c r="S710" s="6" t="str">
        <f t="shared" si="70"/>
        <v>Guwahati</v>
      </c>
      <c r="T710" s="6" t="s">
        <v>14</v>
      </c>
      <c r="U710" s="8" t="str">
        <f t="shared" si="71"/>
        <v>Furniture</v>
      </c>
      <c r="V710" s="6" t="s">
        <v>15</v>
      </c>
      <c r="W710" s="6" t="str">
        <f t="shared" si="72"/>
        <v>Bookcases</v>
      </c>
      <c r="X710" s="6" t="s">
        <v>3415</v>
      </c>
      <c r="Y710" s="6" t="s">
        <v>35</v>
      </c>
      <c r="Z710" s="6" t="str">
        <f t="shared" si="73"/>
        <v>First Class</v>
      </c>
      <c r="AA710" s="6">
        <v>4</v>
      </c>
      <c r="AB710" s="6">
        <v>4357.66</v>
      </c>
      <c r="AC710" s="6">
        <v>0.05</v>
      </c>
      <c r="AD710" s="6">
        <v>16559.11</v>
      </c>
      <c r="AE710" s="6">
        <v>13233.79</v>
      </c>
      <c r="AF710" s="6">
        <v>3325.32</v>
      </c>
      <c r="AG710" s="6" t="s">
        <v>52</v>
      </c>
      <c r="AH710" s="6" t="str">
        <f t="shared" si="74"/>
        <v>Paid</v>
      </c>
      <c r="AI710" s="6" t="s">
        <v>134</v>
      </c>
      <c r="AJ710" s="6" t="str">
        <f t="shared" si="75"/>
        <v>Completed</v>
      </c>
      <c r="AK710" s="9" t="str">
        <f>_xlfn.TEXTJOIN("|",FALSE,A710,TEXT(B710,"mm-dd-yyyy"),TEXT(E710,"mm-dd-yyyy"),I710,J710,L710,N710,P710,R710,T710,V710,X710,Y710,AA710,AB710,AC710,AD710,AE710,AF710,AG710,AI710)</f>
        <v>ORD-2025-10709|03-20-2025|03-26-2025|CUST-6504|Sneha Kapoor|Consumer|East|Assam|Guwahati|Furniture|Bookcases|Elite Bookcases 113|First Class|4|4357.66|0.05|16559.11|13233.79|3325.32|Paid|Completed</v>
      </c>
      <c r="AL710" s="27" t="str">
        <f>IF(COUNTIF($AK$2:AK710,AK710)&gt;1,"Remove exact duplicate copy","Keep")</f>
        <v>Keep</v>
      </c>
      <c r="AM710" s="9">
        <f t="shared" si="76"/>
        <v>1</v>
      </c>
      <c r="AN710" s="9" t="str">
        <f t="shared" si="77"/>
        <v>Unique</v>
      </c>
      <c r="AO710" s="9" t="str">
        <f t="shared" si="78"/>
        <v/>
      </c>
      <c r="AP710" s="9">
        <f t="shared" si="79"/>
        <v>0.05</v>
      </c>
      <c r="AQ710" s="10">
        <f t="shared" si="80"/>
        <v>16559.108</v>
      </c>
      <c r="AR710" s="10">
        <f t="shared" si="81"/>
        <v>3325.3179999999993</v>
      </c>
      <c r="AS710" s="11">
        <f t="shared" si="82"/>
        <v>0.20081504390212318</v>
      </c>
      <c r="AT710" s="9">
        <f t="shared" si="83"/>
        <v>3</v>
      </c>
      <c r="AU710" s="9">
        <f t="shared" si="84"/>
        <v>2025</v>
      </c>
      <c r="AV710" s="9" t="b">
        <f t="shared" si="85"/>
        <v>0</v>
      </c>
      <c r="AW710" s="9" t="b">
        <f t="shared" si="86"/>
        <v>0</v>
      </c>
      <c r="AX710" s="9" t="str">
        <f t="shared" si="87"/>
        <v>Yes</v>
      </c>
      <c r="AY710" s="9" t="str">
        <f t="shared" si="95"/>
        <v/>
      </c>
      <c r="AZ710" s="9" t="str">
        <f>IF(OR(G710="Missing date",G710="Invalid date",G710="Ship date before order date",NOT(ISNUMBER(AP710)),AP710&lt;0,AP710&gt;0.5,AV710=TRUE,AW710=TRUE),"Invalid",IF(OR(O710="Unknown",Z710="Unknown",AC710="",AH710&lt;&gt;"Paid",AJ710&lt;&gt;"Completed",AO710&lt;&gt;""),"Warning","Clean"))</f>
        <v>Clean</v>
      </c>
    </row>
    <row r="711" spans="1:52" ht="15.75" customHeight="1">
      <c r="A711" s="6" t="s">
        <v>3416</v>
      </c>
      <c r="B711" s="7" t="s">
        <v>272</v>
      </c>
      <c r="C711" s="7" t="str">
        <f t="shared" si="94"/>
        <v>2025-01</v>
      </c>
      <c r="D711" s="7" cm="1">
        <f t="array" ref="D711">_xlfn.LET(_xlpm.x,B711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45676</v>
      </c>
      <c r="E711" s="7" t="s">
        <v>261</v>
      </c>
      <c r="F711" s="7" cm="1">
        <f t="array" ref="F711">_xlfn.LET(_xlpm.x,E711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45680</v>
      </c>
      <c r="G711" s="8" t="str">
        <f t="shared" si="64"/>
        <v>OK</v>
      </c>
      <c r="H711" s="6">
        <f t="shared" si="65"/>
        <v>4</v>
      </c>
      <c r="I711" s="6" t="s">
        <v>3417</v>
      </c>
      <c r="J711" s="6" t="s">
        <v>442</v>
      </c>
      <c r="K711" s="6" t="str">
        <f t="shared" si="66"/>
        <v>Kabir Singh</v>
      </c>
      <c r="L711" s="6" t="s">
        <v>44</v>
      </c>
      <c r="M711" s="8" t="str">
        <f t="shared" si="67"/>
        <v>Home Office</v>
      </c>
      <c r="N711" s="6" t="s">
        <v>7</v>
      </c>
      <c r="O711" s="6" t="str">
        <f t="shared" si="68"/>
        <v>North</v>
      </c>
      <c r="P711" s="6" t="s">
        <v>232</v>
      </c>
      <c r="Q711" s="6" t="str">
        <f t="shared" si="69"/>
        <v>Punjab</v>
      </c>
      <c r="R711" s="6" t="s">
        <v>233</v>
      </c>
      <c r="S711" s="6" t="str">
        <f t="shared" si="70"/>
        <v>Ludhiana</v>
      </c>
      <c r="T711" s="6" t="s">
        <v>27</v>
      </c>
      <c r="U711" s="8" t="str">
        <f t="shared" si="71"/>
        <v>Technology</v>
      </c>
      <c r="V711" s="6" t="s">
        <v>31</v>
      </c>
      <c r="W711" s="6" t="str">
        <f t="shared" si="72"/>
        <v>Phones</v>
      </c>
      <c r="X711" s="6" t="s">
        <v>3418</v>
      </c>
      <c r="Y711" s="6" t="s">
        <v>37</v>
      </c>
      <c r="Z711" s="6" t="str">
        <f t="shared" si="73"/>
        <v>Same Day</v>
      </c>
      <c r="AA711" s="6">
        <v>7</v>
      </c>
      <c r="AB711" s="6">
        <v>1363.04</v>
      </c>
      <c r="AC711" s="6">
        <v>0.15</v>
      </c>
      <c r="AD711" s="6">
        <v>8110.09</v>
      </c>
      <c r="AE711" s="6">
        <v>6417.32</v>
      </c>
      <c r="AF711" s="6">
        <v>1692.77</v>
      </c>
      <c r="AG711" s="6" t="s">
        <v>52</v>
      </c>
      <c r="AH711" s="6" t="str">
        <f t="shared" si="74"/>
        <v>Paid</v>
      </c>
      <c r="AI711" s="6" t="s">
        <v>58</v>
      </c>
      <c r="AJ711" s="6" t="str">
        <f t="shared" si="75"/>
        <v>Cancelled</v>
      </c>
      <c r="AK711" s="9" t="str">
        <f>_xlfn.TEXTJOIN("|",FALSE,A711,TEXT(B711,"mm-dd-yyyy"),TEXT(E711,"mm-dd-yyyy"),I711,J711,L711,N711,P711,R711,T711,V711,X711,Y711,AA711,AB711,AC711,AD711,AE711,AF711,AG711,AI711)</f>
        <v>ORD-2025-10710|01-19-2025|01-23-2025|CUST-8036|Kabir Singh|Home Office|North|Punjab|Ludhiana|Technology|Phones|Eco Phones 787|Same Day|7|1363.04|0.15|8110.09|6417.32|1692.77|Paid|Cancelled</v>
      </c>
      <c r="AL711" s="27" t="str">
        <f>IF(COUNTIF($AK$2:AK711,AK711)&gt;1,"Remove exact duplicate copy","Keep")</f>
        <v>Keep</v>
      </c>
      <c r="AM711" s="9">
        <f t="shared" si="76"/>
        <v>1</v>
      </c>
      <c r="AN711" s="9" t="str">
        <f t="shared" si="77"/>
        <v>Unique</v>
      </c>
      <c r="AO711" s="9" t="str">
        <f t="shared" si="78"/>
        <v/>
      </c>
      <c r="AP711" s="9">
        <f t="shared" si="79"/>
        <v>0.15</v>
      </c>
      <c r="AQ711" s="10">
        <f t="shared" si="80"/>
        <v>8110.0879999999988</v>
      </c>
      <c r="AR711" s="10">
        <f t="shared" si="81"/>
        <v>1692.7679999999991</v>
      </c>
      <c r="AS711" s="11">
        <f t="shared" si="82"/>
        <v>0.2087237524426368</v>
      </c>
      <c r="AT711" s="9">
        <f t="shared" si="83"/>
        <v>1</v>
      </c>
      <c r="AU711" s="9">
        <f t="shared" si="84"/>
        <v>2025</v>
      </c>
      <c r="AV711" s="9" t="b">
        <f t="shared" si="85"/>
        <v>0</v>
      </c>
      <c r="AW711" s="9" t="b">
        <f t="shared" si="86"/>
        <v>0</v>
      </c>
      <c r="AX711" s="9" t="str">
        <f t="shared" si="87"/>
        <v>No</v>
      </c>
      <c r="AY711" s="9" t="str">
        <f t="shared" si="95"/>
        <v>Cancelled order excluded</v>
      </c>
      <c r="AZ711" s="9" t="str">
        <f>IF(OR(G711="Missing date",G711="Invalid date",G711="Ship date before order date",NOT(ISNUMBER(AP711)),AP711&lt;0,AP711&gt;0.5,AV711=TRUE,AW711=TRUE),"Invalid",IF(OR(O711="Unknown",Z711="Unknown",AC711="",AH711&lt;&gt;"Paid",AJ711&lt;&gt;"Completed",AO711&lt;&gt;""),"Warning","Clean"))</f>
        <v>Warning</v>
      </c>
    </row>
    <row r="712" spans="1:52" ht="15.75" customHeight="1">
      <c r="A712" s="6" t="s">
        <v>3419</v>
      </c>
      <c r="B712" s="7" t="s">
        <v>3420</v>
      </c>
      <c r="C712" s="7" t="str">
        <f t="shared" si="94"/>
        <v>2024-07</v>
      </c>
      <c r="D712" s="7" cm="1">
        <f t="array" ref="D712">_xlfn.LET(_xlpm.x,B712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45485</v>
      </c>
      <c r="E712" s="7" t="s">
        <v>3421</v>
      </c>
      <c r="F712" s="7" cm="1">
        <f t="array" ref="F712">_xlfn.LET(_xlpm.x,E712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45492</v>
      </c>
      <c r="G712" s="8" t="str">
        <f t="shared" si="64"/>
        <v>OK</v>
      </c>
      <c r="H712" s="6">
        <f t="shared" si="65"/>
        <v>7</v>
      </c>
      <c r="I712" s="6" t="s">
        <v>3422</v>
      </c>
      <c r="J712" s="6" t="s">
        <v>169</v>
      </c>
      <c r="K712" s="6" t="str">
        <f t="shared" si="66"/>
        <v>Vikram Iyer</v>
      </c>
      <c r="L712" s="6" t="s">
        <v>45</v>
      </c>
      <c r="M712" s="8" t="str">
        <f t="shared" si="67"/>
        <v>Corporate</v>
      </c>
      <c r="N712" s="6" t="s">
        <v>7</v>
      </c>
      <c r="O712" s="6" t="str">
        <f t="shared" si="68"/>
        <v>North</v>
      </c>
      <c r="P712" s="6" t="s">
        <v>232</v>
      </c>
      <c r="Q712" s="6" t="str">
        <f t="shared" si="69"/>
        <v>Punjab</v>
      </c>
      <c r="R712" s="6" t="s">
        <v>233</v>
      </c>
      <c r="S712" s="6" t="str">
        <f t="shared" si="70"/>
        <v>Ludhiana</v>
      </c>
      <c r="T712" s="6" t="s">
        <v>20</v>
      </c>
      <c r="U712" s="8" t="str">
        <f t="shared" si="71"/>
        <v>Office Supplies</v>
      </c>
      <c r="V712" s="6" t="s">
        <v>21</v>
      </c>
      <c r="W712" s="6" t="str">
        <f t="shared" si="72"/>
        <v>Art</v>
      </c>
      <c r="X712" s="6" t="s">
        <v>3423</v>
      </c>
      <c r="Y712" s="6" t="s">
        <v>36</v>
      </c>
      <c r="Z712" s="6" t="str">
        <f t="shared" si="73"/>
        <v>Second Class</v>
      </c>
      <c r="AA712" s="6">
        <v>5</v>
      </c>
      <c r="AB712" s="6">
        <v>1559.16</v>
      </c>
      <c r="AC712" s="6">
        <v>0.05</v>
      </c>
      <c r="AD712" s="6">
        <v>7406.01</v>
      </c>
      <c r="AE712" s="6">
        <v>5941.74</v>
      </c>
      <c r="AF712" s="6">
        <v>1464.27</v>
      </c>
      <c r="AG712" s="6" t="s">
        <v>52</v>
      </c>
      <c r="AH712" s="6" t="str">
        <f t="shared" si="74"/>
        <v>Paid</v>
      </c>
      <c r="AI712" s="6" t="s">
        <v>134</v>
      </c>
      <c r="AJ712" s="6" t="str">
        <f t="shared" si="75"/>
        <v>Completed</v>
      </c>
      <c r="AK712" s="9" t="str">
        <f>_xlfn.TEXTJOIN("|",FALSE,A712,TEXT(B712,"mm-dd-yyyy"),TEXT(E712,"mm-dd-yyyy"),I712,J712,L712,N712,P712,R712,T712,V712,X712,Y712,AA712,AB712,AC712,AD712,AE712,AF712,AG712,AI712)</f>
        <v>ORD-2024-10711|07-12-2024|07-19-2024|CUST-7199|Vikram Iyer|Corporate|North|Punjab|Ludhiana|Office Supplies|Art|Smart Art 279|Second Class|5|1559.16|0.05|7406.01|5941.74|1464.27|Paid|Completed</v>
      </c>
      <c r="AL712" s="27" t="str">
        <f>IF(COUNTIF($AK$2:AK712,AK712)&gt;1,"Remove exact duplicate copy","Keep")</f>
        <v>Keep</v>
      </c>
      <c r="AM712" s="9">
        <f t="shared" si="76"/>
        <v>1</v>
      </c>
      <c r="AN712" s="9" t="str">
        <f t="shared" si="77"/>
        <v>Unique</v>
      </c>
      <c r="AO712" s="9" t="str">
        <f t="shared" si="78"/>
        <v/>
      </c>
      <c r="AP712" s="9">
        <f t="shared" si="79"/>
        <v>0.05</v>
      </c>
      <c r="AQ712" s="10">
        <f t="shared" si="80"/>
        <v>7406.01</v>
      </c>
      <c r="AR712" s="10">
        <f t="shared" si="81"/>
        <v>1464.2700000000004</v>
      </c>
      <c r="AS712" s="11">
        <f t="shared" si="82"/>
        <v>0.19771374869869207</v>
      </c>
      <c r="AT712" s="9">
        <f t="shared" si="83"/>
        <v>7</v>
      </c>
      <c r="AU712" s="9">
        <f t="shared" si="84"/>
        <v>2024</v>
      </c>
      <c r="AV712" s="9" t="b">
        <f t="shared" si="85"/>
        <v>0</v>
      </c>
      <c r="AW712" s="9" t="b">
        <f t="shared" si="86"/>
        <v>0</v>
      </c>
      <c r="AX712" s="9" t="str">
        <f t="shared" si="87"/>
        <v>Yes</v>
      </c>
      <c r="AY712" s="9" t="str">
        <f t="shared" si="95"/>
        <v/>
      </c>
      <c r="AZ712" s="9" t="str">
        <f>IF(OR(G712="Missing date",G712="Invalid date",G712="Ship date before order date",NOT(ISNUMBER(AP712)),AP712&lt;0,AP712&gt;0.5,AV712=TRUE,AW712=TRUE),"Invalid",IF(OR(O712="Unknown",Z712="Unknown",AC712="",AH712&lt;&gt;"Paid",AJ712&lt;&gt;"Completed",AO712&lt;&gt;""),"Warning","Clean"))</f>
        <v>Clean</v>
      </c>
    </row>
    <row r="713" spans="1:52" ht="15.75" customHeight="1">
      <c r="A713" s="6" t="s">
        <v>3424</v>
      </c>
      <c r="B713" s="7" t="s">
        <v>3425</v>
      </c>
      <c r="C713" s="7" t="str">
        <f t="shared" si="94"/>
        <v>2025-02</v>
      </c>
      <c r="D713" s="7" cm="1">
        <f t="array" ref="D713">_xlfn.LET(_xlpm.x,B713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45690</v>
      </c>
      <c r="E713" s="7" t="s">
        <v>3387</v>
      </c>
      <c r="F713" s="7" cm="1">
        <f t="array" ref="F713">_xlfn.LET(_xlpm.x,E713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45690</v>
      </c>
      <c r="G713" s="8" t="str">
        <f t="shared" si="64"/>
        <v>OK</v>
      </c>
      <c r="H713" s="6">
        <f t="shared" si="65"/>
        <v>0</v>
      </c>
      <c r="I713" s="6" t="s">
        <v>3426</v>
      </c>
      <c r="J713" s="6" t="s">
        <v>442</v>
      </c>
      <c r="K713" s="6" t="str">
        <f t="shared" si="66"/>
        <v>Kabir Singh</v>
      </c>
      <c r="L713" s="6" t="s">
        <v>45</v>
      </c>
      <c r="M713" s="8" t="str">
        <f t="shared" si="67"/>
        <v>Corporate</v>
      </c>
      <c r="N713" s="6" t="s">
        <v>8</v>
      </c>
      <c r="O713" s="6" t="str">
        <f t="shared" si="68"/>
        <v>East</v>
      </c>
      <c r="P713" s="6" t="s">
        <v>201</v>
      </c>
      <c r="Q713" s="6" t="str">
        <f t="shared" si="69"/>
        <v>West Bengal</v>
      </c>
      <c r="R713" s="6" t="s">
        <v>202</v>
      </c>
      <c r="S713" s="6" t="str">
        <f t="shared" si="70"/>
        <v>Kolkata</v>
      </c>
      <c r="T713" s="6" t="s">
        <v>27</v>
      </c>
      <c r="U713" s="8" t="str">
        <f t="shared" si="71"/>
        <v>Technology</v>
      </c>
      <c r="V713" s="6" t="s">
        <v>30</v>
      </c>
      <c r="W713" s="6" t="str">
        <f t="shared" si="72"/>
        <v>Machines</v>
      </c>
      <c r="X713" s="6" t="s">
        <v>3427</v>
      </c>
      <c r="Y713" s="6" t="s">
        <v>35</v>
      </c>
      <c r="Z713" s="6" t="str">
        <f t="shared" si="73"/>
        <v>First Class</v>
      </c>
      <c r="AA713" s="6">
        <v>1</v>
      </c>
      <c r="AB713" s="6">
        <v>4326.75</v>
      </c>
      <c r="AC713" s="6">
        <v>0.05</v>
      </c>
      <c r="AD713" s="6">
        <v>4110.41</v>
      </c>
      <c r="AE713" s="6">
        <v>2394.14</v>
      </c>
      <c r="AF713" s="6">
        <v>1716.27</v>
      </c>
      <c r="AG713" s="6" t="s">
        <v>54</v>
      </c>
      <c r="AH713" s="6" t="str">
        <f t="shared" si="74"/>
        <v>Pending</v>
      </c>
      <c r="AI713" s="6" t="s">
        <v>59</v>
      </c>
      <c r="AJ713" s="6" t="str">
        <f t="shared" si="75"/>
        <v>Returned</v>
      </c>
      <c r="AK713" s="9" t="str">
        <f>_xlfn.TEXTJOIN("|",FALSE,A713,TEXT(B713,"mm-dd-yyyy"),TEXT(E713,"mm-dd-yyyy"),I713,J713,L713,N713,P713,R713,T713,V713,X713,Y713,AA713,AB713,AC713,AD713,AE713,AF713,AG713,AI713)</f>
        <v>ORD-2025-10712|02-02-2025|02-02-2025|CUST-6176|Kabir Singh|Corporate|East|West Bengal|Kolkata|Technology|Machines|Basic Machines 172|First Class|1|4326.75|0.05|4110.41|2394.14|1716.27|Pending|Returned</v>
      </c>
      <c r="AL713" s="27" t="str">
        <f>IF(COUNTIF($AK$2:AK713,AK713)&gt;1,"Remove exact duplicate copy","Keep")</f>
        <v>Keep</v>
      </c>
      <c r="AM713" s="9">
        <f t="shared" si="76"/>
        <v>1</v>
      </c>
      <c r="AN713" s="9" t="str">
        <f t="shared" si="77"/>
        <v>Unique</v>
      </c>
      <c r="AO713" s="9" t="str">
        <f t="shared" si="78"/>
        <v/>
      </c>
      <c r="AP713" s="9">
        <f t="shared" si="79"/>
        <v>0.05</v>
      </c>
      <c r="AQ713" s="10">
        <f t="shared" si="80"/>
        <v>4110.4124999999995</v>
      </c>
      <c r="AR713" s="10">
        <f t="shared" si="81"/>
        <v>1716.2724999999996</v>
      </c>
      <c r="AS713" s="11">
        <f t="shared" si="82"/>
        <v>0.41754264322619683</v>
      </c>
      <c r="AT713" s="9">
        <f t="shared" si="83"/>
        <v>2</v>
      </c>
      <c r="AU713" s="9">
        <f t="shared" si="84"/>
        <v>2025</v>
      </c>
      <c r="AV713" s="9" t="b">
        <f t="shared" si="85"/>
        <v>0</v>
      </c>
      <c r="AW713" s="9" t="b">
        <f t="shared" si="86"/>
        <v>0</v>
      </c>
      <c r="AX713" s="9" t="str">
        <f t="shared" si="87"/>
        <v>No</v>
      </c>
      <c r="AY713" s="9" t="str">
        <f t="shared" si="95"/>
        <v>Returned order excluded</v>
      </c>
      <c r="AZ713" s="9" t="str">
        <f>IF(OR(G713="Missing date",G713="Invalid date",G713="Ship date before order date",NOT(ISNUMBER(AP713)),AP713&lt;0,AP713&gt;0.5,AV713=TRUE,AW713=TRUE),"Invalid",IF(OR(O713="Unknown",Z713="Unknown",AC713="",AH713&lt;&gt;"Paid",AJ713&lt;&gt;"Completed",AO713&lt;&gt;""),"Warning","Clean"))</f>
        <v>Warning</v>
      </c>
    </row>
    <row r="714" spans="1:52" ht="15.75" customHeight="1">
      <c r="A714" s="6" t="s">
        <v>3428</v>
      </c>
      <c r="B714" s="7" t="s">
        <v>2218</v>
      </c>
      <c r="C714" s="7" t="str">
        <f t="shared" si="94"/>
        <v>2024-02</v>
      </c>
      <c r="D714" s="7" cm="1">
        <f t="array" ref="D714">_xlfn.LET(_xlpm.x,B714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45332</v>
      </c>
      <c r="E714" s="7" t="s">
        <v>3429</v>
      </c>
      <c r="F714" s="7" cm="1">
        <f t="array" ref="F714">_xlfn.LET(_xlpm.x,E714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45340</v>
      </c>
      <c r="G714" s="8" t="str">
        <f t="shared" si="64"/>
        <v>OK</v>
      </c>
      <c r="H714" s="6">
        <f t="shared" si="65"/>
        <v>8</v>
      </c>
      <c r="I714" s="6" t="s">
        <v>3430</v>
      </c>
      <c r="J714" s="6" t="s">
        <v>147</v>
      </c>
      <c r="K714" s="6" t="str">
        <f t="shared" si="66"/>
        <v>Isha Nair</v>
      </c>
      <c r="L714" s="6" t="s">
        <v>44</v>
      </c>
      <c r="M714" s="8" t="str">
        <f t="shared" si="67"/>
        <v>Home Office</v>
      </c>
      <c r="N714" s="6" t="s">
        <v>9</v>
      </c>
      <c r="O714" s="6" t="str">
        <f t="shared" si="68"/>
        <v>West</v>
      </c>
      <c r="P714" s="6" t="s">
        <v>170</v>
      </c>
      <c r="Q714" s="6" t="str">
        <f t="shared" si="69"/>
        <v>Madhya Pradesh</v>
      </c>
      <c r="R714" s="6" t="s">
        <v>171</v>
      </c>
      <c r="S714" s="6" t="str">
        <f t="shared" si="70"/>
        <v>Indore</v>
      </c>
      <c r="T714" s="6" t="s">
        <v>14</v>
      </c>
      <c r="U714" s="8" t="str">
        <f t="shared" si="71"/>
        <v>Furniture</v>
      </c>
      <c r="V714" s="6" t="s">
        <v>16</v>
      </c>
      <c r="W714" s="6" t="str">
        <f t="shared" si="72"/>
        <v>Chairs</v>
      </c>
      <c r="X714" s="6" t="s">
        <v>3431</v>
      </c>
      <c r="Y714" s="6" t="s">
        <v>35</v>
      </c>
      <c r="Z714" s="6" t="str">
        <f t="shared" si="73"/>
        <v>First Class</v>
      </c>
      <c r="AA714" s="6">
        <v>7</v>
      </c>
      <c r="AB714" s="6">
        <v>1382.86</v>
      </c>
      <c r="AC714" s="6">
        <v>0</v>
      </c>
      <c r="AD714" s="6">
        <v>9680.02</v>
      </c>
      <c r="AE714" s="6">
        <v>6876.66</v>
      </c>
      <c r="AF714" s="6">
        <v>2803.36</v>
      </c>
      <c r="AG714" s="6" t="s">
        <v>52</v>
      </c>
      <c r="AH714" s="6" t="str">
        <f t="shared" si="74"/>
        <v>Paid</v>
      </c>
      <c r="AI714" s="6" t="s">
        <v>134</v>
      </c>
      <c r="AJ714" s="6" t="str">
        <f t="shared" si="75"/>
        <v>Completed</v>
      </c>
      <c r="AK714" s="9" t="str">
        <f>_xlfn.TEXTJOIN("|",FALSE,A714,TEXT(B714,"mm-dd-yyyy"),TEXT(E714,"mm-dd-yyyy"),I714,J714,L714,N714,P714,R714,T714,V714,X714,Y714,AA714,AB714,AC714,AD714,AE714,AF714,AG714,AI714)</f>
        <v>ORD-2024-10713|02-10-2024|02-18-2024|CUST-5127|Isha Nair|Home Office|West|Madhya Pradesh|Indore|Furniture|Chairs|Smart Chairs 259|First Class|7|1382.86|0|9680.02|6876.66|2803.36|Paid|Completed</v>
      </c>
      <c r="AL714" s="27" t="str">
        <f>IF(COUNTIF($AK$2:AK714,AK714)&gt;1,"Remove exact duplicate copy","Keep")</f>
        <v>Keep</v>
      </c>
      <c r="AM714" s="9">
        <f t="shared" si="76"/>
        <v>1</v>
      </c>
      <c r="AN714" s="9" t="str">
        <f t="shared" si="77"/>
        <v>Unique</v>
      </c>
      <c r="AO714" s="9" t="str">
        <f t="shared" si="78"/>
        <v/>
      </c>
      <c r="AP714" s="9">
        <f t="shared" si="79"/>
        <v>0</v>
      </c>
      <c r="AQ714" s="10">
        <f t="shared" si="80"/>
        <v>9680.0199999999986</v>
      </c>
      <c r="AR714" s="10">
        <f t="shared" si="81"/>
        <v>2803.3599999999988</v>
      </c>
      <c r="AS714" s="11">
        <f t="shared" si="82"/>
        <v>0.28960270743242256</v>
      </c>
      <c r="AT714" s="9">
        <f t="shared" si="83"/>
        <v>2</v>
      </c>
      <c r="AU714" s="9">
        <f t="shared" si="84"/>
        <v>2024</v>
      </c>
      <c r="AV714" s="9" t="b">
        <f t="shared" si="85"/>
        <v>0</v>
      </c>
      <c r="AW714" s="9" t="b">
        <f t="shared" si="86"/>
        <v>0</v>
      </c>
      <c r="AX714" s="9" t="str">
        <f t="shared" si="87"/>
        <v>Yes</v>
      </c>
      <c r="AY714" s="9" t="str">
        <f t="shared" si="95"/>
        <v/>
      </c>
      <c r="AZ714" s="9" t="str">
        <f>IF(OR(G714="Missing date",G714="Invalid date",G714="Ship date before order date",NOT(ISNUMBER(AP714)),AP714&lt;0,AP714&gt;0.5,AV714=TRUE,AW714=TRUE),"Invalid",IF(OR(O714="Unknown",Z714="Unknown",AC714="",AH714&lt;&gt;"Paid",AJ714&lt;&gt;"Completed",AO714&lt;&gt;""),"Warning","Clean"))</f>
        <v>Clean</v>
      </c>
    </row>
    <row r="715" spans="1:52" ht="15.75" customHeight="1">
      <c r="A715" s="6" t="s">
        <v>3432</v>
      </c>
      <c r="B715" s="7" t="s">
        <v>3433</v>
      </c>
      <c r="C715" s="7" t="str">
        <f t="shared" si="94"/>
        <v>2025-06</v>
      </c>
      <c r="D715" s="7" cm="1">
        <f t="array" ref="D715">_xlfn.LET(_xlpm.x,B715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45814</v>
      </c>
      <c r="E715" s="7" t="s">
        <v>3279</v>
      </c>
      <c r="F715" s="7" cm="1">
        <f t="array" ref="F715">_xlfn.LET(_xlpm.x,E715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45818</v>
      </c>
      <c r="G715" s="8" t="str">
        <f t="shared" si="64"/>
        <v>OK</v>
      </c>
      <c r="H715" s="6">
        <f t="shared" si="65"/>
        <v>4</v>
      </c>
      <c r="I715" s="6" t="s">
        <v>985</v>
      </c>
      <c r="J715" s="6" t="s">
        <v>139</v>
      </c>
      <c r="K715" s="6" t="str">
        <f t="shared" si="66"/>
        <v>Mira Das</v>
      </c>
      <c r="L715" s="6" t="s">
        <v>43</v>
      </c>
      <c r="M715" s="8" t="str">
        <f t="shared" si="67"/>
        <v>Consumer</v>
      </c>
      <c r="N715" s="6" t="s">
        <v>9</v>
      </c>
      <c r="O715" s="6" t="str">
        <f t="shared" si="68"/>
        <v>West</v>
      </c>
      <c r="P715" s="6" t="s">
        <v>131</v>
      </c>
      <c r="Q715" s="6" t="str">
        <f t="shared" si="69"/>
        <v>Rajasthan</v>
      </c>
      <c r="R715" s="6" t="s">
        <v>214</v>
      </c>
      <c r="S715" s="6" t="str">
        <f t="shared" si="70"/>
        <v>Udaipur</v>
      </c>
      <c r="T715" s="6" t="s">
        <v>27</v>
      </c>
      <c r="U715" s="8" t="str">
        <f t="shared" si="71"/>
        <v>Technology</v>
      </c>
      <c r="V715" s="6" t="s">
        <v>30</v>
      </c>
      <c r="W715" s="6" t="str">
        <f t="shared" si="72"/>
        <v>Machines</v>
      </c>
      <c r="X715" s="6" t="s">
        <v>3434</v>
      </c>
      <c r="Y715" s="6" t="s">
        <v>36</v>
      </c>
      <c r="Z715" s="6" t="str">
        <f t="shared" si="73"/>
        <v>Second Class</v>
      </c>
      <c r="AA715" s="6">
        <v>1</v>
      </c>
      <c r="AB715" s="6">
        <v>289.97000000000003</v>
      </c>
      <c r="AC715" s="6">
        <v>0.25</v>
      </c>
      <c r="AD715" s="6">
        <v>217.48</v>
      </c>
      <c r="AE715" s="6">
        <v>132.13</v>
      </c>
      <c r="AF715" s="6">
        <v>85.35</v>
      </c>
      <c r="AG715" s="6" t="s">
        <v>52</v>
      </c>
      <c r="AH715" s="6" t="str">
        <f t="shared" si="74"/>
        <v>Paid</v>
      </c>
      <c r="AI715" s="6" t="s">
        <v>134</v>
      </c>
      <c r="AJ715" s="6" t="str">
        <f t="shared" si="75"/>
        <v>Completed</v>
      </c>
      <c r="AK715" s="9" t="str">
        <f>_xlfn.TEXTJOIN("|",FALSE,A715,TEXT(B715,"mm-dd-yyyy"),TEXT(E715,"mm-dd-yyyy"),I715,J715,L715,N715,P715,R715,T715,V715,X715,Y715,AA715,AB715,AC715,AD715,AE715,AF715,AG715,AI715)</f>
        <v>ORD-2025-10714|06-06-2025|06-10-2025|CUST-2548|Mira Das|Consumer|West|Rajasthan|Udaipur|Technology|Machines|Pro Machines 987|Second Class|1|289.97|0.25|217.48|132.13|85.35|Paid|Completed</v>
      </c>
      <c r="AL715" s="27" t="str">
        <f>IF(COUNTIF($AK$2:AK715,AK715)&gt;1,"Remove exact duplicate copy","Keep")</f>
        <v>Keep</v>
      </c>
      <c r="AM715" s="9">
        <f t="shared" si="76"/>
        <v>1</v>
      </c>
      <c r="AN715" s="9" t="str">
        <f t="shared" si="77"/>
        <v>Unique</v>
      </c>
      <c r="AO715" s="9" t="str">
        <f t="shared" si="78"/>
        <v/>
      </c>
      <c r="AP715" s="9">
        <f t="shared" si="79"/>
        <v>0.25</v>
      </c>
      <c r="AQ715" s="10">
        <f t="shared" si="80"/>
        <v>217.47750000000002</v>
      </c>
      <c r="AR715" s="10">
        <f t="shared" si="81"/>
        <v>85.347500000000025</v>
      </c>
      <c r="AS715" s="11">
        <f t="shared" si="82"/>
        <v>0.39244289639158081</v>
      </c>
      <c r="AT715" s="9">
        <f t="shared" si="83"/>
        <v>6</v>
      </c>
      <c r="AU715" s="9">
        <f t="shared" si="84"/>
        <v>2025</v>
      </c>
      <c r="AV715" s="9" t="b">
        <f t="shared" si="85"/>
        <v>0</v>
      </c>
      <c r="AW715" s="9" t="b">
        <f t="shared" si="86"/>
        <v>0</v>
      </c>
      <c r="AX715" s="9" t="str">
        <f t="shared" si="87"/>
        <v>Yes</v>
      </c>
      <c r="AY715" s="9" t="str">
        <f t="shared" si="95"/>
        <v/>
      </c>
      <c r="AZ715" s="9" t="str">
        <f>IF(OR(G715="Missing date",G715="Invalid date",G715="Ship date before order date",NOT(ISNUMBER(AP715)),AP715&lt;0,AP715&gt;0.5,AV715=TRUE,AW715=TRUE),"Invalid",IF(OR(O715="Unknown",Z715="Unknown",AC715="",AH715&lt;&gt;"Paid",AJ715&lt;&gt;"Completed",AO715&lt;&gt;""),"Warning","Clean"))</f>
        <v>Clean</v>
      </c>
    </row>
    <row r="716" spans="1:52" ht="15.75" customHeight="1">
      <c r="A716" s="6" t="s">
        <v>3435</v>
      </c>
      <c r="B716" s="7" t="s">
        <v>2203</v>
      </c>
      <c r="C716" s="7" t="str">
        <f t="shared" si="94"/>
        <v>2025-03</v>
      </c>
      <c r="D716" s="7" cm="1">
        <f t="array" ref="D716">_xlfn.LET(_xlpm.x,B716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45738</v>
      </c>
      <c r="E716" s="7" t="s">
        <v>2321</v>
      </c>
      <c r="F716" s="7" cm="1">
        <f t="array" ref="F716">_xlfn.LET(_xlpm.x,E716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45739</v>
      </c>
      <c r="G716" s="8" t="str">
        <f t="shared" si="64"/>
        <v>OK</v>
      </c>
      <c r="H716" s="6">
        <f t="shared" si="65"/>
        <v>1</v>
      </c>
      <c r="I716" s="6" t="s">
        <v>3436</v>
      </c>
      <c r="J716" s="6" t="s">
        <v>129</v>
      </c>
      <c r="K716" s="6" t="str">
        <f t="shared" si="66"/>
        <v>Karan Malhotra</v>
      </c>
      <c r="L716" s="6" t="s">
        <v>44</v>
      </c>
      <c r="M716" s="8" t="str">
        <f t="shared" si="67"/>
        <v>Home Office</v>
      </c>
      <c r="N716" s="6" t="s">
        <v>7</v>
      </c>
      <c r="O716" s="6" t="str">
        <f t="shared" si="68"/>
        <v>North</v>
      </c>
      <c r="P716" s="6" t="s">
        <v>583</v>
      </c>
      <c r="Q716" s="6" t="str">
        <f t="shared" si="69"/>
        <v>Delhi</v>
      </c>
      <c r="R716" s="6" t="s">
        <v>584</v>
      </c>
      <c r="S716" s="6" t="str">
        <f t="shared" si="70"/>
        <v>New Delhi</v>
      </c>
      <c r="T716" s="6" t="s">
        <v>27</v>
      </c>
      <c r="U716" s="8" t="str">
        <f t="shared" si="71"/>
        <v>Technology</v>
      </c>
      <c r="V716" s="6" t="s">
        <v>29</v>
      </c>
      <c r="W716" s="6" t="str">
        <f t="shared" si="72"/>
        <v>Copiers</v>
      </c>
      <c r="X716" s="6" t="s">
        <v>3437</v>
      </c>
      <c r="Y716" s="6" t="s">
        <v>34</v>
      </c>
      <c r="Z716" s="6" t="str">
        <f t="shared" si="73"/>
        <v>Standard Class</v>
      </c>
      <c r="AA716" s="6">
        <v>9</v>
      </c>
      <c r="AB716" s="6">
        <v>2075.02</v>
      </c>
      <c r="AC716" s="6">
        <v>0</v>
      </c>
      <c r="AD716" s="6">
        <v>18675.18</v>
      </c>
      <c r="AE716" s="6">
        <v>13974.7</v>
      </c>
      <c r="AF716" s="6">
        <v>4700.4799999999996</v>
      </c>
      <c r="AG716" s="6" t="s">
        <v>52</v>
      </c>
      <c r="AH716" s="6" t="str">
        <f t="shared" si="74"/>
        <v>Paid</v>
      </c>
      <c r="AI716" s="6" t="s">
        <v>134</v>
      </c>
      <c r="AJ716" s="6" t="str">
        <f t="shared" si="75"/>
        <v>Completed</v>
      </c>
      <c r="AK716" s="9" t="str">
        <f>_xlfn.TEXTJOIN("|",FALSE,A716,TEXT(B716,"mm-dd-yyyy"),TEXT(E716,"mm-dd-yyyy"),I716,J716,L716,N716,P716,R716,T716,V716,X716,Y716,AA716,AB716,AC716,AD716,AE716,AF716,AG716,AI716)</f>
        <v>ORD-2025-10715|03-22-2025|03-23-2025|CUST-9902|Karan Malhotra|Home Office|North|Delhi|New Delhi|Technology|Copiers|Pro Copiers 206|Standard Class|9|2075.02|0|18675.18|13974.7|4700.48|Paid|Completed</v>
      </c>
      <c r="AL716" s="27" t="str">
        <f>IF(COUNTIF($AK$2:AK716,AK716)&gt;1,"Remove exact duplicate copy","Keep")</f>
        <v>Keep</v>
      </c>
      <c r="AM716" s="9">
        <f t="shared" si="76"/>
        <v>1</v>
      </c>
      <c r="AN716" s="9" t="str">
        <f t="shared" si="77"/>
        <v>Unique</v>
      </c>
      <c r="AO716" s="9" t="str">
        <f t="shared" si="78"/>
        <v/>
      </c>
      <c r="AP716" s="9">
        <f t="shared" si="79"/>
        <v>0</v>
      </c>
      <c r="AQ716" s="10">
        <f t="shared" si="80"/>
        <v>18675.18</v>
      </c>
      <c r="AR716" s="10">
        <f t="shared" si="81"/>
        <v>4700.4799999999996</v>
      </c>
      <c r="AS716" s="11">
        <f t="shared" si="82"/>
        <v>0.25169663692665878</v>
      </c>
      <c r="AT716" s="9">
        <f t="shared" si="83"/>
        <v>3</v>
      </c>
      <c r="AU716" s="9">
        <f t="shared" si="84"/>
        <v>2025</v>
      </c>
      <c r="AV716" s="9" t="b">
        <f t="shared" si="85"/>
        <v>0</v>
      </c>
      <c r="AW716" s="9" t="b">
        <f t="shared" si="86"/>
        <v>0</v>
      </c>
      <c r="AX716" s="9" t="str">
        <f t="shared" si="87"/>
        <v>Yes</v>
      </c>
      <c r="AY716" s="9" t="str">
        <f t="shared" si="95"/>
        <v/>
      </c>
      <c r="AZ716" s="9" t="str">
        <f>IF(OR(G716="Missing date",G716="Invalid date",G716="Ship date before order date",NOT(ISNUMBER(AP716)),AP716&lt;0,AP716&gt;0.5,AV716=TRUE,AW716=TRUE),"Invalid",IF(OR(O716="Unknown",Z716="Unknown",AC716="",AH716&lt;&gt;"Paid",AJ716&lt;&gt;"Completed",AO716&lt;&gt;""),"Warning","Clean"))</f>
        <v>Clean</v>
      </c>
    </row>
    <row r="717" spans="1:52" ht="15.75" customHeight="1">
      <c r="A717" s="6" t="s">
        <v>3438</v>
      </c>
      <c r="B717" s="7" t="s">
        <v>529</v>
      </c>
      <c r="C717" s="7" t="str">
        <f t="shared" si="94"/>
        <v>2025-08</v>
      </c>
      <c r="D717" s="7" cm="1">
        <f t="array" ref="D717">_xlfn.LET(_xlpm.x,B717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45891</v>
      </c>
      <c r="E717" s="7" t="s">
        <v>530</v>
      </c>
      <c r="F717" s="7" cm="1">
        <f t="array" ref="F717">_xlfn.LET(_xlpm.x,E717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45896</v>
      </c>
      <c r="G717" s="8" t="str">
        <f t="shared" si="64"/>
        <v>OK</v>
      </c>
      <c r="H717" s="6">
        <f t="shared" si="65"/>
        <v>5</v>
      </c>
      <c r="I717" s="6" t="s">
        <v>3439</v>
      </c>
      <c r="J717" s="6" t="s">
        <v>220</v>
      </c>
      <c r="K717" s="6" t="str">
        <f t="shared" si="66"/>
        <v>Priya Menon</v>
      </c>
      <c r="L717" s="6" t="s">
        <v>43</v>
      </c>
      <c r="M717" s="8" t="str">
        <f t="shared" si="67"/>
        <v>Consumer</v>
      </c>
      <c r="N717" s="6" t="s">
        <v>7</v>
      </c>
      <c r="O717" s="6" t="str">
        <f t="shared" si="68"/>
        <v>North</v>
      </c>
      <c r="P717" s="6" t="s">
        <v>397</v>
      </c>
      <c r="Q717" s="6" t="str">
        <f t="shared" si="69"/>
        <v>Haryana</v>
      </c>
      <c r="R717" s="6" t="s">
        <v>398</v>
      </c>
      <c r="S717" s="6" t="str">
        <f t="shared" si="70"/>
        <v>Gurugram</v>
      </c>
      <c r="T717" s="6" t="s">
        <v>14</v>
      </c>
      <c r="U717" s="8" t="str">
        <f t="shared" si="71"/>
        <v>Furniture</v>
      </c>
      <c r="V717" s="6" t="s">
        <v>16</v>
      </c>
      <c r="W717" s="6" t="str">
        <f t="shared" si="72"/>
        <v>Chairs</v>
      </c>
      <c r="X717" s="6" t="s">
        <v>3440</v>
      </c>
      <c r="Y717" s="6" t="s">
        <v>36</v>
      </c>
      <c r="Z717" s="6" t="str">
        <f t="shared" si="73"/>
        <v>Second Class</v>
      </c>
      <c r="AA717" s="6">
        <v>7</v>
      </c>
      <c r="AB717" s="6">
        <v>2843.09</v>
      </c>
      <c r="AC717" s="6">
        <v>0</v>
      </c>
      <c r="AD717" s="6">
        <v>19901.63</v>
      </c>
      <c r="AE717" s="6">
        <v>15492.03</v>
      </c>
      <c r="AF717" s="6">
        <v>4409.6000000000004</v>
      </c>
      <c r="AG717" s="6" t="s">
        <v>56</v>
      </c>
      <c r="AH717" s="6" t="str">
        <f t="shared" si="74"/>
        <v>Refunded</v>
      </c>
      <c r="AI717" s="6" t="s">
        <v>58</v>
      </c>
      <c r="AJ717" s="6" t="str">
        <f t="shared" si="75"/>
        <v>Cancelled</v>
      </c>
      <c r="AK717" s="9" t="str">
        <f>_xlfn.TEXTJOIN("|",FALSE,A717,TEXT(B717,"mm-dd-yyyy"),TEXT(E717,"mm-dd-yyyy"),I717,J717,L717,N717,P717,R717,T717,V717,X717,Y717,AA717,AB717,AC717,AD717,AE717,AF717,AG717,AI717)</f>
        <v>ORD-2025-10716|08-22-2025|08-27-2025|CUST-7446|Priya Menon|Consumer|North|Haryana|Gurugram|Furniture|Chairs|Max Chairs 372|Second Class|7|2843.09|0|19901.63|15492.03|4409.6|Refunded|Cancelled</v>
      </c>
      <c r="AL717" s="27" t="str">
        <f>IF(COUNTIF($AK$2:AK717,AK717)&gt;1,"Remove exact duplicate copy","Keep")</f>
        <v>Keep</v>
      </c>
      <c r="AM717" s="9">
        <f t="shared" si="76"/>
        <v>1</v>
      </c>
      <c r="AN717" s="9" t="str">
        <f t="shared" si="77"/>
        <v>Unique</v>
      </c>
      <c r="AO717" s="9" t="str">
        <f t="shared" si="78"/>
        <v/>
      </c>
      <c r="AP717" s="9">
        <f t="shared" si="79"/>
        <v>0</v>
      </c>
      <c r="AQ717" s="10">
        <f t="shared" si="80"/>
        <v>19901.63</v>
      </c>
      <c r="AR717" s="10">
        <f t="shared" si="81"/>
        <v>4409.6000000000004</v>
      </c>
      <c r="AS717" s="11">
        <f t="shared" si="82"/>
        <v>0.22156979101711771</v>
      </c>
      <c r="AT717" s="9">
        <f t="shared" si="83"/>
        <v>8</v>
      </c>
      <c r="AU717" s="9">
        <f t="shared" si="84"/>
        <v>2025</v>
      </c>
      <c r="AV717" s="9" t="b">
        <f t="shared" si="85"/>
        <v>0</v>
      </c>
      <c r="AW717" s="9" t="b">
        <f t="shared" si="86"/>
        <v>0</v>
      </c>
      <c r="AX717" s="9" t="str">
        <f t="shared" si="87"/>
        <v>No</v>
      </c>
      <c r="AY717" s="9" t="str">
        <f t="shared" si="95"/>
        <v>Refunded order summarized separately; Cancelled order excluded</v>
      </c>
      <c r="AZ717" s="9" t="str">
        <f>IF(OR(G717="Missing date",G717="Invalid date",G717="Ship date before order date",NOT(ISNUMBER(AP717)),AP717&lt;0,AP717&gt;0.5,AV717=TRUE,AW717=TRUE),"Invalid",IF(OR(O717="Unknown",Z717="Unknown",AC717="",AH717&lt;&gt;"Paid",AJ717&lt;&gt;"Completed",AO717&lt;&gt;""),"Warning","Clean"))</f>
        <v>Warning</v>
      </c>
    </row>
    <row r="718" spans="1:52" ht="15.75" customHeight="1">
      <c r="A718" s="6" t="s">
        <v>3441</v>
      </c>
      <c r="B718" s="7" t="s">
        <v>3442</v>
      </c>
      <c r="C718" s="7" t="str">
        <f t="shared" si="94"/>
        <v>2025-08</v>
      </c>
      <c r="D718" s="7" cm="1">
        <f t="array" ref="D718">_xlfn.LET(_xlpm.x,B718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45895</v>
      </c>
      <c r="E718" s="7" t="s">
        <v>277</v>
      </c>
      <c r="F718" s="7" cm="1">
        <f t="array" ref="F718">_xlfn.LET(_xlpm.x,E718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45900</v>
      </c>
      <c r="G718" s="8" t="str">
        <f t="shared" si="64"/>
        <v>OK</v>
      </c>
      <c r="H718" s="6">
        <f t="shared" si="65"/>
        <v>5</v>
      </c>
      <c r="I718" s="6" t="s">
        <v>3443</v>
      </c>
      <c r="J718" s="6" t="s">
        <v>284</v>
      </c>
      <c r="K718" s="6" t="str">
        <f t="shared" si="66"/>
        <v>Diya Patel</v>
      </c>
      <c r="L718" s="6" t="s">
        <v>46</v>
      </c>
      <c r="M718" s="8" t="str">
        <f t="shared" si="67"/>
        <v>Small Business</v>
      </c>
      <c r="N718" s="6" t="s">
        <v>7</v>
      </c>
      <c r="O718" s="6" t="str">
        <f t="shared" si="68"/>
        <v>North</v>
      </c>
      <c r="P718" s="6" t="s">
        <v>397</v>
      </c>
      <c r="Q718" s="6" t="str">
        <f t="shared" si="69"/>
        <v>Haryana</v>
      </c>
      <c r="R718" s="6" t="s">
        <v>398</v>
      </c>
      <c r="S718" s="6" t="str">
        <f t="shared" si="70"/>
        <v>Gurugram</v>
      </c>
      <c r="T718" s="6" t="s">
        <v>27</v>
      </c>
      <c r="U718" s="8" t="str">
        <f t="shared" si="71"/>
        <v>Technology</v>
      </c>
      <c r="V718" s="6" t="s">
        <v>31</v>
      </c>
      <c r="W718" s="6" t="str">
        <f t="shared" si="72"/>
        <v>Phones</v>
      </c>
      <c r="X718" s="6" t="s">
        <v>3444</v>
      </c>
      <c r="Y718" s="6" t="s">
        <v>35</v>
      </c>
      <c r="Z718" s="6" t="str">
        <f t="shared" si="73"/>
        <v>First Class</v>
      </c>
      <c r="AA718" s="6">
        <v>1</v>
      </c>
      <c r="AB718" s="6">
        <v>3388.02</v>
      </c>
      <c r="AC718" s="6">
        <v>0.15</v>
      </c>
      <c r="AD718" s="6">
        <v>2879.82</v>
      </c>
      <c r="AE718" s="6">
        <v>1824.88</v>
      </c>
      <c r="AF718" s="6">
        <v>1054.94</v>
      </c>
      <c r="AG718" s="6" t="s">
        <v>52</v>
      </c>
      <c r="AH718" s="6" t="str">
        <f t="shared" si="74"/>
        <v>Paid</v>
      </c>
      <c r="AI718" s="6" t="s">
        <v>134</v>
      </c>
      <c r="AJ718" s="6" t="str">
        <f t="shared" si="75"/>
        <v>Completed</v>
      </c>
      <c r="AK718" s="9" t="str">
        <f>_xlfn.TEXTJOIN("|",FALSE,A718,TEXT(B718,"mm-dd-yyyy"),TEXT(E718,"mm-dd-yyyy"),I718,J718,L718,N718,P718,R718,T718,V718,X718,Y718,AA718,AB718,AC718,AD718,AE718,AF718,AG718,AI718)</f>
        <v>ORD-2025-10717|08-26-2025|31-08-2025|CUST-7540|Diya Patel|Small Business|North|Haryana|Gurugram|Technology|Phones|Basic Phones 496|First Class|1|3388.02|0.15|2879.82|1824.88|1054.94|Paid|Completed</v>
      </c>
      <c r="AL718" s="27" t="str">
        <f>IF(COUNTIF($AK$2:AK718,AK718)&gt;1,"Remove exact duplicate copy","Keep")</f>
        <v>Keep</v>
      </c>
      <c r="AM718" s="9">
        <f t="shared" si="76"/>
        <v>1</v>
      </c>
      <c r="AN718" s="9" t="str">
        <f t="shared" si="77"/>
        <v>Unique</v>
      </c>
      <c r="AO718" s="9" t="str">
        <f t="shared" si="78"/>
        <v/>
      </c>
      <c r="AP718" s="9">
        <f t="shared" si="79"/>
        <v>0.15</v>
      </c>
      <c r="AQ718" s="10">
        <f t="shared" si="80"/>
        <v>2879.817</v>
      </c>
      <c r="AR718" s="10">
        <f t="shared" si="81"/>
        <v>1054.9369999999999</v>
      </c>
      <c r="AS718" s="11">
        <f t="shared" si="82"/>
        <v>0.3663208460815392</v>
      </c>
      <c r="AT718" s="9">
        <f t="shared" si="83"/>
        <v>8</v>
      </c>
      <c r="AU718" s="9">
        <f t="shared" si="84"/>
        <v>2025</v>
      </c>
      <c r="AV718" s="9" t="b">
        <f t="shared" si="85"/>
        <v>0</v>
      </c>
      <c r="AW718" s="9" t="b">
        <f t="shared" si="86"/>
        <v>0</v>
      </c>
      <c r="AX718" s="9" t="str">
        <f t="shared" si="87"/>
        <v>Yes</v>
      </c>
      <c r="AY718" s="9" t="str">
        <f t="shared" si="95"/>
        <v/>
      </c>
      <c r="AZ718" s="9" t="str">
        <f>IF(OR(G718="Missing date",G718="Invalid date",G718="Ship date before order date",NOT(ISNUMBER(AP718)),AP718&lt;0,AP718&gt;0.5,AV718=TRUE,AW718=TRUE),"Invalid",IF(OR(O718="Unknown",Z718="Unknown",AC718="",AH718&lt;&gt;"Paid",AJ718&lt;&gt;"Completed",AO718&lt;&gt;""),"Warning","Clean"))</f>
        <v>Clean</v>
      </c>
    </row>
    <row r="719" spans="1:52" ht="15.75" customHeight="1">
      <c r="A719" s="6" t="s">
        <v>3445</v>
      </c>
      <c r="B719" s="7" t="s">
        <v>3446</v>
      </c>
      <c r="C719" s="7" t="str">
        <f t="shared" si="94"/>
        <v>2025-10</v>
      </c>
      <c r="D719" s="7" cm="1">
        <f t="array" ref="D719">_xlfn.LET(_xlpm.x,B719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45942</v>
      </c>
      <c r="E719" s="7" t="s">
        <v>383</v>
      </c>
      <c r="F719" s="7" cm="1">
        <f t="array" ref="F719">_xlfn.LET(_xlpm.x,E719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45945</v>
      </c>
      <c r="G719" s="8" t="str">
        <f t="shared" si="64"/>
        <v>OK</v>
      </c>
      <c r="H719" s="6">
        <f t="shared" si="65"/>
        <v>3</v>
      </c>
      <c r="I719" s="6" t="s">
        <v>3447</v>
      </c>
      <c r="J719" s="6" t="s">
        <v>442</v>
      </c>
      <c r="K719" s="6" t="str">
        <f t="shared" si="66"/>
        <v>Kabir Singh</v>
      </c>
      <c r="L719" s="6" t="s">
        <v>46</v>
      </c>
      <c r="M719" s="8" t="str">
        <f t="shared" si="67"/>
        <v>Small Business</v>
      </c>
      <c r="N719" s="6" t="s">
        <v>7</v>
      </c>
      <c r="O719" s="6" t="str">
        <f t="shared" si="68"/>
        <v>North</v>
      </c>
      <c r="P719" s="6" t="s">
        <v>397</v>
      </c>
      <c r="Q719" s="6" t="str">
        <f t="shared" si="69"/>
        <v>Haryana</v>
      </c>
      <c r="R719" s="6" t="s">
        <v>398</v>
      </c>
      <c r="S719" s="6" t="str">
        <f t="shared" si="70"/>
        <v>Gurugram</v>
      </c>
      <c r="T719" s="6" t="s">
        <v>27</v>
      </c>
      <c r="U719" s="8" t="str">
        <f t="shared" si="71"/>
        <v>Technology</v>
      </c>
      <c r="V719" s="6" t="s">
        <v>30</v>
      </c>
      <c r="W719" s="6" t="str">
        <f t="shared" si="72"/>
        <v>Machines</v>
      </c>
      <c r="X719" s="6" t="s">
        <v>3448</v>
      </c>
      <c r="Y719" s="6" t="s">
        <v>34</v>
      </c>
      <c r="Z719" s="6" t="str">
        <f t="shared" si="73"/>
        <v>Standard Class</v>
      </c>
      <c r="AA719" s="6">
        <v>9</v>
      </c>
      <c r="AB719" s="6">
        <v>2598.92</v>
      </c>
      <c r="AC719" s="6">
        <v>0.2</v>
      </c>
      <c r="AD719" s="6">
        <v>18712.22</v>
      </c>
      <c r="AE719" s="6">
        <v>11852.22</v>
      </c>
      <c r="AF719" s="6">
        <v>6860</v>
      </c>
      <c r="AG719" s="6" t="s">
        <v>54</v>
      </c>
      <c r="AH719" s="6" t="str">
        <f t="shared" si="74"/>
        <v>Pending</v>
      </c>
      <c r="AI719" s="6" t="s">
        <v>58</v>
      </c>
      <c r="AJ719" s="6" t="str">
        <f t="shared" si="75"/>
        <v>Cancelled</v>
      </c>
      <c r="AK719" s="9" t="str">
        <f>_xlfn.TEXTJOIN("|",FALSE,A719,TEXT(B719,"mm-dd-yyyy"),TEXT(E719,"mm-dd-yyyy"),I719,J719,L719,N719,P719,R719,T719,V719,X719,Y719,AA719,AB719,AC719,AD719,AE719,AF719,AG719,AI719)</f>
        <v>ORD-2025-10718|12-10-2025|10-15-2025|CUST-8351|Kabir Singh|Small Business|North|Haryana|Gurugram|Technology|Machines|Prime Machines 612|Standard Class|9|2598.92|0.2|18712.22|11852.22|6860|Pending|Cancelled</v>
      </c>
      <c r="AL719" s="27" t="str">
        <f>IF(COUNTIF($AK$2:AK719,AK719)&gt;1,"Remove exact duplicate copy","Keep")</f>
        <v>Keep</v>
      </c>
      <c r="AM719" s="9">
        <f t="shared" si="76"/>
        <v>1</v>
      </c>
      <c r="AN719" s="9" t="str">
        <f t="shared" si="77"/>
        <v>Unique</v>
      </c>
      <c r="AO719" s="9" t="str">
        <f t="shared" si="78"/>
        <v/>
      </c>
      <c r="AP719" s="9">
        <f t="shared" si="79"/>
        <v>0.2</v>
      </c>
      <c r="AQ719" s="10">
        <f t="shared" si="80"/>
        <v>18712.223999999998</v>
      </c>
      <c r="AR719" s="10">
        <f t="shared" si="81"/>
        <v>6860.003999999999</v>
      </c>
      <c r="AS719" s="11">
        <f t="shared" si="82"/>
        <v>0.3666054874075898</v>
      </c>
      <c r="AT719" s="9">
        <f t="shared" si="83"/>
        <v>10</v>
      </c>
      <c r="AU719" s="9">
        <f t="shared" si="84"/>
        <v>2025</v>
      </c>
      <c r="AV719" s="9" t="b">
        <f t="shared" si="85"/>
        <v>0</v>
      </c>
      <c r="AW719" s="9" t="b">
        <f t="shared" si="86"/>
        <v>0</v>
      </c>
      <c r="AX719" s="9" t="str">
        <f t="shared" si="87"/>
        <v>No</v>
      </c>
      <c r="AY719" s="9" t="str">
        <f t="shared" si="95"/>
        <v>Cancelled order excluded</v>
      </c>
      <c r="AZ719" s="9" t="str">
        <f>IF(OR(G719="Missing date",G719="Invalid date",G719="Ship date before order date",NOT(ISNUMBER(AP719)),AP719&lt;0,AP719&gt;0.5,AV719=TRUE,AW719=TRUE),"Invalid",IF(OR(O719="Unknown",Z719="Unknown",AC719="",AH719&lt;&gt;"Paid",AJ719&lt;&gt;"Completed",AO719&lt;&gt;""),"Warning","Clean"))</f>
        <v>Warning</v>
      </c>
    </row>
    <row r="720" spans="1:52" ht="15.75" customHeight="1">
      <c r="A720" s="6" t="s">
        <v>3449</v>
      </c>
      <c r="B720" s="7" t="s">
        <v>3450</v>
      </c>
      <c r="C720" s="7" t="str">
        <f t="shared" si="94"/>
        <v>2024-09</v>
      </c>
      <c r="D720" s="7" cm="1">
        <f t="array" ref="D720">_xlfn.LET(_xlpm.x,B720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45541</v>
      </c>
      <c r="E720" s="7" t="s">
        <v>959</v>
      </c>
      <c r="F720" s="7" cm="1">
        <f t="array" ref="F720">_xlfn.LET(_xlpm.x,E720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45544</v>
      </c>
      <c r="G720" s="8" t="str">
        <f t="shared" si="64"/>
        <v>OK</v>
      </c>
      <c r="H720" s="6">
        <f t="shared" si="65"/>
        <v>3</v>
      </c>
      <c r="I720" s="6" t="s">
        <v>3451</v>
      </c>
      <c r="J720" s="6" t="s">
        <v>139</v>
      </c>
      <c r="K720" s="6" t="str">
        <f t="shared" si="66"/>
        <v>Mira Das</v>
      </c>
      <c r="L720" s="6" t="s">
        <v>43</v>
      </c>
      <c r="M720" s="8" t="str">
        <f t="shared" si="67"/>
        <v>Consumer</v>
      </c>
      <c r="N720" s="6" t="s">
        <v>9</v>
      </c>
      <c r="O720" s="6" t="str">
        <f t="shared" si="68"/>
        <v>West</v>
      </c>
      <c r="P720" s="6" t="s">
        <v>162</v>
      </c>
      <c r="Q720" s="6" t="str">
        <f t="shared" si="69"/>
        <v>Maharashtra</v>
      </c>
      <c r="R720" s="6" t="s">
        <v>163</v>
      </c>
      <c r="S720" s="6" t="str">
        <f t="shared" si="70"/>
        <v>Mumbai</v>
      </c>
      <c r="T720" s="6" t="s">
        <v>20</v>
      </c>
      <c r="U720" s="8" t="str">
        <f t="shared" si="71"/>
        <v>Office Supplies</v>
      </c>
      <c r="V720" s="6" t="s">
        <v>21</v>
      </c>
      <c r="W720" s="6" t="str">
        <f t="shared" si="72"/>
        <v>Art</v>
      </c>
      <c r="X720" s="6" t="s">
        <v>3452</v>
      </c>
      <c r="Y720" s="6" t="s">
        <v>37</v>
      </c>
      <c r="Z720" s="6" t="str">
        <f t="shared" si="73"/>
        <v>Same Day</v>
      </c>
      <c r="AA720" s="6">
        <v>3</v>
      </c>
      <c r="AB720" s="6">
        <v>1972.27</v>
      </c>
      <c r="AC720" s="6">
        <v>0.2</v>
      </c>
      <c r="AD720" s="6">
        <v>4733.45</v>
      </c>
      <c r="AE720" s="6">
        <v>3672.32</v>
      </c>
      <c r="AF720" s="6">
        <v>1061.1300000000001</v>
      </c>
      <c r="AG720" s="6" t="s">
        <v>52</v>
      </c>
      <c r="AH720" s="6" t="str">
        <f t="shared" si="74"/>
        <v>Paid</v>
      </c>
      <c r="AI720" s="6" t="s">
        <v>134</v>
      </c>
      <c r="AJ720" s="6" t="str">
        <f t="shared" si="75"/>
        <v>Completed</v>
      </c>
      <c r="AK720" s="9" t="str">
        <f>_xlfn.TEXTJOIN("|",FALSE,A720,TEXT(B720,"mm-dd-yyyy"),TEXT(E720,"mm-dd-yyyy"),I720,J720,L720,N720,P720,R720,T720,V720,X720,Y720,AA720,AB720,AC720,AD720,AE720,AF720,AG720,AI720)</f>
        <v>ORD-2024-10719|09-06-2024|09-09-2024|CUST-3918|Mira Das|Consumer|West|Maharashtra|Mumbai|Office Supplies|Art|Smart Art 866|Same Day|3|1972.27|0.2|4733.45|3672.32|1061.13|Paid|Completed</v>
      </c>
      <c r="AL720" s="27" t="str">
        <f>IF(COUNTIF($AK$2:AK720,AK720)&gt;1,"Remove exact duplicate copy","Keep")</f>
        <v>Keep</v>
      </c>
      <c r="AM720" s="9">
        <f t="shared" si="76"/>
        <v>1</v>
      </c>
      <c r="AN720" s="9" t="str">
        <f t="shared" si="77"/>
        <v>Unique</v>
      </c>
      <c r="AO720" s="9" t="str">
        <f t="shared" si="78"/>
        <v/>
      </c>
      <c r="AP720" s="9">
        <f t="shared" si="79"/>
        <v>0.2</v>
      </c>
      <c r="AQ720" s="10">
        <f t="shared" si="80"/>
        <v>4733.4479999999994</v>
      </c>
      <c r="AR720" s="10">
        <f t="shared" si="81"/>
        <v>1061.1279999999992</v>
      </c>
      <c r="AS720" s="11">
        <f t="shared" si="82"/>
        <v>0.22417654107534282</v>
      </c>
      <c r="AT720" s="9">
        <f t="shared" si="83"/>
        <v>9</v>
      </c>
      <c r="AU720" s="9">
        <f t="shared" si="84"/>
        <v>2024</v>
      </c>
      <c r="AV720" s="9" t="b">
        <f t="shared" si="85"/>
        <v>0</v>
      </c>
      <c r="AW720" s="9" t="b">
        <f t="shared" si="86"/>
        <v>0</v>
      </c>
      <c r="AX720" s="9" t="str">
        <f t="shared" si="87"/>
        <v>Yes</v>
      </c>
      <c r="AY720" s="9" t="str">
        <f t="shared" si="95"/>
        <v/>
      </c>
      <c r="AZ720" s="9" t="str">
        <f>IF(OR(G720="Missing date",G720="Invalid date",G720="Ship date before order date",NOT(ISNUMBER(AP720)),AP720&lt;0,AP720&gt;0.5,AV720=TRUE,AW720=TRUE),"Invalid",IF(OR(O720="Unknown",Z720="Unknown",AC720="",AH720&lt;&gt;"Paid",AJ720&lt;&gt;"Completed",AO720&lt;&gt;""),"Warning","Clean"))</f>
        <v>Clean</v>
      </c>
    </row>
    <row r="721" spans="1:52" ht="15.75" customHeight="1">
      <c r="A721" s="6" t="s">
        <v>3453</v>
      </c>
      <c r="B721" s="7" t="s">
        <v>1811</v>
      </c>
      <c r="C721" s="7" t="str">
        <f t="shared" si="94"/>
        <v>2025-09</v>
      </c>
      <c r="D721" s="7" cm="1">
        <f t="array" ref="D721">_xlfn.LET(_xlpm.x,B721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45908</v>
      </c>
      <c r="E721" s="7" t="s">
        <v>1812</v>
      </c>
      <c r="F721" s="7" cm="1">
        <f t="array" ref="F721">_xlfn.LET(_xlpm.x,E721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45909</v>
      </c>
      <c r="G721" s="8" t="str">
        <f t="shared" si="64"/>
        <v>OK</v>
      </c>
      <c r="H721" s="6">
        <f t="shared" si="65"/>
        <v>1</v>
      </c>
      <c r="I721" s="6" t="s">
        <v>262</v>
      </c>
      <c r="J721" s="6" t="s">
        <v>442</v>
      </c>
      <c r="K721" s="6" t="str">
        <f t="shared" si="66"/>
        <v>Kabir Singh</v>
      </c>
      <c r="L721" s="6" t="s">
        <v>45</v>
      </c>
      <c r="M721" s="8" t="str">
        <f t="shared" si="67"/>
        <v>Corporate</v>
      </c>
      <c r="N721" s="6" t="s">
        <v>9</v>
      </c>
      <c r="O721" s="6" t="str">
        <f t="shared" si="68"/>
        <v>West</v>
      </c>
      <c r="P721" s="6" t="s">
        <v>309</v>
      </c>
      <c r="Q721" s="6" t="str">
        <f t="shared" si="69"/>
        <v>Gujarat</v>
      </c>
      <c r="R721" s="6" t="s">
        <v>310</v>
      </c>
      <c r="S721" s="6" t="str">
        <f t="shared" si="70"/>
        <v>Ahmedabad</v>
      </c>
      <c r="T721" s="6" t="s">
        <v>20</v>
      </c>
      <c r="U721" s="8" t="str">
        <f t="shared" si="71"/>
        <v>Office Supplies</v>
      </c>
      <c r="V721" s="6" t="s">
        <v>21</v>
      </c>
      <c r="W721" s="6" t="str">
        <f t="shared" si="72"/>
        <v>Art</v>
      </c>
      <c r="X721" s="6" t="s">
        <v>3454</v>
      </c>
      <c r="Y721" s="6" t="s">
        <v>37</v>
      </c>
      <c r="Z721" s="6" t="str">
        <f t="shared" si="73"/>
        <v>Same Day</v>
      </c>
      <c r="AA721" s="6">
        <v>2</v>
      </c>
      <c r="AB721" s="6">
        <v>2372.41</v>
      </c>
      <c r="AC721" s="6">
        <v>0.2</v>
      </c>
      <c r="AD721" s="6">
        <v>3795.86</v>
      </c>
      <c r="AE721" s="6">
        <v>2264.92</v>
      </c>
      <c r="AF721" s="6">
        <v>1530.94</v>
      </c>
      <c r="AG721" s="6" t="s">
        <v>52</v>
      </c>
      <c r="AH721" s="6" t="str">
        <f t="shared" si="74"/>
        <v>Paid</v>
      </c>
      <c r="AI721" s="6" t="s">
        <v>134</v>
      </c>
      <c r="AJ721" s="6" t="str">
        <f t="shared" si="75"/>
        <v>Completed</v>
      </c>
      <c r="AK721" s="9" t="str">
        <f>_xlfn.TEXTJOIN("|",FALSE,A721,TEXT(B721,"mm-dd-yyyy"),TEXT(E721,"mm-dd-yyyy"),I721,J721,L721,N721,P721,R721,T721,V721,X721,Y721,AA721,AB721,AC721,AD721,AE721,AF721,AG721,AI721)</f>
        <v>ORD-2025-10720|09-08-2025|09-09-2025|CUST-3190|Kabir Singh|Corporate|West|Gujarat|Ahmedabad|Office Supplies|Art|Pro Art 447|Same Day|2|2372.41|0.2|3795.86|2264.92|1530.94|Paid|Completed</v>
      </c>
      <c r="AL721" s="27" t="str">
        <f>IF(COUNTIF($AK$2:AK721,AK721)&gt;1,"Remove exact duplicate copy","Keep")</f>
        <v>Keep</v>
      </c>
      <c r="AM721" s="9">
        <f t="shared" si="76"/>
        <v>1</v>
      </c>
      <c r="AN721" s="9" t="str">
        <f t="shared" si="77"/>
        <v>Unique</v>
      </c>
      <c r="AO721" s="9" t="str">
        <f t="shared" si="78"/>
        <v/>
      </c>
      <c r="AP721" s="9">
        <f t="shared" si="79"/>
        <v>0.2</v>
      </c>
      <c r="AQ721" s="10">
        <f t="shared" si="80"/>
        <v>3795.8559999999998</v>
      </c>
      <c r="AR721" s="10">
        <f t="shared" si="81"/>
        <v>1530.9359999999997</v>
      </c>
      <c r="AS721" s="11">
        <f t="shared" si="82"/>
        <v>0.40331772332775528</v>
      </c>
      <c r="AT721" s="9">
        <f t="shared" si="83"/>
        <v>9</v>
      </c>
      <c r="AU721" s="9">
        <f t="shared" si="84"/>
        <v>2025</v>
      </c>
      <c r="AV721" s="9" t="b">
        <f t="shared" si="85"/>
        <v>0</v>
      </c>
      <c r="AW721" s="9" t="b">
        <f t="shared" si="86"/>
        <v>0</v>
      </c>
      <c r="AX721" s="9" t="str">
        <f t="shared" si="87"/>
        <v>Yes</v>
      </c>
      <c r="AY721" s="9" t="str">
        <f t="shared" si="95"/>
        <v/>
      </c>
      <c r="AZ721" s="9" t="str">
        <f>IF(OR(G721="Missing date",G721="Invalid date",G721="Ship date before order date",NOT(ISNUMBER(AP721)),AP721&lt;0,AP721&gt;0.5,AV721=TRUE,AW721=TRUE),"Invalid",IF(OR(O721="Unknown",Z721="Unknown",AC721="",AH721&lt;&gt;"Paid",AJ721&lt;&gt;"Completed",AO721&lt;&gt;""),"Warning","Clean"))</f>
        <v>Clean</v>
      </c>
    </row>
    <row r="722" spans="1:52" ht="15.75" customHeight="1">
      <c r="A722" s="6" t="s">
        <v>3455</v>
      </c>
      <c r="B722" s="7" t="s">
        <v>1192</v>
      </c>
      <c r="C722" s="7" t="str">
        <f t="shared" si="94"/>
        <v>2024-07</v>
      </c>
      <c r="D722" s="7" cm="1">
        <f t="array" ref="D722">_xlfn.LET(_xlpm.x,B722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45489</v>
      </c>
      <c r="E722" s="7" t="s">
        <v>3456</v>
      </c>
      <c r="F722" s="7" cm="1">
        <f t="array" ref="F722">_xlfn.LET(_xlpm.x,E722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45489</v>
      </c>
      <c r="G722" s="8" t="str">
        <f t="shared" si="64"/>
        <v>OK</v>
      </c>
      <c r="H722" s="6">
        <f t="shared" si="65"/>
        <v>0</v>
      </c>
      <c r="I722" s="6" t="s">
        <v>3457</v>
      </c>
      <c r="J722" s="6" t="s">
        <v>190</v>
      </c>
      <c r="K722" s="6" t="str">
        <f t="shared" si="66"/>
        <v>Aditi Sen</v>
      </c>
      <c r="L722" s="6" t="s">
        <v>44</v>
      </c>
      <c r="M722" s="8" t="str">
        <f t="shared" si="67"/>
        <v>Home Office</v>
      </c>
      <c r="N722" s="6" t="s">
        <v>9</v>
      </c>
      <c r="O722" s="6" t="str">
        <f t="shared" si="68"/>
        <v>West</v>
      </c>
      <c r="P722" s="6" t="s">
        <v>170</v>
      </c>
      <c r="Q722" s="6" t="str">
        <f t="shared" si="69"/>
        <v>Madhya Pradesh</v>
      </c>
      <c r="R722" s="6" t="s">
        <v>171</v>
      </c>
      <c r="S722" s="6" t="str">
        <f t="shared" si="70"/>
        <v>Indore</v>
      </c>
      <c r="T722" s="6" t="s">
        <v>27</v>
      </c>
      <c r="U722" s="8" t="str">
        <f t="shared" si="71"/>
        <v>Technology</v>
      </c>
      <c r="V722" s="6" t="s">
        <v>29</v>
      </c>
      <c r="W722" s="6" t="str">
        <f t="shared" si="72"/>
        <v>Copiers</v>
      </c>
      <c r="X722" s="6" t="s">
        <v>3458</v>
      </c>
      <c r="Y722" s="6" t="s">
        <v>37</v>
      </c>
      <c r="Z722" s="6" t="str">
        <f t="shared" si="73"/>
        <v>Same Day</v>
      </c>
      <c r="AA722" s="6">
        <v>4</v>
      </c>
      <c r="AB722" s="6">
        <v>4479.92</v>
      </c>
      <c r="AC722" s="6">
        <v>0.15</v>
      </c>
      <c r="AD722" s="6">
        <v>15231.73</v>
      </c>
      <c r="AE722" s="6">
        <v>12451.46</v>
      </c>
      <c r="AF722" s="6">
        <v>2780.27</v>
      </c>
      <c r="AG722" s="6" t="s">
        <v>52</v>
      </c>
      <c r="AH722" s="6" t="str">
        <f t="shared" si="74"/>
        <v>Paid</v>
      </c>
      <c r="AI722" s="6" t="s">
        <v>134</v>
      </c>
      <c r="AJ722" s="6" t="str">
        <f t="shared" si="75"/>
        <v>Completed</v>
      </c>
      <c r="AK722" s="9" t="str">
        <f>_xlfn.TEXTJOIN("|",FALSE,A722,TEXT(B722,"mm-dd-yyyy"),TEXT(E722,"mm-dd-yyyy"),I722,J722,L722,N722,P722,R722,T722,V722,X722,Y722,AA722,AB722,AC722,AD722,AE722,AF722,AG722,AI722)</f>
        <v>ORD-2024-10721|07-16-2024|07-16-2024|CUST-1991|Aditi Sen|Home Office|West|Madhya Pradesh|Indore|Technology|Copiers|Smart Copiers 196|Same Day|4|4479.92|0.15|15231.73|12451.46|2780.27|Paid|Completed</v>
      </c>
      <c r="AL722" s="27" t="str">
        <f>IF(COUNTIF($AK$2:AK722,AK722)&gt;1,"Remove exact duplicate copy","Keep")</f>
        <v>Keep</v>
      </c>
      <c r="AM722" s="9">
        <f t="shared" si="76"/>
        <v>1</v>
      </c>
      <c r="AN722" s="9" t="str">
        <f t="shared" si="77"/>
        <v>Unique</v>
      </c>
      <c r="AO722" s="9" t="str">
        <f t="shared" si="78"/>
        <v/>
      </c>
      <c r="AP722" s="9">
        <f t="shared" si="79"/>
        <v>0.15</v>
      </c>
      <c r="AQ722" s="10">
        <f t="shared" si="80"/>
        <v>15231.727999999999</v>
      </c>
      <c r="AR722" s="10">
        <f t="shared" si="81"/>
        <v>2780.268</v>
      </c>
      <c r="AS722" s="11">
        <f t="shared" si="82"/>
        <v>0.1825313582280356</v>
      </c>
      <c r="AT722" s="9">
        <f t="shared" si="83"/>
        <v>7</v>
      </c>
      <c r="AU722" s="9">
        <f t="shared" si="84"/>
        <v>2024</v>
      </c>
      <c r="AV722" s="9" t="b">
        <f t="shared" si="85"/>
        <v>0</v>
      </c>
      <c r="AW722" s="9" t="b">
        <f t="shared" si="86"/>
        <v>0</v>
      </c>
      <c r="AX722" s="9" t="str">
        <f t="shared" si="87"/>
        <v>Yes</v>
      </c>
      <c r="AY722" s="9" t="str">
        <f t="shared" si="95"/>
        <v/>
      </c>
      <c r="AZ722" s="9" t="str">
        <f>IF(OR(G722="Missing date",G722="Invalid date",G722="Ship date before order date",NOT(ISNUMBER(AP722)),AP722&lt;0,AP722&gt;0.5,AV722=TRUE,AW722=TRUE),"Invalid",IF(OR(O722="Unknown",Z722="Unknown",AC722="",AH722&lt;&gt;"Paid",AJ722&lt;&gt;"Completed",AO722&lt;&gt;""),"Warning","Clean"))</f>
        <v>Clean</v>
      </c>
    </row>
    <row r="723" spans="1:52" ht="15.75" customHeight="1">
      <c r="A723" s="6" t="s">
        <v>3459</v>
      </c>
      <c r="B723" s="7" t="s">
        <v>328</v>
      </c>
      <c r="C723" s="7" t="str">
        <f t="shared" si="94"/>
        <v>2025-06</v>
      </c>
      <c r="D723" s="7" cm="1">
        <f t="array" ref="D723">_xlfn.LET(_xlpm.x,B723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45827</v>
      </c>
      <c r="E723" s="7" t="s">
        <v>3460</v>
      </c>
      <c r="F723" s="7" cm="1">
        <f t="array" ref="F723">_xlfn.LET(_xlpm.x,E723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45831</v>
      </c>
      <c r="G723" s="8" t="str">
        <f t="shared" si="64"/>
        <v>OK</v>
      </c>
      <c r="H723" s="6">
        <f t="shared" si="65"/>
        <v>4</v>
      </c>
      <c r="I723" s="6" t="s">
        <v>3461</v>
      </c>
      <c r="J723" s="6" t="s">
        <v>245</v>
      </c>
      <c r="K723" s="6" t="str">
        <f t="shared" si="66"/>
        <v>Sneha Kapoor</v>
      </c>
      <c r="L723" s="6" t="s">
        <v>43</v>
      </c>
      <c r="M723" s="8" t="str">
        <f t="shared" si="67"/>
        <v>Consumer</v>
      </c>
      <c r="N723" s="6" t="s">
        <v>10</v>
      </c>
      <c r="O723" s="6" t="str">
        <f t="shared" si="68"/>
        <v>South</v>
      </c>
      <c r="P723" s="6" t="s">
        <v>303</v>
      </c>
      <c r="Q723" s="6" t="str">
        <f t="shared" si="69"/>
        <v>Karnataka</v>
      </c>
      <c r="R723" s="6" t="s">
        <v>304</v>
      </c>
      <c r="S723" s="6" t="str">
        <f t="shared" si="70"/>
        <v>Bengaluru</v>
      </c>
      <c r="T723" s="6" t="s">
        <v>27</v>
      </c>
      <c r="U723" s="8" t="str">
        <f t="shared" si="71"/>
        <v>Technology</v>
      </c>
      <c r="V723" s="6" t="s">
        <v>29</v>
      </c>
      <c r="W723" s="6" t="str">
        <f t="shared" si="72"/>
        <v>Copiers</v>
      </c>
      <c r="X723" s="6" t="s">
        <v>3462</v>
      </c>
      <c r="Y723" s="6" t="s">
        <v>35</v>
      </c>
      <c r="Z723" s="6" t="str">
        <f t="shared" si="73"/>
        <v>First Class</v>
      </c>
      <c r="AA723" s="6">
        <v>5</v>
      </c>
      <c r="AB723" s="6">
        <v>2729.95</v>
      </c>
      <c r="AC723" s="6">
        <v>0</v>
      </c>
      <c r="AD723" s="6">
        <v>13649.75</v>
      </c>
      <c r="AE723" s="6">
        <v>10288.030000000001</v>
      </c>
      <c r="AF723" s="6">
        <v>3361.72</v>
      </c>
      <c r="AG723" s="6" t="s">
        <v>52</v>
      </c>
      <c r="AH723" s="6" t="str">
        <f t="shared" si="74"/>
        <v>Paid</v>
      </c>
      <c r="AI723" s="6" t="s">
        <v>134</v>
      </c>
      <c r="AJ723" s="6" t="str">
        <f t="shared" si="75"/>
        <v>Completed</v>
      </c>
      <c r="AK723" s="9" t="str">
        <f>_xlfn.TEXTJOIN("|",FALSE,A723,TEXT(B723,"mm-dd-yyyy"),TEXT(E723,"mm-dd-yyyy"),I723,J723,L723,N723,P723,R723,T723,V723,X723,Y723,AA723,AB723,AC723,AD723,AE723,AF723,AG723,AI723)</f>
        <v>ORD-2025-10722|19-06-2025|23-06-2025|CUST-7606|Sneha Kapoor|Consumer|South|Karnataka|Bengaluru|Technology|Copiers|Pro Copiers 532|First Class|5|2729.95|0|13649.75|10288.03|3361.72|Paid|Completed</v>
      </c>
      <c r="AL723" s="27" t="str">
        <f>IF(COUNTIF($AK$2:AK723,AK723)&gt;1,"Remove exact duplicate copy","Keep")</f>
        <v>Keep</v>
      </c>
      <c r="AM723" s="9">
        <f t="shared" si="76"/>
        <v>1</v>
      </c>
      <c r="AN723" s="9" t="str">
        <f t="shared" si="77"/>
        <v>Unique</v>
      </c>
      <c r="AO723" s="9" t="str">
        <f t="shared" si="78"/>
        <v/>
      </c>
      <c r="AP723" s="9">
        <f t="shared" si="79"/>
        <v>0</v>
      </c>
      <c r="AQ723" s="10">
        <f t="shared" si="80"/>
        <v>13649.75</v>
      </c>
      <c r="AR723" s="10">
        <f t="shared" si="81"/>
        <v>3361.7199999999993</v>
      </c>
      <c r="AS723" s="11">
        <f t="shared" si="82"/>
        <v>0.24628436418249414</v>
      </c>
      <c r="AT723" s="9">
        <f t="shared" si="83"/>
        <v>6</v>
      </c>
      <c r="AU723" s="9">
        <f t="shared" si="84"/>
        <v>2025</v>
      </c>
      <c r="AV723" s="9" t="b">
        <f t="shared" si="85"/>
        <v>0</v>
      </c>
      <c r="AW723" s="9" t="b">
        <f t="shared" si="86"/>
        <v>0</v>
      </c>
      <c r="AX723" s="9" t="str">
        <f t="shared" si="87"/>
        <v>Yes</v>
      </c>
      <c r="AY723" s="9" t="str">
        <f t="shared" si="95"/>
        <v/>
      </c>
      <c r="AZ723" s="9" t="str">
        <f>IF(OR(G723="Missing date",G723="Invalid date",G723="Ship date before order date",NOT(ISNUMBER(AP723)),AP723&lt;0,AP723&gt;0.5,AV723=TRUE,AW723=TRUE),"Invalid",IF(OR(O723="Unknown",Z723="Unknown",AC723="",AH723&lt;&gt;"Paid",AJ723&lt;&gt;"Completed",AO723&lt;&gt;""),"Warning","Clean"))</f>
        <v>Clean</v>
      </c>
    </row>
    <row r="724" spans="1:52" ht="15.75" customHeight="1">
      <c r="A724" s="6" t="s">
        <v>3463</v>
      </c>
      <c r="B724" s="7" t="s">
        <v>2650</v>
      </c>
      <c r="C724" s="7" t="str">
        <f t="shared" si="94"/>
        <v>2024-10</v>
      </c>
      <c r="D724" s="7" cm="1">
        <f t="array" ref="D724">_xlfn.LET(_xlpm.x,B724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45572</v>
      </c>
      <c r="E724" s="7" t="s">
        <v>3464</v>
      </c>
      <c r="F724" s="7" cm="1">
        <f t="array" ref="F724">_xlfn.LET(_xlpm.x,E724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45575</v>
      </c>
      <c r="G724" s="8" t="str">
        <f t="shared" si="64"/>
        <v>OK</v>
      </c>
      <c r="H724" s="6">
        <f t="shared" si="65"/>
        <v>3</v>
      </c>
      <c r="I724" s="6" t="s">
        <v>3465</v>
      </c>
      <c r="J724" s="6" t="s">
        <v>169</v>
      </c>
      <c r="K724" s="6" t="str">
        <f t="shared" si="66"/>
        <v>Vikram Iyer</v>
      </c>
      <c r="L724" s="6" t="s">
        <v>43</v>
      </c>
      <c r="M724" s="8" t="str">
        <f t="shared" si="67"/>
        <v>Consumer</v>
      </c>
      <c r="N724" s="6" t="s">
        <v>8</v>
      </c>
      <c r="O724" s="6" t="str">
        <f t="shared" si="68"/>
        <v>East</v>
      </c>
      <c r="P724" s="6" t="s">
        <v>201</v>
      </c>
      <c r="Q724" s="6" t="str">
        <f t="shared" si="69"/>
        <v>West Bengal</v>
      </c>
      <c r="R724" s="6" t="s">
        <v>202</v>
      </c>
      <c r="S724" s="6" t="str">
        <f t="shared" si="70"/>
        <v>Kolkata</v>
      </c>
      <c r="T724" s="6" t="s">
        <v>14</v>
      </c>
      <c r="U724" s="8" t="str">
        <f t="shared" si="71"/>
        <v>Furniture</v>
      </c>
      <c r="V724" s="6" t="s">
        <v>16</v>
      </c>
      <c r="W724" s="6" t="str">
        <f t="shared" si="72"/>
        <v>Chairs</v>
      </c>
      <c r="X724" s="6" t="s">
        <v>3466</v>
      </c>
      <c r="Y724" s="6" t="s">
        <v>36</v>
      </c>
      <c r="Z724" s="6" t="str">
        <f t="shared" si="73"/>
        <v>Second Class</v>
      </c>
      <c r="AA724" s="6">
        <v>9</v>
      </c>
      <c r="AB724" s="6">
        <v>481.51</v>
      </c>
      <c r="AC724" s="6"/>
      <c r="AD724" s="6">
        <v>4333.59</v>
      </c>
      <c r="AE724" s="6">
        <v>2533.59</v>
      </c>
      <c r="AF724" s="6">
        <v>1800</v>
      </c>
      <c r="AG724" s="6" t="s">
        <v>56</v>
      </c>
      <c r="AH724" s="6" t="str">
        <f t="shared" si="74"/>
        <v>Refunded</v>
      </c>
      <c r="AI724" s="6" t="s">
        <v>58</v>
      </c>
      <c r="AJ724" s="6" t="str">
        <f t="shared" si="75"/>
        <v>Cancelled</v>
      </c>
      <c r="AK724" s="9" t="str">
        <f>_xlfn.TEXTJOIN("|",FALSE,A724,TEXT(B724,"mm-dd-yyyy"),TEXT(E724,"mm-dd-yyyy"),I724,J724,L724,N724,P724,R724,T724,V724,X724,Y724,AA724,AB724,AC724,AD724,AE724,AF724,AG724,AI724)</f>
        <v>ORD-2024-10723|10-07-2024|10-10-2024|CUST-8844|Vikram Iyer|Consumer|East|West Bengal|Kolkata|Furniture|Chairs|Eco Chairs 442|Second Class|9|481.51||4333.59|2533.59|1800|Refunded|Cancelled</v>
      </c>
      <c r="AL724" s="27" t="str">
        <f>IF(COUNTIF($AK$2:AK724,AK724)&gt;1,"Remove exact duplicate copy","Keep")</f>
        <v>Keep</v>
      </c>
      <c r="AM724" s="9">
        <f t="shared" si="76"/>
        <v>1</v>
      </c>
      <c r="AN724" s="9" t="str">
        <f t="shared" si="77"/>
        <v>Unique</v>
      </c>
      <c r="AO724" s="9" t="str">
        <f t="shared" si="78"/>
        <v/>
      </c>
      <c r="AP724" s="9">
        <f t="shared" si="79"/>
        <v>0</v>
      </c>
      <c r="AQ724" s="10">
        <f t="shared" si="80"/>
        <v>4333.59</v>
      </c>
      <c r="AR724" s="10">
        <f t="shared" si="81"/>
        <v>1800</v>
      </c>
      <c r="AS724" s="11">
        <f t="shared" si="82"/>
        <v>0.41536001329152039</v>
      </c>
      <c r="AT724" s="9">
        <f t="shared" si="83"/>
        <v>10</v>
      </c>
      <c r="AU724" s="9">
        <f t="shared" si="84"/>
        <v>2024</v>
      </c>
      <c r="AV724" s="9" t="b">
        <f t="shared" si="85"/>
        <v>0</v>
      </c>
      <c r="AW724" s="9" t="b">
        <f t="shared" si="86"/>
        <v>0</v>
      </c>
      <c r="AX724" s="9" t="str">
        <f t="shared" si="87"/>
        <v>No</v>
      </c>
      <c r="AY724" s="9" t="str">
        <f t="shared" si="95"/>
        <v>Missing discount treated as 0; Refunded order summarized separately; Cancelled order excluded</v>
      </c>
      <c r="AZ724" s="9" t="str">
        <f>IF(OR(G724="Missing date",G724="Invalid date",G724="Ship date before order date",NOT(ISNUMBER(AP724)),AP724&lt;0,AP724&gt;0.5,AV724=TRUE,AW724=TRUE),"Invalid",IF(OR(O724="Unknown",Z724="Unknown",AC724="",AH724&lt;&gt;"Paid",AJ724&lt;&gt;"Completed",AO724&lt;&gt;""),"Warning","Clean"))</f>
        <v>Warning</v>
      </c>
    </row>
    <row r="725" spans="1:52" ht="15.75" customHeight="1">
      <c r="A725" s="6" t="s">
        <v>3467</v>
      </c>
      <c r="B725" s="7" t="s">
        <v>970</v>
      </c>
      <c r="C725" s="7" t="str">
        <f t="shared" si="94"/>
        <v>2025-10</v>
      </c>
      <c r="D725" s="7" cm="1">
        <f t="array" ref="D725">_xlfn.LET(_xlpm.x,B725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45936</v>
      </c>
      <c r="E725" s="7" t="s">
        <v>3468</v>
      </c>
      <c r="F725" s="7" cm="1">
        <f t="array" ref="F725">_xlfn.LET(_xlpm.x,E725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45943</v>
      </c>
      <c r="G725" s="8" t="str">
        <f t="shared" si="64"/>
        <v>OK</v>
      </c>
      <c r="H725" s="6">
        <f t="shared" si="65"/>
        <v>7</v>
      </c>
      <c r="I725" s="6" t="s">
        <v>3469</v>
      </c>
      <c r="J725" s="6" t="s">
        <v>442</v>
      </c>
      <c r="K725" s="6" t="str">
        <f t="shared" si="66"/>
        <v>Kabir Singh</v>
      </c>
      <c r="L725" s="6" t="s">
        <v>44</v>
      </c>
      <c r="M725" s="8" t="str">
        <f t="shared" si="67"/>
        <v>Home Office</v>
      </c>
      <c r="N725" s="6" t="s">
        <v>8</v>
      </c>
      <c r="O725" s="6" t="str">
        <f t="shared" si="68"/>
        <v>East</v>
      </c>
      <c r="P725" s="6" t="s">
        <v>385</v>
      </c>
      <c r="Q725" s="6" t="str">
        <f t="shared" si="69"/>
        <v>Jharkhand</v>
      </c>
      <c r="R725" s="6" t="s">
        <v>386</v>
      </c>
      <c r="S725" s="6" t="str">
        <f t="shared" si="70"/>
        <v>Ranchi</v>
      </c>
      <c r="T725" s="6" t="s">
        <v>27</v>
      </c>
      <c r="U725" s="8" t="str">
        <f t="shared" si="71"/>
        <v>Technology</v>
      </c>
      <c r="V725" s="6" t="s">
        <v>28</v>
      </c>
      <c r="W725" s="6" t="str">
        <f t="shared" si="72"/>
        <v>Accessories</v>
      </c>
      <c r="X725" s="6" t="s">
        <v>3470</v>
      </c>
      <c r="Y725" s="6" t="s">
        <v>34</v>
      </c>
      <c r="Z725" s="6" t="str">
        <f t="shared" si="73"/>
        <v>Standard Class</v>
      </c>
      <c r="AA725" s="6">
        <v>6</v>
      </c>
      <c r="AB725" s="6">
        <v>2391.9299999999998</v>
      </c>
      <c r="AC725" s="6">
        <v>0.05</v>
      </c>
      <c r="AD725" s="6">
        <v>13634</v>
      </c>
      <c r="AE725" s="6">
        <v>9589.81</v>
      </c>
      <c r="AF725" s="6">
        <v>4044.19</v>
      </c>
      <c r="AG725" s="6" t="s">
        <v>50</v>
      </c>
      <c r="AH725" s="6" t="str">
        <f t="shared" si="74"/>
        <v>Failed</v>
      </c>
      <c r="AI725" s="6" t="s">
        <v>59</v>
      </c>
      <c r="AJ725" s="6" t="str">
        <f t="shared" si="75"/>
        <v>Returned</v>
      </c>
      <c r="AK725" s="9" t="str">
        <f>_xlfn.TEXTJOIN("|",FALSE,A725,TEXT(B725,"mm-dd-yyyy"),TEXT(E725,"mm-dd-yyyy"),I725,J725,L725,N725,P725,R725,T725,V725,X725,Y725,AA725,AB725,AC725,AD725,AE725,AF725,AG725,AI725)</f>
        <v>ORD-2025-10724|10-06-2025|10-13-2025|CUST-4335|Kabir Singh|Home Office|East|Jharkhand|Ranchi|Technology|Accessories|Eco Accessories 364|Standard Class|6|2391.93|0.05|13634|9589.81|4044.19|Failed|Returned</v>
      </c>
      <c r="AL725" s="27" t="str">
        <f>IF(COUNTIF($AK$2:AK725,AK725)&gt;1,"Remove exact duplicate copy","Keep")</f>
        <v>Keep</v>
      </c>
      <c r="AM725" s="9">
        <f t="shared" si="76"/>
        <v>1</v>
      </c>
      <c r="AN725" s="9" t="str">
        <f t="shared" si="77"/>
        <v>Unique</v>
      </c>
      <c r="AO725" s="9" t="str">
        <f t="shared" si="78"/>
        <v/>
      </c>
      <c r="AP725" s="9">
        <f t="shared" si="79"/>
        <v>0.05</v>
      </c>
      <c r="AQ725" s="10">
        <f t="shared" si="80"/>
        <v>13634.000999999998</v>
      </c>
      <c r="AR725" s="10">
        <f t="shared" si="81"/>
        <v>4044.1909999999989</v>
      </c>
      <c r="AS725" s="11">
        <f t="shared" si="82"/>
        <v>0.29662539998346776</v>
      </c>
      <c r="AT725" s="9">
        <f t="shared" si="83"/>
        <v>10</v>
      </c>
      <c r="AU725" s="9">
        <f t="shared" si="84"/>
        <v>2025</v>
      </c>
      <c r="AV725" s="9" t="b">
        <f t="shared" si="85"/>
        <v>0</v>
      </c>
      <c r="AW725" s="9" t="b">
        <f t="shared" si="86"/>
        <v>0</v>
      </c>
      <c r="AX725" s="9" t="str">
        <f t="shared" si="87"/>
        <v>No</v>
      </c>
      <c r="AY725" s="9" t="str">
        <f t="shared" si="95"/>
        <v>Failed payment excluded; Returned order excluded</v>
      </c>
      <c r="AZ725" s="9" t="str">
        <f>IF(OR(G725="Missing date",G725="Invalid date",G725="Ship date before order date",NOT(ISNUMBER(AP725)),AP725&lt;0,AP725&gt;0.5,AV725=TRUE,AW725=TRUE),"Invalid",IF(OR(O725="Unknown",Z725="Unknown",AC725="",AH725&lt;&gt;"Paid",AJ725&lt;&gt;"Completed",AO725&lt;&gt;""),"Warning","Clean"))</f>
        <v>Warning</v>
      </c>
    </row>
    <row r="726" spans="1:52" ht="15.75" customHeight="1">
      <c r="A726" s="6" t="s">
        <v>3471</v>
      </c>
      <c r="B726" s="7" t="s">
        <v>3472</v>
      </c>
      <c r="C726" s="7" t="str">
        <f t="shared" si="94"/>
        <v>2024-02</v>
      </c>
      <c r="D726" s="7" cm="1">
        <f t="array" ref="D726">_xlfn.LET(_xlpm.x,B726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45332</v>
      </c>
      <c r="E726" s="7" t="s">
        <v>1698</v>
      </c>
      <c r="F726" s="7" cm="1">
        <f t="array" ref="F726">_xlfn.LET(_xlpm.x,E726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45338</v>
      </c>
      <c r="G726" s="8" t="str">
        <f t="shared" si="64"/>
        <v>OK</v>
      </c>
      <c r="H726" s="6">
        <f t="shared" si="65"/>
        <v>6</v>
      </c>
      <c r="I726" s="6" t="s">
        <v>3473</v>
      </c>
      <c r="J726" s="6" t="s">
        <v>129</v>
      </c>
      <c r="K726" s="6" t="str">
        <f t="shared" si="66"/>
        <v>Karan Malhotra</v>
      </c>
      <c r="L726" s="6" t="s">
        <v>43</v>
      </c>
      <c r="M726" s="8" t="str">
        <f t="shared" si="67"/>
        <v>Consumer</v>
      </c>
      <c r="N726" s="6" t="s">
        <v>9</v>
      </c>
      <c r="O726" s="6" t="str">
        <f t="shared" si="68"/>
        <v>West</v>
      </c>
      <c r="P726" s="6" t="s">
        <v>323</v>
      </c>
      <c r="Q726" s="6" t="str">
        <f t="shared" si="69"/>
        <v>Goa</v>
      </c>
      <c r="R726" s="6" t="s">
        <v>324</v>
      </c>
      <c r="S726" s="6" t="str">
        <f t="shared" si="70"/>
        <v>Panaji</v>
      </c>
      <c r="T726" s="6" t="s">
        <v>14</v>
      </c>
      <c r="U726" s="8" t="str">
        <f t="shared" si="71"/>
        <v>Furniture</v>
      </c>
      <c r="V726" s="6" t="s">
        <v>17</v>
      </c>
      <c r="W726" s="6" t="str">
        <f t="shared" si="72"/>
        <v>Furnishings</v>
      </c>
      <c r="X726" s="6" t="s">
        <v>3474</v>
      </c>
      <c r="Y726" s="6" t="s">
        <v>36</v>
      </c>
      <c r="Z726" s="6" t="str">
        <f t="shared" si="73"/>
        <v>Second Class</v>
      </c>
      <c r="AA726" s="6">
        <v>3</v>
      </c>
      <c r="AB726" s="6">
        <v>253.43</v>
      </c>
      <c r="AC726" s="6">
        <v>0</v>
      </c>
      <c r="AD726" s="6">
        <v>760.29</v>
      </c>
      <c r="AE726" s="6">
        <v>497.77</v>
      </c>
      <c r="AF726" s="6">
        <v>262.52</v>
      </c>
      <c r="AG726" s="6" t="s">
        <v>52</v>
      </c>
      <c r="AH726" s="6" t="str">
        <f t="shared" si="74"/>
        <v>Paid</v>
      </c>
      <c r="AI726" s="6" t="s">
        <v>134</v>
      </c>
      <c r="AJ726" s="6" t="str">
        <f t="shared" si="75"/>
        <v>Completed</v>
      </c>
      <c r="AK726" s="9" t="str">
        <f>_xlfn.TEXTJOIN("|",FALSE,A726,TEXT(B726,"mm-dd-yyyy"),TEXT(E726,"mm-dd-yyyy"),I726,J726,L726,N726,P726,R726,T726,V726,X726,Y726,AA726,AB726,AC726,AD726,AE726,AF726,AG726,AI726)</f>
        <v>ORD-2024-10725|02-10-2024|16-02-2024|CUST-5891|Karan Malhotra|Consumer|West|Goa|Panaji|Furniture|Furnishings|Elite Furnishings 921|Second Class|3|253.43|0|760.29|497.77|262.52|Paid|Completed</v>
      </c>
      <c r="AL726" s="27" t="str">
        <f>IF(COUNTIF($AK$2:AK726,AK726)&gt;1,"Remove exact duplicate copy","Keep")</f>
        <v>Keep</v>
      </c>
      <c r="AM726" s="9">
        <f t="shared" si="76"/>
        <v>1</v>
      </c>
      <c r="AN726" s="9" t="str">
        <f t="shared" si="77"/>
        <v>Unique</v>
      </c>
      <c r="AO726" s="9" t="str">
        <f t="shared" si="78"/>
        <v/>
      </c>
      <c r="AP726" s="9">
        <f t="shared" si="79"/>
        <v>0</v>
      </c>
      <c r="AQ726" s="10">
        <f t="shared" si="80"/>
        <v>760.29</v>
      </c>
      <c r="AR726" s="10">
        <f t="shared" si="81"/>
        <v>262.52</v>
      </c>
      <c r="AS726" s="11">
        <f t="shared" si="82"/>
        <v>0.34528929750489945</v>
      </c>
      <c r="AT726" s="9">
        <f t="shared" si="83"/>
        <v>2</v>
      </c>
      <c r="AU726" s="9">
        <f t="shared" si="84"/>
        <v>2024</v>
      </c>
      <c r="AV726" s="9" t="b">
        <f t="shared" si="85"/>
        <v>0</v>
      </c>
      <c r="AW726" s="9" t="b">
        <f t="shared" si="86"/>
        <v>0</v>
      </c>
      <c r="AX726" s="9" t="str">
        <f t="shared" si="87"/>
        <v>Yes</v>
      </c>
      <c r="AY726" s="9" t="str">
        <f t="shared" si="95"/>
        <v/>
      </c>
      <c r="AZ726" s="9" t="str">
        <f>IF(OR(G726="Missing date",G726="Invalid date",G726="Ship date before order date",NOT(ISNUMBER(AP726)),AP726&lt;0,AP726&gt;0.5,AV726=TRUE,AW726=TRUE),"Invalid",IF(OR(O726="Unknown",Z726="Unknown",AC726="",AH726&lt;&gt;"Paid",AJ726&lt;&gt;"Completed",AO726&lt;&gt;""),"Warning","Clean"))</f>
        <v>Clean</v>
      </c>
    </row>
    <row r="727" spans="1:52" ht="15.75" customHeight="1">
      <c r="A727" s="6" t="s">
        <v>3475</v>
      </c>
      <c r="B727" s="7" t="s">
        <v>3476</v>
      </c>
      <c r="C727" s="7" t="str">
        <f t="shared" si="94"/>
        <v>2025-10</v>
      </c>
      <c r="D727" s="7" cm="1">
        <f t="array" ref="D727">_xlfn.LET(_xlpm.x,B727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45935</v>
      </c>
      <c r="E727" s="7" t="s">
        <v>217</v>
      </c>
      <c r="F727" s="7" cm="1">
        <f t="array" ref="F727">_xlfn.LET(_xlpm.x,E727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45942</v>
      </c>
      <c r="G727" s="8" t="str">
        <f t="shared" si="64"/>
        <v>OK</v>
      </c>
      <c r="H727" s="6">
        <f t="shared" si="65"/>
        <v>7</v>
      </c>
      <c r="I727" s="6" t="s">
        <v>3477</v>
      </c>
      <c r="J727" s="6" t="s">
        <v>220</v>
      </c>
      <c r="K727" s="6" t="str">
        <f t="shared" si="66"/>
        <v>Priya Menon</v>
      </c>
      <c r="L727" s="6" t="s">
        <v>45</v>
      </c>
      <c r="M727" s="8" t="str">
        <f t="shared" si="67"/>
        <v>Corporate</v>
      </c>
      <c r="N727" s="6" t="s">
        <v>10</v>
      </c>
      <c r="O727" s="6" t="str">
        <f t="shared" si="68"/>
        <v>South</v>
      </c>
      <c r="P727" s="6" t="s">
        <v>303</v>
      </c>
      <c r="Q727" s="6" t="str">
        <f t="shared" si="69"/>
        <v>Karnataka</v>
      </c>
      <c r="R727" s="6" t="s">
        <v>304</v>
      </c>
      <c r="S727" s="6" t="str">
        <f t="shared" si="70"/>
        <v>Bengaluru</v>
      </c>
      <c r="T727" s="6" t="s">
        <v>14</v>
      </c>
      <c r="U727" s="8" t="str">
        <f t="shared" si="71"/>
        <v>Furniture</v>
      </c>
      <c r="V727" s="6" t="s">
        <v>18</v>
      </c>
      <c r="W727" s="6" t="str">
        <f t="shared" si="72"/>
        <v>Tables</v>
      </c>
      <c r="X727" s="6" t="s">
        <v>3478</v>
      </c>
      <c r="Y727" s="6" t="s">
        <v>36</v>
      </c>
      <c r="Z727" s="6" t="str">
        <f t="shared" si="73"/>
        <v>Second Class</v>
      </c>
      <c r="AA727" s="6">
        <v>7</v>
      </c>
      <c r="AB727" s="6">
        <v>2134.73</v>
      </c>
      <c r="AC727" s="6">
        <v>0</v>
      </c>
      <c r="AD727" s="6">
        <v>14943.11</v>
      </c>
      <c r="AE727" s="6">
        <v>8521.5</v>
      </c>
      <c r="AF727" s="6">
        <v>6421.61</v>
      </c>
      <c r="AG727" s="6" t="s">
        <v>52</v>
      </c>
      <c r="AH727" s="6" t="str">
        <f t="shared" si="74"/>
        <v>Paid</v>
      </c>
      <c r="AI727" s="6" t="s">
        <v>134</v>
      </c>
      <c r="AJ727" s="6" t="str">
        <f t="shared" si="75"/>
        <v>Completed</v>
      </c>
      <c r="AK727" s="9" t="str">
        <f>_xlfn.TEXTJOIN("|",FALSE,A727,TEXT(B727,"mm-dd-yyyy"),TEXT(E727,"mm-dd-yyyy"),I727,J727,L727,N727,P727,R727,T727,V727,X727,Y727,AA727,AB727,AC727,AD727,AE727,AF727,AG727,AI727)</f>
        <v>ORD-2025-10726|10-05-2025|10-12-2025|CUST-6371|Priya Menon|Corporate|South|Karnataka|Bengaluru|Furniture|Tables|Max Tables 309|Second Class|7|2134.73|0|14943.11|8521.5|6421.61|Paid|Completed</v>
      </c>
      <c r="AL727" s="27" t="str">
        <f>IF(COUNTIF($AK$2:AK727,AK727)&gt;1,"Remove exact duplicate copy","Keep")</f>
        <v>Keep</v>
      </c>
      <c r="AM727" s="9">
        <f t="shared" si="76"/>
        <v>1</v>
      </c>
      <c r="AN727" s="9" t="str">
        <f t="shared" si="77"/>
        <v>Unique</v>
      </c>
      <c r="AO727" s="9" t="str">
        <f t="shared" si="78"/>
        <v/>
      </c>
      <c r="AP727" s="9">
        <f t="shared" si="79"/>
        <v>0</v>
      </c>
      <c r="AQ727" s="10">
        <f t="shared" si="80"/>
        <v>14943.11</v>
      </c>
      <c r="AR727" s="10">
        <f t="shared" si="81"/>
        <v>6421.6100000000006</v>
      </c>
      <c r="AS727" s="11">
        <f t="shared" si="82"/>
        <v>0.42973718322357263</v>
      </c>
      <c r="AT727" s="9">
        <f t="shared" si="83"/>
        <v>10</v>
      </c>
      <c r="AU727" s="9">
        <f t="shared" si="84"/>
        <v>2025</v>
      </c>
      <c r="AV727" s="9" t="b">
        <f t="shared" si="85"/>
        <v>0</v>
      </c>
      <c r="AW727" s="9" t="b">
        <f t="shared" si="86"/>
        <v>0</v>
      </c>
      <c r="AX727" s="9" t="str">
        <f t="shared" si="87"/>
        <v>Yes</v>
      </c>
      <c r="AY727" s="9" t="str">
        <f t="shared" si="95"/>
        <v/>
      </c>
      <c r="AZ727" s="9" t="str">
        <f>IF(OR(G727="Missing date",G727="Invalid date",G727="Ship date before order date",NOT(ISNUMBER(AP727)),AP727&lt;0,AP727&gt;0.5,AV727=TRUE,AW727=TRUE),"Invalid",IF(OR(O727="Unknown",Z727="Unknown",AC727="",AH727&lt;&gt;"Paid",AJ727&lt;&gt;"Completed",AO727&lt;&gt;""),"Warning","Clean"))</f>
        <v>Clean</v>
      </c>
    </row>
    <row r="728" spans="1:52" ht="15.75" customHeight="1">
      <c r="A728" s="6" t="s">
        <v>3479</v>
      </c>
      <c r="B728" s="7" t="s">
        <v>3480</v>
      </c>
      <c r="C728" s="7" t="str">
        <f t="shared" si="94"/>
        <v>2024-01</v>
      </c>
      <c r="D728" s="7" cm="1">
        <f t="array" ref="D728">_xlfn.LET(_xlpm.x,B728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45308</v>
      </c>
      <c r="E728" s="7" t="s">
        <v>3481</v>
      </c>
      <c r="F728" s="7" cm="1">
        <f t="array" ref="F728">_xlfn.LET(_xlpm.x,E728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45314</v>
      </c>
      <c r="G728" s="8" t="str">
        <f t="shared" si="64"/>
        <v>OK</v>
      </c>
      <c r="H728" s="6">
        <f t="shared" si="65"/>
        <v>6</v>
      </c>
      <c r="I728" s="6" t="s">
        <v>3482</v>
      </c>
      <c r="J728" s="6" t="s">
        <v>442</v>
      </c>
      <c r="K728" s="6" t="str">
        <f t="shared" si="66"/>
        <v>Kabir Singh</v>
      </c>
      <c r="L728" s="6" t="s">
        <v>44</v>
      </c>
      <c r="M728" s="8" t="str">
        <f t="shared" si="67"/>
        <v>Home Office</v>
      </c>
      <c r="N728" s="6" t="s">
        <v>9</v>
      </c>
      <c r="O728" s="6" t="str">
        <f t="shared" si="68"/>
        <v>West</v>
      </c>
      <c r="P728" s="6" t="s">
        <v>309</v>
      </c>
      <c r="Q728" s="6" t="str">
        <f t="shared" si="69"/>
        <v>Gujarat</v>
      </c>
      <c r="R728" s="6" t="s">
        <v>310</v>
      </c>
      <c r="S728" s="6" t="str">
        <f t="shared" si="70"/>
        <v>Ahmedabad</v>
      </c>
      <c r="T728" s="6" t="s">
        <v>27</v>
      </c>
      <c r="U728" s="8" t="str">
        <f t="shared" si="71"/>
        <v>Technology</v>
      </c>
      <c r="V728" s="6" t="s">
        <v>31</v>
      </c>
      <c r="W728" s="6" t="str">
        <f t="shared" si="72"/>
        <v>Phones</v>
      </c>
      <c r="X728" s="6" t="s">
        <v>3483</v>
      </c>
      <c r="Y728" s="6" t="s">
        <v>34</v>
      </c>
      <c r="Z728" s="6" t="str">
        <f t="shared" si="73"/>
        <v>Standard Class</v>
      </c>
      <c r="AA728" s="6">
        <v>5</v>
      </c>
      <c r="AB728" s="6">
        <v>2018</v>
      </c>
      <c r="AC728" s="6">
        <v>0.2</v>
      </c>
      <c r="AD728" s="6">
        <v>8072</v>
      </c>
      <c r="AE728" s="6">
        <v>5379.22</v>
      </c>
      <c r="AF728" s="6">
        <v>2692.78</v>
      </c>
      <c r="AG728" s="6" t="s">
        <v>54</v>
      </c>
      <c r="AH728" s="6" t="str">
        <f t="shared" si="74"/>
        <v>Pending</v>
      </c>
      <c r="AI728" s="6" t="s">
        <v>59</v>
      </c>
      <c r="AJ728" s="6" t="str">
        <f t="shared" si="75"/>
        <v>Returned</v>
      </c>
      <c r="AK728" s="9" t="str">
        <f>_xlfn.TEXTJOIN("|",FALSE,A728,TEXT(B728,"mm-dd-yyyy"),TEXT(E728,"mm-dd-yyyy"),I728,J728,L728,N728,P728,R728,T728,V728,X728,Y728,AA728,AB728,AC728,AD728,AE728,AF728,AG728,AI728)</f>
        <v>ORD-2024-10727|01-17-2024|01-23-2024|CUST-6655|Kabir Singh|Home Office|West|Gujarat|Ahmedabad|Technology|Phones|Pro Phones 857|Standard Class|5|2018|0.2|8072|5379.22|2692.78|Pending|Returned</v>
      </c>
      <c r="AL728" s="27" t="str">
        <f>IF(COUNTIF($AK$2:AK728,AK728)&gt;1,"Remove exact duplicate copy","Keep")</f>
        <v>Keep</v>
      </c>
      <c r="AM728" s="9">
        <f t="shared" si="76"/>
        <v>1</v>
      </c>
      <c r="AN728" s="9" t="str">
        <f t="shared" si="77"/>
        <v>Unique</v>
      </c>
      <c r="AO728" s="9" t="str">
        <f t="shared" si="78"/>
        <v/>
      </c>
      <c r="AP728" s="9">
        <f t="shared" si="79"/>
        <v>0.2</v>
      </c>
      <c r="AQ728" s="10">
        <f t="shared" si="80"/>
        <v>8072</v>
      </c>
      <c r="AR728" s="10">
        <f t="shared" si="81"/>
        <v>2692.7799999999997</v>
      </c>
      <c r="AS728" s="11">
        <f t="shared" si="82"/>
        <v>0.33359514370664023</v>
      </c>
      <c r="AT728" s="9">
        <f t="shared" si="83"/>
        <v>1</v>
      </c>
      <c r="AU728" s="9">
        <f t="shared" si="84"/>
        <v>2024</v>
      </c>
      <c r="AV728" s="9" t="b">
        <f t="shared" si="85"/>
        <v>0</v>
      </c>
      <c r="AW728" s="9" t="b">
        <f t="shared" si="86"/>
        <v>0</v>
      </c>
      <c r="AX728" s="9" t="str">
        <f t="shared" si="87"/>
        <v>No</v>
      </c>
      <c r="AY728" s="9" t="str">
        <f t="shared" si="95"/>
        <v>Returned order excluded</v>
      </c>
      <c r="AZ728" s="9" t="str">
        <f>IF(OR(G728="Missing date",G728="Invalid date",G728="Ship date before order date",NOT(ISNUMBER(AP728)),AP728&lt;0,AP728&gt;0.5,AV728=TRUE,AW728=TRUE),"Invalid",IF(OR(O728="Unknown",Z728="Unknown",AC728="",AH728&lt;&gt;"Paid",AJ728&lt;&gt;"Completed",AO728&lt;&gt;""),"Warning","Clean"))</f>
        <v>Warning</v>
      </c>
    </row>
    <row r="729" spans="1:52" ht="15.75" customHeight="1">
      <c r="A729" s="6" t="s">
        <v>3484</v>
      </c>
      <c r="B729" s="7" t="s">
        <v>3485</v>
      </c>
      <c r="C729" s="7" t="str">
        <f t="shared" si="94"/>
        <v>2024-10</v>
      </c>
      <c r="D729" s="7" cm="1">
        <f t="array" ref="D729">_xlfn.LET(_xlpm.x,B729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45578</v>
      </c>
      <c r="E729" s="7" t="s">
        <v>3485</v>
      </c>
      <c r="F729" s="7" cm="1">
        <f t="array" ref="F729">_xlfn.LET(_xlpm.x,E729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45578</v>
      </c>
      <c r="G729" s="8" t="str">
        <f t="shared" si="64"/>
        <v>OK</v>
      </c>
      <c r="H729" s="6">
        <f t="shared" si="65"/>
        <v>0</v>
      </c>
      <c r="I729" s="6" t="s">
        <v>3486</v>
      </c>
      <c r="J729" s="6" t="s">
        <v>239</v>
      </c>
      <c r="K729" s="6" t="str">
        <f t="shared" si="66"/>
        <v>Aarav Sharma</v>
      </c>
      <c r="L729" s="6" t="s">
        <v>46</v>
      </c>
      <c r="M729" s="8" t="str">
        <f t="shared" si="67"/>
        <v>Small Business</v>
      </c>
      <c r="N729" s="6" t="s">
        <v>8</v>
      </c>
      <c r="O729" s="6" t="str">
        <f t="shared" si="68"/>
        <v>East</v>
      </c>
      <c r="P729" s="6" t="s">
        <v>290</v>
      </c>
      <c r="Q729" s="6" t="str">
        <f t="shared" si="69"/>
        <v>Assam</v>
      </c>
      <c r="R729" s="6" t="s">
        <v>291</v>
      </c>
      <c r="S729" s="6" t="str">
        <f t="shared" si="70"/>
        <v>Guwahati</v>
      </c>
      <c r="T729" s="6" t="s">
        <v>27</v>
      </c>
      <c r="U729" s="8" t="str">
        <f t="shared" si="71"/>
        <v>Technology</v>
      </c>
      <c r="V729" s="6" t="s">
        <v>28</v>
      </c>
      <c r="W729" s="6" t="str">
        <f t="shared" si="72"/>
        <v>Accessories</v>
      </c>
      <c r="X729" s="6" t="s">
        <v>3487</v>
      </c>
      <c r="Y729" s="6" t="s">
        <v>36</v>
      </c>
      <c r="Z729" s="6" t="str">
        <f t="shared" si="73"/>
        <v>Second Class</v>
      </c>
      <c r="AA729" s="6">
        <v>8</v>
      </c>
      <c r="AB729" s="6">
        <v>3730.66</v>
      </c>
      <c r="AC729" s="6">
        <v>0.05</v>
      </c>
      <c r="AD729" s="6">
        <v>28353.02</v>
      </c>
      <c r="AE729" s="6">
        <v>19257.849999999999</v>
      </c>
      <c r="AF729" s="6">
        <v>9095.17</v>
      </c>
      <c r="AG729" s="6" t="s">
        <v>52</v>
      </c>
      <c r="AH729" s="6" t="str">
        <f t="shared" si="74"/>
        <v>Paid</v>
      </c>
      <c r="AI729" s="6" t="s">
        <v>134</v>
      </c>
      <c r="AJ729" s="6" t="str">
        <f t="shared" si="75"/>
        <v>Completed</v>
      </c>
      <c r="AK729" s="9" t="str">
        <f>_xlfn.TEXTJOIN("|",FALSE,A729,TEXT(B729,"mm-dd-yyyy"),TEXT(E729,"mm-dd-yyyy"),I729,J729,L729,N729,P729,R729,T729,V729,X729,Y729,AA729,AB729,AC729,AD729,AE729,AF729,AG729,AI729)</f>
        <v>ORD-2024-10728|10-13-2024|10-13-2024|CUST-6492|Aarav Sharma|Small Business|East|Assam|Guwahati|Technology|Accessories|Max Accessories 567|Second Class|8|3730.66|0.05|28353.02|19257.85|9095.17|Paid|Completed</v>
      </c>
      <c r="AL729" s="27" t="str">
        <f>IF(COUNTIF($AK$2:AK729,AK729)&gt;1,"Remove exact duplicate copy","Keep")</f>
        <v>Keep</v>
      </c>
      <c r="AM729" s="9">
        <f t="shared" si="76"/>
        <v>1</v>
      </c>
      <c r="AN729" s="9" t="str">
        <f t="shared" si="77"/>
        <v>Unique</v>
      </c>
      <c r="AO729" s="9" t="str">
        <f t="shared" si="78"/>
        <v/>
      </c>
      <c r="AP729" s="9">
        <f t="shared" si="79"/>
        <v>0.05</v>
      </c>
      <c r="AQ729" s="10">
        <f t="shared" si="80"/>
        <v>28353.015999999996</v>
      </c>
      <c r="AR729" s="10">
        <f t="shared" si="81"/>
        <v>9095.1659999999974</v>
      </c>
      <c r="AS729" s="11">
        <f t="shared" si="82"/>
        <v>0.3207830165228277</v>
      </c>
      <c r="AT729" s="9">
        <f t="shared" si="83"/>
        <v>10</v>
      </c>
      <c r="AU729" s="9">
        <f t="shared" si="84"/>
        <v>2024</v>
      </c>
      <c r="AV729" s="9" t="b">
        <f t="shared" si="85"/>
        <v>0</v>
      </c>
      <c r="AW729" s="9" t="b">
        <f t="shared" si="86"/>
        <v>0</v>
      </c>
      <c r="AX729" s="9" t="str">
        <f t="shared" si="87"/>
        <v>Yes</v>
      </c>
      <c r="AY729" s="9" t="str">
        <f t="shared" si="95"/>
        <v/>
      </c>
      <c r="AZ729" s="9" t="str">
        <f>IF(OR(G729="Missing date",G729="Invalid date",G729="Ship date before order date",NOT(ISNUMBER(AP729)),AP729&lt;0,AP729&gt;0.5,AV729=TRUE,AW729=TRUE),"Invalid",IF(OR(O729="Unknown",Z729="Unknown",AC729="",AH729&lt;&gt;"Paid",AJ729&lt;&gt;"Completed",AO729&lt;&gt;""),"Warning","Clean"))</f>
        <v>Clean</v>
      </c>
    </row>
    <row r="730" spans="1:52" ht="15.75" customHeight="1">
      <c r="A730" s="6" t="s">
        <v>3488</v>
      </c>
      <c r="B730" s="7" t="s">
        <v>3148</v>
      </c>
      <c r="C730" s="7" t="str">
        <f t="shared" si="94"/>
        <v>2024-01</v>
      </c>
      <c r="D730" s="7" cm="1">
        <f t="array" ref="D730">_xlfn.LET(_xlpm.x,B730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45295</v>
      </c>
      <c r="E730" s="7" t="s">
        <v>1849</v>
      </c>
      <c r="F730" s="7" cm="1">
        <f t="array" ref="F730">_xlfn.LET(_xlpm.x,E730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45298</v>
      </c>
      <c r="G730" s="8" t="str">
        <f t="shared" si="64"/>
        <v>OK</v>
      </c>
      <c r="H730" s="6">
        <f t="shared" si="65"/>
        <v>3</v>
      </c>
      <c r="I730" s="6" t="s">
        <v>3489</v>
      </c>
      <c r="J730" s="6" t="s">
        <v>245</v>
      </c>
      <c r="K730" s="6" t="str">
        <f t="shared" si="66"/>
        <v>Sneha Kapoor</v>
      </c>
      <c r="L730" s="6" t="s">
        <v>46</v>
      </c>
      <c r="M730" s="8" t="str">
        <f t="shared" si="67"/>
        <v>Small Business</v>
      </c>
      <c r="N730" s="6" t="s">
        <v>10</v>
      </c>
      <c r="O730" s="6" t="str">
        <f t="shared" si="68"/>
        <v>South</v>
      </c>
      <c r="P730" s="6" t="s">
        <v>303</v>
      </c>
      <c r="Q730" s="6" t="str">
        <f t="shared" si="69"/>
        <v>Karnataka</v>
      </c>
      <c r="R730" s="6" t="s">
        <v>304</v>
      </c>
      <c r="S730" s="6" t="str">
        <f t="shared" si="70"/>
        <v>Bengaluru</v>
      </c>
      <c r="T730" s="6" t="s">
        <v>27</v>
      </c>
      <c r="U730" s="8" t="str">
        <f t="shared" si="71"/>
        <v>Technology</v>
      </c>
      <c r="V730" s="6" t="s">
        <v>30</v>
      </c>
      <c r="W730" s="6" t="str">
        <f t="shared" si="72"/>
        <v>Machines</v>
      </c>
      <c r="X730" s="6" t="s">
        <v>3490</v>
      </c>
      <c r="Y730" s="6" t="s">
        <v>35</v>
      </c>
      <c r="Z730" s="6" t="str">
        <f t="shared" si="73"/>
        <v>First Class</v>
      </c>
      <c r="AA730" s="6">
        <v>1</v>
      </c>
      <c r="AB730" s="6">
        <v>2363.02</v>
      </c>
      <c r="AC730" s="6">
        <v>0.15</v>
      </c>
      <c r="AD730" s="6">
        <v>2008.57</v>
      </c>
      <c r="AE730" s="6">
        <v>1194.83</v>
      </c>
      <c r="AF730" s="6">
        <v>813.74</v>
      </c>
      <c r="AG730" s="6" t="s">
        <v>52</v>
      </c>
      <c r="AH730" s="6" t="str">
        <f t="shared" si="74"/>
        <v>Paid</v>
      </c>
      <c r="AI730" s="6" t="s">
        <v>134</v>
      </c>
      <c r="AJ730" s="6" t="str">
        <f t="shared" si="75"/>
        <v>Completed</v>
      </c>
      <c r="AK730" s="9" t="str">
        <f>_xlfn.TEXTJOIN("|",FALSE,A730,TEXT(B730,"mm-dd-yyyy"),TEXT(E730,"mm-dd-yyyy"),I730,J730,L730,N730,P730,R730,T730,V730,X730,Y730,AA730,AB730,AC730,AD730,AE730,AF730,AG730,AI730)</f>
        <v>ORD-2024-10729|01-04-2024|07-01-2024|CUST-1154|Sneha Kapoor|Small Business|South|Karnataka|Bengaluru|Technology|Machines|Max Machines 200|First Class|1|2363.02|0.15|2008.57|1194.83|813.74|Paid|Completed</v>
      </c>
      <c r="AL730" s="27" t="str">
        <f>IF(COUNTIF($AK$2:AK730,AK730)&gt;1,"Remove exact duplicate copy","Keep")</f>
        <v>Keep</v>
      </c>
      <c r="AM730" s="9">
        <f t="shared" si="76"/>
        <v>1</v>
      </c>
      <c r="AN730" s="9" t="str">
        <f t="shared" si="77"/>
        <v>Unique</v>
      </c>
      <c r="AO730" s="9" t="str">
        <f t="shared" si="78"/>
        <v/>
      </c>
      <c r="AP730" s="9">
        <f t="shared" si="79"/>
        <v>0.15</v>
      </c>
      <c r="AQ730" s="10">
        <f t="shared" si="80"/>
        <v>2008.567</v>
      </c>
      <c r="AR730" s="10">
        <f t="shared" si="81"/>
        <v>813.73700000000008</v>
      </c>
      <c r="AS730" s="11">
        <f t="shared" si="82"/>
        <v>0.40513311231340554</v>
      </c>
      <c r="AT730" s="9">
        <f t="shared" si="83"/>
        <v>1</v>
      </c>
      <c r="AU730" s="9">
        <f t="shared" si="84"/>
        <v>2024</v>
      </c>
      <c r="AV730" s="9" t="b">
        <f t="shared" si="85"/>
        <v>0</v>
      </c>
      <c r="AW730" s="9" t="b">
        <f t="shared" si="86"/>
        <v>0</v>
      </c>
      <c r="AX730" s="9" t="str">
        <f t="shared" si="87"/>
        <v>Yes</v>
      </c>
      <c r="AY730" s="9" t="str">
        <f t="shared" si="95"/>
        <v/>
      </c>
      <c r="AZ730" s="9" t="str">
        <f>IF(OR(G730="Missing date",G730="Invalid date",G730="Ship date before order date",NOT(ISNUMBER(AP730)),AP730&lt;0,AP730&gt;0.5,AV730=TRUE,AW730=TRUE),"Invalid",IF(OR(O730="Unknown",Z730="Unknown",AC730="",AH730&lt;&gt;"Paid",AJ730&lt;&gt;"Completed",AO730&lt;&gt;""),"Warning","Clean"))</f>
        <v>Clean</v>
      </c>
    </row>
    <row r="731" spans="1:52" ht="15.75" customHeight="1">
      <c r="A731" s="6" t="s">
        <v>3491</v>
      </c>
      <c r="B731" s="7" t="s">
        <v>3492</v>
      </c>
      <c r="C731" s="7" t="str">
        <f t="shared" si="94"/>
        <v>2025-05</v>
      </c>
      <c r="D731" s="7" cm="1">
        <f t="array" ref="D731">_xlfn.LET(_xlpm.x,B731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45794</v>
      </c>
      <c r="E731" s="7" t="s">
        <v>3493</v>
      </c>
      <c r="F731" s="7" cm="1">
        <f t="array" ref="F731">_xlfn.LET(_xlpm.x,E731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45802</v>
      </c>
      <c r="G731" s="8" t="str">
        <f t="shared" si="64"/>
        <v>OK</v>
      </c>
      <c r="H731" s="6">
        <f t="shared" si="65"/>
        <v>8</v>
      </c>
      <c r="I731" s="6" t="s">
        <v>3494</v>
      </c>
      <c r="J731" s="6" t="s">
        <v>161</v>
      </c>
      <c r="K731" s="6" t="str">
        <f t="shared" si="66"/>
        <v>Ananya Rao</v>
      </c>
      <c r="L731" s="6" t="s">
        <v>45</v>
      </c>
      <c r="M731" s="8" t="str">
        <f t="shared" si="67"/>
        <v>Corporate</v>
      </c>
      <c r="N731" s="6" t="s">
        <v>10</v>
      </c>
      <c r="O731" s="6" t="str">
        <f t="shared" si="68"/>
        <v>South</v>
      </c>
      <c r="P731" s="6" t="s">
        <v>413</v>
      </c>
      <c r="Q731" s="6" t="str">
        <f t="shared" si="69"/>
        <v>Tamil Nadu</v>
      </c>
      <c r="R731" s="6" t="s">
        <v>414</v>
      </c>
      <c r="S731" s="6" t="str">
        <f t="shared" si="70"/>
        <v>Chennai</v>
      </c>
      <c r="T731" s="6" t="s">
        <v>27</v>
      </c>
      <c r="U731" s="8" t="str">
        <f t="shared" si="71"/>
        <v>Technology</v>
      </c>
      <c r="V731" s="6" t="s">
        <v>30</v>
      </c>
      <c r="W731" s="6" t="str">
        <f t="shared" si="72"/>
        <v>Machines</v>
      </c>
      <c r="X731" s="6" t="s">
        <v>3495</v>
      </c>
      <c r="Y731" s="6" t="s">
        <v>37</v>
      </c>
      <c r="Z731" s="6" t="str">
        <f t="shared" si="73"/>
        <v>Same Day</v>
      </c>
      <c r="AA731" s="6">
        <v>6</v>
      </c>
      <c r="AB731" s="6">
        <v>1810.63</v>
      </c>
      <c r="AC731" s="6">
        <v>0.15</v>
      </c>
      <c r="AD731" s="6">
        <v>9234.2099999999991</v>
      </c>
      <c r="AE731" s="6">
        <v>5516.52</v>
      </c>
      <c r="AF731" s="6">
        <v>3717.69</v>
      </c>
      <c r="AG731" s="6" t="s">
        <v>52</v>
      </c>
      <c r="AH731" s="6" t="str">
        <f t="shared" si="74"/>
        <v>Paid</v>
      </c>
      <c r="AI731" s="6" t="s">
        <v>134</v>
      </c>
      <c r="AJ731" s="6" t="str">
        <f t="shared" si="75"/>
        <v>Completed</v>
      </c>
      <c r="AK731" s="9" t="str">
        <f>_xlfn.TEXTJOIN("|",FALSE,A731,TEXT(B731,"mm-dd-yyyy"),TEXT(E731,"mm-dd-yyyy"),I731,J731,L731,N731,P731,R731,T731,V731,X731,Y731,AA731,AB731,AC731,AD731,AE731,AF731,AG731,AI731)</f>
        <v>ORD-2025-10730|17-05-2025|05-25-2025|CUST-8713|Ananya Rao|Corporate|South|Tamil Nadu|Chennai|Technology|Machines|Pro Machines 563|Same Day|6|1810.63|0.15|9234.21|5516.52|3717.69|Paid|Completed</v>
      </c>
      <c r="AL731" s="27" t="str">
        <f>IF(COUNTIF($AK$2:AK731,AK731)&gt;1,"Remove exact duplicate copy","Keep")</f>
        <v>Keep</v>
      </c>
      <c r="AM731" s="9">
        <f t="shared" si="76"/>
        <v>1</v>
      </c>
      <c r="AN731" s="9" t="str">
        <f t="shared" si="77"/>
        <v>Unique</v>
      </c>
      <c r="AO731" s="9" t="str">
        <f t="shared" si="78"/>
        <v/>
      </c>
      <c r="AP731" s="9">
        <f t="shared" si="79"/>
        <v>0.15</v>
      </c>
      <c r="AQ731" s="10">
        <f t="shared" si="80"/>
        <v>9234.2129999999997</v>
      </c>
      <c r="AR731" s="10">
        <f t="shared" si="81"/>
        <v>3717.6929999999993</v>
      </c>
      <c r="AS731" s="11">
        <f t="shared" si="82"/>
        <v>0.40259987505161504</v>
      </c>
      <c r="AT731" s="9">
        <f t="shared" si="83"/>
        <v>5</v>
      </c>
      <c r="AU731" s="9">
        <f t="shared" si="84"/>
        <v>2025</v>
      </c>
      <c r="AV731" s="9" t="b">
        <f t="shared" si="85"/>
        <v>0</v>
      </c>
      <c r="AW731" s="9" t="b">
        <f t="shared" si="86"/>
        <v>0</v>
      </c>
      <c r="AX731" s="9" t="str">
        <f t="shared" si="87"/>
        <v>Yes</v>
      </c>
      <c r="AY731" s="9" t="str">
        <f t="shared" si="95"/>
        <v/>
      </c>
      <c r="AZ731" s="9" t="str">
        <f>IF(OR(G731="Missing date",G731="Invalid date",G731="Ship date before order date",NOT(ISNUMBER(AP731)),AP731&lt;0,AP731&gt;0.5,AV731=TRUE,AW731=TRUE),"Invalid",IF(OR(O731="Unknown",Z731="Unknown",AC731="",AH731&lt;&gt;"Paid",AJ731&lt;&gt;"Completed",AO731&lt;&gt;""),"Warning","Clean"))</f>
        <v>Clean</v>
      </c>
    </row>
    <row r="732" spans="1:52" ht="15.75" customHeight="1">
      <c r="A732" s="6" t="s">
        <v>3496</v>
      </c>
      <c r="B732" s="7" t="s">
        <v>3497</v>
      </c>
      <c r="C732" s="7" t="str">
        <f t="shared" si="94"/>
        <v>2025-06</v>
      </c>
      <c r="D732" s="7" cm="1">
        <f t="array" ref="D732">_xlfn.LET(_xlpm.x,B732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45827</v>
      </c>
      <c r="E732" s="7" t="s">
        <v>3408</v>
      </c>
      <c r="F732" s="7" cm="1">
        <f t="array" ref="F732">_xlfn.LET(_xlpm.x,E732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45832</v>
      </c>
      <c r="G732" s="8" t="str">
        <f t="shared" si="64"/>
        <v>OK</v>
      </c>
      <c r="H732" s="6">
        <f t="shared" si="65"/>
        <v>5</v>
      </c>
      <c r="I732" s="6" t="s">
        <v>3498</v>
      </c>
      <c r="J732" s="6" t="s">
        <v>153</v>
      </c>
      <c r="K732" s="6" t="str">
        <f t="shared" si="66"/>
        <v>Arjun Bose</v>
      </c>
      <c r="L732" s="6" t="s">
        <v>43</v>
      </c>
      <c r="M732" s="8" t="str">
        <f t="shared" si="67"/>
        <v>Consumer</v>
      </c>
      <c r="N732" s="6" t="s">
        <v>8</v>
      </c>
      <c r="O732" s="6" t="str">
        <f t="shared" si="68"/>
        <v>East</v>
      </c>
      <c r="P732" s="6" t="s">
        <v>201</v>
      </c>
      <c r="Q732" s="6" t="str">
        <f t="shared" si="69"/>
        <v>West Bengal</v>
      </c>
      <c r="R732" s="6" t="s">
        <v>202</v>
      </c>
      <c r="S732" s="6" t="str">
        <f t="shared" si="70"/>
        <v>Kolkata</v>
      </c>
      <c r="T732" s="6" t="s">
        <v>20</v>
      </c>
      <c r="U732" s="8" t="str">
        <f t="shared" si="71"/>
        <v>Office Supplies</v>
      </c>
      <c r="V732" s="6" t="s">
        <v>21</v>
      </c>
      <c r="W732" s="6" t="str">
        <f t="shared" si="72"/>
        <v>Art</v>
      </c>
      <c r="X732" s="6" t="s">
        <v>3499</v>
      </c>
      <c r="Y732" s="6" t="s">
        <v>36</v>
      </c>
      <c r="Z732" s="6" t="str">
        <f t="shared" si="73"/>
        <v>Second Class</v>
      </c>
      <c r="AA732" s="6">
        <v>4</v>
      </c>
      <c r="AB732" s="6">
        <v>782.01</v>
      </c>
      <c r="AC732" s="6">
        <v>0.15</v>
      </c>
      <c r="AD732" s="6">
        <v>2658.83</v>
      </c>
      <c r="AE732" s="6">
        <v>2226.9699999999998</v>
      </c>
      <c r="AF732" s="6">
        <v>431.86</v>
      </c>
      <c r="AG732" s="6" t="s">
        <v>56</v>
      </c>
      <c r="AH732" s="6" t="str">
        <f t="shared" si="74"/>
        <v>Refunded</v>
      </c>
      <c r="AI732" s="6" t="s">
        <v>59</v>
      </c>
      <c r="AJ732" s="6" t="str">
        <f t="shared" si="75"/>
        <v>Returned</v>
      </c>
      <c r="AK732" s="9" t="str">
        <f>_xlfn.TEXTJOIN("|",FALSE,A732,TEXT(B732,"mm-dd-yyyy"),TEXT(E732,"mm-dd-yyyy"),I732,J732,L732,N732,P732,R732,T732,V732,X732,Y732,AA732,AB732,AC732,AD732,AE732,AF732,AG732,AI732)</f>
        <v>ORD-2025-10731|06-19-2025|24-06-2025|CUST-6765|Arjun Bose|Consumer|East|West Bengal|Kolkata|Office Supplies|Art|Elite Art 696|Second Class|4|782.01|0.15|2658.83|2226.97|431.86|Refunded|Returned</v>
      </c>
      <c r="AL732" s="27" t="str">
        <f>IF(COUNTIF($AK$2:AK732,AK732)&gt;1,"Remove exact duplicate copy","Keep")</f>
        <v>Keep</v>
      </c>
      <c r="AM732" s="9">
        <f t="shared" si="76"/>
        <v>1</v>
      </c>
      <c r="AN732" s="9" t="str">
        <f t="shared" si="77"/>
        <v>Unique</v>
      </c>
      <c r="AO732" s="9" t="str">
        <f t="shared" si="78"/>
        <v/>
      </c>
      <c r="AP732" s="9">
        <f t="shared" si="79"/>
        <v>0.15</v>
      </c>
      <c r="AQ732" s="10">
        <f t="shared" si="80"/>
        <v>2658.8339999999998</v>
      </c>
      <c r="AR732" s="10">
        <f t="shared" si="81"/>
        <v>431.86400000000003</v>
      </c>
      <c r="AS732" s="11">
        <f t="shared" si="82"/>
        <v>0.16242608602116568</v>
      </c>
      <c r="AT732" s="9">
        <f t="shared" si="83"/>
        <v>6</v>
      </c>
      <c r="AU732" s="9">
        <f t="shared" si="84"/>
        <v>2025</v>
      </c>
      <c r="AV732" s="9" t="b">
        <f t="shared" si="85"/>
        <v>0</v>
      </c>
      <c r="AW732" s="9" t="b">
        <f t="shared" si="86"/>
        <v>0</v>
      </c>
      <c r="AX732" s="9" t="str">
        <f t="shared" si="87"/>
        <v>No</v>
      </c>
      <c r="AY732" s="9" t="str">
        <f t="shared" si="95"/>
        <v>Refunded order summarized separately; Returned order excluded</v>
      </c>
      <c r="AZ732" s="9" t="str">
        <f>IF(OR(G732="Missing date",G732="Invalid date",G732="Ship date before order date",NOT(ISNUMBER(AP732)),AP732&lt;0,AP732&gt;0.5,AV732=TRUE,AW732=TRUE),"Invalid",IF(OR(O732="Unknown",Z732="Unknown",AC732="",AH732&lt;&gt;"Paid",AJ732&lt;&gt;"Completed",AO732&lt;&gt;""),"Warning","Clean"))</f>
        <v>Warning</v>
      </c>
    </row>
    <row r="733" spans="1:52" ht="15.75" customHeight="1">
      <c r="A733" s="6" t="s">
        <v>3500</v>
      </c>
      <c r="B733" s="7" t="s">
        <v>3501</v>
      </c>
      <c r="C733" s="7" t="str">
        <f t="shared" si="94"/>
        <v>2024-03</v>
      </c>
      <c r="D733" s="7" cm="1">
        <f t="array" ref="D733">_xlfn.LET(_xlpm.x,B733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45368</v>
      </c>
      <c r="E733" s="7" t="s">
        <v>3502</v>
      </c>
      <c r="F733" s="7" cm="1">
        <f t="array" ref="F733">_xlfn.LET(_xlpm.x,E733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45370</v>
      </c>
      <c r="G733" s="8" t="str">
        <f t="shared" si="64"/>
        <v>OK</v>
      </c>
      <c r="H733" s="6">
        <f t="shared" si="65"/>
        <v>2</v>
      </c>
      <c r="I733" s="6" t="s">
        <v>3503</v>
      </c>
      <c r="J733" s="6" t="s">
        <v>161</v>
      </c>
      <c r="K733" s="6" t="str">
        <f t="shared" si="66"/>
        <v>Ananya Rao</v>
      </c>
      <c r="L733" s="6" t="s">
        <v>45</v>
      </c>
      <c r="M733" s="8" t="str">
        <f t="shared" si="67"/>
        <v>Corporate</v>
      </c>
      <c r="N733" s="6" t="s">
        <v>8</v>
      </c>
      <c r="O733" s="6" t="str">
        <f t="shared" si="68"/>
        <v>East</v>
      </c>
      <c r="P733" s="6" t="s">
        <v>140</v>
      </c>
      <c r="Q733" s="6" t="str">
        <f t="shared" si="69"/>
        <v>Odisha</v>
      </c>
      <c r="R733" s="6" t="s">
        <v>141</v>
      </c>
      <c r="S733" s="6" t="str">
        <f t="shared" si="70"/>
        <v>Bhubaneswar</v>
      </c>
      <c r="T733" s="6" t="s">
        <v>20</v>
      </c>
      <c r="U733" s="8" t="str">
        <f t="shared" si="71"/>
        <v>Office Supplies</v>
      </c>
      <c r="V733" s="6" t="s">
        <v>22</v>
      </c>
      <c r="W733" s="6" t="str">
        <f t="shared" si="72"/>
        <v>Binders</v>
      </c>
      <c r="X733" s="6" t="s">
        <v>3504</v>
      </c>
      <c r="Y733" s="6" t="s">
        <v>35</v>
      </c>
      <c r="Z733" s="6" t="str">
        <f t="shared" si="73"/>
        <v>First Class</v>
      </c>
      <c r="AA733" s="6">
        <v>4</v>
      </c>
      <c r="AB733" s="6">
        <v>4376.68</v>
      </c>
      <c r="AC733" s="6">
        <v>0.1</v>
      </c>
      <c r="AD733" s="6">
        <v>15756.05</v>
      </c>
      <c r="AE733" s="6">
        <v>10245.44</v>
      </c>
      <c r="AF733" s="6">
        <v>5510.61</v>
      </c>
      <c r="AG733" s="6" t="s">
        <v>52</v>
      </c>
      <c r="AH733" s="6" t="str">
        <f t="shared" si="74"/>
        <v>Paid</v>
      </c>
      <c r="AI733" s="6" t="s">
        <v>134</v>
      </c>
      <c r="AJ733" s="6" t="str">
        <f t="shared" si="75"/>
        <v>Completed</v>
      </c>
      <c r="AK733" s="9" t="str">
        <f>_xlfn.TEXTJOIN("|",FALSE,A733,TEXT(B733,"mm-dd-yyyy"),TEXT(E733,"mm-dd-yyyy"),I733,J733,L733,N733,P733,R733,T733,V733,X733,Y733,AA733,AB733,AC733,AD733,AE733,AF733,AG733,AI733)</f>
        <v>ORD-2024-10732|03-17-2024|03-19-2024|CUST-6849|Ananya Rao|Corporate|East|Odisha|Bhubaneswar|Office Supplies|Binders|Eco Binders 178|First Class|4|4376.68|0.1|15756.05|10245.44|5510.61|Paid|Completed</v>
      </c>
      <c r="AL733" s="27" t="str">
        <f>IF(COUNTIF($AK$2:AK733,AK733)&gt;1,"Remove exact duplicate copy","Keep")</f>
        <v>Keep</v>
      </c>
      <c r="AM733" s="9">
        <f t="shared" si="76"/>
        <v>1</v>
      </c>
      <c r="AN733" s="9" t="str">
        <f t="shared" si="77"/>
        <v>Unique</v>
      </c>
      <c r="AO733" s="9" t="str">
        <f t="shared" si="78"/>
        <v/>
      </c>
      <c r="AP733" s="9">
        <f t="shared" si="79"/>
        <v>0.1</v>
      </c>
      <c r="AQ733" s="10">
        <f t="shared" si="80"/>
        <v>15756.048000000001</v>
      </c>
      <c r="AR733" s="10">
        <f t="shared" si="81"/>
        <v>5510.6080000000002</v>
      </c>
      <c r="AS733" s="11">
        <f t="shared" si="82"/>
        <v>0.3497455707167178</v>
      </c>
      <c r="AT733" s="9">
        <f t="shared" si="83"/>
        <v>3</v>
      </c>
      <c r="AU733" s="9">
        <f t="shared" si="84"/>
        <v>2024</v>
      </c>
      <c r="AV733" s="9" t="b">
        <f t="shared" si="85"/>
        <v>0</v>
      </c>
      <c r="AW733" s="9" t="b">
        <f t="shared" si="86"/>
        <v>0</v>
      </c>
      <c r="AX733" s="9" t="str">
        <f t="shared" si="87"/>
        <v>Yes</v>
      </c>
      <c r="AY733" s="9" t="str">
        <f t="shared" si="95"/>
        <v/>
      </c>
      <c r="AZ733" s="9" t="str">
        <f>IF(OR(G733="Missing date",G733="Invalid date",G733="Ship date before order date",NOT(ISNUMBER(AP733)),AP733&lt;0,AP733&gt;0.5,AV733=TRUE,AW733=TRUE),"Invalid",IF(OR(O733="Unknown",Z733="Unknown",AC733="",AH733&lt;&gt;"Paid",AJ733&lt;&gt;"Completed",AO733&lt;&gt;""),"Warning","Clean"))</f>
        <v>Clean</v>
      </c>
    </row>
    <row r="734" spans="1:52" ht="15.75" customHeight="1">
      <c r="A734" s="6" t="s">
        <v>3505</v>
      </c>
      <c r="B734" s="7" t="s">
        <v>3506</v>
      </c>
      <c r="C734" s="7" t="str">
        <f t="shared" si="94"/>
        <v>2024-11</v>
      </c>
      <c r="D734" s="7" cm="1">
        <f t="array" ref="D734">_xlfn.LET(_xlpm.x,B734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45624</v>
      </c>
      <c r="E734" s="7" t="s">
        <v>2915</v>
      </c>
      <c r="F734" s="7" cm="1">
        <f t="array" ref="F734">_xlfn.LET(_xlpm.x,E734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45632</v>
      </c>
      <c r="G734" s="8" t="str">
        <f t="shared" si="64"/>
        <v>OK</v>
      </c>
      <c r="H734" s="6">
        <f t="shared" si="65"/>
        <v>8</v>
      </c>
      <c r="I734" s="6" t="s">
        <v>3507</v>
      </c>
      <c r="J734" s="6" t="s">
        <v>153</v>
      </c>
      <c r="K734" s="6" t="str">
        <f t="shared" si="66"/>
        <v>Arjun Bose</v>
      </c>
      <c r="L734" s="6" t="s">
        <v>46</v>
      </c>
      <c r="M734" s="8" t="str">
        <f t="shared" si="67"/>
        <v>Small Business</v>
      </c>
      <c r="N734" s="6" t="s">
        <v>7</v>
      </c>
      <c r="O734" s="6" t="str">
        <f t="shared" si="68"/>
        <v>North</v>
      </c>
      <c r="P734" s="6" t="s">
        <v>232</v>
      </c>
      <c r="Q734" s="6" t="str">
        <f t="shared" si="69"/>
        <v>Punjab</v>
      </c>
      <c r="R734" s="6" t="s">
        <v>233</v>
      </c>
      <c r="S734" s="6" t="str">
        <f t="shared" si="70"/>
        <v>Ludhiana</v>
      </c>
      <c r="T734" s="6" t="s">
        <v>27</v>
      </c>
      <c r="U734" s="8" t="str">
        <f t="shared" si="71"/>
        <v>Technology</v>
      </c>
      <c r="V734" s="6" t="s">
        <v>31</v>
      </c>
      <c r="W734" s="6" t="str">
        <f t="shared" si="72"/>
        <v>Phones</v>
      </c>
      <c r="X734" s="6" t="s">
        <v>3508</v>
      </c>
      <c r="Y734" s="6" t="s">
        <v>34</v>
      </c>
      <c r="Z734" s="6" t="str">
        <f t="shared" si="73"/>
        <v>Standard Class</v>
      </c>
      <c r="AA734" s="6">
        <v>6</v>
      </c>
      <c r="AB734" s="6">
        <v>2464.63</v>
      </c>
      <c r="AC734" s="6">
        <v>0</v>
      </c>
      <c r="AD734" s="6">
        <v>14787.78</v>
      </c>
      <c r="AE734" s="6">
        <v>8596.65</v>
      </c>
      <c r="AF734" s="6">
        <v>6191.13</v>
      </c>
      <c r="AG734" s="6" t="s">
        <v>52</v>
      </c>
      <c r="AH734" s="6" t="str">
        <f t="shared" si="74"/>
        <v>Paid</v>
      </c>
      <c r="AI734" s="6" t="s">
        <v>134</v>
      </c>
      <c r="AJ734" s="6" t="str">
        <f t="shared" si="75"/>
        <v>Completed</v>
      </c>
      <c r="AK734" s="9" t="str">
        <f>_xlfn.TEXTJOIN("|",FALSE,A734,TEXT(B734,"mm-dd-yyyy"),TEXT(E734,"mm-dd-yyyy"),I734,J734,L734,N734,P734,R734,T734,V734,X734,Y734,AA734,AB734,AC734,AD734,AE734,AF734,AG734,AI734)</f>
        <v>ORD-2024-10733|11-28-2024|12-06-2024|CUST-4973|Arjun Bose|Small Business|North|Punjab|Ludhiana|Technology|Phones|Max Phones 678|Standard Class|6|2464.63|0|14787.78|8596.65|6191.13|Paid|Completed</v>
      </c>
      <c r="AL734" s="27" t="str">
        <f>IF(COUNTIF($AK$2:AK734,AK734)&gt;1,"Remove exact duplicate copy","Keep")</f>
        <v>Keep</v>
      </c>
      <c r="AM734" s="9">
        <f t="shared" si="76"/>
        <v>1</v>
      </c>
      <c r="AN734" s="9" t="str">
        <f t="shared" si="77"/>
        <v>Unique</v>
      </c>
      <c r="AO734" s="9" t="str">
        <f t="shared" si="78"/>
        <v/>
      </c>
      <c r="AP734" s="9">
        <f t="shared" si="79"/>
        <v>0</v>
      </c>
      <c r="AQ734" s="10">
        <f t="shared" si="80"/>
        <v>14787.78</v>
      </c>
      <c r="AR734" s="10">
        <f t="shared" si="81"/>
        <v>6191.130000000001</v>
      </c>
      <c r="AS734" s="11">
        <f t="shared" si="82"/>
        <v>0.41866527632950995</v>
      </c>
      <c r="AT734" s="9">
        <f t="shared" si="83"/>
        <v>11</v>
      </c>
      <c r="AU734" s="9">
        <f t="shared" si="84"/>
        <v>2024</v>
      </c>
      <c r="AV734" s="9" t="b">
        <f t="shared" si="85"/>
        <v>0</v>
      </c>
      <c r="AW734" s="9" t="b">
        <f t="shared" si="86"/>
        <v>0</v>
      </c>
      <c r="AX734" s="9" t="str">
        <f t="shared" si="87"/>
        <v>Yes</v>
      </c>
      <c r="AY734" s="9" t="str">
        <f t="shared" si="95"/>
        <v/>
      </c>
      <c r="AZ734" s="9" t="str">
        <f>IF(OR(G734="Missing date",G734="Invalid date",G734="Ship date before order date",NOT(ISNUMBER(AP734)),AP734&lt;0,AP734&gt;0.5,AV734=TRUE,AW734=TRUE),"Invalid",IF(OR(O734="Unknown",Z734="Unknown",AC734="",AH734&lt;&gt;"Paid",AJ734&lt;&gt;"Completed",AO734&lt;&gt;""),"Warning","Clean"))</f>
        <v>Clean</v>
      </c>
    </row>
    <row r="735" spans="1:52" ht="15.75" customHeight="1">
      <c r="A735" s="6" t="s">
        <v>3509</v>
      </c>
      <c r="B735" s="7" t="s">
        <v>1919</v>
      </c>
      <c r="C735" s="7" t="str">
        <f t="shared" si="94"/>
        <v>2024-06</v>
      </c>
      <c r="D735" s="7" cm="1">
        <f t="array" ref="D735">_xlfn.LET(_xlpm.x,B735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45464</v>
      </c>
      <c r="E735" s="7" t="s">
        <v>3510</v>
      </c>
      <c r="F735" s="7" cm="1">
        <f t="array" ref="F735">_xlfn.LET(_xlpm.x,E735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45471</v>
      </c>
      <c r="G735" s="8" t="str">
        <f t="shared" si="64"/>
        <v>OK</v>
      </c>
      <c r="H735" s="6">
        <f t="shared" si="65"/>
        <v>7</v>
      </c>
      <c r="I735" s="6" t="s">
        <v>3511</v>
      </c>
      <c r="J735" s="6" t="s">
        <v>239</v>
      </c>
      <c r="K735" s="6" t="str">
        <f t="shared" si="66"/>
        <v>Aarav Sharma</v>
      </c>
      <c r="L735" s="6" t="s">
        <v>44</v>
      </c>
      <c r="M735" s="8" t="str">
        <f t="shared" si="67"/>
        <v>Home Office</v>
      </c>
      <c r="N735" s="6" t="s">
        <v>7</v>
      </c>
      <c r="O735" s="6" t="str">
        <f t="shared" si="68"/>
        <v>North</v>
      </c>
      <c r="P735" s="6" t="s">
        <v>131</v>
      </c>
      <c r="Q735" s="6" t="str">
        <f t="shared" si="69"/>
        <v>Rajasthan</v>
      </c>
      <c r="R735" s="6" t="s">
        <v>132</v>
      </c>
      <c r="S735" s="6" t="str">
        <f t="shared" si="70"/>
        <v>Jaipur</v>
      </c>
      <c r="T735" s="6" t="s">
        <v>14</v>
      </c>
      <c r="U735" s="8" t="str">
        <f t="shared" si="71"/>
        <v>Furniture</v>
      </c>
      <c r="V735" s="6" t="s">
        <v>17</v>
      </c>
      <c r="W735" s="6" t="str">
        <f t="shared" si="72"/>
        <v>Furnishings</v>
      </c>
      <c r="X735" s="6" t="s">
        <v>3512</v>
      </c>
      <c r="Y735" s="6" t="s">
        <v>35</v>
      </c>
      <c r="Z735" s="6" t="str">
        <f t="shared" si="73"/>
        <v>First Class</v>
      </c>
      <c r="AA735" s="6">
        <v>9</v>
      </c>
      <c r="AB735" s="6">
        <v>2797.96</v>
      </c>
      <c r="AC735" s="6">
        <v>0</v>
      </c>
      <c r="AD735" s="6">
        <v>25181.64</v>
      </c>
      <c r="AE735" s="6">
        <v>15337.9</v>
      </c>
      <c r="AF735" s="6">
        <v>9843.74</v>
      </c>
      <c r="AG735" s="6" t="s">
        <v>52</v>
      </c>
      <c r="AH735" s="6" t="str">
        <f t="shared" si="74"/>
        <v>Paid</v>
      </c>
      <c r="AI735" s="6" t="s">
        <v>134</v>
      </c>
      <c r="AJ735" s="6" t="str">
        <f t="shared" si="75"/>
        <v>Completed</v>
      </c>
      <c r="AK735" s="9" t="str">
        <f>_xlfn.TEXTJOIN("|",FALSE,A735,TEXT(B735,"mm-dd-yyyy"),TEXT(E735,"mm-dd-yyyy"),I735,J735,L735,N735,P735,R735,T735,V735,X735,Y735,AA735,AB735,AC735,AD735,AE735,AF735,AG735,AI735)</f>
        <v>ORD-2024-10734|21-06-2024|06-28-2024|CUST-2394|Aarav Sharma|Home Office|North|Rajasthan|Jaipur|Furniture|Furnishings|Classic Furnishings 582|First Class|9|2797.96|0|25181.64|15337.9|9843.74|Paid|Completed</v>
      </c>
      <c r="AL735" s="27" t="str">
        <f>IF(COUNTIF($AK$2:AK735,AK735)&gt;1,"Remove exact duplicate copy","Keep")</f>
        <v>Keep</v>
      </c>
      <c r="AM735" s="9">
        <f t="shared" si="76"/>
        <v>1</v>
      </c>
      <c r="AN735" s="9" t="str">
        <f t="shared" si="77"/>
        <v>Unique</v>
      </c>
      <c r="AO735" s="9" t="str">
        <f t="shared" si="78"/>
        <v/>
      </c>
      <c r="AP735" s="9">
        <f t="shared" si="79"/>
        <v>0</v>
      </c>
      <c r="AQ735" s="10">
        <f t="shared" si="80"/>
        <v>25181.64</v>
      </c>
      <c r="AR735" s="10">
        <f t="shared" si="81"/>
        <v>9843.74</v>
      </c>
      <c r="AS735" s="11">
        <f t="shared" si="82"/>
        <v>0.39090940860086953</v>
      </c>
      <c r="AT735" s="9">
        <f t="shared" si="83"/>
        <v>6</v>
      </c>
      <c r="AU735" s="9">
        <f t="shared" si="84"/>
        <v>2024</v>
      </c>
      <c r="AV735" s="9" t="b">
        <f t="shared" si="85"/>
        <v>0</v>
      </c>
      <c r="AW735" s="9" t="b">
        <f t="shared" si="86"/>
        <v>0</v>
      </c>
      <c r="AX735" s="9" t="str">
        <f t="shared" si="87"/>
        <v>Yes</v>
      </c>
      <c r="AY735" s="9" t="str">
        <f t="shared" si="95"/>
        <v/>
      </c>
      <c r="AZ735" s="9" t="str">
        <f>IF(OR(G735="Missing date",G735="Invalid date",G735="Ship date before order date",NOT(ISNUMBER(AP735)),AP735&lt;0,AP735&gt;0.5,AV735=TRUE,AW735=TRUE),"Invalid",IF(OR(O735="Unknown",Z735="Unknown",AC735="",AH735&lt;&gt;"Paid",AJ735&lt;&gt;"Completed",AO735&lt;&gt;""),"Warning","Clean"))</f>
        <v>Clean</v>
      </c>
    </row>
    <row r="736" spans="1:52" ht="15.75" customHeight="1">
      <c r="A736" s="6" t="s">
        <v>3513</v>
      </c>
      <c r="B736" s="7" t="s">
        <v>3514</v>
      </c>
      <c r="C736" s="7" t="str">
        <f t="shared" si="94"/>
        <v>2024-08</v>
      </c>
      <c r="D736" s="7" cm="1">
        <f t="array" ref="D736">_xlfn.LET(_xlpm.x,B736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45528</v>
      </c>
      <c r="E736" s="7" t="s">
        <v>3514</v>
      </c>
      <c r="F736" s="7" cm="1">
        <f t="array" ref="F736">_xlfn.LET(_xlpm.x,E736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45528</v>
      </c>
      <c r="G736" s="8" t="str">
        <f t="shared" si="64"/>
        <v>OK</v>
      </c>
      <c r="H736" s="6">
        <f t="shared" si="65"/>
        <v>0</v>
      </c>
      <c r="I736" s="6" t="s">
        <v>3515</v>
      </c>
      <c r="J736" s="6" t="s">
        <v>161</v>
      </c>
      <c r="K736" s="6" t="str">
        <f t="shared" si="66"/>
        <v>Ananya Rao</v>
      </c>
      <c r="L736" s="6" t="s">
        <v>46</v>
      </c>
      <c r="M736" s="8" t="str">
        <f t="shared" si="67"/>
        <v>Small Business</v>
      </c>
      <c r="N736" s="6" t="s">
        <v>7</v>
      </c>
      <c r="O736" s="6" t="str">
        <f t="shared" si="68"/>
        <v>North</v>
      </c>
      <c r="P736" s="6" t="s">
        <v>131</v>
      </c>
      <c r="Q736" s="6" t="str">
        <f t="shared" si="69"/>
        <v>Rajasthan</v>
      </c>
      <c r="R736" s="6" t="s">
        <v>132</v>
      </c>
      <c r="S736" s="6" t="str">
        <f t="shared" si="70"/>
        <v>Jaipur</v>
      </c>
      <c r="T736" s="6" t="s">
        <v>27</v>
      </c>
      <c r="U736" s="8" t="str">
        <f t="shared" si="71"/>
        <v>Technology</v>
      </c>
      <c r="V736" s="6" t="s">
        <v>28</v>
      </c>
      <c r="W736" s="6" t="str">
        <f t="shared" si="72"/>
        <v>Accessories</v>
      </c>
      <c r="X736" s="6" t="s">
        <v>3516</v>
      </c>
      <c r="Y736" s="6" t="s">
        <v>35</v>
      </c>
      <c r="Z736" s="6" t="str">
        <f t="shared" si="73"/>
        <v>First Class</v>
      </c>
      <c r="AA736" s="6">
        <v>4</v>
      </c>
      <c r="AB736" s="6">
        <v>2761.86</v>
      </c>
      <c r="AC736" s="6">
        <v>0.2</v>
      </c>
      <c r="AD736" s="6">
        <v>8837.9500000000007</v>
      </c>
      <c r="AE736" s="6">
        <v>6157.27</v>
      </c>
      <c r="AF736" s="6">
        <v>2680.68</v>
      </c>
      <c r="AG736" s="6" t="s">
        <v>52</v>
      </c>
      <c r="AH736" s="6" t="str">
        <f t="shared" si="74"/>
        <v>Paid</v>
      </c>
      <c r="AI736" s="6" t="s">
        <v>134</v>
      </c>
      <c r="AJ736" s="6" t="str">
        <f t="shared" si="75"/>
        <v>Completed</v>
      </c>
      <c r="AK736" s="9" t="str">
        <f>_xlfn.TEXTJOIN("|",FALSE,A736,TEXT(B736,"mm-dd-yyyy"),TEXT(E736,"mm-dd-yyyy"),I736,J736,L736,N736,P736,R736,T736,V736,X736,Y736,AA736,AB736,AC736,AD736,AE736,AF736,AG736,AI736)</f>
        <v>ORD-2024-10735|24-08-2024|24-08-2024|CUST-5406|Ananya Rao|Small Business|North|Rajasthan|Jaipur|Technology|Accessories|Classic Accessories 981|First Class|4|2761.86|0.2|8837.95|6157.27|2680.68|Paid|Completed</v>
      </c>
      <c r="AL736" s="27" t="str">
        <f>IF(COUNTIF($AK$2:AK736,AK736)&gt;1,"Remove exact duplicate copy","Keep")</f>
        <v>Keep</v>
      </c>
      <c r="AM736" s="9">
        <f t="shared" si="76"/>
        <v>1</v>
      </c>
      <c r="AN736" s="9" t="str">
        <f t="shared" si="77"/>
        <v>Unique</v>
      </c>
      <c r="AO736" s="9" t="str">
        <f t="shared" si="78"/>
        <v/>
      </c>
      <c r="AP736" s="9">
        <f t="shared" si="79"/>
        <v>0.2</v>
      </c>
      <c r="AQ736" s="10">
        <f t="shared" si="80"/>
        <v>8837.9520000000011</v>
      </c>
      <c r="AR736" s="10">
        <f t="shared" si="81"/>
        <v>2680.6820000000007</v>
      </c>
      <c r="AS736" s="11">
        <f t="shared" si="82"/>
        <v>0.30331484036120587</v>
      </c>
      <c r="AT736" s="9">
        <f t="shared" si="83"/>
        <v>8</v>
      </c>
      <c r="AU736" s="9">
        <f t="shared" si="84"/>
        <v>2024</v>
      </c>
      <c r="AV736" s="9" t="b">
        <f t="shared" si="85"/>
        <v>0</v>
      </c>
      <c r="AW736" s="9" t="b">
        <f t="shared" si="86"/>
        <v>0</v>
      </c>
      <c r="AX736" s="9" t="str">
        <f t="shared" si="87"/>
        <v>Yes</v>
      </c>
      <c r="AY736" s="9" t="str">
        <f t="shared" si="95"/>
        <v/>
      </c>
      <c r="AZ736" s="9" t="str">
        <f>IF(OR(G736="Missing date",G736="Invalid date",G736="Ship date before order date",NOT(ISNUMBER(AP736)),AP736&lt;0,AP736&gt;0.5,AV736=TRUE,AW736=TRUE),"Invalid",IF(OR(O736="Unknown",Z736="Unknown",AC736="",AH736&lt;&gt;"Paid",AJ736&lt;&gt;"Completed",AO736&lt;&gt;""),"Warning","Clean"))</f>
        <v>Clean</v>
      </c>
    </row>
    <row r="737" spans="1:52" ht="15.75" customHeight="1">
      <c r="A737" s="6" t="s">
        <v>3517</v>
      </c>
      <c r="B737" s="7" t="s">
        <v>3518</v>
      </c>
      <c r="C737" s="7" t="str">
        <f t="shared" si="94"/>
        <v>2024-08</v>
      </c>
      <c r="D737" s="7" cm="1">
        <f t="array" ref="D737">_xlfn.LET(_xlpm.x,B737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45515</v>
      </c>
      <c r="E737" s="7" t="s">
        <v>2956</v>
      </c>
      <c r="F737" s="7" cm="1">
        <f t="array" ref="F737">_xlfn.LET(_xlpm.x,E737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45523</v>
      </c>
      <c r="G737" s="8" t="str">
        <f t="shared" si="64"/>
        <v>OK</v>
      </c>
      <c r="H737" s="6">
        <f t="shared" si="65"/>
        <v>8</v>
      </c>
      <c r="I737" s="6" t="s">
        <v>3519</v>
      </c>
      <c r="J737" s="6" t="s">
        <v>139</v>
      </c>
      <c r="K737" s="6" t="str">
        <f t="shared" si="66"/>
        <v>Mira Das</v>
      </c>
      <c r="L737" s="6" t="s">
        <v>43</v>
      </c>
      <c r="M737" s="8" t="str">
        <f t="shared" si="67"/>
        <v>Consumer</v>
      </c>
      <c r="N737" s="6" t="s">
        <v>9</v>
      </c>
      <c r="O737" s="6" t="str">
        <f t="shared" si="68"/>
        <v>West</v>
      </c>
      <c r="P737" s="6" t="s">
        <v>162</v>
      </c>
      <c r="Q737" s="6" t="str">
        <f t="shared" si="69"/>
        <v>Maharashtra</v>
      </c>
      <c r="R737" s="6" t="s">
        <v>163</v>
      </c>
      <c r="S737" s="6" t="str">
        <f t="shared" si="70"/>
        <v>Mumbai</v>
      </c>
      <c r="T737" s="6" t="s">
        <v>14</v>
      </c>
      <c r="U737" s="8" t="str">
        <f t="shared" si="71"/>
        <v>Furniture</v>
      </c>
      <c r="V737" s="6" t="s">
        <v>18</v>
      </c>
      <c r="W737" s="6" t="str">
        <f t="shared" si="72"/>
        <v>Tables</v>
      </c>
      <c r="X737" s="6" t="s">
        <v>3520</v>
      </c>
      <c r="Y737" s="6" t="s">
        <v>34</v>
      </c>
      <c r="Z737" s="6" t="str">
        <f t="shared" si="73"/>
        <v>Standard Class</v>
      </c>
      <c r="AA737" s="6">
        <v>6</v>
      </c>
      <c r="AB737" s="6">
        <v>1515.79</v>
      </c>
      <c r="AC737" s="6">
        <v>0.2</v>
      </c>
      <c r="AD737" s="6">
        <v>7275.79</v>
      </c>
      <c r="AE737" s="6">
        <v>6152.87</v>
      </c>
      <c r="AF737" s="6">
        <v>1122.92</v>
      </c>
      <c r="AG737" s="6" t="s">
        <v>52</v>
      </c>
      <c r="AH737" s="6" t="str">
        <f t="shared" si="74"/>
        <v>Paid</v>
      </c>
      <c r="AI737" s="6" t="s">
        <v>134</v>
      </c>
      <c r="AJ737" s="6" t="str">
        <f t="shared" si="75"/>
        <v>Completed</v>
      </c>
      <c r="AK737" s="9" t="str">
        <f>_xlfn.TEXTJOIN("|",FALSE,A737,TEXT(B737,"mm-dd-yyyy"),TEXT(E737,"mm-dd-yyyy"),I737,J737,L737,N737,P737,R737,T737,V737,X737,Y737,AA737,AB737,AC737,AD737,AE737,AF737,AG737,AI737)</f>
        <v>ORD-2024-10736|08-11-2024|19-08-2024|CUST-1963|Mira Das|Consumer|West|Maharashtra|Mumbai|Furniture|Tables|Classic Tables 534|Standard Class|6|1515.79|0.2|7275.79|6152.87|1122.92|Paid|Completed</v>
      </c>
      <c r="AL737" s="27" t="str">
        <f>IF(COUNTIF($AK$2:AK737,AK737)&gt;1,"Remove exact duplicate copy","Keep")</f>
        <v>Keep</v>
      </c>
      <c r="AM737" s="9">
        <f t="shared" si="76"/>
        <v>1</v>
      </c>
      <c r="AN737" s="9" t="str">
        <f t="shared" si="77"/>
        <v>Unique</v>
      </c>
      <c r="AO737" s="9" t="str">
        <f t="shared" si="78"/>
        <v/>
      </c>
      <c r="AP737" s="9">
        <f t="shared" si="79"/>
        <v>0.2</v>
      </c>
      <c r="AQ737" s="10">
        <f t="shared" si="80"/>
        <v>7275.7920000000004</v>
      </c>
      <c r="AR737" s="10">
        <f t="shared" si="81"/>
        <v>1122.9220000000005</v>
      </c>
      <c r="AS737" s="11">
        <f t="shared" si="82"/>
        <v>0.15433673749881804</v>
      </c>
      <c r="AT737" s="9">
        <f t="shared" si="83"/>
        <v>8</v>
      </c>
      <c r="AU737" s="9">
        <f t="shared" si="84"/>
        <v>2024</v>
      </c>
      <c r="AV737" s="9" t="b">
        <f t="shared" si="85"/>
        <v>0</v>
      </c>
      <c r="AW737" s="9" t="b">
        <f t="shared" si="86"/>
        <v>0</v>
      </c>
      <c r="AX737" s="9" t="str">
        <f t="shared" si="87"/>
        <v>Yes</v>
      </c>
      <c r="AY737" s="9" t="str">
        <f t="shared" si="95"/>
        <v/>
      </c>
      <c r="AZ737" s="9" t="str">
        <f>IF(OR(G737="Missing date",G737="Invalid date",G737="Ship date before order date",NOT(ISNUMBER(AP737)),AP737&lt;0,AP737&gt;0.5,AV737=TRUE,AW737=TRUE),"Invalid",IF(OR(O737="Unknown",Z737="Unknown",AC737="",AH737&lt;&gt;"Paid",AJ737&lt;&gt;"Completed",AO737&lt;&gt;""),"Warning","Clean"))</f>
        <v>Clean</v>
      </c>
    </row>
    <row r="738" spans="1:52" ht="15.75" customHeight="1">
      <c r="A738" s="6" t="s">
        <v>3521</v>
      </c>
      <c r="B738" s="7" t="s">
        <v>2915</v>
      </c>
      <c r="C738" s="7" t="str">
        <f t="shared" si="94"/>
        <v>2024-12</v>
      </c>
      <c r="D738" s="7" cm="1">
        <f t="array" ref="D738">_xlfn.LET(_xlpm.x,B738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45632</v>
      </c>
      <c r="E738" s="7" t="s">
        <v>3522</v>
      </c>
      <c r="F738" s="7" cm="1">
        <f t="array" ref="F738">_xlfn.LET(_xlpm.x,E738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45635</v>
      </c>
      <c r="G738" s="8" t="str">
        <f t="shared" si="64"/>
        <v>OK</v>
      </c>
      <c r="H738" s="6">
        <f t="shared" si="65"/>
        <v>3</v>
      </c>
      <c r="I738" s="6" t="s">
        <v>3523</v>
      </c>
      <c r="J738" s="6" t="s">
        <v>190</v>
      </c>
      <c r="K738" s="6" t="str">
        <f t="shared" si="66"/>
        <v>Aditi Sen</v>
      </c>
      <c r="L738" s="6" t="s">
        <v>43</v>
      </c>
      <c r="M738" s="8" t="str">
        <f t="shared" si="67"/>
        <v>Consumer</v>
      </c>
      <c r="N738" s="6" t="s">
        <v>9</v>
      </c>
      <c r="O738" s="6" t="str">
        <f t="shared" si="68"/>
        <v>West</v>
      </c>
      <c r="P738" s="6" t="s">
        <v>162</v>
      </c>
      <c r="Q738" s="6" t="str">
        <f t="shared" si="69"/>
        <v>Maharashtra</v>
      </c>
      <c r="R738" s="6" t="s">
        <v>163</v>
      </c>
      <c r="S738" s="6" t="str">
        <f t="shared" si="70"/>
        <v>Mumbai</v>
      </c>
      <c r="T738" s="6" t="s">
        <v>14</v>
      </c>
      <c r="U738" s="8" t="str">
        <f t="shared" si="71"/>
        <v>Furniture</v>
      </c>
      <c r="V738" s="6" t="s">
        <v>16</v>
      </c>
      <c r="W738" s="6" t="str">
        <f t="shared" si="72"/>
        <v>Chairs</v>
      </c>
      <c r="X738" s="6" t="s">
        <v>3524</v>
      </c>
      <c r="Y738" s="6" t="s">
        <v>36</v>
      </c>
      <c r="Z738" s="6" t="str">
        <f t="shared" si="73"/>
        <v>Second Class</v>
      </c>
      <c r="AA738" s="6">
        <v>9</v>
      </c>
      <c r="AB738" s="6">
        <v>290.75</v>
      </c>
      <c r="AC738" s="6">
        <v>0.1</v>
      </c>
      <c r="AD738" s="6">
        <v>2355.08</v>
      </c>
      <c r="AE738" s="6">
        <v>1350.03</v>
      </c>
      <c r="AF738" s="6">
        <v>1005.05</v>
      </c>
      <c r="AG738" s="6" t="s">
        <v>52</v>
      </c>
      <c r="AH738" s="6" t="str">
        <f t="shared" si="74"/>
        <v>Paid</v>
      </c>
      <c r="AI738" s="6" t="s">
        <v>134</v>
      </c>
      <c r="AJ738" s="6" t="str">
        <f t="shared" si="75"/>
        <v>Completed</v>
      </c>
      <c r="AK738" s="9" t="str">
        <f>_xlfn.TEXTJOIN("|",FALSE,A738,TEXT(B738,"mm-dd-yyyy"),TEXT(E738,"mm-dd-yyyy"),I738,J738,L738,N738,P738,R738,T738,V738,X738,Y738,AA738,AB738,AC738,AD738,AE738,AF738,AG738,AI738)</f>
        <v>ORD-2024-10737|12-06-2024|09-12-2024|CUST-9017|Aditi Sen|Consumer|West|Maharashtra|Mumbai|Furniture|Chairs|Pro Chairs 383|Second Class|9|290.75|0.1|2355.08|1350.03|1005.05|Paid|Completed</v>
      </c>
      <c r="AL738" s="27" t="str">
        <f>IF(COUNTIF($AK$2:AK738,AK738)&gt;1,"Remove exact duplicate copy","Keep")</f>
        <v>Keep</v>
      </c>
      <c r="AM738" s="9">
        <f t="shared" si="76"/>
        <v>1</v>
      </c>
      <c r="AN738" s="9" t="str">
        <f t="shared" si="77"/>
        <v>Unique</v>
      </c>
      <c r="AO738" s="9" t="str">
        <f t="shared" si="78"/>
        <v/>
      </c>
      <c r="AP738" s="9">
        <f t="shared" si="79"/>
        <v>0.1</v>
      </c>
      <c r="AQ738" s="10">
        <f t="shared" si="80"/>
        <v>2355.0750000000003</v>
      </c>
      <c r="AR738" s="10">
        <f t="shared" si="81"/>
        <v>1005.0450000000003</v>
      </c>
      <c r="AS738" s="11">
        <f t="shared" si="82"/>
        <v>0.42675710964618968</v>
      </c>
      <c r="AT738" s="9">
        <f t="shared" si="83"/>
        <v>12</v>
      </c>
      <c r="AU738" s="9">
        <f t="shared" si="84"/>
        <v>2024</v>
      </c>
      <c r="AV738" s="9" t="b">
        <f t="shared" si="85"/>
        <v>0</v>
      </c>
      <c r="AW738" s="9" t="b">
        <f t="shared" si="86"/>
        <v>0</v>
      </c>
      <c r="AX738" s="9" t="str">
        <f t="shared" si="87"/>
        <v>Yes</v>
      </c>
      <c r="AY738" s="9" t="str">
        <f t="shared" si="95"/>
        <v/>
      </c>
      <c r="AZ738" s="9" t="str">
        <f>IF(OR(G738="Missing date",G738="Invalid date",G738="Ship date before order date",NOT(ISNUMBER(AP738)),AP738&lt;0,AP738&gt;0.5,AV738=TRUE,AW738=TRUE),"Invalid",IF(OR(O738="Unknown",Z738="Unknown",AC738="",AH738&lt;&gt;"Paid",AJ738&lt;&gt;"Completed",AO738&lt;&gt;""),"Warning","Clean"))</f>
        <v>Clean</v>
      </c>
    </row>
    <row r="739" spans="1:52" ht="15.75" customHeight="1">
      <c r="A739" s="6" t="s">
        <v>3525</v>
      </c>
      <c r="B739" s="7" t="s">
        <v>2339</v>
      </c>
      <c r="C739" s="7" t="str">
        <f t="shared" si="94"/>
        <v>2024-02</v>
      </c>
      <c r="D739" s="7" cm="1">
        <f t="array" ref="D739">_xlfn.LET(_xlpm.x,B739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45332</v>
      </c>
      <c r="E739" s="7" t="s">
        <v>2218</v>
      </c>
      <c r="F739" s="7" cm="1">
        <f t="array" ref="F739">_xlfn.LET(_xlpm.x,E739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45332</v>
      </c>
      <c r="G739" s="8" t="str">
        <f t="shared" si="64"/>
        <v>OK</v>
      </c>
      <c r="H739" s="6">
        <f t="shared" si="65"/>
        <v>0</v>
      </c>
      <c r="I739" s="6" t="s">
        <v>3526</v>
      </c>
      <c r="J739" s="6" t="s">
        <v>147</v>
      </c>
      <c r="K739" s="6" t="str">
        <f t="shared" si="66"/>
        <v>Isha Nair</v>
      </c>
      <c r="L739" s="6" t="s">
        <v>3527</v>
      </c>
      <c r="M739" s="8" t="str">
        <f t="shared" si="67"/>
        <v>Home Office</v>
      </c>
      <c r="N739" s="6" t="s">
        <v>9</v>
      </c>
      <c r="O739" s="6" t="str">
        <f t="shared" si="68"/>
        <v>West</v>
      </c>
      <c r="P739" s="6" t="s">
        <v>162</v>
      </c>
      <c r="Q739" s="6" t="str">
        <f t="shared" si="69"/>
        <v>Maharashtra</v>
      </c>
      <c r="R739" s="6" t="s">
        <v>163</v>
      </c>
      <c r="S739" s="6" t="str">
        <f t="shared" si="70"/>
        <v>Mumbai</v>
      </c>
      <c r="T739" s="6" t="s">
        <v>14</v>
      </c>
      <c r="U739" s="8" t="str">
        <f t="shared" si="71"/>
        <v>Furniture</v>
      </c>
      <c r="V739" s="6" t="s">
        <v>16</v>
      </c>
      <c r="W739" s="6" t="str">
        <f t="shared" si="72"/>
        <v>Chairs</v>
      </c>
      <c r="X739" s="6" t="s">
        <v>3528</v>
      </c>
      <c r="Y739" s="6" t="s">
        <v>37</v>
      </c>
      <c r="Z739" s="6" t="str">
        <f t="shared" si="73"/>
        <v>Same Day</v>
      </c>
      <c r="AA739" s="6">
        <v>6</v>
      </c>
      <c r="AB739" s="6">
        <v>601.52</v>
      </c>
      <c r="AC739" s="6">
        <v>0</v>
      </c>
      <c r="AD739" s="6">
        <v>3609.12</v>
      </c>
      <c r="AE739" s="6">
        <v>2645.5</v>
      </c>
      <c r="AF739" s="6">
        <v>963.62</v>
      </c>
      <c r="AG739" s="6" t="s">
        <v>52</v>
      </c>
      <c r="AH739" s="6" t="str">
        <f t="shared" si="74"/>
        <v>Paid</v>
      </c>
      <c r="AI739" s="6" t="s">
        <v>134</v>
      </c>
      <c r="AJ739" s="6" t="str">
        <f t="shared" si="75"/>
        <v>Completed</v>
      </c>
      <c r="AK739" s="9" t="str">
        <f>_xlfn.TEXTJOIN("|",FALSE,A739,TEXT(B739,"mm-dd-yyyy"),TEXT(E739,"mm-dd-yyyy"),I739,J739,L739,N739,P739,R739,T739,V739,X739,Y739,AA739,AB739,AC739,AD739,AE739,AF739,AG739,AI739)</f>
        <v>ORD-2024-10738|02-10-2024|02-10-2024|CUST-7967|Isha Nair|Home Office |West|Maharashtra|Mumbai|Furniture|Chairs|Max Chairs 845|Same Day|6|601.52|0|3609.12|2645.5|963.62|Paid|Completed</v>
      </c>
      <c r="AL739" s="27" t="str">
        <f>IF(COUNTIF($AK$2:AK739,AK739)&gt;1,"Remove exact duplicate copy","Keep")</f>
        <v>Keep</v>
      </c>
      <c r="AM739" s="9">
        <f t="shared" si="76"/>
        <v>1</v>
      </c>
      <c r="AN739" s="9" t="str">
        <f t="shared" si="77"/>
        <v>Unique</v>
      </c>
      <c r="AO739" s="9" t="str">
        <f t="shared" si="78"/>
        <v/>
      </c>
      <c r="AP739" s="9">
        <f t="shared" si="79"/>
        <v>0</v>
      </c>
      <c r="AQ739" s="10">
        <f t="shared" si="80"/>
        <v>3609.12</v>
      </c>
      <c r="AR739" s="10">
        <f t="shared" si="81"/>
        <v>963.61999999999989</v>
      </c>
      <c r="AS739" s="11">
        <f t="shared" si="82"/>
        <v>0.2669958327791816</v>
      </c>
      <c r="AT739" s="9">
        <f t="shared" si="83"/>
        <v>2</v>
      </c>
      <c r="AU739" s="9">
        <f t="shared" si="84"/>
        <v>2024</v>
      </c>
      <c r="AV739" s="9" t="b">
        <f t="shared" si="85"/>
        <v>0</v>
      </c>
      <c r="AW739" s="9" t="b">
        <f t="shared" si="86"/>
        <v>0</v>
      </c>
      <c r="AX739" s="9" t="str">
        <f t="shared" si="87"/>
        <v>Yes</v>
      </c>
      <c r="AY739" s="9" t="str">
        <f t="shared" si="95"/>
        <v/>
      </c>
      <c r="AZ739" s="9" t="str">
        <f>IF(OR(G739="Missing date",G739="Invalid date",G739="Ship date before order date",NOT(ISNUMBER(AP739)),AP739&lt;0,AP739&gt;0.5,AV739=TRUE,AW739=TRUE),"Invalid",IF(OR(O739="Unknown",Z739="Unknown",AC739="",AH739&lt;&gt;"Paid",AJ739&lt;&gt;"Completed",AO739&lt;&gt;""),"Warning","Clean"))</f>
        <v>Clean</v>
      </c>
    </row>
    <row r="740" spans="1:52" ht="15.75" customHeight="1">
      <c r="A740" s="6" t="s">
        <v>3529</v>
      </c>
      <c r="B740" s="7" t="s">
        <v>1653</v>
      </c>
      <c r="C740" s="7" t="str">
        <f t="shared" si="94"/>
        <v>2025-02</v>
      </c>
      <c r="D740" s="7" cm="1">
        <f t="array" ref="D740">_xlfn.LET(_xlpm.x,B740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45708</v>
      </c>
      <c r="E740" s="7" t="s">
        <v>3530</v>
      </c>
      <c r="F740" s="7" cm="1">
        <f t="array" ref="F740">_xlfn.LET(_xlpm.x,E740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45710</v>
      </c>
      <c r="G740" s="8" t="str">
        <f t="shared" si="64"/>
        <v>OK</v>
      </c>
      <c r="H740" s="6">
        <f t="shared" si="65"/>
        <v>2</v>
      </c>
      <c r="I740" s="6" t="s">
        <v>3531</v>
      </c>
      <c r="J740" s="6" t="s">
        <v>220</v>
      </c>
      <c r="K740" s="6" t="str">
        <f t="shared" si="66"/>
        <v>Priya Menon</v>
      </c>
      <c r="L740" s="6" t="s">
        <v>45</v>
      </c>
      <c r="M740" s="8" t="str">
        <f t="shared" si="67"/>
        <v>Corporate</v>
      </c>
      <c r="N740" s="6" t="s">
        <v>10</v>
      </c>
      <c r="O740" s="6" t="str">
        <f t="shared" si="68"/>
        <v>South</v>
      </c>
      <c r="P740" s="6" t="s">
        <v>316</v>
      </c>
      <c r="Q740" s="6" t="str">
        <f t="shared" si="69"/>
        <v>Kerala</v>
      </c>
      <c r="R740" s="6" t="s">
        <v>317</v>
      </c>
      <c r="S740" s="6" t="str">
        <f t="shared" si="70"/>
        <v>Kochi</v>
      </c>
      <c r="T740" s="6" t="s">
        <v>20</v>
      </c>
      <c r="U740" s="8" t="str">
        <f t="shared" si="71"/>
        <v>Office Supplies</v>
      </c>
      <c r="V740" s="6" t="s">
        <v>24</v>
      </c>
      <c r="W740" s="6" t="str">
        <f t="shared" si="72"/>
        <v>Paper</v>
      </c>
      <c r="X740" s="6" t="s">
        <v>3532</v>
      </c>
      <c r="Y740" s="6" t="s">
        <v>35</v>
      </c>
      <c r="Z740" s="6" t="str">
        <f t="shared" si="73"/>
        <v>First Class</v>
      </c>
      <c r="AA740" s="6">
        <v>1</v>
      </c>
      <c r="AB740" s="6">
        <v>2188.19</v>
      </c>
      <c r="AC740" s="6">
        <v>0</v>
      </c>
      <c r="AD740" s="6">
        <v>2188.19</v>
      </c>
      <c r="AE740" s="6">
        <v>1298.8399999999999</v>
      </c>
      <c r="AF740" s="6">
        <v>889.35</v>
      </c>
      <c r="AG740" s="6" t="s">
        <v>52</v>
      </c>
      <c r="AH740" s="6" t="str">
        <f t="shared" si="74"/>
        <v>Paid</v>
      </c>
      <c r="AI740" s="6" t="s">
        <v>134</v>
      </c>
      <c r="AJ740" s="6" t="str">
        <f t="shared" si="75"/>
        <v>Completed</v>
      </c>
      <c r="AK740" s="9" t="str">
        <f>_xlfn.TEXTJOIN("|",FALSE,A740,TEXT(B740,"mm-dd-yyyy"),TEXT(E740,"mm-dd-yyyy"),I740,J740,L740,N740,P740,R740,T740,V740,X740,Y740,AA740,AB740,AC740,AD740,AE740,AF740,AG740,AI740)</f>
        <v>ORD-2025-10739|02-20-2025|02-22-2025|CUST-5334|Priya Menon|Corporate|South|Kerala|Kochi|Office Supplies|Paper|Prime Paper 307|First Class|1|2188.19|0|2188.19|1298.84|889.35|Paid|Completed</v>
      </c>
      <c r="AL740" s="27" t="str">
        <f>IF(COUNTIF($AK$2:AK740,AK740)&gt;1,"Remove exact duplicate copy","Keep")</f>
        <v>Keep</v>
      </c>
      <c r="AM740" s="9">
        <f t="shared" si="76"/>
        <v>1</v>
      </c>
      <c r="AN740" s="9" t="str">
        <f t="shared" si="77"/>
        <v>Unique</v>
      </c>
      <c r="AO740" s="9" t="str">
        <f t="shared" si="78"/>
        <v/>
      </c>
      <c r="AP740" s="9">
        <f t="shared" si="79"/>
        <v>0</v>
      </c>
      <c r="AQ740" s="10">
        <f t="shared" si="80"/>
        <v>2188.19</v>
      </c>
      <c r="AR740" s="10">
        <f t="shared" si="81"/>
        <v>889.35000000000014</v>
      </c>
      <c r="AS740" s="11">
        <f t="shared" si="82"/>
        <v>0.40643179979800664</v>
      </c>
      <c r="AT740" s="9">
        <f t="shared" si="83"/>
        <v>2</v>
      </c>
      <c r="AU740" s="9">
        <f t="shared" si="84"/>
        <v>2025</v>
      </c>
      <c r="AV740" s="9" t="b">
        <f t="shared" si="85"/>
        <v>0</v>
      </c>
      <c r="AW740" s="9" t="b">
        <f t="shared" si="86"/>
        <v>0</v>
      </c>
      <c r="AX740" s="9" t="str">
        <f t="shared" si="87"/>
        <v>Yes</v>
      </c>
      <c r="AY740" s="9" t="str">
        <f t="shared" si="95"/>
        <v/>
      </c>
      <c r="AZ740" s="9" t="str">
        <f>IF(OR(G740="Missing date",G740="Invalid date",G740="Ship date before order date",NOT(ISNUMBER(AP740)),AP740&lt;0,AP740&gt;0.5,AV740=TRUE,AW740=TRUE),"Invalid",IF(OR(O740="Unknown",Z740="Unknown",AC740="",AH740&lt;&gt;"Paid",AJ740&lt;&gt;"Completed",AO740&lt;&gt;""),"Warning","Clean"))</f>
        <v>Clean</v>
      </c>
    </row>
    <row r="741" spans="1:52" ht="15.75" customHeight="1">
      <c r="A741" s="6" t="s">
        <v>3533</v>
      </c>
      <c r="B741" s="7" t="s">
        <v>3534</v>
      </c>
      <c r="C741" s="7" t="str">
        <f t="shared" si="94"/>
        <v>2024-12</v>
      </c>
      <c r="D741" s="7" cm="1">
        <f t="array" ref="D741">_xlfn.LET(_xlpm.x,B741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45629</v>
      </c>
      <c r="E741" s="7" t="s">
        <v>3535</v>
      </c>
      <c r="F741" s="7" cm="1">
        <f t="array" ref="F741">_xlfn.LET(_xlpm.x,E741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45636</v>
      </c>
      <c r="G741" s="8" t="str">
        <f t="shared" si="64"/>
        <v>OK</v>
      </c>
      <c r="H741" s="6">
        <f t="shared" si="65"/>
        <v>7</v>
      </c>
      <c r="I741" s="6" t="s">
        <v>3536</v>
      </c>
      <c r="J741" s="6" t="s">
        <v>177</v>
      </c>
      <c r="K741" s="6" t="str">
        <f t="shared" si="66"/>
        <v>Neha Gupta</v>
      </c>
      <c r="L741" s="6" t="s">
        <v>45</v>
      </c>
      <c r="M741" s="8" t="str">
        <f t="shared" si="67"/>
        <v>Corporate</v>
      </c>
      <c r="N741" s="6" t="s">
        <v>7</v>
      </c>
      <c r="O741" s="6" t="str">
        <f t="shared" si="68"/>
        <v>North</v>
      </c>
      <c r="P741" s="6" t="s">
        <v>131</v>
      </c>
      <c r="Q741" s="6" t="str">
        <f t="shared" si="69"/>
        <v>Rajasthan</v>
      </c>
      <c r="R741" s="6" t="s">
        <v>132</v>
      </c>
      <c r="S741" s="6" t="str">
        <f t="shared" si="70"/>
        <v>Jaipur</v>
      </c>
      <c r="T741" s="6" t="s">
        <v>27</v>
      </c>
      <c r="U741" s="8" t="str">
        <f t="shared" si="71"/>
        <v>Technology</v>
      </c>
      <c r="V741" s="6" t="s">
        <v>31</v>
      </c>
      <c r="W741" s="6" t="str">
        <f t="shared" si="72"/>
        <v>Phones</v>
      </c>
      <c r="X741" s="6" t="s">
        <v>3537</v>
      </c>
      <c r="Y741" s="6" t="s">
        <v>34</v>
      </c>
      <c r="Z741" s="6" t="str">
        <f t="shared" si="73"/>
        <v>Standard Class</v>
      </c>
      <c r="AA741" s="6">
        <v>5</v>
      </c>
      <c r="AB741" s="6">
        <v>2393.86</v>
      </c>
      <c r="AC741" s="6">
        <v>0.05</v>
      </c>
      <c r="AD741" s="6">
        <v>11370.84</v>
      </c>
      <c r="AE741" s="6">
        <v>7469.58</v>
      </c>
      <c r="AF741" s="6">
        <v>3901.26</v>
      </c>
      <c r="AG741" s="6" t="s">
        <v>52</v>
      </c>
      <c r="AH741" s="6" t="str">
        <f t="shared" si="74"/>
        <v>Paid</v>
      </c>
      <c r="AI741" s="6" t="s">
        <v>134</v>
      </c>
      <c r="AJ741" s="6" t="str">
        <f t="shared" si="75"/>
        <v>Completed</v>
      </c>
      <c r="AK741" s="9" t="str">
        <f>_xlfn.TEXTJOIN("|",FALSE,A741,TEXT(B741,"mm-dd-yyyy"),TEXT(E741,"mm-dd-yyyy"),I741,J741,L741,N741,P741,R741,T741,V741,X741,Y741,AA741,AB741,AC741,AD741,AE741,AF741,AG741,AI741)</f>
        <v>ORD-2024-10740|12-03-2024|12-10-2024|CUST-5846|Neha Gupta|Corporate|North|Rajasthan|Jaipur|Technology|Phones|Basic Phones 859|Standard Class|5|2393.86|0.05|11370.84|7469.58|3901.26|Paid|Completed</v>
      </c>
      <c r="AL741" s="27" t="str">
        <f>IF(COUNTIF($AK$2:AK741,AK741)&gt;1,"Remove exact duplicate copy","Keep")</f>
        <v>Keep</v>
      </c>
      <c r="AM741" s="9">
        <f t="shared" si="76"/>
        <v>1</v>
      </c>
      <c r="AN741" s="9" t="str">
        <f t="shared" si="77"/>
        <v>Unique</v>
      </c>
      <c r="AO741" s="9" t="str">
        <f t="shared" si="78"/>
        <v/>
      </c>
      <c r="AP741" s="9">
        <f t="shared" si="79"/>
        <v>0.05</v>
      </c>
      <c r="AQ741" s="10">
        <f t="shared" si="80"/>
        <v>11370.835000000001</v>
      </c>
      <c r="AR741" s="10">
        <f t="shared" si="81"/>
        <v>3901.255000000001</v>
      </c>
      <c r="AS741" s="11">
        <f t="shared" si="82"/>
        <v>0.34309309738466881</v>
      </c>
      <c r="AT741" s="9">
        <f t="shared" si="83"/>
        <v>12</v>
      </c>
      <c r="AU741" s="9">
        <f t="shared" si="84"/>
        <v>2024</v>
      </c>
      <c r="AV741" s="9" t="b">
        <f t="shared" si="85"/>
        <v>0</v>
      </c>
      <c r="AW741" s="9" t="b">
        <f t="shared" si="86"/>
        <v>0</v>
      </c>
      <c r="AX741" s="9" t="str">
        <f t="shared" si="87"/>
        <v>Yes</v>
      </c>
      <c r="AY741" s="9" t="str">
        <f t="shared" si="95"/>
        <v/>
      </c>
      <c r="AZ741" s="9" t="str">
        <f>IF(OR(G741="Missing date",G741="Invalid date",G741="Ship date before order date",NOT(ISNUMBER(AP741)),AP741&lt;0,AP741&gt;0.5,AV741=TRUE,AW741=TRUE),"Invalid",IF(OR(O741="Unknown",Z741="Unknown",AC741="",AH741&lt;&gt;"Paid",AJ741&lt;&gt;"Completed",AO741&lt;&gt;""),"Warning","Clean"))</f>
        <v>Clean</v>
      </c>
    </row>
    <row r="742" spans="1:52" ht="15.75" customHeight="1">
      <c r="A742" s="6" t="s">
        <v>3538</v>
      </c>
      <c r="B742" s="7" t="s">
        <v>3539</v>
      </c>
      <c r="C742" s="7" t="str">
        <f t="shared" si="94"/>
        <v>2024-04</v>
      </c>
      <c r="D742" s="7" cm="1">
        <f t="array" ref="D742">_xlfn.LET(_xlpm.x,B742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45384</v>
      </c>
      <c r="E742" s="7" t="s">
        <v>2260</v>
      </c>
      <c r="F742" s="7" cm="1">
        <f t="array" ref="F742">_xlfn.LET(_xlpm.x,E742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45384</v>
      </c>
      <c r="G742" s="8" t="str">
        <f t="shared" si="64"/>
        <v>OK</v>
      </c>
      <c r="H742" s="6">
        <f t="shared" si="65"/>
        <v>0</v>
      </c>
      <c r="I742" s="6" t="s">
        <v>861</v>
      </c>
      <c r="J742" s="6" t="s">
        <v>245</v>
      </c>
      <c r="K742" s="6" t="str">
        <f t="shared" si="66"/>
        <v>Sneha Kapoor</v>
      </c>
      <c r="L742" s="6" t="s">
        <v>46</v>
      </c>
      <c r="M742" s="8" t="str">
        <f t="shared" si="67"/>
        <v>Small Business</v>
      </c>
      <c r="N742" s="6" t="s">
        <v>9</v>
      </c>
      <c r="O742" s="6" t="str">
        <f t="shared" si="68"/>
        <v>West</v>
      </c>
      <c r="P742" s="6" t="s">
        <v>162</v>
      </c>
      <c r="Q742" s="6" t="str">
        <f t="shared" si="69"/>
        <v>Maharashtra</v>
      </c>
      <c r="R742" s="6" t="s">
        <v>163</v>
      </c>
      <c r="S742" s="6" t="str">
        <f t="shared" si="70"/>
        <v>Mumbai</v>
      </c>
      <c r="T742" s="6" t="s">
        <v>14</v>
      </c>
      <c r="U742" s="8" t="str">
        <f t="shared" si="71"/>
        <v>Furniture</v>
      </c>
      <c r="V742" s="6" t="s">
        <v>16</v>
      </c>
      <c r="W742" s="6" t="str">
        <f t="shared" si="72"/>
        <v>Chairs</v>
      </c>
      <c r="X742" s="6" t="s">
        <v>3540</v>
      </c>
      <c r="Y742" s="6" t="s">
        <v>35</v>
      </c>
      <c r="Z742" s="6" t="str">
        <f t="shared" si="73"/>
        <v>First Class</v>
      </c>
      <c r="AA742" s="6">
        <v>4</v>
      </c>
      <c r="AB742" s="6">
        <v>2583</v>
      </c>
      <c r="AC742" s="6">
        <v>0.1</v>
      </c>
      <c r="AD742" s="6">
        <v>9298.7999999999993</v>
      </c>
      <c r="AE742" s="6">
        <v>6548.5</v>
      </c>
      <c r="AF742" s="6">
        <v>2750.3</v>
      </c>
      <c r="AG742" s="6" t="s">
        <v>52</v>
      </c>
      <c r="AH742" s="6" t="str">
        <f t="shared" si="74"/>
        <v>Paid</v>
      </c>
      <c r="AI742" s="6" t="s">
        <v>134</v>
      </c>
      <c r="AJ742" s="6" t="str">
        <f t="shared" si="75"/>
        <v>Completed</v>
      </c>
      <c r="AK742" s="9" t="str">
        <f>_xlfn.TEXTJOIN("|",FALSE,A742,TEXT(B742,"mm-dd-yyyy"),TEXT(E742,"mm-dd-yyyy"),I742,J742,L742,N742,P742,R742,T742,V742,X742,Y742,AA742,AB742,AC742,AD742,AE742,AF742,AG742,AI742)</f>
        <v>ORD-2024-10741|04-02-2024|04-02-2024|CUST-7932|Sneha Kapoor|Small Business|West|Maharashtra|Mumbai|Furniture|Chairs|Eco Chairs 883|First Class|4|2583|0.1|9298.8|6548.5|2750.3|Paid|Completed</v>
      </c>
      <c r="AL742" s="27" t="str">
        <f>IF(COUNTIF($AK$2:AK742,AK742)&gt;1,"Remove exact duplicate copy","Keep")</f>
        <v>Keep</v>
      </c>
      <c r="AM742" s="9">
        <f t="shared" si="76"/>
        <v>1</v>
      </c>
      <c r="AN742" s="9" t="str">
        <f t="shared" si="77"/>
        <v>Unique</v>
      </c>
      <c r="AO742" s="9" t="str">
        <f t="shared" si="78"/>
        <v/>
      </c>
      <c r="AP742" s="9">
        <f t="shared" si="79"/>
        <v>0.1</v>
      </c>
      <c r="AQ742" s="10">
        <f t="shared" si="80"/>
        <v>9298.8000000000011</v>
      </c>
      <c r="AR742" s="10">
        <f t="shared" si="81"/>
        <v>2750.3000000000011</v>
      </c>
      <c r="AS742" s="11">
        <f t="shared" si="82"/>
        <v>0.29576934658235482</v>
      </c>
      <c r="AT742" s="9">
        <f t="shared" si="83"/>
        <v>4</v>
      </c>
      <c r="AU742" s="9">
        <f t="shared" si="84"/>
        <v>2024</v>
      </c>
      <c r="AV742" s="9" t="b">
        <f t="shared" si="85"/>
        <v>0</v>
      </c>
      <c r="AW742" s="9" t="b">
        <f t="shared" si="86"/>
        <v>0</v>
      </c>
      <c r="AX742" s="9" t="str">
        <f t="shared" si="87"/>
        <v>Yes</v>
      </c>
      <c r="AY742" s="9" t="str">
        <f t="shared" si="95"/>
        <v/>
      </c>
      <c r="AZ742" s="9" t="str">
        <f>IF(OR(G742="Missing date",G742="Invalid date",G742="Ship date before order date",NOT(ISNUMBER(AP742)),AP742&lt;0,AP742&gt;0.5,AV742=TRUE,AW742=TRUE),"Invalid",IF(OR(O742="Unknown",Z742="Unknown",AC742="",AH742&lt;&gt;"Paid",AJ742&lt;&gt;"Completed",AO742&lt;&gt;""),"Warning","Clean"))</f>
        <v>Clean</v>
      </c>
    </row>
    <row r="743" spans="1:52" ht="15.75" customHeight="1">
      <c r="A743" s="6" t="s">
        <v>3541</v>
      </c>
      <c r="B743" s="7" t="s">
        <v>3542</v>
      </c>
      <c r="C743" s="7" t="str">
        <f t="shared" si="94"/>
        <v>2025-04</v>
      </c>
      <c r="D743" s="7" cm="1">
        <f t="array" ref="D743">_xlfn.LET(_xlpm.x,B743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45770</v>
      </c>
      <c r="E743" s="7" t="s">
        <v>3543</v>
      </c>
      <c r="F743" s="7" cm="1">
        <f t="array" ref="F743">_xlfn.LET(_xlpm.x,E743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45772</v>
      </c>
      <c r="G743" s="8" t="str">
        <f t="shared" si="64"/>
        <v>OK</v>
      </c>
      <c r="H743" s="6">
        <f t="shared" si="65"/>
        <v>2</v>
      </c>
      <c r="I743" s="6" t="s">
        <v>3544</v>
      </c>
      <c r="J743" s="6" t="s">
        <v>147</v>
      </c>
      <c r="K743" s="6" t="str">
        <f t="shared" si="66"/>
        <v>Isha Nair</v>
      </c>
      <c r="L743" s="6" t="s">
        <v>44</v>
      </c>
      <c r="M743" s="8" t="str">
        <f t="shared" si="67"/>
        <v>Home Office</v>
      </c>
      <c r="N743" s="6" t="s">
        <v>10</v>
      </c>
      <c r="O743" s="6" t="str">
        <f t="shared" si="68"/>
        <v>South</v>
      </c>
      <c r="P743" s="6" t="s">
        <v>413</v>
      </c>
      <c r="Q743" s="6" t="str">
        <f t="shared" si="69"/>
        <v>Tamil Nadu</v>
      </c>
      <c r="R743" s="6" t="s">
        <v>414</v>
      </c>
      <c r="S743" s="6" t="str">
        <f t="shared" si="70"/>
        <v>Chennai</v>
      </c>
      <c r="T743" s="6" t="s">
        <v>14</v>
      </c>
      <c r="U743" s="8" t="str">
        <f t="shared" si="71"/>
        <v>Furniture</v>
      </c>
      <c r="V743" s="6" t="s">
        <v>16</v>
      </c>
      <c r="W743" s="6" t="str">
        <f t="shared" si="72"/>
        <v>Chairs</v>
      </c>
      <c r="X743" s="6" t="s">
        <v>3545</v>
      </c>
      <c r="Y743" s="6" t="s">
        <v>36</v>
      </c>
      <c r="Z743" s="6" t="str">
        <f t="shared" si="73"/>
        <v>Second Class</v>
      </c>
      <c r="AA743" s="6">
        <v>3</v>
      </c>
      <c r="AB743" s="6">
        <v>2951.12</v>
      </c>
      <c r="AC743" s="6"/>
      <c r="AD743" s="6">
        <v>7082.69</v>
      </c>
      <c r="AE743" s="6">
        <v>5596.34</v>
      </c>
      <c r="AF743" s="6">
        <v>1486.35</v>
      </c>
      <c r="AG743" s="6" t="s">
        <v>52</v>
      </c>
      <c r="AH743" s="6" t="str">
        <f t="shared" si="74"/>
        <v>Paid</v>
      </c>
      <c r="AI743" s="6" t="s">
        <v>58</v>
      </c>
      <c r="AJ743" s="6" t="str">
        <f t="shared" si="75"/>
        <v>Cancelled</v>
      </c>
      <c r="AK743" s="9" t="str">
        <f>_xlfn.TEXTJOIN("|",FALSE,A743,TEXT(B743,"mm-dd-yyyy"),TEXT(E743,"mm-dd-yyyy"),I743,J743,L743,N743,P743,R743,T743,V743,X743,Y743,AA743,AB743,AC743,AD743,AE743,AF743,AG743,AI743)</f>
        <v>ORD-2025-10742|04-23-2025|04-25-2025|CUST-3285|Isha Nair|Home Office|South|Tamil Nadu|Chennai|Furniture|Chairs|Max Chairs 706|Second Class|3|2951.12||7082.69|5596.34|1486.35|Paid|Cancelled</v>
      </c>
      <c r="AL743" s="27" t="str">
        <f>IF(COUNTIF($AK$2:AK743,AK743)&gt;1,"Remove exact duplicate copy","Keep")</f>
        <v>Keep</v>
      </c>
      <c r="AM743" s="9">
        <f t="shared" si="76"/>
        <v>1</v>
      </c>
      <c r="AN743" s="9" t="str">
        <f t="shared" si="77"/>
        <v>Unique</v>
      </c>
      <c r="AO743" s="9" t="str">
        <f t="shared" si="78"/>
        <v/>
      </c>
      <c r="AP743" s="9">
        <f t="shared" si="79"/>
        <v>0</v>
      </c>
      <c r="AQ743" s="10">
        <f t="shared" si="80"/>
        <v>8853.36</v>
      </c>
      <c r="AR743" s="10">
        <f t="shared" si="81"/>
        <v>3257.0200000000004</v>
      </c>
      <c r="AS743" s="11">
        <f t="shared" si="82"/>
        <v>0.36788518709280998</v>
      </c>
      <c r="AT743" s="9">
        <f t="shared" si="83"/>
        <v>4</v>
      </c>
      <c r="AU743" s="9">
        <f t="shared" si="84"/>
        <v>2025</v>
      </c>
      <c r="AV743" s="9" t="b">
        <f t="shared" si="85"/>
        <v>1</v>
      </c>
      <c r="AW743" s="9" t="b">
        <f t="shared" si="86"/>
        <v>1</v>
      </c>
      <c r="AX743" s="9" t="str">
        <f t="shared" si="87"/>
        <v>No</v>
      </c>
      <c r="AY743" s="9" t="str">
        <f t="shared" si="95"/>
        <v>Missing discount treated as 0; Cancelled order excluded; Sales mismatch; Profit mismatch</v>
      </c>
      <c r="AZ743" s="9" t="str">
        <f>IF(OR(G743="Missing date",G743="Invalid date",G743="Ship date before order date",NOT(ISNUMBER(AP743)),AP743&lt;0,AP743&gt;0.5,AV743=TRUE,AW743=TRUE),"Invalid",IF(OR(O743="Unknown",Z743="Unknown",AC743="",AH743&lt;&gt;"Paid",AJ743&lt;&gt;"Completed",AO743&lt;&gt;""),"Warning","Clean"))</f>
        <v>Invalid</v>
      </c>
    </row>
    <row r="744" spans="1:52" ht="15.75" customHeight="1">
      <c r="A744" s="6" t="s">
        <v>3546</v>
      </c>
      <c r="B744" s="7" t="s">
        <v>3547</v>
      </c>
      <c r="C744" s="7" t="str">
        <f t="shared" si="94"/>
        <v>2024-10</v>
      </c>
      <c r="D744" s="7" cm="1">
        <f t="array" ref="D744">_xlfn.LET(_xlpm.x,B744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45580</v>
      </c>
      <c r="E744" s="7" t="s">
        <v>3548</v>
      </c>
      <c r="F744" s="7" cm="1">
        <f t="array" ref="F744">_xlfn.LET(_xlpm.x,E744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45587</v>
      </c>
      <c r="G744" s="8" t="str">
        <f t="shared" si="64"/>
        <v>OK</v>
      </c>
      <c r="H744" s="6">
        <f t="shared" si="65"/>
        <v>7</v>
      </c>
      <c r="I744" s="6" t="s">
        <v>3549</v>
      </c>
      <c r="J744" s="6" t="s">
        <v>129</v>
      </c>
      <c r="K744" s="6" t="str">
        <f t="shared" si="66"/>
        <v>Karan Malhotra</v>
      </c>
      <c r="L744" s="6" t="s">
        <v>45</v>
      </c>
      <c r="M744" s="8" t="str">
        <f t="shared" si="67"/>
        <v>Corporate</v>
      </c>
      <c r="N744" s="6" t="s">
        <v>3550</v>
      </c>
      <c r="O744" s="6" t="str">
        <f t="shared" si="68"/>
        <v>East</v>
      </c>
      <c r="P744" s="6" t="s">
        <v>140</v>
      </c>
      <c r="Q744" s="6" t="str">
        <f t="shared" si="69"/>
        <v>Odisha</v>
      </c>
      <c r="R744" s="6" t="s">
        <v>141</v>
      </c>
      <c r="S744" s="6" t="str">
        <f t="shared" si="70"/>
        <v>Bhubaneswar</v>
      </c>
      <c r="T744" s="6" t="s">
        <v>20</v>
      </c>
      <c r="U744" s="8" t="str">
        <f t="shared" si="71"/>
        <v>Office Supplies</v>
      </c>
      <c r="V744" s="6" t="s">
        <v>24</v>
      </c>
      <c r="W744" s="6" t="str">
        <f t="shared" si="72"/>
        <v>Paper</v>
      </c>
      <c r="X744" s="6" t="s">
        <v>3551</v>
      </c>
      <c r="Y744" s="6" t="s">
        <v>34</v>
      </c>
      <c r="Z744" s="6" t="str">
        <f t="shared" si="73"/>
        <v>Standard Class</v>
      </c>
      <c r="AA744" s="6">
        <v>4</v>
      </c>
      <c r="AB744" s="6">
        <v>2260.9499999999998</v>
      </c>
      <c r="AC744" s="6">
        <v>0</v>
      </c>
      <c r="AD744" s="6">
        <v>9043.7999999999993</v>
      </c>
      <c r="AE744" s="6">
        <v>5913.38</v>
      </c>
      <c r="AF744" s="6">
        <v>3130.42</v>
      </c>
      <c r="AG744" s="6" t="s">
        <v>52</v>
      </c>
      <c r="AH744" s="6" t="str">
        <f t="shared" si="74"/>
        <v>Paid</v>
      </c>
      <c r="AI744" s="6" t="s">
        <v>134</v>
      </c>
      <c r="AJ744" s="6" t="str">
        <f t="shared" si="75"/>
        <v>Completed</v>
      </c>
      <c r="AK744" s="9" t="str">
        <f>_xlfn.TEXTJOIN("|",FALSE,A744,TEXT(B744,"mm-dd-yyyy"),TEXT(E744,"mm-dd-yyyy"),I744,J744,L744,N744,P744,R744,T744,V744,X744,Y744,AA744,AB744,AC744,AD744,AE744,AF744,AG744,AI744)</f>
        <v>ORD-2024-10743|10-15-2024|10-22-2024|CUST-6368|Karan Malhotra|Corporate|east|Odisha|Bhubaneswar|Office Supplies|Paper|Prime Paper 768|Standard Class|4|2260.95|0|9043.8|5913.38|3130.42|Paid|Completed</v>
      </c>
      <c r="AL744" s="27" t="str">
        <f>IF(COUNTIF($AK$2:AK744,AK744)&gt;1,"Remove exact duplicate copy","Keep")</f>
        <v>Keep</v>
      </c>
      <c r="AM744" s="9">
        <f t="shared" si="76"/>
        <v>1</v>
      </c>
      <c r="AN744" s="9" t="str">
        <f t="shared" si="77"/>
        <v>Unique</v>
      </c>
      <c r="AO744" s="9" t="str">
        <f t="shared" si="78"/>
        <v/>
      </c>
      <c r="AP744" s="9">
        <f t="shared" si="79"/>
        <v>0</v>
      </c>
      <c r="AQ744" s="10">
        <f t="shared" si="80"/>
        <v>9043.7999999999993</v>
      </c>
      <c r="AR744" s="10">
        <f t="shared" si="81"/>
        <v>3130.4199999999992</v>
      </c>
      <c r="AS744" s="11">
        <f t="shared" si="82"/>
        <v>0.34613989694597397</v>
      </c>
      <c r="AT744" s="9">
        <f t="shared" si="83"/>
        <v>10</v>
      </c>
      <c r="AU744" s="9">
        <f t="shared" si="84"/>
        <v>2024</v>
      </c>
      <c r="AV744" s="9" t="b">
        <f t="shared" si="85"/>
        <v>0</v>
      </c>
      <c r="AW744" s="9" t="b">
        <f t="shared" si="86"/>
        <v>0</v>
      </c>
      <c r="AX744" s="9" t="str">
        <f t="shared" si="87"/>
        <v>Yes</v>
      </c>
      <c r="AY744" s="9" t="str">
        <f t="shared" si="95"/>
        <v/>
      </c>
      <c r="AZ744" s="9" t="str">
        <f>IF(OR(G744="Missing date",G744="Invalid date",G744="Ship date before order date",NOT(ISNUMBER(AP744)),AP744&lt;0,AP744&gt;0.5,AV744=TRUE,AW744=TRUE),"Invalid",IF(OR(O744="Unknown",Z744="Unknown",AC744="",AH744&lt;&gt;"Paid",AJ744&lt;&gt;"Completed",AO744&lt;&gt;""),"Warning","Clean"))</f>
        <v>Clean</v>
      </c>
    </row>
    <row r="745" spans="1:52" ht="15.75" customHeight="1">
      <c r="A745" s="6" t="s">
        <v>3552</v>
      </c>
      <c r="B745" s="7" t="s">
        <v>1483</v>
      </c>
      <c r="C745" s="7" t="str">
        <f t="shared" si="94"/>
        <v>2025-02</v>
      </c>
      <c r="D745" s="7" cm="1">
        <f t="array" ref="D745">_xlfn.LET(_xlpm.x,B745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45700</v>
      </c>
      <c r="E745" s="7" t="s">
        <v>2027</v>
      </c>
      <c r="F745" s="7" cm="1">
        <f t="array" ref="F745">_xlfn.LET(_xlpm.x,E745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45702</v>
      </c>
      <c r="G745" s="8" t="str">
        <f t="shared" si="64"/>
        <v>OK</v>
      </c>
      <c r="H745" s="6">
        <f t="shared" si="65"/>
        <v>2</v>
      </c>
      <c r="I745" s="6" t="s">
        <v>3553</v>
      </c>
      <c r="J745" s="6" t="s">
        <v>245</v>
      </c>
      <c r="K745" s="6" t="str">
        <f t="shared" si="66"/>
        <v>Sneha Kapoor</v>
      </c>
      <c r="L745" s="6" t="s">
        <v>43</v>
      </c>
      <c r="M745" s="8" t="str">
        <f t="shared" si="67"/>
        <v>Consumer</v>
      </c>
      <c r="N745" s="6" t="s">
        <v>7</v>
      </c>
      <c r="O745" s="6" t="str">
        <f t="shared" si="68"/>
        <v>North</v>
      </c>
      <c r="P745" s="6" t="s">
        <v>251</v>
      </c>
      <c r="Q745" s="6" t="str">
        <f t="shared" si="69"/>
        <v>Uttar Pradesh</v>
      </c>
      <c r="R745" s="6" t="s">
        <v>252</v>
      </c>
      <c r="S745" s="6" t="str">
        <f t="shared" si="70"/>
        <v>Noida</v>
      </c>
      <c r="T745" s="6" t="s">
        <v>20</v>
      </c>
      <c r="U745" s="8" t="str">
        <f t="shared" si="71"/>
        <v>Office Supplies</v>
      </c>
      <c r="V745" s="6" t="s">
        <v>21</v>
      </c>
      <c r="W745" s="6" t="str">
        <f t="shared" si="72"/>
        <v>Art</v>
      </c>
      <c r="X745" s="6" t="s">
        <v>3554</v>
      </c>
      <c r="Y745" s="6" t="s">
        <v>34</v>
      </c>
      <c r="Z745" s="6" t="str">
        <f t="shared" si="73"/>
        <v>Standard Class</v>
      </c>
      <c r="AA745" s="6">
        <v>6</v>
      </c>
      <c r="AB745" s="6">
        <v>491.4</v>
      </c>
      <c r="AC745" s="6">
        <v>0.25</v>
      </c>
      <c r="AD745" s="6">
        <v>2211.3000000000002</v>
      </c>
      <c r="AE745" s="6">
        <v>1735.64</v>
      </c>
      <c r="AF745" s="6">
        <v>475.66</v>
      </c>
      <c r="AG745" s="6" t="s">
        <v>52</v>
      </c>
      <c r="AH745" s="6" t="str">
        <f t="shared" si="74"/>
        <v>Paid</v>
      </c>
      <c r="AI745" s="6" t="s">
        <v>134</v>
      </c>
      <c r="AJ745" s="6" t="str">
        <f t="shared" si="75"/>
        <v>Completed</v>
      </c>
      <c r="AK745" s="9" t="str">
        <f>_xlfn.TEXTJOIN("|",FALSE,A745,TEXT(B745,"mm-dd-yyyy"),TEXT(E745,"mm-dd-yyyy"),I745,J745,L745,N745,P745,R745,T745,V745,X745,Y745,AA745,AB745,AC745,AD745,AE745,AF745,AG745,AI745)</f>
        <v>ORD-2025-10744|02-12-2025|02-14-2025|CUST-6231|Sneha Kapoor|Consumer|North|Uttar Pradesh|Noida|Office Supplies|Art|Basic Art 764|Standard Class|6|491.4|0.25|2211.3|1735.64|475.66|Paid|Completed</v>
      </c>
      <c r="AL745" s="27" t="str">
        <f>IF(COUNTIF($AK$2:AK745,AK745)&gt;1,"Remove exact duplicate copy","Keep")</f>
        <v>Keep</v>
      </c>
      <c r="AM745" s="9">
        <f t="shared" si="76"/>
        <v>1</v>
      </c>
      <c r="AN745" s="9" t="str">
        <f t="shared" si="77"/>
        <v>Unique</v>
      </c>
      <c r="AO745" s="9" t="str">
        <f t="shared" si="78"/>
        <v/>
      </c>
      <c r="AP745" s="9">
        <f t="shared" si="79"/>
        <v>0.25</v>
      </c>
      <c r="AQ745" s="10">
        <f t="shared" si="80"/>
        <v>2211.2999999999997</v>
      </c>
      <c r="AR745" s="10">
        <f t="shared" si="81"/>
        <v>475.65999999999963</v>
      </c>
      <c r="AS745" s="11">
        <f t="shared" si="82"/>
        <v>0.21510423732645942</v>
      </c>
      <c r="AT745" s="9">
        <f t="shared" si="83"/>
        <v>2</v>
      </c>
      <c r="AU745" s="9">
        <f t="shared" si="84"/>
        <v>2025</v>
      </c>
      <c r="AV745" s="9" t="b">
        <f t="shared" si="85"/>
        <v>0</v>
      </c>
      <c r="AW745" s="9" t="b">
        <f t="shared" si="86"/>
        <v>0</v>
      </c>
      <c r="AX745" s="9" t="str">
        <f t="shared" si="87"/>
        <v>Yes</v>
      </c>
      <c r="AY745" s="9" t="str">
        <f t="shared" si="95"/>
        <v/>
      </c>
      <c r="AZ745" s="9" t="str">
        <f>IF(OR(G745="Missing date",G745="Invalid date",G745="Ship date before order date",NOT(ISNUMBER(AP745)),AP745&lt;0,AP745&gt;0.5,AV745=TRUE,AW745=TRUE),"Invalid",IF(OR(O745="Unknown",Z745="Unknown",AC745="",AH745&lt;&gt;"Paid",AJ745&lt;&gt;"Completed",AO745&lt;&gt;""),"Warning","Clean"))</f>
        <v>Clean</v>
      </c>
    </row>
    <row r="746" spans="1:52" ht="15.75" customHeight="1">
      <c r="A746" s="6" t="s">
        <v>3555</v>
      </c>
      <c r="B746" s="7" t="s">
        <v>3556</v>
      </c>
      <c r="C746" s="7" t="str">
        <f t="shared" si="94"/>
        <v>2025-08</v>
      </c>
      <c r="D746" s="7" cm="1">
        <f t="array" ref="D746">_xlfn.LET(_xlpm.x,B746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45886</v>
      </c>
      <c r="E746" s="7" t="s">
        <v>1557</v>
      </c>
      <c r="F746" s="7" cm="1">
        <f t="array" ref="F746">_xlfn.LET(_xlpm.x,E746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45889</v>
      </c>
      <c r="G746" s="8" t="str">
        <f t="shared" si="64"/>
        <v>OK</v>
      </c>
      <c r="H746" s="6">
        <f t="shared" si="65"/>
        <v>3</v>
      </c>
      <c r="I746" s="6" t="s">
        <v>3557</v>
      </c>
      <c r="J746" s="6" t="s">
        <v>139</v>
      </c>
      <c r="K746" s="6" t="str">
        <f t="shared" si="66"/>
        <v>Mira Das</v>
      </c>
      <c r="L746" s="6" t="s">
        <v>44</v>
      </c>
      <c r="M746" s="8" t="str">
        <f t="shared" si="67"/>
        <v>Home Office</v>
      </c>
      <c r="N746" s="6" t="s">
        <v>7</v>
      </c>
      <c r="O746" s="6" t="str">
        <f t="shared" si="68"/>
        <v>North</v>
      </c>
      <c r="P746" s="6" t="s">
        <v>232</v>
      </c>
      <c r="Q746" s="6" t="str">
        <f t="shared" si="69"/>
        <v>Punjab</v>
      </c>
      <c r="R746" s="6" t="s">
        <v>233</v>
      </c>
      <c r="S746" s="6" t="str">
        <f t="shared" si="70"/>
        <v>Ludhiana</v>
      </c>
      <c r="T746" s="6" t="s">
        <v>20</v>
      </c>
      <c r="U746" s="8" t="str">
        <f t="shared" si="71"/>
        <v>Office Supplies</v>
      </c>
      <c r="V746" s="6" t="s">
        <v>22</v>
      </c>
      <c r="W746" s="6" t="str">
        <f t="shared" si="72"/>
        <v>Binders</v>
      </c>
      <c r="X746" s="6" t="s">
        <v>3558</v>
      </c>
      <c r="Y746" s="6" t="s">
        <v>35</v>
      </c>
      <c r="Z746" s="6" t="str">
        <f t="shared" si="73"/>
        <v>First Class</v>
      </c>
      <c r="AA746" s="6">
        <v>5</v>
      </c>
      <c r="AB746" s="6">
        <v>2701.89</v>
      </c>
      <c r="AC746" s="6">
        <v>0.1</v>
      </c>
      <c r="AD746" s="6">
        <v>12158.5</v>
      </c>
      <c r="AE746" s="6">
        <v>10260.07</v>
      </c>
      <c r="AF746" s="6">
        <v>1898.43</v>
      </c>
      <c r="AG746" s="6" t="s">
        <v>52</v>
      </c>
      <c r="AH746" s="6" t="str">
        <f t="shared" si="74"/>
        <v>Paid</v>
      </c>
      <c r="AI746" s="6" t="s">
        <v>58</v>
      </c>
      <c r="AJ746" s="6" t="str">
        <f t="shared" si="75"/>
        <v>Cancelled</v>
      </c>
      <c r="AK746" s="9" t="str">
        <f>_xlfn.TEXTJOIN("|",FALSE,A746,TEXT(B746,"mm-dd-yyyy"),TEXT(E746,"mm-dd-yyyy"),I746,J746,L746,N746,P746,R746,T746,V746,X746,Y746,AA746,AB746,AC746,AD746,AE746,AF746,AG746,AI746)</f>
        <v>ORD-2025-10745|08-17-2025|08-20-2025|CUST-2021|Mira Das|Home Office|North|Punjab|Ludhiana|Office Supplies|Binders|Prime Binders 181|First Class|5|2701.89|0.1|12158.5|10260.07|1898.43|Paid|Cancelled</v>
      </c>
      <c r="AL746" s="27" t="str">
        <f>IF(COUNTIF($AK$2:AK746,AK746)&gt;1,"Remove exact duplicate copy","Keep")</f>
        <v>Keep</v>
      </c>
      <c r="AM746" s="9">
        <f t="shared" si="76"/>
        <v>1</v>
      </c>
      <c r="AN746" s="9" t="str">
        <f t="shared" si="77"/>
        <v>Unique</v>
      </c>
      <c r="AO746" s="9" t="str">
        <f t="shared" si="78"/>
        <v/>
      </c>
      <c r="AP746" s="9">
        <f t="shared" si="79"/>
        <v>0.1</v>
      </c>
      <c r="AQ746" s="10">
        <f t="shared" si="80"/>
        <v>12158.504999999999</v>
      </c>
      <c r="AR746" s="10">
        <f t="shared" si="81"/>
        <v>1898.4349999999995</v>
      </c>
      <c r="AS746" s="11">
        <f t="shared" si="82"/>
        <v>0.15614049589155901</v>
      </c>
      <c r="AT746" s="9">
        <f t="shared" si="83"/>
        <v>8</v>
      </c>
      <c r="AU746" s="9">
        <f t="shared" si="84"/>
        <v>2025</v>
      </c>
      <c r="AV746" s="9" t="b">
        <f t="shared" si="85"/>
        <v>0</v>
      </c>
      <c r="AW746" s="9" t="b">
        <f t="shared" si="86"/>
        <v>0</v>
      </c>
      <c r="AX746" s="9" t="str">
        <f t="shared" si="87"/>
        <v>No</v>
      </c>
      <c r="AY746" s="9" t="str">
        <f t="shared" si="95"/>
        <v>Cancelled order excluded</v>
      </c>
      <c r="AZ746" s="9" t="str">
        <f>IF(OR(G746="Missing date",G746="Invalid date",G746="Ship date before order date",NOT(ISNUMBER(AP746)),AP746&lt;0,AP746&gt;0.5,AV746=TRUE,AW746=TRUE),"Invalid",IF(OR(O746="Unknown",Z746="Unknown",AC746="",AH746&lt;&gt;"Paid",AJ746&lt;&gt;"Completed",AO746&lt;&gt;""),"Warning","Clean"))</f>
        <v>Warning</v>
      </c>
    </row>
    <row r="747" spans="1:52" ht="15.75" customHeight="1">
      <c r="A747" s="6" t="s">
        <v>3559</v>
      </c>
      <c r="B747" s="7" t="s">
        <v>3560</v>
      </c>
      <c r="C747" s="7" t="str">
        <f t="shared" si="94"/>
        <v>2024-10</v>
      </c>
      <c r="D747" s="7" cm="1">
        <f t="array" ref="D747">_xlfn.LET(_xlpm.x,B747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45589</v>
      </c>
      <c r="E747" s="7" t="s">
        <v>3561</v>
      </c>
      <c r="F747" s="7" cm="1">
        <f t="array" ref="F747">_xlfn.LET(_xlpm.x,E747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45593</v>
      </c>
      <c r="G747" s="8" t="str">
        <f t="shared" si="64"/>
        <v>OK</v>
      </c>
      <c r="H747" s="6">
        <f t="shared" si="65"/>
        <v>4</v>
      </c>
      <c r="I747" s="6" t="s">
        <v>3562</v>
      </c>
      <c r="J747" s="6" t="s">
        <v>139</v>
      </c>
      <c r="K747" s="6" t="str">
        <f t="shared" si="66"/>
        <v>Mira Das</v>
      </c>
      <c r="L747" s="6" t="s">
        <v>46</v>
      </c>
      <c r="M747" s="8" t="str">
        <f t="shared" si="67"/>
        <v>Small Business</v>
      </c>
      <c r="N747" s="6" t="s">
        <v>8</v>
      </c>
      <c r="O747" s="6" t="str">
        <f t="shared" si="68"/>
        <v>East</v>
      </c>
      <c r="P747" s="6" t="s">
        <v>290</v>
      </c>
      <c r="Q747" s="6" t="str">
        <f t="shared" si="69"/>
        <v>Assam</v>
      </c>
      <c r="R747" s="6" t="s">
        <v>291</v>
      </c>
      <c r="S747" s="6" t="str">
        <f t="shared" si="70"/>
        <v>Guwahati</v>
      </c>
      <c r="T747" s="6" t="s">
        <v>27</v>
      </c>
      <c r="U747" s="8" t="str">
        <f t="shared" si="71"/>
        <v>Technology</v>
      </c>
      <c r="V747" s="6" t="s">
        <v>29</v>
      </c>
      <c r="W747" s="6" t="str">
        <f t="shared" si="72"/>
        <v>Copiers</v>
      </c>
      <c r="X747" s="6" t="s">
        <v>3563</v>
      </c>
      <c r="Y747" s="6" t="s">
        <v>34</v>
      </c>
      <c r="Z747" s="6" t="str">
        <f t="shared" si="73"/>
        <v>Standard Class</v>
      </c>
      <c r="AA747" s="6">
        <v>3</v>
      </c>
      <c r="AB747" s="6">
        <v>723.59</v>
      </c>
      <c r="AC747" s="6">
        <v>0.2</v>
      </c>
      <c r="AD747" s="6">
        <v>1736.62</v>
      </c>
      <c r="AE747" s="6">
        <v>1059.52</v>
      </c>
      <c r="AF747" s="6">
        <v>677.1</v>
      </c>
      <c r="AG747" s="6" t="s">
        <v>52</v>
      </c>
      <c r="AH747" s="6" t="str">
        <f t="shared" si="74"/>
        <v>Paid</v>
      </c>
      <c r="AI747" s="6" t="s">
        <v>134</v>
      </c>
      <c r="AJ747" s="6" t="str">
        <f t="shared" si="75"/>
        <v>Completed</v>
      </c>
      <c r="AK747" s="9" t="str">
        <f>_xlfn.TEXTJOIN("|",FALSE,A747,TEXT(B747,"mm-dd-yyyy"),TEXT(E747,"mm-dd-yyyy"),I747,J747,L747,N747,P747,R747,T747,V747,X747,Y747,AA747,AB747,AC747,AD747,AE747,AF747,AG747,AI747)</f>
        <v>ORD-2024-10746|10-24-2024|28-10-2024|CUST-1493|Mira Das|Small Business|East|Assam|Guwahati|Technology|Copiers|Max Copiers 866|Standard Class|3|723.59|0.2|1736.62|1059.52|677.1|Paid|Completed</v>
      </c>
      <c r="AL747" s="27" t="str">
        <f>IF(COUNTIF($AK$2:AK747,AK747)&gt;1,"Remove exact duplicate copy","Keep")</f>
        <v>Keep</v>
      </c>
      <c r="AM747" s="9">
        <f t="shared" si="76"/>
        <v>1</v>
      </c>
      <c r="AN747" s="9" t="str">
        <f t="shared" si="77"/>
        <v>Unique</v>
      </c>
      <c r="AO747" s="9" t="str">
        <f t="shared" si="78"/>
        <v/>
      </c>
      <c r="AP747" s="9">
        <f t="shared" si="79"/>
        <v>0.2</v>
      </c>
      <c r="AQ747" s="10">
        <f t="shared" si="80"/>
        <v>1736.616</v>
      </c>
      <c r="AR747" s="10">
        <f t="shared" si="81"/>
        <v>677.096</v>
      </c>
      <c r="AS747" s="11">
        <f t="shared" si="82"/>
        <v>0.38989390861307277</v>
      </c>
      <c r="AT747" s="9">
        <f t="shared" si="83"/>
        <v>10</v>
      </c>
      <c r="AU747" s="9">
        <f t="shared" si="84"/>
        <v>2024</v>
      </c>
      <c r="AV747" s="9" t="b">
        <f t="shared" si="85"/>
        <v>0</v>
      </c>
      <c r="AW747" s="9" t="b">
        <f t="shared" si="86"/>
        <v>0</v>
      </c>
      <c r="AX747" s="9" t="str">
        <f t="shared" si="87"/>
        <v>Yes</v>
      </c>
      <c r="AY747" s="9" t="str">
        <f t="shared" si="95"/>
        <v/>
      </c>
      <c r="AZ747" s="9" t="str">
        <f>IF(OR(G747="Missing date",G747="Invalid date",G747="Ship date before order date",NOT(ISNUMBER(AP747)),AP747&lt;0,AP747&gt;0.5,AV747=TRUE,AW747=TRUE),"Invalid",IF(OR(O747="Unknown",Z747="Unknown",AC747="",AH747&lt;&gt;"Paid",AJ747&lt;&gt;"Completed",AO747&lt;&gt;""),"Warning","Clean"))</f>
        <v>Clean</v>
      </c>
    </row>
    <row r="748" spans="1:52" ht="15.75" customHeight="1">
      <c r="A748" s="6" t="s">
        <v>3564</v>
      </c>
      <c r="B748" s="7" t="s">
        <v>1433</v>
      </c>
      <c r="C748" s="7" t="str">
        <f t="shared" si="94"/>
        <v>2025-01</v>
      </c>
      <c r="D748" s="7" cm="1">
        <f t="array" ref="D748">_xlfn.LET(_xlpm.x,B748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45661</v>
      </c>
      <c r="E748" s="7" t="s">
        <v>3565</v>
      </c>
      <c r="F748" s="7" cm="1">
        <f t="array" ref="F748">_xlfn.LET(_xlpm.x,E748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45667</v>
      </c>
      <c r="G748" s="8" t="str">
        <f t="shared" si="64"/>
        <v>OK</v>
      </c>
      <c r="H748" s="6">
        <f t="shared" si="65"/>
        <v>6</v>
      </c>
      <c r="I748" s="6" t="s">
        <v>3149</v>
      </c>
      <c r="J748" s="6" t="s">
        <v>239</v>
      </c>
      <c r="K748" s="6" t="str">
        <f t="shared" si="66"/>
        <v>Aarav Sharma</v>
      </c>
      <c r="L748" s="6" t="s">
        <v>44</v>
      </c>
      <c r="M748" s="8" t="str">
        <f t="shared" si="67"/>
        <v>Home Office</v>
      </c>
      <c r="N748" s="6" t="s">
        <v>8</v>
      </c>
      <c r="O748" s="6" t="str">
        <f t="shared" si="68"/>
        <v>East</v>
      </c>
      <c r="P748" s="6" t="s">
        <v>201</v>
      </c>
      <c r="Q748" s="6" t="str">
        <f t="shared" si="69"/>
        <v>West Bengal</v>
      </c>
      <c r="R748" s="6" t="s">
        <v>202</v>
      </c>
      <c r="S748" s="6" t="str">
        <f t="shared" si="70"/>
        <v>Kolkata</v>
      </c>
      <c r="T748" s="6" t="s">
        <v>20</v>
      </c>
      <c r="U748" s="8" t="str">
        <f t="shared" si="71"/>
        <v>Office Supplies</v>
      </c>
      <c r="V748" s="6" t="s">
        <v>24</v>
      </c>
      <c r="W748" s="6" t="str">
        <f t="shared" si="72"/>
        <v>Paper</v>
      </c>
      <c r="X748" s="6" t="s">
        <v>3566</v>
      </c>
      <c r="Y748" s="6" t="s">
        <v>34</v>
      </c>
      <c r="Z748" s="6" t="str">
        <f t="shared" si="73"/>
        <v>Standard Class</v>
      </c>
      <c r="AA748" s="6">
        <v>4</v>
      </c>
      <c r="AB748" s="6">
        <v>2583.19</v>
      </c>
      <c r="AC748" s="6">
        <v>0.2</v>
      </c>
      <c r="AD748" s="6">
        <v>8266.2099999999991</v>
      </c>
      <c r="AE748" s="6">
        <v>6236.32</v>
      </c>
      <c r="AF748" s="6">
        <v>2029.89</v>
      </c>
      <c r="AG748" s="6" t="s">
        <v>52</v>
      </c>
      <c r="AH748" s="6" t="str">
        <f t="shared" si="74"/>
        <v>Paid</v>
      </c>
      <c r="AI748" s="6" t="s">
        <v>134</v>
      </c>
      <c r="AJ748" s="6" t="str">
        <f t="shared" si="75"/>
        <v>Completed</v>
      </c>
      <c r="AK748" s="9" t="str">
        <f>_xlfn.TEXTJOIN("|",FALSE,A748,TEXT(B748,"mm-dd-yyyy"),TEXT(E748,"mm-dd-yyyy"),I748,J748,L748,N748,P748,R748,T748,V748,X748,Y748,AA748,AB748,AC748,AD748,AE748,AF748,AG748,AI748)</f>
        <v>ORD-2025-10747|01-04-2025|10-01-2025|CUST-2314|Aarav Sharma|Home Office|East|West Bengal|Kolkata|Office Supplies|Paper|Pro Paper 662|Standard Class|4|2583.19|0.2|8266.21|6236.32|2029.89|Paid|Completed</v>
      </c>
      <c r="AL748" s="27" t="str">
        <f>IF(COUNTIF($AK$2:AK748,AK748)&gt;1,"Remove exact duplicate copy","Keep")</f>
        <v>Keep</v>
      </c>
      <c r="AM748" s="9">
        <f t="shared" si="76"/>
        <v>1</v>
      </c>
      <c r="AN748" s="9" t="str">
        <f t="shared" si="77"/>
        <v>Unique</v>
      </c>
      <c r="AO748" s="9" t="str">
        <f t="shared" si="78"/>
        <v/>
      </c>
      <c r="AP748" s="9">
        <f t="shared" si="79"/>
        <v>0.2</v>
      </c>
      <c r="AQ748" s="10">
        <f t="shared" si="80"/>
        <v>8266.2080000000005</v>
      </c>
      <c r="AR748" s="10">
        <f t="shared" si="81"/>
        <v>2029.8880000000008</v>
      </c>
      <c r="AS748" s="11">
        <f t="shared" si="82"/>
        <v>0.24556459261610653</v>
      </c>
      <c r="AT748" s="9">
        <f t="shared" si="83"/>
        <v>1</v>
      </c>
      <c r="AU748" s="9">
        <f t="shared" si="84"/>
        <v>2025</v>
      </c>
      <c r="AV748" s="9" t="b">
        <f t="shared" si="85"/>
        <v>0</v>
      </c>
      <c r="AW748" s="9" t="b">
        <f t="shared" si="86"/>
        <v>0</v>
      </c>
      <c r="AX748" s="9" t="str">
        <f t="shared" si="87"/>
        <v>Yes</v>
      </c>
      <c r="AY748" s="9" t="str">
        <f t="shared" si="95"/>
        <v/>
      </c>
      <c r="AZ748" s="9" t="str">
        <f>IF(OR(G748="Missing date",G748="Invalid date",G748="Ship date before order date",NOT(ISNUMBER(AP748)),AP748&lt;0,AP748&gt;0.5,AV748=TRUE,AW748=TRUE),"Invalid",IF(OR(O748="Unknown",Z748="Unknown",AC748="",AH748&lt;&gt;"Paid",AJ748&lt;&gt;"Completed",AO748&lt;&gt;""),"Warning","Clean"))</f>
        <v>Clean</v>
      </c>
    </row>
    <row r="749" spans="1:52" ht="15.75" customHeight="1">
      <c r="A749" s="6" t="s">
        <v>3567</v>
      </c>
      <c r="B749" s="7" t="s">
        <v>3568</v>
      </c>
      <c r="C749" s="7" t="str">
        <f t="shared" si="94"/>
        <v>2024-05</v>
      </c>
      <c r="D749" s="7" cm="1">
        <f t="array" ref="D749">_xlfn.LET(_xlpm.x,B749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45413</v>
      </c>
      <c r="E749" s="7" t="s">
        <v>3569</v>
      </c>
      <c r="F749" s="7" cm="1">
        <f t="array" ref="F749">_xlfn.LET(_xlpm.x,E749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45419</v>
      </c>
      <c r="G749" s="8" t="str">
        <f t="shared" si="64"/>
        <v>OK</v>
      </c>
      <c r="H749" s="6">
        <f t="shared" si="65"/>
        <v>6</v>
      </c>
      <c r="I749" s="6" t="s">
        <v>3570</v>
      </c>
      <c r="J749" s="6" t="s">
        <v>147</v>
      </c>
      <c r="K749" s="6" t="str">
        <f t="shared" si="66"/>
        <v>Isha Nair</v>
      </c>
      <c r="L749" s="6" t="s">
        <v>44</v>
      </c>
      <c r="M749" s="8" t="str">
        <f t="shared" si="67"/>
        <v>Home Office</v>
      </c>
      <c r="N749" s="6" t="s">
        <v>8</v>
      </c>
      <c r="O749" s="6" t="str">
        <f t="shared" si="68"/>
        <v>East</v>
      </c>
      <c r="P749" s="6" t="s">
        <v>140</v>
      </c>
      <c r="Q749" s="6" t="str">
        <f t="shared" si="69"/>
        <v>Odisha</v>
      </c>
      <c r="R749" s="6" t="s">
        <v>141</v>
      </c>
      <c r="S749" s="6" t="str">
        <f t="shared" si="70"/>
        <v>Bhubaneswar</v>
      </c>
      <c r="T749" s="6" t="s">
        <v>20</v>
      </c>
      <c r="U749" s="8" t="str">
        <f t="shared" si="71"/>
        <v>Office Supplies</v>
      </c>
      <c r="V749" s="6" t="s">
        <v>24</v>
      </c>
      <c r="W749" s="6" t="str">
        <f t="shared" si="72"/>
        <v>Paper</v>
      </c>
      <c r="X749" s="6" t="s">
        <v>3571</v>
      </c>
      <c r="Y749" s="6" t="s">
        <v>37</v>
      </c>
      <c r="Z749" s="6" t="str">
        <f t="shared" si="73"/>
        <v>Same Day</v>
      </c>
      <c r="AA749" s="6">
        <v>8</v>
      </c>
      <c r="AB749" s="6">
        <v>1473.83</v>
      </c>
      <c r="AC749" s="6">
        <v>0.15</v>
      </c>
      <c r="AD749" s="6">
        <v>10022.040000000001</v>
      </c>
      <c r="AE749" s="6">
        <v>5576.98</v>
      </c>
      <c r="AF749" s="6">
        <v>4445.0600000000004</v>
      </c>
      <c r="AG749" s="6" t="s">
        <v>52</v>
      </c>
      <c r="AH749" s="6" t="str">
        <f t="shared" si="74"/>
        <v>Paid</v>
      </c>
      <c r="AI749" s="6" t="s">
        <v>134</v>
      </c>
      <c r="AJ749" s="6" t="str">
        <f t="shared" si="75"/>
        <v>Completed</v>
      </c>
      <c r="AK749" s="9" t="str">
        <f>_xlfn.TEXTJOIN("|",FALSE,A749,TEXT(B749,"mm-dd-yyyy"),TEXT(E749,"mm-dd-yyyy"),I749,J749,L749,N749,P749,R749,T749,V749,X749,Y749,AA749,AB749,AC749,AD749,AE749,AF749,AG749,AI749)</f>
        <v>ORD-2024-10748|05-01-2024|05-07-2024|CUST-8416|Isha Nair|Home Office|East|Odisha|Bhubaneswar|Office Supplies|Paper|Classic Paper 388|Same Day|8|1473.83|0.15|10022.04|5576.98|4445.06|Paid|Completed</v>
      </c>
      <c r="AL749" s="27" t="str">
        <f>IF(COUNTIF($AK$2:AK749,AK749)&gt;1,"Remove exact duplicate copy","Keep")</f>
        <v>Keep</v>
      </c>
      <c r="AM749" s="9">
        <f t="shared" si="76"/>
        <v>1</v>
      </c>
      <c r="AN749" s="9" t="str">
        <f t="shared" si="77"/>
        <v>Unique</v>
      </c>
      <c r="AO749" s="9" t="str">
        <f t="shared" si="78"/>
        <v/>
      </c>
      <c r="AP749" s="9">
        <f t="shared" si="79"/>
        <v>0.15</v>
      </c>
      <c r="AQ749" s="10">
        <f t="shared" si="80"/>
        <v>10022.044</v>
      </c>
      <c r="AR749" s="10">
        <f t="shared" si="81"/>
        <v>4445.0640000000003</v>
      </c>
      <c r="AS749" s="11">
        <f t="shared" si="82"/>
        <v>0.44352868536597928</v>
      </c>
      <c r="AT749" s="9">
        <f t="shared" si="83"/>
        <v>5</v>
      </c>
      <c r="AU749" s="9">
        <f t="shared" si="84"/>
        <v>2024</v>
      </c>
      <c r="AV749" s="9" t="b">
        <f t="shared" si="85"/>
        <v>0</v>
      </c>
      <c r="AW749" s="9" t="b">
        <f t="shared" si="86"/>
        <v>0</v>
      </c>
      <c r="AX749" s="9" t="str">
        <f t="shared" si="87"/>
        <v>Yes</v>
      </c>
      <c r="AY749" s="9" t="str">
        <f t="shared" si="95"/>
        <v/>
      </c>
      <c r="AZ749" s="9" t="str">
        <f>IF(OR(G749="Missing date",G749="Invalid date",G749="Ship date before order date",NOT(ISNUMBER(AP749)),AP749&lt;0,AP749&gt;0.5,AV749=TRUE,AW749=TRUE),"Invalid",IF(OR(O749="Unknown",Z749="Unknown",AC749="",AH749&lt;&gt;"Paid",AJ749&lt;&gt;"Completed",AO749&lt;&gt;""),"Warning","Clean"))</f>
        <v>Clean</v>
      </c>
    </row>
    <row r="750" spans="1:52" ht="15.75" customHeight="1">
      <c r="A750" s="6" t="s">
        <v>3572</v>
      </c>
      <c r="B750" s="7" t="s">
        <v>3573</v>
      </c>
      <c r="C750" s="7" t="str">
        <f t="shared" si="94"/>
        <v>2024-05</v>
      </c>
      <c r="D750" s="7" cm="1">
        <f t="array" ref="D750">_xlfn.LET(_xlpm.x,B750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45442</v>
      </c>
      <c r="E750" s="7" t="s">
        <v>3574</v>
      </c>
      <c r="F750" s="7" cm="1">
        <f t="array" ref="F750">_xlfn.LET(_xlpm.x,E750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45442</v>
      </c>
      <c r="G750" s="8" t="str">
        <f t="shared" si="64"/>
        <v>OK</v>
      </c>
      <c r="H750" s="6">
        <f t="shared" si="65"/>
        <v>0</v>
      </c>
      <c r="I750" s="6" t="s">
        <v>3575</v>
      </c>
      <c r="J750" s="6" t="s">
        <v>284</v>
      </c>
      <c r="K750" s="6" t="str">
        <f t="shared" si="66"/>
        <v>Diya Patel</v>
      </c>
      <c r="L750" s="6" t="s">
        <v>44</v>
      </c>
      <c r="M750" s="8" t="str">
        <f t="shared" si="67"/>
        <v>Home Office</v>
      </c>
      <c r="N750" s="6" t="s">
        <v>7</v>
      </c>
      <c r="O750" s="6" t="str">
        <f t="shared" si="68"/>
        <v>North</v>
      </c>
      <c r="P750" s="6" t="s">
        <v>397</v>
      </c>
      <c r="Q750" s="6" t="str">
        <f t="shared" si="69"/>
        <v>Haryana</v>
      </c>
      <c r="R750" s="6" t="s">
        <v>398</v>
      </c>
      <c r="S750" s="6" t="str">
        <f t="shared" si="70"/>
        <v>Gurugram</v>
      </c>
      <c r="T750" s="6" t="s">
        <v>27</v>
      </c>
      <c r="U750" s="8" t="str">
        <f t="shared" si="71"/>
        <v>Technology</v>
      </c>
      <c r="V750" s="6" t="s">
        <v>31</v>
      </c>
      <c r="W750" s="6" t="str">
        <f t="shared" si="72"/>
        <v>Phones</v>
      </c>
      <c r="X750" s="6" t="s">
        <v>3576</v>
      </c>
      <c r="Y750" s="6" t="s">
        <v>36</v>
      </c>
      <c r="Z750" s="6" t="str">
        <f t="shared" si="73"/>
        <v>Second Class</v>
      </c>
      <c r="AA750" s="6">
        <v>1</v>
      </c>
      <c r="AB750" s="6">
        <v>3848.04</v>
      </c>
      <c r="AC750" s="6">
        <v>0.25</v>
      </c>
      <c r="AD750" s="6">
        <v>2886.03</v>
      </c>
      <c r="AE750" s="6">
        <v>2064.83</v>
      </c>
      <c r="AF750" s="6">
        <v>821.2</v>
      </c>
      <c r="AG750" s="6" t="s">
        <v>52</v>
      </c>
      <c r="AH750" s="6" t="str">
        <f t="shared" si="74"/>
        <v>Paid</v>
      </c>
      <c r="AI750" s="6" t="s">
        <v>134</v>
      </c>
      <c r="AJ750" s="6" t="str">
        <f t="shared" si="75"/>
        <v>Completed</v>
      </c>
      <c r="AK750" s="9" t="str">
        <f>_xlfn.TEXTJOIN("|",FALSE,A750,TEXT(B750,"mm-dd-yyyy"),TEXT(E750,"mm-dd-yyyy"),I750,J750,L750,N750,P750,R750,T750,V750,X750,Y750,AA750,AB750,AC750,AD750,AE750,AF750,AG750,AI750)</f>
        <v>ORD-2024-10749|30-05-2024|05-30-2024|CUST-3103|Diya Patel|Home Office|North|Haryana|Gurugram|Technology|Phones|Pro Phones 765|Second Class|1|3848.04|0.25|2886.03|2064.83|821.2|Paid|Completed</v>
      </c>
      <c r="AL750" s="27" t="str">
        <f>IF(COUNTIF($AK$2:AK750,AK750)&gt;1,"Remove exact duplicate copy","Keep")</f>
        <v>Keep</v>
      </c>
      <c r="AM750" s="9">
        <f t="shared" si="76"/>
        <v>1</v>
      </c>
      <c r="AN750" s="9" t="str">
        <f t="shared" si="77"/>
        <v>Unique</v>
      </c>
      <c r="AO750" s="9" t="str">
        <f t="shared" si="78"/>
        <v/>
      </c>
      <c r="AP750" s="9">
        <f t="shared" si="79"/>
        <v>0.25</v>
      </c>
      <c r="AQ750" s="10">
        <f t="shared" si="80"/>
        <v>2886.0299999999997</v>
      </c>
      <c r="AR750" s="10">
        <f t="shared" si="81"/>
        <v>821.19999999999982</v>
      </c>
      <c r="AS750" s="11">
        <f t="shared" si="82"/>
        <v>0.28454312671732446</v>
      </c>
      <c r="AT750" s="9">
        <f t="shared" si="83"/>
        <v>5</v>
      </c>
      <c r="AU750" s="9">
        <f t="shared" si="84"/>
        <v>2024</v>
      </c>
      <c r="AV750" s="9" t="b">
        <f t="shared" si="85"/>
        <v>0</v>
      </c>
      <c r="AW750" s="9" t="b">
        <f t="shared" si="86"/>
        <v>0</v>
      </c>
      <c r="AX750" s="9" t="str">
        <f t="shared" si="87"/>
        <v>Yes</v>
      </c>
      <c r="AY750" s="9" t="str">
        <f t="shared" si="95"/>
        <v/>
      </c>
      <c r="AZ750" s="9" t="str">
        <f>IF(OR(G750="Missing date",G750="Invalid date",G750="Ship date before order date",NOT(ISNUMBER(AP750)),AP750&lt;0,AP750&gt;0.5,AV750=TRUE,AW750=TRUE),"Invalid",IF(OR(O750="Unknown",Z750="Unknown",AC750="",AH750&lt;&gt;"Paid",AJ750&lt;&gt;"Completed",AO750&lt;&gt;""),"Warning","Clean"))</f>
        <v>Clean</v>
      </c>
    </row>
    <row r="751" spans="1:52" ht="15.75" customHeight="1">
      <c r="A751" s="6" t="s">
        <v>3577</v>
      </c>
      <c r="B751" s="7" t="s">
        <v>3578</v>
      </c>
      <c r="C751" s="7" t="str">
        <f t="shared" si="94"/>
        <v>2024-03</v>
      </c>
      <c r="D751" s="7" cm="1">
        <f t="array" ref="D751">_xlfn.LET(_xlpm.x,B751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45372</v>
      </c>
      <c r="E751" s="7" t="s">
        <v>3579</v>
      </c>
      <c r="F751" s="7" cm="1">
        <f t="array" ref="F751">_xlfn.LET(_xlpm.x,E751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45376</v>
      </c>
      <c r="G751" s="8" t="str">
        <f t="shared" si="64"/>
        <v>OK</v>
      </c>
      <c r="H751" s="6">
        <f t="shared" si="65"/>
        <v>4</v>
      </c>
      <c r="I751" s="6" t="s">
        <v>3580</v>
      </c>
      <c r="J751" s="6" t="s">
        <v>190</v>
      </c>
      <c r="K751" s="6" t="str">
        <f t="shared" si="66"/>
        <v>Aditi Sen</v>
      </c>
      <c r="L751" s="6" t="s">
        <v>44</v>
      </c>
      <c r="M751" s="8" t="str">
        <f t="shared" si="67"/>
        <v>Home Office</v>
      </c>
      <c r="N751" s="6" t="s">
        <v>8</v>
      </c>
      <c r="O751" s="6" t="str">
        <f t="shared" si="68"/>
        <v>East</v>
      </c>
      <c r="P751" s="6" t="s">
        <v>290</v>
      </c>
      <c r="Q751" s="6" t="str">
        <f t="shared" si="69"/>
        <v>Assam</v>
      </c>
      <c r="R751" s="6" t="s">
        <v>291</v>
      </c>
      <c r="S751" s="6" t="str">
        <f t="shared" si="70"/>
        <v>Guwahati</v>
      </c>
      <c r="T751" s="6" t="s">
        <v>27</v>
      </c>
      <c r="U751" s="8" t="str">
        <f t="shared" si="71"/>
        <v>Technology</v>
      </c>
      <c r="V751" s="6" t="s">
        <v>30</v>
      </c>
      <c r="W751" s="6" t="str">
        <f t="shared" si="72"/>
        <v>Machines</v>
      </c>
      <c r="X751" s="6" t="s">
        <v>3581</v>
      </c>
      <c r="Y751" s="6" t="s">
        <v>34</v>
      </c>
      <c r="Z751" s="6" t="str">
        <f t="shared" si="73"/>
        <v>Standard Class</v>
      </c>
      <c r="AA751" s="6">
        <v>1</v>
      </c>
      <c r="AB751" s="6">
        <v>1716.7</v>
      </c>
      <c r="AC751" s="6">
        <v>0.15</v>
      </c>
      <c r="AD751" s="6">
        <v>1459.19</v>
      </c>
      <c r="AE751" s="6">
        <v>1055.79</v>
      </c>
      <c r="AF751" s="6">
        <v>403.4</v>
      </c>
      <c r="AG751" s="6" t="s">
        <v>52</v>
      </c>
      <c r="AH751" s="6" t="str">
        <f t="shared" si="74"/>
        <v>Paid</v>
      </c>
      <c r="AI751" s="6" t="s">
        <v>134</v>
      </c>
      <c r="AJ751" s="6" t="str">
        <f t="shared" si="75"/>
        <v>Completed</v>
      </c>
      <c r="AK751" s="9" t="str">
        <f>_xlfn.TEXTJOIN("|",FALSE,A751,TEXT(B751,"mm-dd-yyyy"),TEXT(E751,"mm-dd-yyyy"),I751,J751,L751,N751,P751,R751,T751,V751,X751,Y751,AA751,AB751,AC751,AD751,AE751,AF751,AG751,AI751)</f>
        <v>ORD-2024-10750|03-21-2024|03-25-2024|CUST-4457|Aditi Sen|Home Office|East|Assam|Guwahati|Technology|Machines|Classic Machines 543|Standard Class|1|1716.7|0.15|1459.19|1055.79|403.4|Paid|Completed</v>
      </c>
      <c r="AL751" s="27" t="str">
        <f>IF(COUNTIF($AK$2:AK751,AK751)&gt;1,"Remove exact duplicate copy","Keep")</f>
        <v>Keep</v>
      </c>
      <c r="AM751" s="9">
        <f t="shared" si="76"/>
        <v>1</v>
      </c>
      <c r="AN751" s="9" t="str">
        <f t="shared" si="77"/>
        <v>Unique</v>
      </c>
      <c r="AO751" s="9" t="str">
        <f t="shared" si="78"/>
        <v/>
      </c>
      <c r="AP751" s="9">
        <f t="shared" si="79"/>
        <v>0.15</v>
      </c>
      <c r="AQ751" s="10">
        <f t="shared" si="80"/>
        <v>1459.1949999999999</v>
      </c>
      <c r="AR751" s="10">
        <f t="shared" si="81"/>
        <v>403.40499999999997</v>
      </c>
      <c r="AS751" s="11">
        <f t="shared" si="82"/>
        <v>0.27645722470266137</v>
      </c>
      <c r="AT751" s="9">
        <f t="shared" si="83"/>
        <v>3</v>
      </c>
      <c r="AU751" s="9">
        <f t="shared" si="84"/>
        <v>2024</v>
      </c>
      <c r="AV751" s="9" t="b">
        <f t="shared" si="85"/>
        <v>0</v>
      </c>
      <c r="AW751" s="9" t="b">
        <f t="shared" si="86"/>
        <v>0</v>
      </c>
      <c r="AX751" s="9" t="str">
        <f t="shared" si="87"/>
        <v>Yes</v>
      </c>
      <c r="AY751" s="9" t="str">
        <f t="shared" si="95"/>
        <v/>
      </c>
      <c r="AZ751" s="9" t="str">
        <f>IF(OR(G751="Missing date",G751="Invalid date",G751="Ship date before order date",NOT(ISNUMBER(AP751)),AP751&lt;0,AP751&gt;0.5,AV751=TRUE,AW751=TRUE),"Invalid",IF(OR(O751="Unknown",Z751="Unknown",AC751="",AH751&lt;&gt;"Paid",AJ751&lt;&gt;"Completed",AO751&lt;&gt;""),"Warning","Clean"))</f>
        <v>Clean</v>
      </c>
    </row>
    <row r="752" spans="1:52" ht="15.75" customHeight="1">
      <c r="A752" s="6" t="s">
        <v>3582</v>
      </c>
      <c r="B752" s="7" t="s">
        <v>3583</v>
      </c>
      <c r="C752" s="7" t="str">
        <f t="shared" si="94"/>
        <v>2025-06</v>
      </c>
      <c r="D752" s="7" cm="1">
        <f t="array" ref="D752">_xlfn.LET(_xlpm.x,B752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45810</v>
      </c>
      <c r="E752" s="7" t="s">
        <v>451</v>
      </c>
      <c r="F752" s="7" cm="1">
        <f t="array" ref="F752">_xlfn.LET(_xlpm.x,E752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45810</v>
      </c>
      <c r="G752" s="8" t="str">
        <f t="shared" si="64"/>
        <v>OK</v>
      </c>
      <c r="H752" s="6">
        <f t="shared" si="65"/>
        <v>0</v>
      </c>
      <c r="I752" s="6" t="s">
        <v>3584</v>
      </c>
      <c r="J752" s="6" t="s">
        <v>239</v>
      </c>
      <c r="K752" s="6" t="str">
        <f t="shared" si="66"/>
        <v>Aarav Sharma</v>
      </c>
      <c r="L752" s="6" t="s">
        <v>44</v>
      </c>
      <c r="M752" s="8" t="str">
        <f t="shared" si="67"/>
        <v>Home Office</v>
      </c>
      <c r="N752" s="6" t="s">
        <v>10</v>
      </c>
      <c r="O752" s="6" t="str">
        <f t="shared" si="68"/>
        <v>South</v>
      </c>
      <c r="P752" s="6" t="s">
        <v>154</v>
      </c>
      <c r="Q752" s="6" t="str">
        <f t="shared" si="69"/>
        <v>Telangana</v>
      </c>
      <c r="R752" s="6" t="s">
        <v>155</v>
      </c>
      <c r="S752" s="6" t="str">
        <f t="shared" si="70"/>
        <v>Hyderabad</v>
      </c>
      <c r="T752" s="6" t="s">
        <v>27</v>
      </c>
      <c r="U752" s="8" t="str">
        <f t="shared" si="71"/>
        <v>Technology</v>
      </c>
      <c r="V752" s="6" t="s">
        <v>28</v>
      </c>
      <c r="W752" s="6" t="str">
        <f t="shared" si="72"/>
        <v>Accessories</v>
      </c>
      <c r="X752" s="6" t="s">
        <v>3585</v>
      </c>
      <c r="Y752" s="6" t="s">
        <v>35</v>
      </c>
      <c r="Z752" s="6" t="str">
        <f t="shared" si="73"/>
        <v>First Class</v>
      </c>
      <c r="AA752" s="6">
        <v>8</v>
      </c>
      <c r="AB752" s="6">
        <v>3925.93</v>
      </c>
      <c r="AC752" s="6">
        <v>0.15</v>
      </c>
      <c r="AD752" s="6">
        <v>26696.32</v>
      </c>
      <c r="AE752" s="6">
        <v>22724.52</v>
      </c>
      <c r="AF752" s="6">
        <v>3971.8</v>
      </c>
      <c r="AG752" s="6" t="s">
        <v>52</v>
      </c>
      <c r="AH752" s="6" t="str">
        <f t="shared" si="74"/>
        <v>Paid</v>
      </c>
      <c r="AI752" s="6" t="s">
        <v>134</v>
      </c>
      <c r="AJ752" s="6" t="str">
        <f t="shared" si="75"/>
        <v>Completed</v>
      </c>
      <c r="AK752" s="9" t="str">
        <f>_xlfn.TEXTJOIN("|",FALSE,A752,TEXT(B752,"mm-dd-yyyy"),TEXT(E752,"mm-dd-yyyy"),I752,J752,L752,N752,P752,R752,T752,V752,X752,Y752,AA752,AB752,AC752,AD752,AE752,AF752,AG752,AI752)</f>
        <v>ORD-2025-10751|06-02-2025|06-02-2025|CUST-7036|Aarav Sharma|Home Office|South|Telangana|Hyderabad|Technology|Accessories|Max Accessories 291|First Class|8|3925.93|0.15|26696.32|22724.52|3971.8|Paid|Completed</v>
      </c>
      <c r="AL752" s="27" t="str">
        <f>IF(COUNTIF($AK$2:AK752,AK752)&gt;1,"Remove exact duplicate copy","Keep")</f>
        <v>Keep</v>
      </c>
      <c r="AM752" s="9">
        <f t="shared" si="76"/>
        <v>1</v>
      </c>
      <c r="AN752" s="9" t="str">
        <f t="shared" si="77"/>
        <v>Unique</v>
      </c>
      <c r="AO752" s="9" t="str">
        <f t="shared" si="78"/>
        <v/>
      </c>
      <c r="AP752" s="9">
        <f t="shared" si="79"/>
        <v>0.15</v>
      </c>
      <c r="AQ752" s="10">
        <f t="shared" si="80"/>
        <v>26696.323999999997</v>
      </c>
      <c r="AR752" s="10">
        <f t="shared" si="81"/>
        <v>3971.8039999999964</v>
      </c>
      <c r="AS752" s="11">
        <f t="shared" si="82"/>
        <v>0.14877718745097629</v>
      </c>
      <c r="AT752" s="9">
        <f t="shared" si="83"/>
        <v>6</v>
      </c>
      <c r="AU752" s="9">
        <f t="shared" si="84"/>
        <v>2025</v>
      </c>
      <c r="AV752" s="9" t="b">
        <f t="shared" si="85"/>
        <v>0</v>
      </c>
      <c r="AW752" s="9" t="b">
        <f t="shared" si="86"/>
        <v>0</v>
      </c>
      <c r="AX752" s="9" t="str">
        <f t="shared" si="87"/>
        <v>Yes</v>
      </c>
      <c r="AY752" s="9" t="str">
        <f t="shared" si="95"/>
        <v/>
      </c>
      <c r="AZ752" s="9" t="str">
        <f>IF(OR(G752="Missing date",G752="Invalid date",G752="Ship date before order date",NOT(ISNUMBER(AP752)),AP752&lt;0,AP752&gt;0.5,AV752=TRUE,AW752=TRUE),"Invalid",IF(OR(O752="Unknown",Z752="Unknown",AC752="",AH752&lt;&gt;"Paid",AJ752&lt;&gt;"Completed",AO752&lt;&gt;""),"Warning","Clean"))</f>
        <v>Clean</v>
      </c>
    </row>
    <row r="753" spans="1:52" ht="15.75" customHeight="1">
      <c r="A753" s="6" t="s">
        <v>3586</v>
      </c>
      <c r="B753" s="7" t="s">
        <v>802</v>
      </c>
      <c r="C753" s="7" t="str">
        <f t="shared" si="94"/>
        <v>2025-07</v>
      </c>
      <c r="D753" s="7" cm="1">
        <f t="array" ref="D753">_xlfn.LET(_xlpm.x,B753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45856</v>
      </c>
      <c r="E753" s="7" t="s">
        <v>3587</v>
      </c>
      <c r="F753" s="7" cm="1">
        <f t="array" ref="F753">_xlfn.LET(_xlpm.x,E753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45857</v>
      </c>
      <c r="G753" s="8" t="str">
        <f t="shared" si="64"/>
        <v>OK</v>
      </c>
      <c r="H753" s="6">
        <f t="shared" si="65"/>
        <v>1</v>
      </c>
      <c r="I753" s="6" t="s">
        <v>3588</v>
      </c>
      <c r="J753" s="6" t="s">
        <v>220</v>
      </c>
      <c r="K753" s="6" t="str">
        <f t="shared" si="66"/>
        <v>Priya Menon</v>
      </c>
      <c r="L753" s="6" t="s">
        <v>44</v>
      </c>
      <c r="M753" s="8" t="str">
        <f t="shared" si="67"/>
        <v>Home Office</v>
      </c>
      <c r="N753" s="6"/>
      <c r="O753" s="6" t="str">
        <f t="shared" si="68"/>
        <v>Unknown</v>
      </c>
      <c r="P753" s="6" t="s">
        <v>251</v>
      </c>
      <c r="Q753" s="6" t="str">
        <f t="shared" si="69"/>
        <v>Uttar Pradesh</v>
      </c>
      <c r="R753" s="6" t="s">
        <v>252</v>
      </c>
      <c r="S753" s="6" t="str">
        <f t="shared" si="70"/>
        <v>Noida</v>
      </c>
      <c r="T753" s="6" t="s">
        <v>27</v>
      </c>
      <c r="U753" s="8" t="str">
        <f t="shared" si="71"/>
        <v>Technology</v>
      </c>
      <c r="V753" s="6" t="s">
        <v>30</v>
      </c>
      <c r="W753" s="6" t="str">
        <f t="shared" si="72"/>
        <v>Machines</v>
      </c>
      <c r="X753" s="6" t="s">
        <v>3589</v>
      </c>
      <c r="Y753" s="6"/>
      <c r="Z753" s="6" t="str">
        <f t="shared" si="73"/>
        <v>Unknown</v>
      </c>
      <c r="AA753" s="6">
        <v>3</v>
      </c>
      <c r="AB753" s="6">
        <v>2963.25</v>
      </c>
      <c r="AC753" s="6">
        <v>0.05</v>
      </c>
      <c r="AD753" s="6">
        <v>8445.26</v>
      </c>
      <c r="AE753" s="6">
        <v>6937.6</v>
      </c>
      <c r="AF753" s="6">
        <v>1507.66</v>
      </c>
      <c r="AG753" s="6" t="s">
        <v>52</v>
      </c>
      <c r="AH753" s="6" t="str">
        <f t="shared" si="74"/>
        <v>Paid</v>
      </c>
      <c r="AI753" s="6" t="s">
        <v>134</v>
      </c>
      <c r="AJ753" s="6" t="str">
        <f t="shared" si="75"/>
        <v>Completed</v>
      </c>
      <c r="AK753" s="9" t="str">
        <f>_xlfn.TEXTJOIN("|",FALSE,A753,TEXT(B753,"mm-dd-yyyy"),TEXT(E753,"mm-dd-yyyy"),I753,J753,L753,N753,P753,R753,T753,V753,X753,Y753,AA753,AB753,AC753,AD753,AE753,AF753,AG753,AI753)</f>
        <v>ORD-2025-10752|18-07-2025|19-07-2025|CUST-8512|Priya Menon|Home Office||Uttar Pradesh|Noida|Technology|Machines|Eco Machines 414||3|2963.25|0.05|8445.26|6937.6|1507.66|Paid|Completed</v>
      </c>
      <c r="AL753" s="27" t="str">
        <f>IF(COUNTIF($AK$2:AK753,AK753)&gt;1,"Remove exact duplicate copy","Keep")</f>
        <v>Keep</v>
      </c>
      <c r="AM753" s="9">
        <f t="shared" si="76"/>
        <v>1</v>
      </c>
      <c r="AN753" s="9" t="str">
        <f t="shared" si="77"/>
        <v>Unique</v>
      </c>
      <c r="AO753" s="9" t="str">
        <f t="shared" si="78"/>
        <v/>
      </c>
      <c r="AP753" s="9">
        <f t="shared" si="79"/>
        <v>0.05</v>
      </c>
      <c r="AQ753" s="10">
        <f t="shared" si="80"/>
        <v>8445.2624999999989</v>
      </c>
      <c r="AR753" s="10">
        <f t="shared" si="81"/>
        <v>1507.6624999999985</v>
      </c>
      <c r="AS753" s="11">
        <f t="shared" si="82"/>
        <v>0.17852168597482893</v>
      </c>
      <c r="AT753" s="9">
        <f t="shared" si="83"/>
        <v>7</v>
      </c>
      <c r="AU753" s="9">
        <f t="shared" si="84"/>
        <v>2025</v>
      </c>
      <c r="AV753" s="9" t="b">
        <f t="shared" si="85"/>
        <v>0</v>
      </c>
      <c r="AW753" s="9" t="b">
        <f t="shared" si="86"/>
        <v>0</v>
      </c>
      <c r="AX753" s="9" t="str">
        <f t="shared" si="87"/>
        <v>Yes</v>
      </c>
      <c r="AY753" s="9" t="str">
        <f t="shared" si="95"/>
        <v>Missing region filled as Unknown; Missing ship mode filled as Unknown</v>
      </c>
      <c r="AZ753" s="9" t="str">
        <f>IF(OR(G753="Missing date",G753="Invalid date",G753="Ship date before order date",NOT(ISNUMBER(AP753)),AP753&lt;0,AP753&gt;0.5,AV753=TRUE,AW753=TRUE),"Invalid",IF(OR(O753="Unknown",Z753="Unknown",AC753="",AH753&lt;&gt;"Paid",AJ753&lt;&gt;"Completed",AO753&lt;&gt;""),"Warning","Clean"))</f>
        <v>Warning</v>
      </c>
    </row>
    <row r="754" spans="1:52" ht="15.75" customHeight="1">
      <c r="A754" s="6" t="s">
        <v>3590</v>
      </c>
      <c r="B754" s="7" t="s">
        <v>2307</v>
      </c>
      <c r="C754" s="7" t="str">
        <f t="shared" si="94"/>
        <v>2024-03</v>
      </c>
      <c r="D754" s="7" cm="1">
        <f t="array" ref="D754">_xlfn.LET(_xlpm.x,B754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45375</v>
      </c>
      <c r="E754" s="7" t="s">
        <v>3259</v>
      </c>
      <c r="F754" s="7" cm="1">
        <f t="array" ref="F754">_xlfn.LET(_xlpm.x,E754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45378</v>
      </c>
      <c r="G754" s="8" t="str">
        <f t="shared" si="64"/>
        <v>OK</v>
      </c>
      <c r="H754" s="6">
        <f t="shared" si="65"/>
        <v>3</v>
      </c>
      <c r="I754" s="6" t="s">
        <v>3591</v>
      </c>
      <c r="J754" s="6" t="s">
        <v>190</v>
      </c>
      <c r="K754" s="6" t="str">
        <f t="shared" si="66"/>
        <v>Aditi Sen</v>
      </c>
      <c r="L754" s="6" t="s">
        <v>45</v>
      </c>
      <c r="M754" s="8" t="str">
        <f t="shared" si="67"/>
        <v>Corporate</v>
      </c>
      <c r="N754" s="6" t="s">
        <v>3592</v>
      </c>
      <c r="O754" s="6" t="str">
        <f t="shared" si="68"/>
        <v>West</v>
      </c>
      <c r="P754" s="6" t="s">
        <v>309</v>
      </c>
      <c r="Q754" s="6" t="str">
        <f t="shared" si="69"/>
        <v>Gujarat</v>
      </c>
      <c r="R754" s="6" t="s">
        <v>310</v>
      </c>
      <c r="S754" s="6" t="str">
        <f t="shared" si="70"/>
        <v>Ahmedabad</v>
      </c>
      <c r="T754" s="6" t="s">
        <v>20</v>
      </c>
      <c r="U754" s="8" t="str">
        <f t="shared" si="71"/>
        <v>Office Supplies</v>
      </c>
      <c r="V754" s="6" t="s">
        <v>25</v>
      </c>
      <c r="W754" s="6" t="str">
        <f t="shared" si="72"/>
        <v>Storage</v>
      </c>
      <c r="X754" s="6" t="s">
        <v>3593</v>
      </c>
      <c r="Y754" s="6" t="s">
        <v>35</v>
      </c>
      <c r="Z754" s="6" t="str">
        <f t="shared" si="73"/>
        <v>First Class</v>
      </c>
      <c r="AA754" s="6">
        <v>5</v>
      </c>
      <c r="AB754" s="6">
        <v>2465.2199999999998</v>
      </c>
      <c r="AC754" s="6">
        <v>0.05</v>
      </c>
      <c r="AD754" s="6">
        <v>11709.79</v>
      </c>
      <c r="AE754" s="6">
        <v>8372.2900000000009</v>
      </c>
      <c r="AF754" s="6">
        <v>3337.5</v>
      </c>
      <c r="AG754" s="6" t="s">
        <v>52</v>
      </c>
      <c r="AH754" s="6" t="str">
        <f t="shared" si="74"/>
        <v>Paid</v>
      </c>
      <c r="AI754" s="6" t="s">
        <v>134</v>
      </c>
      <c r="AJ754" s="6" t="str">
        <f t="shared" si="75"/>
        <v>Completed</v>
      </c>
      <c r="AK754" s="9" t="str">
        <f>_xlfn.TEXTJOIN("|",FALSE,A754,TEXT(B754,"mm-dd-yyyy"),TEXT(E754,"mm-dd-yyyy"),I754,J754,L754,N754,P754,R754,T754,V754,X754,Y754,AA754,AB754,AC754,AD754,AE754,AF754,AG754,AI754)</f>
        <v>ORD-2024-10753|24-03-2024|27-03-2024|CUST-6345|Aditi Sen|Corporate|West |Gujarat|Ahmedabad|Office Supplies|Storage|Basic Storage 273|First Class|5|2465.22|0.05|11709.79|8372.29|3337.5|Paid|Completed</v>
      </c>
      <c r="AL754" s="27" t="str">
        <f>IF(COUNTIF($AK$2:AK754,AK754)&gt;1,"Remove exact duplicate copy","Keep")</f>
        <v>Keep</v>
      </c>
      <c r="AM754" s="9">
        <f t="shared" si="76"/>
        <v>1</v>
      </c>
      <c r="AN754" s="9" t="str">
        <f t="shared" si="77"/>
        <v>Unique</v>
      </c>
      <c r="AO754" s="9" t="str">
        <f t="shared" si="78"/>
        <v/>
      </c>
      <c r="AP754" s="9">
        <f t="shared" si="79"/>
        <v>0.05</v>
      </c>
      <c r="AQ754" s="10">
        <f t="shared" si="80"/>
        <v>11709.794999999998</v>
      </c>
      <c r="AR754" s="10">
        <f t="shared" si="81"/>
        <v>3337.5049999999974</v>
      </c>
      <c r="AS754" s="11">
        <f t="shared" si="82"/>
        <v>0.28501822619439521</v>
      </c>
      <c r="AT754" s="9">
        <f t="shared" si="83"/>
        <v>3</v>
      </c>
      <c r="AU754" s="9">
        <f t="shared" si="84"/>
        <v>2024</v>
      </c>
      <c r="AV754" s="9" t="b">
        <f t="shared" si="85"/>
        <v>0</v>
      </c>
      <c r="AW754" s="9" t="b">
        <f t="shared" si="86"/>
        <v>0</v>
      </c>
      <c r="AX754" s="9" t="str">
        <f t="shared" si="87"/>
        <v>Yes</v>
      </c>
      <c r="AY754" s="9" t="str">
        <f t="shared" si="95"/>
        <v/>
      </c>
      <c r="AZ754" s="9" t="str">
        <f>IF(OR(G754="Missing date",G754="Invalid date",G754="Ship date before order date",NOT(ISNUMBER(AP754)),AP754&lt;0,AP754&gt;0.5,AV754=TRUE,AW754=TRUE),"Invalid",IF(OR(O754="Unknown",Z754="Unknown",AC754="",AH754&lt;&gt;"Paid",AJ754&lt;&gt;"Completed",AO754&lt;&gt;""),"Warning","Clean"))</f>
        <v>Clean</v>
      </c>
    </row>
    <row r="755" spans="1:52" ht="15.75" customHeight="1">
      <c r="A755" s="6" t="s">
        <v>3594</v>
      </c>
      <c r="B755" s="7" t="s">
        <v>2529</v>
      </c>
      <c r="C755" s="7" t="str">
        <f t="shared" si="94"/>
        <v>2024-08</v>
      </c>
      <c r="D755" s="7" cm="1">
        <f t="array" ref="D755">_xlfn.LET(_xlpm.x,B755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45515</v>
      </c>
      <c r="E755" s="7" t="s">
        <v>2892</v>
      </c>
      <c r="F755" s="7" cm="1">
        <f t="array" ref="F755">_xlfn.LET(_xlpm.x,E755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45514</v>
      </c>
      <c r="G755" s="8" t="str">
        <f t="shared" si="64"/>
        <v>Ship date before order date</v>
      </c>
      <c r="H755" s="6">
        <f t="shared" si="65"/>
        <v>-1</v>
      </c>
      <c r="I755" s="6" t="s">
        <v>3595</v>
      </c>
      <c r="J755" s="6" t="s">
        <v>190</v>
      </c>
      <c r="K755" s="6" t="str">
        <f t="shared" si="66"/>
        <v>Aditi Sen</v>
      </c>
      <c r="L755" s="6" t="s">
        <v>45</v>
      </c>
      <c r="M755" s="8" t="str">
        <f t="shared" si="67"/>
        <v>Corporate</v>
      </c>
      <c r="N755" s="6" t="s">
        <v>7</v>
      </c>
      <c r="O755" s="6" t="str">
        <f t="shared" si="68"/>
        <v>North</v>
      </c>
      <c r="P755" s="6" t="s">
        <v>583</v>
      </c>
      <c r="Q755" s="6" t="str">
        <f t="shared" si="69"/>
        <v>Delhi</v>
      </c>
      <c r="R755" s="6" t="s">
        <v>584</v>
      </c>
      <c r="S755" s="6" t="str">
        <f t="shared" si="70"/>
        <v>New Delhi</v>
      </c>
      <c r="T755" s="6" t="s">
        <v>577</v>
      </c>
      <c r="U755" s="8" t="str">
        <f t="shared" si="71"/>
        <v>Furniture</v>
      </c>
      <c r="V755" s="6" t="s">
        <v>17</v>
      </c>
      <c r="W755" s="6" t="str">
        <f t="shared" si="72"/>
        <v>Furnishings</v>
      </c>
      <c r="X755" s="6" t="s">
        <v>3596</v>
      </c>
      <c r="Y755" s="6" t="s">
        <v>36</v>
      </c>
      <c r="Z755" s="6" t="str">
        <f t="shared" si="73"/>
        <v>Second Class</v>
      </c>
      <c r="AA755" s="6">
        <v>3</v>
      </c>
      <c r="AB755" s="6">
        <v>1017.22</v>
      </c>
      <c r="AC755" s="6">
        <v>0.15</v>
      </c>
      <c r="AD755" s="6">
        <v>2593.91</v>
      </c>
      <c r="AE755" s="6">
        <v>1848.48</v>
      </c>
      <c r="AF755" s="6">
        <v>745.43</v>
      </c>
      <c r="AG755" s="6" t="s">
        <v>50</v>
      </c>
      <c r="AH755" s="6" t="str">
        <f t="shared" si="74"/>
        <v>Failed</v>
      </c>
      <c r="AI755" s="6" t="s">
        <v>59</v>
      </c>
      <c r="AJ755" s="6" t="str">
        <f t="shared" si="75"/>
        <v>Returned</v>
      </c>
      <c r="AK755" s="9" t="str">
        <f>_xlfn.TEXTJOIN("|",FALSE,A755,TEXT(B755,"mm-dd-yyyy"),TEXT(E755,"mm-dd-yyyy"),I755,J755,L755,N755,P755,R755,T755,V755,X755,Y755,AA755,AB755,AC755,AD755,AE755,AF755,AG755,AI755)</f>
        <v>ORD-2024-10754|08-11-2024|10-08-2024|CUST-4505|Aditi Sen|Corporate|North|Delhi|New Delhi|  Furniture |Furnishings|Elite Furnishings 588|Second Class|3|1017.22|0.15|2593.91|1848.48|745.43|Failed|Returned</v>
      </c>
      <c r="AL755" s="27" t="str">
        <f>IF(COUNTIF($AK$2:AK755,AK755)&gt;1,"Remove exact duplicate copy","Keep")</f>
        <v>Keep</v>
      </c>
      <c r="AM755" s="9">
        <f t="shared" si="76"/>
        <v>1</v>
      </c>
      <c r="AN755" s="9" t="str">
        <f t="shared" si="77"/>
        <v>Unique</v>
      </c>
      <c r="AO755" s="9" t="str">
        <f t="shared" si="78"/>
        <v/>
      </c>
      <c r="AP755" s="9">
        <f t="shared" si="79"/>
        <v>0.15</v>
      </c>
      <c r="AQ755" s="10">
        <f t="shared" si="80"/>
        <v>2593.9109999999996</v>
      </c>
      <c r="AR755" s="10">
        <f t="shared" si="81"/>
        <v>745.43099999999959</v>
      </c>
      <c r="AS755" s="11">
        <f t="shared" si="82"/>
        <v>0.28737724617382776</v>
      </c>
      <c r="AT755" s="9">
        <f t="shared" si="83"/>
        <v>8</v>
      </c>
      <c r="AU755" s="9">
        <f t="shared" si="84"/>
        <v>2024</v>
      </c>
      <c r="AV755" s="9" t="b">
        <f t="shared" si="85"/>
        <v>0</v>
      </c>
      <c r="AW755" s="9" t="b">
        <f t="shared" si="86"/>
        <v>0</v>
      </c>
      <c r="AX755" s="9" t="str">
        <f t="shared" si="87"/>
        <v>No</v>
      </c>
      <c r="AY755" s="9" t="str">
        <f t="shared" si="95"/>
        <v>Ship date before order date; Failed payment excluded; Returned order excluded</v>
      </c>
      <c r="AZ755" s="9" t="str">
        <f>IF(OR(G755="Missing date",G755="Invalid date",G755="Ship date before order date",NOT(ISNUMBER(AP755)),AP755&lt;0,AP755&gt;0.5,AV755=TRUE,AW755=TRUE),"Invalid",IF(OR(O755="Unknown",Z755="Unknown",AC755="",AH755&lt;&gt;"Paid",AJ755&lt;&gt;"Completed",AO755&lt;&gt;""),"Warning","Clean"))</f>
        <v>Invalid</v>
      </c>
    </row>
    <row r="756" spans="1:52" ht="15.75" customHeight="1">
      <c r="A756" s="6" t="s">
        <v>3597</v>
      </c>
      <c r="B756" s="7" t="s">
        <v>3598</v>
      </c>
      <c r="C756" s="7" t="str">
        <f t="shared" si="94"/>
        <v>2025-06</v>
      </c>
      <c r="D756" s="7" cm="1">
        <f t="array" ref="D756">_xlfn.LET(_xlpm.x,B756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E756" s="7" t="s">
        <v>3598</v>
      </c>
      <c r="F756" s="7" cm="1">
        <f t="array" ref="F756">_xlfn.LET(_xlpm.x,E756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G756" s="8" t="str">
        <f t="shared" si="64"/>
        <v>OK</v>
      </c>
      <c r="H756" s="6">
        <f t="shared" si="65"/>
        <v>0</v>
      </c>
      <c r="I756" s="6" t="s">
        <v>3599</v>
      </c>
      <c r="J756" s="6" t="s">
        <v>177</v>
      </c>
      <c r="K756" s="6" t="str">
        <f t="shared" si="66"/>
        <v>Neha Gupta</v>
      </c>
      <c r="L756" s="6" t="s">
        <v>45</v>
      </c>
      <c r="M756" s="8" t="str">
        <f t="shared" si="67"/>
        <v>Corporate</v>
      </c>
      <c r="N756" s="6" t="s">
        <v>10</v>
      </c>
      <c r="O756" s="6" t="str">
        <f t="shared" si="68"/>
        <v>South</v>
      </c>
      <c r="P756" s="6" t="s">
        <v>316</v>
      </c>
      <c r="Q756" s="6" t="str">
        <f t="shared" si="69"/>
        <v>Kerala</v>
      </c>
      <c r="R756" s="6" t="s">
        <v>317</v>
      </c>
      <c r="S756" s="6" t="str">
        <f t="shared" si="70"/>
        <v>Kochi</v>
      </c>
      <c r="T756" s="6" t="s">
        <v>20</v>
      </c>
      <c r="U756" s="8" t="str">
        <f t="shared" si="71"/>
        <v>Office Supplies</v>
      </c>
      <c r="V756" s="6" t="s">
        <v>25</v>
      </c>
      <c r="W756" s="6" t="str">
        <f t="shared" si="72"/>
        <v>Storage</v>
      </c>
      <c r="X756" s="6" t="s">
        <v>3600</v>
      </c>
      <c r="Y756" s="6" t="s">
        <v>34</v>
      </c>
      <c r="Z756" s="6" t="str">
        <f t="shared" si="73"/>
        <v>Standard Class</v>
      </c>
      <c r="AA756" s="6">
        <v>4</v>
      </c>
      <c r="AB756" s="6">
        <v>891.34</v>
      </c>
      <c r="AC756" s="6">
        <v>0.25</v>
      </c>
      <c r="AD756" s="6">
        <v>2674.02</v>
      </c>
      <c r="AE756" s="6">
        <v>2207.5700000000002</v>
      </c>
      <c r="AF756" s="6">
        <v>466.45</v>
      </c>
      <c r="AG756" s="6" t="s">
        <v>52</v>
      </c>
      <c r="AH756" s="6" t="str">
        <f t="shared" si="74"/>
        <v>Paid</v>
      </c>
      <c r="AI756" s="6" t="s">
        <v>134</v>
      </c>
      <c r="AJ756" s="6" t="str">
        <f t="shared" si="75"/>
        <v>Completed</v>
      </c>
      <c r="AK756" s="9" t="str">
        <f>_xlfn.TEXTJOIN("|",FALSE,A756,TEXT(B756,"mm-dd-yyyy"),TEXT(E756,"mm-dd-yyyy"),I756,J756,L756,N756,P756,R756,T756,V756,X756,Y756,AA756,AB756,AC756,AD756,AE756,AF756,AG756,AI756)</f>
        <v>ORD-2025-10755|06-04-2025|06-04-2025|CUST-7960|Neha Gupta|Corporate|South|Kerala|Kochi|Office Supplies|Storage|Elite Storage 857|Standard Class|4|891.34|0.25|2674.02|2207.57|466.45|Paid|Completed</v>
      </c>
      <c r="AL756" s="27" t="str">
        <f>IF(COUNTIF($AK$2:AK756,AK756)&gt;1,"Remove exact duplicate copy","Keep")</f>
        <v>Keep</v>
      </c>
      <c r="AM756" s="9">
        <f t="shared" si="76"/>
        <v>1</v>
      </c>
      <c r="AN756" s="9" t="str">
        <f t="shared" si="77"/>
        <v>Unique</v>
      </c>
      <c r="AO756" s="9" t="str">
        <f t="shared" si="78"/>
        <v/>
      </c>
      <c r="AP756" s="9">
        <f t="shared" si="79"/>
        <v>0.25</v>
      </c>
      <c r="AQ756" s="10">
        <f t="shared" si="80"/>
        <v>2674.02</v>
      </c>
      <c r="AR756" s="10">
        <f t="shared" si="81"/>
        <v>466.44999999999982</v>
      </c>
      <c r="AS756" s="11">
        <f t="shared" si="82"/>
        <v>0.17443773793763689</v>
      </c>
      <c r="AT756" s="9">
        <f t="shared" si="83"/>
        <v>6</v>
      </c>
      <c r="AU756" s="9">
        <f t="shared" si="84"/>
        <v>2025</v>
      </c>
      <c r="AV756" s="9" t="b">
        <f t="shared" si="85"/>
        <v>0</v>
      </c>
      <c r="AW756" s="9" t="b">
        <f t="shared" si="86"/>
        <v>0</v>
      </c>
      <c r="AX756" s="9" t="str">
        <f t="shared" si="87"/>
        <v>Yes</v>
      </c>
      <c r="AY756" s="9" t="str">
        <f t="shared" si="95"/>
        <v/>
      </c>
      <c r="AZ756" s="9" t="str">
        <f>IF(OR(G756="Missing date",G756="Invalid date",G756="Ship date before order date",NOT(ISNUMBER(AP756)),AP756&lt;0,AP756&gt;0.5,AV756=TRUE,AW756=TRUE),"Invalid",IF(OR(O756="Unknown",Z756="Unknown",AC756="",AH756&lt;&gt;"Paid",AJ756&lt;&gt;"Completed",AO756&lt;&gt;""),"Warning","Clean"))</f>
        <v>Clean</v>
      </c>
    </row>
    <row r="757" spans="1:52" ht="15.75" customHeight="1">
      <c r="A757" s="6" t="s">
        <v>3601</v>
      </c>
      <c r="B757" s="7" t="s">
        <v>1177</v>
      </c>
      <c r="C757" s="7" t="str">
        <f t="shared" si="94"/>
        <v>2025-07</v>
      </c>
      <c r="D757" s="7" cm="1">
        <f t="array" ref="D757">_xlfn.LET(_xlpm.x,B757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45858</v>
      </c>
      <c r="E757" s="7" t="s">
        <v>1816</v>
      </c>
      <c r="F757" s="7" cm="1">
        <f t="array" ref="F757">_xlfn.LET(_xlpm.x,E757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45862</v>
      </c>
      <c r="G757" s="8" t="str">
        <f t="shared" si="64"/>
        <v>OK</v>
      </c>
      <c r="H757" s="6">
        <f t="shared" si="65"/>
        <v>4</v>
      </c>
      <c r="I757" s="6" t="s">
        <v>3602</v>
      </c>
      <c r="J757" s="6" t="s">
        <v>220</v>
      </c>
      <c r="K757" s="6" t="str">
        <f t="shared" si="66"/>
        <v>Priya Menon</v>
      </c>
      <c r="L757" s="6" t="s">
        <v>44</v>
      </c>
      <c r="M757" s="8" t="str">
        <f t="shared" si="67"/>
        <v>Home Office</v>
      </c>
      <c r="N757" s="6" t="s">
        <v>9</v>
      </c>
      <c r="O757" s="6" t="str">
        <f t="shared" si="68"/>
        <v>West</v>
      </c>
      <c r="P757" s="6" t="s">
        <v>170</v>
      </c>
      <c r="Q757" s="6" t="str">
        <f t="shared" si="69"/>
        <v>Madhya Pradesh</v>
      </c>
      <c r="R757" s="6" t="s">
        <v>171</v>
      </c>
      <c r="S757" s="6" t="str">
        <f t="shared" si="70"/>
        <v>Indore</v>
      </c>
      <c r="T757" s="6" t="s">
        <v>20</v>
      </c>
      <c r="U757" s="8" t="str">
        <f t="shared" si="71"/>
        <v>Office Supplies</v>
      </c>
      <c r="V757" s="6" t="s">
        <v>25</v>
      </c>
      <c r="W757" s="6" t="str">
        <f t="shared" si="72"/>
        <v>Storage</v>
      </c>
      <c r="X757" s="6" t="s">
        <v>3603</v>
      </c>
      <c r="Y757" s="6" t="s">
        <v>36</v>
      </c>
      <c r="Z757" s="6" t="str">
        <f t="shared" si="73"/>
        <v>Second Class</v>
      </c>
      <c r="AA757" s="6">
        <v>5</v>
      </c>
      <c r="AB757" s="6">
        <v>2481.7399999999998</v>
      </c>
      <c r="AC757" s="6">
        <v>0.2</v>
      </c>
      <c r="AD757" s="6">
        <v>9926.9599999999991</v>
      </c>
      <c r="AE757" s="6">
        <v>7994.98</v>
      </c>
      <c r="AF757" s="6">
        <v>1931.98</v>
      </c>
      <c r="AG757" s="6" t="s">
        <v>52</v>
      </c>
      <c r="AH757" s="6" t="str">
        <f t="shared" si="74"/>
        <v>Paid</v>
      </c>
      <c r="AI757" s="6" t="s">
        <v>134</v>
      </c>
      <c r="AJ757" s="6" t="str">
        <f t="shared" si="75"/>
        <v>Completed</v>
      </c>
      <c r="AK757" s="9" t="str">
        <f>_xlfn.TEXTJOIN("|",FALSE,A757,TEXT(B757,"mm-dd-yyyy"),TEXT(E757,"mm-dd-yyyy"),I757,J757,L757,N757,P757,R757,T757,V757,X757,Y757,AA757,AB757,AC757,AD757,AE757,AF757,AG757,AI757)</f>
        <v>ORD-2025-10756|20-07-2025|24-07-2025|CUST-3365|Priya Menon|Home Office|West|Madhya Pradesh|Indore|Office Supplies|Storage|Prime Storage 183|Second Class|5|2481.74|0.2|9926.96|7994.98|1931.98|Paid|Completed</v>
      </c>
      <c r="AL757" s="27" t="str">
        <f>IF(COUNTIF($AK$2:AK757,AK757)&gt;1,"Remove exact duplicate copy","Keep")</f>
        <v>Keep</v>
      </c>
      <c r="AM757" s="9">
        <f t="shared" si="76"/>
        <v>1</v>
      </c>
      <c r="AN757" s="9" t="str">
        <f t="shared" si="77"/>
        <v>Unique</v>
      </c>
      <c r="AO757" s="9" t="str">
        <f t="shared" si="78"/>
        <v/>
      </c>
      <c r="AP757" s="9">
        <f t="shared" si="79"/>
        <v>0.2</v>
      </c>
      <c r="AQ757" s="10">
        <f t="shared" si="80"/>
        <v>9926.9599999999991</v>
      </c>
      <c r="AR757" s="10">
        <f t="shared" si="81"/>
        <v>1931.9799999999996</v>
      </c>
      <c r="AS757" s="11">
        <f t="shared" si="82"/>
        <v>0.19461950083409219</v>
      </c>
      <c r="AT757" s="9">
        <f t="shared" si="83"/>
        <v>7</v>
      </c>
      <c r="AU757" s="9">
        <f t="shared" si="84"/>
        <v>2025</v>
      </c>
      <c r="AV757" s="9" t="b">
        <f t="shared" si="85"/>
        <v>0</v>
      </c>
      <c r="AW757" s="9" t="b">
        <f t="shared" si="86"/>
        <v>0</v>
      </c>
      <c r="AX757" s="9" t="str">
        <f t="shared" si="87"/>
        <v>Yes</v>
      </c>
      <c r="AY757" s="9" t="str">
        <f t="shared" si="95"/>
        <v/>
      </c>
      <c r="AZ757" s="9" t="str">
        <f>IF(OR(G757="Missing date",G757="Invalid date",G757="Ship date before order date",NOT(ISNUMBER(AP757)),AP757&lt;0,AP757&gt;0.5,AV757=TRUE,AW757=TRUE),"Invalid",IF(OR(O757="Unknown",Z757="Unknown",AC757="",AH757&lt;&gt;"Paid",AJ757&lt;&gt;"Completed",AO757&lt;&gt;""),"Warning","Clean"))</f>
        <v>Clean</v>
      </c>
    </row>
    <row r="758" spans="1:52" ht="15.75" customHeight="1">
      <c r="A758" s="6" t="s">
        <v>3604</v>
      </c>
      <c r="B758" s="7" t="s">
        <v>3605</v>
      </c>
      <c r="C758" s="7" t="str">
        <f t="shared" si="94"/>
        <v>2024-10</v>
      </c>
      <c r="D758" s="7" cm="1">
        <f t="array" ref="D758">_xlfn.LET(_xlpm.x,B758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45592</v>
      </c>
      <c r="E758" s="7" t="s">
        <v>3606</v>
      </c>
      <c r="F758" s="7" cm="1">
        <f t="array" ref="F758">_xlfn.LET(_xlpm.x,E758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45597</v>
      </c>
      <c r="G758" s="8" t="str">
        <f t="shared" si="64"/>
        <v>OK</v>
      </c>
      <c r="H758" s="6">
        <f t="shared" si="65"/>
        <v>5</v>
      </c>
      <c r="I758" s="6" t="s">
        <v>3607</v>
      </c>
      <c r="J758" s="6" t="s">
        <v>257</v>
      </c>
      <c r="K758" s="6" t="str">
        <f t="shared" si="66"/>
        <v>Rohan Mehta</v>
      </c>
      <c r="L758" s="6" t="s">
        <v>43</v>
      </c>
      <c r="M758" s="8" t="str">
        <f t="shared" si="67"/>
        <v>Consumer</v>
      </c>
      <c r="N758" s="6" t="s">
        <v>7</v>
      </c>
      <c r="O758" s="6" t="str">
        <f t="shared" si="68"/>
        <v>North</v>
      </c>
      <c r="P758" s="6" t="s">
        <v>131</v>
      </c>
      <c r="Q758" s="6" t="str">
        <f t="shared" si="69"/>
        <v>Rajasthan</v>
      </c>
      <c r="R758" s="6" t="s">
        <v>132</v>
      </c>
      <c r="S758" s="6" t="str">
        <f t="shared" si="70"/>
        <v>Jaipur</v>
      </c>
      <c r="T758" s="6" t="s">
        <v>27</v>
      </c>
      <c r="U758" s="8" t="str">
        <f t="shared" si="71"/>
        <v>Technology</v>
      </c>
      <c r="V758" s="6" t="s">
        <v>28</v>
      </c>
      <c r="W758" s="6" t="str">
        <f t="shared" si="72"/>
        <v>Accessories</v>
      </c>
      <c r="X758" s="6" t="s">
        <v>3608</v>
      </c>
      <c r="Y758" s="6" t="s">
        <v>37</v>
      </c>
      <c r="Z758" s="6" t="str">
        <f t="shared" si="73"/>
        <v>Same Day</v>
      </c>
      <c r="AA758" s="6">
        <v>7</v>
      </c>
      <c r="AB758" s="6">
        <v>2177.1</v>
      </c>
      <c r="AC758" s="6">
        <v>0.2</v>
      </c>
      <c r="AD758" s="6">
        <v>12191.76</v>
      </c>
      <c r="AE758" s="6">
        <v>10457.49</v>
      </c>
      <c r="AF758" s="6">
        <v>1734.27</v>
      </c>
      <c r="AG758" s="6" t="s">
        <v>52</v>
      </c>
      <c r="AH758" s="6" t="str">
        <f t="shared" si="74"/>
        <v>Paid</v>
      </c>
      <c r="AI758" s="6" t="s">
        <v>59</v>
      </c>
      <c r="AJ758" s="6" t="str">
        <f t="shared" si="75"/>
        <v>Returned</v>
      </c>
      <c r="AK758" s="9" t="str">
        <f>_xlfn.TEXTJOIN("|",FALSE,A758,TEXT(B758,"mm-dd-yyyy"),TEXT(E758,"mm-dd-yyyy"),I758,J758,L758,N758,P758,R758,T758,V758,X758,Y758,AA758,AB758,AC758,AD758,AE758,AF758,AG758,AI758)</f>
        <v>ORD-2024-10757|10-27-2024|11-01-2024|CUST-1557|Rohan Mehta|Consumer|North|Rajasthan|Jaipur|Technology|Accessories|Smart Accessories 362|Same Day|7|2177.1|0.2|12191.76|10457.49|1734.27|Paid|Returned</v>
      </c>
      <c r="AL758" s="27" t="str">
        <f>IF(COUNTIF($AK$2:AK758,AK758)&gt;1,"Remove exact duplicate copy","Keep")</f>
        <v>Keep</v>
      </c>
      <c r="AM758" s="9">
        <f t="shared" si="76"/>
        <v>1</v>
      </c>
      <c r="AN758" s="9" t="str">
        <f t="shared" si="77"/>
        <v>Unique</v>
      </c>
      <c r="AO758" s="9" t="str">
        <f t="shared" si="78"/>
        <v/>
      </c>
      <c r="AP758" s="9">
        <f t="shared" si="79"/>
        <v>0.2</v>
      </c>
      <c r="AQ758" s="10">
        <f t="shared" si="80"/>
        <v>12191.76</v>
      </c>
      <c r="AR758" s="10">
        <f t="shared" si="81"/>
        <v>1734.2700000000004</v>
      </c>
      <c r="AS758" s="11">
        <f t="shared" si="82"/>
        <v>0.14224935530226976</v>
      </c>
      <c r="AT758" s="9">
        <f t="shared" si="83"/>
        <v>10</v>
      </c>
      <c r="AU758" s="9">
        <f t="shared" si="84"/>
        <v>2024</v>
      </c>
      <c r="AV758" s="9" t="b">
        <f t="shared" si="85"/>
        <v>0</v>
      </c>
      <c r="AW758" s="9" t="b">
        <f t="shared" si="86"/>
        <v>0</v>
      </c>
      <c r="AX758" s="9" t="str">
        <f t="shared" si="87"/>
        <v>No</v>
      </c>
      <c r="AY758" s="9" t="str">
        <f t="shared" si="95"/>
        <v>Returned order excluded</v>
      </c>
      <c r="AZ758" s="9" t="str">
        <f>IF(OR(G758="Missing date",G758="Invalid date",G758="Ship date before order date",NOT(ISNUMBER(AP758)),AP758&lt;0,AP758&gt;0.5,AV758=TRUE,AW758=TRUE),"Invalid",IF(OR(O758="Unknown",Z758="Unknown",AC758="",AH758&lt;&gt;"Paid",AJ758&lt;&gt;"Completed",AO758&lt;&gt;""),"Warning","Clean"))</f>
        <v>Warning</v>
      </c>
    </row>
    <row r="759" spans="1:52" ht="15.75" customHeight="1">
      <c r="A759" s="6" t="s">
        <v>3609</v>
      </c>
      <c r="B759" s="7" t="s">
        <v>3610</v>
      </c>
      <c r="C759" s="7" t="str">
        <f t="shared" si="94"/>
        <v>2025-08</v>
      </c>
      <c r="D759" s="7" cm="1">
        <f t="array" ref="D759">_xlfn.LET(_xlpm.x,B759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45870</v>
      </c>
      <c r="E759" s="7" t="s">
        <v>3611</v>
      </c>
      <c r="F759" s="7" cm="1">
        <f t="array" ref="F759">_xlfn.LET(_xlpm.x,E759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45872</v>
      </c>
      <c r="G759" s="8" t="str">
        <f t="shared" si="64"/>
        <v>OK</v>
      </c>
      <c r="H759" s="6">
        <f t="shared" si="65"/>
        <v>2</v>
      </c>
      <c r="I759" s="6" t="s">
        <v>3612</v>
      </c>
      <c r="J759" s="6" t="s">
        <v>190</v>
      </c>
      <c r="K759" s="6" t="str">
        <f t="shared" si="66"/>
        <v>Aditi Sen</v>
      </c>
      <c r="L759" s="6" t="s">
        <v>46</v>
      </c>
      <c r="M759" s="8" t="str">
        <f t="shared" si="67"/>
        <v>Small Business</v>
      </c>
      <c r="N759" s="6" t="s">
        <v>10</v>
      </c>
      <c r="O759" s="6" t="str">
        <f t="shared" si="68"/>
        <v>South</v>
      </c>
      <c r="P759" s="6" t="s">
        <v>316</v>
      </c>
      <c r="Q759" s="6" t="str">
        <f t="shared" si="69"/>
        <v>Kerala</v>
      </c>
      <c r="R759" s="6" t="s">
        <v>317</v>
      </c>
      <c r="S759" s="6" t="str">
        <f t="shared" si="70"/>
        <v>Kochi</v>
      </c>
      <c r="T759" s="6" t="s">
        <v>14</v>
      </c>
      <c r="U759" s="8" t="str">
        <f t="shared" si="71"/>
        <v>Furniture</v>
      </c>
      <c r="V759" s="6" t="s">
        <v>15</v>
      </c>
      <c r="W759" s="6" t="str">
        <f t="shared" si="72"/>
        <v>Bookcases</v>
      </c>
      <c r="X759" s="6" t="s">
        <v>3613</v>
      </c>
      <c r="Y759" s="6" t="s">
        <v>34</v>
      </c>
      <c r="Z759" s="6" t="str">
        <f t="shared" si="73"/>
        <v>Standard Class</v>
      </c>
      <c r="AA759" s="6">
        <v>3</v>
      </c>
      <c r="AB759" s="6">
        <v>1904.78</v>
      </c>
      <c r="AC759" s="6">
        <v>0.25</v>
      </c>
      <c r="AD759" s="6">
        <v>4285.76</v>
      </c>
      <c r="AE759" s="6">
        <v>2386.33</v>
      </c>
      <c r="AF759" s="6">
        <v>1899.43</v>
      </c>
      <c r="AG759" s="6" t="s">
        <v>50</v>
      </c>
      <c r="AH759" s="6" t="str">
        <f t="shared" si="74"/>
        <v>Failed</v>
      </c>
      <c r="AI759" s="6" t="s">
        <v>58</v>
      </c>
      <c r="AJ759" s="6" t="str">
        <f t="shared" si="75"/>
        <v>Cancelled</v>
      </c>
      <c r="AK759" s="9" t="str">
        <f>_xlfn.TEXTJOIN("|",FALSE,A759,TEXT(B759,"mm-dd-yyyy"),TEXT(E759,"mm-dd-yyyy"),I759,J759,L759,N759,P759,R759,T759,V759,X759,Y759,AA759,AB759,AC759,AD759,AE759,AF759,AG759,AI759)</f>
        <v>ORD-2025-10758|08-01-2025|08-03-2025|CUST-3058|Aditi Sen|Small Business|South|Kerala|Kochi|Furniture|Bookcases|Classic Bookcases 310|Standard Class|3|1904.78|0.25|4285.76|2386.33|1899.43|Failed|Cancelled</v>
      </c>
      <c r="AL759" s="27" t="str">
        <f>IF(COUNTIF($AK$2:AK759,AK759)&gt;1,"Remove exact duplicate copy","Keep")</f>
        <v>Keep</v>
      </c>
      <c r="AM759" s="9">
        <f t="shared" si="76"/>
        <v>1</v>
      </c>
      <c r="AN759" s="9" t="str">
        <f t="shared" si="77"/>
        <v>Unique</v>
      </c>
      <c r="AO759" s="9" t="str">
        <f t="shared" si="78"/>
        <v/>
      </c>
      <c r="AP759" s="9">
        <f t="shared" si="79"/>
        <v>0.25</v>
      </c>
      <c r="AQ759" s="10">
        <f t="shared" si="80"/>
        <v>4285.7550000000001</v>
      </c>
      <c r="AR759" s="10">
        <f t="shared" si="81"/>
        <v>1899.4250000000002</v>
      </c>
      <c r="AS759" s="11">
        <f t="shared" si="82"/>
        <v>0.44319495631458172</v>
      </c>
      <c r="AT759" s="9">
        <f t="shared" si="83"/>
        <v>8</v>
      </c>
      <c r="AU759" s="9">
        <f t="shared" si="84"/>
        <v>2025</v>
      </c>
      <c r="AV759" s="9" t="b">
        <f t="shared" si="85"/>
        <v>0</v>
      </c>
      <c r="AW759" s="9" t="b">
        <f t="shared" si="86"/>
        <v>0</v>
      </c>
      <c r="AX759" s="9" t="str">
        <f t="shared" si="87"/>
        <v>No</v>
      </c>
      <c r="AY759" s="9" t="str">
        <f t="shared" si="95"/>
        <v>Failed payment excluded; Cancelled order excluded</v>
      </c>
      <c r="AZ759" s="9" t="str">
        <f>IF(OR(G759="Missing date",G759="Invalid date",G759="Ship date before order date",NOT(ISNUMBER(AP759)),AP759&lt;0,AP759&gt;0.5,AV759=TRUE,AW759=TRUE),"Invalid",IF(OR(O759="Unknown",Z759="Unknown",AC759="",AH759&lt;&gt;"Paid",AJ759&lt;&gt;"Completed",AO759&lt;&gt;""),"Warning","Clean"))</f>
        <v>Warning</v>
      </c>
    </row>
    <row r="760" spans="1:52" ht="15.75" customHeight="1">
      <c r="A760" s="6" t="s">
        <v>3614</v>
      </c>
      <c r="B760" s="7" t="s">
        <v>3615</v>
      </c>
      <c r="C760" s="7" t="str">
        <f t="shared" si="94"/>
        <v>2024-05</v>
      </c>
      <c r="D760" s="7" cm="1">
        <f t="array" ref="D760">_xlfn.LET(_xlpm.x,B760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45414</v>
      </c>
      <c r="E760" s="7" t="s">
        <v>2797</v>
      </c>
      <c r="F760" s="7" cm="1">
        <f t="array" ref="F760">_xlfn.LET(_xlpm.x,E760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45422</v>
      </c>
      <c r="G760" s="8" t="str">
        <f t="shared" si="64"/>
        <v>OK</v>
      </c>
      <c r="H760" s="6">
        <f t="shared" si="65"/>
        <v>8</v>
      </c>
      <c r="I760" s="6" t="s">
        <v>3616</v>
      </c>
      <c r="J760" s="6" t="s">
        <v>239</v>
      </c>
      <c r="K760" s="6" t="str">
        <f t="shared" si="66"/>
        <v>Aarav Sharma</v>
      </c>
      <c r="L760" s="6" t="s">
        <v>46</v>
      </c>
      <c r="M760" s="8" t="str">
        <f t="shared" si="67"/>
        <v>Small Business</v>
      </c>
      <c r="N760" s="6" t="s">
        <v>10</v>
      </c>
      <c r="O760" s="6" t="str">
        <f t="shared" si="68"/>
        <v>South</v>
      </c>
      <c r="P760" s="6" t="s">
        <v>303</v>
      </c>
      <c r="Q760" s="6" t="str">
        <f t="shared" si="69"/>
        <v>Karnataka</v>
      </c>
      <c r="R760" s="6" t="s">
        <v>304</v>
      </c>
      <c r="S760" s="6" t="str">
        <f t="shared" si="70"/>
        <v>Bengaluru</v>
      </c>
      <c r="T760" s="6" t="s">
        <v>14</v>
      </c>
      <c r="U760" s="8" t="str">
        <f t="shared" si="71"/>
        <v>Furniture</v>
      </c>
      <c r="V760" s="6" t="s">
        <v>16</v>
      </c>
      <c r="W760" s="6" t="str">
        <f t="shared" si="72"/>
        <v>Chairs</v>
      </c>
      <c r="X760" s="6" t="s">
        <v>3617</v>
      </c>
      <c r="Y760" s="6" t="s">
        <v>34</v>
      </c>
      <c r="Z760" s="6" t="str">
        <f t="shared" si="73"/>
        <v>Standard Class</v>
      </c>
      <c r="AA760" s="6">
        <v>1</v>
      </c>
      <c r="AB760" s="6">
        <v>4166.91</v>
      </c>
      <c r="AC760" s="6">
        <v>0</v>
      </c>
      <c r="AD760" s="6">
        <v>4166.91</v>
      </c>
      <c r="AE760" s="6">
        <v>3412.63</v>
      </c>
      <c r="AF760" s="6">
        <v>754.28</v>
      </c>
      <c r="AG760" s="6" t="s">
        <v>52</v>
      </c>
      <c r="AH760" s="6" t="str">
        <f t="shared" si="74"/>
        <v>Paid</v>
      </c>
      <c r="AI760" s="6" t="s">
        <v>134</v>
      </c>
      <c r="AJ760" s="6" t="str">
        <f t="shared" si="75"/>
        <v>Completed</v>
      </c>
      <c r="AK760" s="9" t="str">
        <f>_xlfn.TEXTJOIN("|",FALSE,A760,TEXT(B760,"mm-dd-yyyy"),TEXT(E760,"mm-dd-yyyy"),I760,J760,L760,N760,P760,R760,T760,V760,X760,Y760,AA760,AB760,AC760,AD760,AE760,AF760,AG760,AI760)</f>
        <v>ORD-2024-10759|05-02-2024|05-10-2024|CUST-6076|Aarav Sharma|Small Business|South|Karnataka|Bengaluru|Furniture|Chairs|Prime Chairs 721|Standard Class|1|4166.91|0|4166.91|3412.63|754.28|Paid|Completed</v>
      </c>
      <c r="AL760" s="27" t="str">
        <f>IF(COUNTIF($AK$2:AK760,AK760)&gt;1,"Remove exact duplicate copy","Keep")</f>
        <v>Keep</v>
      </c>
      <c r="AM760" s="9">
        <f t="shared" si="76"/>
        <v>1</v>
      </c>
      <c r="AN760" s="9" t="str">
        <f t="shared" si="77"/>
        <v>Unique</v>
      </c>
      <c r="AO760" s="9" t="str">
        <f t="shared" si="78"/>
        <v/>
      </c>
      <c r="AP760" s="9">
        <f t="shared" si="79"/>
        <v>0</v>
      </c>
      <c r="AQ760" s="10">
        <f t="shared" si="80"/>
        <v>4166.91</v>
      </c>
      <c r="AR760" s="10">
        <f t="shared" si="81"/>
        <v>754.27999999999975</v>
      </c>
      <c r="AS760" s="11">
        <f t="shared" si="82"/>
        <v>0.18101662862888801</v>
      </c>
      <c r="AT760" s="9">
        <f t="shared" si="83"/>
        <v>5</v>
      </c>
      <c r="AU760" s="9">
        <f t="shared" si="84"/>
        <v>2024</v>
      </c>
      <c r="AV760" s="9" t="b">
        <f t="shared" si="85"/>
        <v>0</v>
      </c>
      <c r="AW760" s="9" t="b">
        <f t="shared" si="86"/>
        <v>0</v>
      </c>
      <c r="AX760" s="9" t="str">
        <f t="shared" si="87"/>
        <v>Yes</v>
      </c>
      <c r="AY760" s="9" t="str">
        <f t="shared" si="95"/>
        <v/>
      </c>
      <c r="AZ760" s="9" t="str">
        <f>IF(OR(G760="Missing date",G760="Invalid date",G760="Ship date before order date",NOT(ISNUMBER(AP760)),AP760&lt;0,AP760&gt;0.5,AV760=TRUE,AW760=TRUE),"Invalid",IF(OR(O760="Unknown",Z760="Unknown",AC760="",AH760&lt;&gt;"Paid",AJ760&lt;&gt;"Completed",AO760&lt;&gt;""),"Warning","Clean"))</f>
        <v>Clean</v>
      </c>
    </row>
    <row r="761" spans="1:52" ht="15.75" customHeight="1">
      <c r="A761" s="6" t="s">
        <v>3618</v>
      </c>
      <c r="B761" s="7" t="s">
        <v>481</v>
      </c>
      <c r="C761" s="7" t="str">
        <f t="shared" si="94"/>
        <v>2024-07</v>
      </c>
      <c r="D761" s="7" cm="1">
        <f t="array" ref="D761">_xlfn.LET(_xlpm.x,B761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45492</v>
      </c>
      <c r="E761" s="7" t="s">
        <v>3619</v>
      </c>
      <c r="F761" s="7" cm="1">
        <f t="array" ref="F761">_xlfn.LET(_xlpm.x,E761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45499</v>
      </c>
      <c r="G761" s="8" t="str">
        <f t="shared" si="64"/>
        <v>OK</v>
      </c>
      <c r="H761" s="6">
        <f t="shared" si="65"/>
        <v>7</v>
      </c>
      <c r="I761" s="6" t="s">
        <v>3620</v>
      </c>
      <c r="J761" s="6" t="s">
        <v>153</v>
      </c>
      <c r="K761" s="6" t="str">
        <f t="shared" si="66"/>
        <v>Arjun Bose</v>
      </c>
      <c r="L761" s="6" t="s">
        <v>44</v>
      </c>
      <c r="M761" s="8" t="str">
        <f t="shared" si="67"/>
        <v>Home Office</v>
      </c>
      <c r="N761" s="6" t="s">
        <v>3621</v>
      </c>
      <c r="O761" s="6" t="str">
        <f t="shared" si="68"/>
        <v>South</v>
      </c>
      <c r="P761" s="6" t="s">
        <v>303</v>
      </c>
      <c r="Q761" s="6" t="str">
        <f t="shared" si="69"/>
        <v>Karnataka</v>
      </c>
      <c r="R761" s="6" t="s">
        <v>304</v>
      </c>
      <c r="S761" s="6" t="str">
        <f t="shared" si="70"/>
        <v>Bengaluru</v>
      </c>
      <c r="T761" s="6" t="s">
        <v>14</v>
      </c>
      <c r="U761" s="8" t="str">
        <f t="shared" si="71"/>
        <v>Furniture</v>
      </c>
      <c r="V761" s="6" t="s">
        <v>18</v>
      </c>
      <c r="W761" s="6" t="str">
        <f t="shared" si="72"/>
        <v>Tables</v>
      </c>
      <c r="X761" s="6" t="s">
        <v>3622</v>
      </c>
      <c r="Y761" s="6" t="s">
        <v>36</v>
      </c>
      <c r="Z761" s="6" t="str">
        <f t="shared" si="73"/>
        <v>Second Class</v>
      </c>
      <c r="AA761" s="6">
        <v>5</v>
      </c>
      <c r="AB761" s="6">
        <v>3986.01</v>
      </c>
      <c r="AC761" s="6">
        <v>0.25</v>
      </c>
      <c r="AD761" s="6">
        <v>14947.54</v>
      </c>
      <c r="AE761" s="6">
        <v>9438.4599999999991</v>
      </c>
      <c r="AF761" s="6">
        <v>5509.08</v>
      </c>
      <c r="AG761" s="6" t="s">
        <v>52</v>
      </c>
      <c r="AH761" s="6" t="str">
        <f t="shared" si="74"/>
        <v>Paid</v>
      </c>
      <c r="AI761" s="6" t="s">
        <v>134</v>
      </c>
      <c r="AJ761" s="6" t="str">
        <f t="shared" si="75"/>
        <v>Completed</v>
      </c>
      <c r="AK761" s="9" t="str">
        <f>_xlfn.TEXTJOIN("|",FALSE,A761,TEXT(B761,"mm-dd-yyyy"),TEXT(E761,"mm-dd-yyyy"),I761,J761,L761,N761,P761,R761,T761,V761,X761,Y761,AA761,AB761,AC761,AD761,AE761,AF761,AG761,AI761)</f>
        <v>ORD-2024-10760|07-19-2024|26-07-2024|CUST-2098|Arjun Bose|Home Office|  South |Karnataka|Bengaluru|Furniture|Tables|Prime Tables 797|Second Class|5|3986.01|0.25|14947.54|9438.46|5509.08|Paid|Completed</v>
      </c>
      <c r="AL761" s="27" t="str">
        <f>IF(COUNTIF($AK$2:AK761,AK761)&gt;1,"Remove exact duplicate copy","Keep")</f>
        <v>Keep</v>
      </c>
      <c r="AM761" s="9">
        <f t="shared" si="76"/>
        <v>1</v>
      </c>
      <c r="AN761" s="9" t="str">
        <f t="shared" si="77"/>
        <v>Unique</v>
      </c>
      <c r="AO761" s="9" t="str">
        <f t="shared" si="78"/>
        <v/>
      </c>
      <c r="AP761" s="9">
        <f t="shared" si="79"/>
        <v>0.25</v>
      </c>
      <c r="AQ761" s="10">
        <f t="shared" si="80"/>
        <v>14947.537500000002</v>
      </c>
      <c r="AR761" s="10">
        <f t="shared" si="81"/>
        <v>5509.0775000000031</v>
      </c>
      <c r="AS761" s="11">
        <f t="shared" si="82"/>
        <v>0.36856087499362367</v>
      </c>
      <c r="AT761" s="9">
        <f t="shared" si="83"/>
        <v>7</v>
      </c>
      <c r="AU761" s="9">
        <f t="shared" si="84"/>
        <v>2024</v>
      </c>
      <c r="AV761" s="9" t="b">
        <f t="shared" si="85"/>
        <v>0</v>
      </c>
      <c r="AW761" s="9" t="b">
        <f t="shared" si="86"/>
        <v>0</v>
      </c>
      <c r="AX761" s="9" t="str">
        <f t="shared" si="87"/>
        <v>Yes</v>
      </c>
      <c r="AY761" s="9" t="str">
        <f t="shared" si="95"/>
        <v/>
      </c>
      <c r="AZ761" s="9" t="str">
        <f>IF(OR(G761="Missing date",G761="Invalid date",G761="Ship date before order date",NOT(ISNUMBER(AP761)),AP761&lt;0,AP761&gt;0.5,AV761=TRUE,AW761=TRUE),"Invalid",IF(OR(O761="Unknown",Z761="Unknown",AC761="",AH761&lt;&gt;"Paid",AJ761&lt;&gt;"Completed",AO761&lt;&gt;""),"Warning","Clean"))</f>
        <v>Clean</v>
      </c>
    </row>
    <row r="762" spans="1:52" ht="15.75" customHeight="1">
      <c r="A762" s="6" t="s">
        <v>3623</v>
      </c>
      <c r="B762" s="7" t="s">
        <v>3624</v>
      </c>
      <c r="C762" s="7" t="str">
        <f t="shared" si="94"/>
        <v>2024-08</v>
      </c>
      <c r="D762" s="7" cm="1">
        <f t="array" ref="D762">_xlfn.LET(_xlpm.x,B762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45532</v>
      </c>
      <c r="E762" s="7" t="s">
        <v>1280</v>
      </c>
      <c r="F762" s="7" cm="1">
        <f t="array" ref="F762">_xlfn.LET(_xlpm.x,E762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45537</v>
      </c>
      <c r="G762" s="8" t="str">
        <f t="shared" si="64"/>
        <v>OK</v>
      </c>
      <c r="H762" s="6">
        <f t="shared" si="65"/>
        <v>5</v>
      </c>
      <c r="I762" s="6" t="s">
        <v>3625</v>
      </c>
      <c r="J762" s="6" t="s">
        <v>190</v>
      </c>
      <c r="K762" s="6" t="str">
        <f t="shared" si="66"/>
        <v>Aditi Sen</v>
      </c>
      <c r="L762" s="6" t="s">
        <v>44</v>
      </c>
      <c r="M762" s="8" t="str">
        <f t="shared" si="67"/>
        <v>Home Office</v>
      </c>
      <c r="N762" s="6" t="s">
        <v>8</v>
      </c>
      <c r="O762" s="6" t="str">
        <f t="shared" si="68"/>
        <v>East</v>
      </c>
      <c r="P762" s="6" t="s">
        <v>290</v>
      </c>
      <c r="Q762" s="6" t="str">
        <f t="shared" si="69"/>
        <v>Assam</v>
      </c>
      <c r="R762" s="6" t="s">
        <v>291</v>
      </c>
      <c r="S762" s="6" t="str">
        <f t="shared" si="70"/>
        <v>Guwahati</v>
      </c>
      <c r="T762" s="6" t="s">
        <v>20</v>
      </c>
      <c r="U762" s="8" t="str">
        <f t="shared" si="71"/>
        <v>Office Supplies</v>
      </c>
      <c r="V762" s="6" t="s">
        <v>21</v>
      </c>
      <c r="W762" s="6" t="str">
        <f t="shared" si="72"/>
        <v>Art</v>
      </c>
      <c r="X762" s="6" t="s">
        <v>3626</v>
      </c>
      <c r="Y762" s="6" t="s">
        <v>36</v>
      </c>
      <c r="Z762" s="6" t="str">
        <f t="shared" si="73"/>
        <v>Second Class</v>
      </c>
      <c r="AA762" s="6">
        <v>4</v>
      </c>
      <c r="AB762" s="6">
        <v>3365.53</v>
      </c>
      <c r="AC762" s="6">
        <v>0</v>
      </c>
      <c r="AD762" s="6">
        <v>13462.12</v>
      </c>
      <c r="AE762" s="6">
        <v>7600.63</v>
      </c>
      <c r="AF762" s="6">
        <v>5861.49</v>
      </c>
      <c r="AG762" s="6" t="s">
        <v>54</v>
      </c>
      <c r="AH762" s="6" t="str">
        <f t="shared" si="74"/>
        <v>Pending</v>
      </c>
      <c r="AI762" s="6" t="s">
        <v>59</v>
      </c>
      <c r="AJ762" s="6" t="str">
        <f t="shared" si="75"/>
        <v>Returned</v>
      </c>
      <c r="AK762" s="9" t="str">
        <f>_xlfn.TEXTJOIN("|",FALSE,A762,TEXT(B762,"mm-dd-yyyy"),TEXT(E762,"mm-dd-yyyy"),I762,J762,L762,N762,P762,R762,T762,V762,X762,Y762,AA762,AB762,AC762,AD762,AE762,AF762,AG762,AI762)</f>
        <v>ORD-2024-10761|28-08-2024|09-02-2024|CUST-7193|Aditi Sen|Home Office|East|Assam|Guwahati|Office Supplies|Art|Max Art 926|Second Class|4|3365.53|0|13462.12|7600.63|5861.49|Pending|Returned</v>
      </c>
      <c r="AL762" s="27" t="str">
        <f>IF(COUNTIF($AK$2:AK762,AK762)&gt;1,"Remove exact duplicate copy","Keep")</f>
        <v>Keep</v>
      </c>
      <c r="AM762" s="9">
        <f t="shared" si="76"/>
        <v>1</v>
      </c>
      <c r="AN762" s="9" t="str">
        <f t="shared" si="77"/>
        <v>Unique</v>
      </c>
      <c r="AO762" s="9" t="str">
        <f t="shared" si="78"/>
        <v/>
      </c>
      <c r="AP762" s="9">
        <f t="shared" si="79"/>
        <v>0</v>
      </c>
      <c r="AQ762" s="10">
        <f t="shared" si="80"/>
        <v>13462.12</v>
      </c>
      <c r="AR762" s="10">
        <f t="shared" si="81"/>
        <v>5861.4900000000007</v>
      </c>
      <c r="AS762" s="11">
        <f t="shared" si="82"/>
        <v>0.43540616188237813</v>
      </c>
      <c r="AT762" s="9">
        <f t="shared" si="83"/>
        <v>8</v>
      </c>
      <c r="AU762" s="9">
        <f t="shared" si="84"/>
        <v>2024</v>
      </c>
      <c r="AV762" s="9" t="b">
        <f t="shared" si="85"/>
        <v>0</v>
      </c>
      <c r="AW762" s="9" t="b">
        <f t="shared" si="86"/>
        <v>0</v>
      </c>
      <c r="AX762" s="9" t="str">
        <f t="shared" si="87"/>
        <v>No</v>
      </c>
      <c r="AY762" s="9" t="str">
        <f t="shared" si="95"/>
        <v>Returned order excluded</v>
      </c>
      <c r="AZ762" s="9" t="str">
        <f>IF(OR(G762="Missing date",G762="Invalid date",G762="Ship date before order date",NOT(ISNUMBER(AP762)),AP762&lt;0,AP762&gt;0.5,AV762=TRUE,AW762=TRUE),"Invalid",IF(OR(O762="Unknown",Z762="Unknown",AC762="",AH762&lt;&gt;"Paid",AJ762&lt;&gt;"Completed",AO762&lt;&gt;""),"Warning","Clean"))</f>
        <v>Warning</v>
      </c>
    </row>
    <row r="763" spans="1:52" ht="15.75" customHeight="1">
      <c r="A763" s="6" t="s">
        <v>3627</v>
      </c>
      <c r="B763" s="7" t="s">
        <v>530</v>
      </c>
      <c r="C763" s="7" t="str">
        <f t="shared" si="94"/>
        <v>2025-08</v>
      </c>
      <c r="D763" s="7" cm="1">
        <f t="array" ref="D763">_xlfn.LET(_xlpm.x,B763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45896</v>
      </c>
      <c r="E763" s="7" t="s">
        <v>3628</v>
      </c>
      <c r="F763" s="7" cm="1">
        <f t="array" ref="F763">_xlfn.LET(_xlpm.x,E763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45900</v>
      </c>
      <c r="G763" s="8" t="str">
        <f t="shared" si="64"/>
        <v>OK</v>
      </c>
      <c r="H763" s="6">
        <f t="shared" si="65"/>
        <v>4</v>
      </c>
      <c r="I763" s="6" t="s">
        <v>3629</v>
      </c>
      <c r="J763" s="6" t="s">
        <v>147</v>
      </c>
      <c r="K763" s="6" t="str">
        <f t="shared" si="66"/>
        <v>Isha Nair</v>
      </c>
      <c r="L763" s="6" t="s">
        <v>43</v>
      </c>
      <c r="M763" s="8" t="str">
        <f t="shared" si="67"/>
        <v>Consumer</v>
      </c>
      <c r="N763" s="6" t="s">
        <v>10</v>
      </c>
      <c r="O763" s="6" t="str">
        <f t="shared" si="68"/>
        <v>South</v>
      </c>
      <c r="P763" s="6" t="s">
        <v>303</v>
      </c>
      <c r="Q763" s="6" t="str">
        <f t="shared" si="69"/>
        <v>Karnataka</v>
      </c>
      <c r="R763" s="6" t="s">
        <v>304</v>
      </c>
      <c r="S763" s="6" t="str">
        <f t="shared" si="70"/>
        <v>Bengaluru</v>
      </c>
      <c r="T763" s="6" t="s">
        <v>27</v>
      </c>
      <c r="U763" s="8" t="str">
        <f t="shared" si="71"/>
        <v>Technology</v>
      </c>
      <c r="V763" s="6" t="s">
        <v>30</v>
      </c>
      <c r="W763" s="6" t="str">
        <f t="shared" si="72"/>
        <v>Machines</v>
      </c>
      <c r="X763" s="6" t="s">
        <v>3630</v>
      </c>
      <c r="Y763" s="6" t="s">
        <v>35</v>
      </c>
      <c r="Z763" s="6" t="str">
        <f t="shared" si="73"/>
        <v>First Class</v>
      </c>
      <c r="AA763" s="6">
        <v>3</v>
      </c>
      <c r="AB763" s="6">
        <v>2489.12</v>
      </c>
      <c r="AC763" s="6">
        <v>0</v>
      </c>
      <c r="AD763" s="6">
        <v>7467.36</v>
      </c>
      <c r="AE763" s="6">
        <v>5010.6099999999997</v>
      </c>
      <c r="AF763" s="6">
        <v>2456.75</v>
      </c>
      <c r="AG763" s="6" t="s">
        <v>52</v>
      </c>
      <c r="AH763" s="6" t="str">
        <f t="shared" si="74"/>
        <v>Paid</v>
      </c>
      <c r="AI763" s="6" t="s">
        <v>134</v>
      </c>
      <c r="AJ763" s="6" t="str">
        <f t="shared" si="75"/>
        <v>Completed</v>
      </c>
      <c r="AK763" s="9" t="str">
        <f>_xlfn.TEXTJOIN("|",FALSE,A763,TEXT(B763,"mm-dd-yyyy"),TEXT(E763,"mm-dd-yyyy"),I763,J763,L763,N763,P763,R763,T763,V763,X763,Y763,AA763,AB763,AC763,AD763,AE763,AF763,AG763,AI763)</f>
        <v>ORD-2025-10762|08-27-2025|08-31-2025|CUST-8948|Isha Nair|Consumer|South|Karnataka|Bengaluru|Technology|Machines|Max Machines 364|First Class|3|2489.12|0|7467.36|5010.61|2456.75|Paid|Completed</v>
      </c>
      <c r="AL763" s="27" t="str">
        <f>IF(COUNTIF($AK$2:AK763,AK763)&gt;1,"Remove exact duplicate copy","Keep")</f>
        <v>Keep</v>
      </c>
      <c r="AM763" s="9">
        <f t="shared" si="76"/>
        <v>1</v>
      </c>
      <c r="AN763" s="9" t="str">
        <f t="shared" si="77"/>
        <v>Unique</v>
      </c>
      <c r="AO763" s="9" t="str">
        <f t="shared" si="78"/>
        <v/>
      </c>
      <c r="AP763" s="9">
        <f t="shared" si="79"/>
        <v>0</v>
      </c>
      <c r="AQ763" s="10">
        <f t="shared" si="80"/>
        <v>7467.36</v>
      </c>
      <c r="AR763" s="10">
        <f t="shared" si="81"/>
        <v>2456.75</v>
      </c>
      <c r="AS763" s="11">
        <f t="shared" si="82"/>
        <v>0.32899846799940008</v>
      </c>
      <c r="AT763" s="9">
        <f t="shared" si="83"/>
        <v>8</v>
      </c>
      <c r="AU763" s="9">
        <f t="shared" si="84"/>
        <v>2025</v>
      </c>
      <c r="AV763" s="9" t="b">
        <f t="shared" si="85"/>
        <v>0</v>
      </c>
      <c r="AW763" s="9" t="b">
        <f t="shared" si="86"/>
        <v>0</v>
      </c>
      <c r="AX763" s="9" t="str">
        <f t="shared" si="87"/>
        <v>Yes</v>
      </c>
      <c r="AY763" s="9" t="str">
        <f t="shared" si="95"/>
        <v/>
      </c>
      <c r="AZ763" s="9" t="str">
        <f>IF(OR(G763="Missing date",G763="Invalid date",G763="Ship date before order date",NOT(ISNUMBER(AP763)),AP763&lt;0,AP763&gt;0.5,AV763=TRUE,AW763=TRUE),"Invalid",IF(OR(O763="Unknown",Z763="Unknown",AC763="",AH763&lt;&gt;"Paid",AJ763&lt;&gt;"Completed",AO763&lt;&gt;""),"Warning","Clean"))</f>
        <v>Clean</v>
      </c>
    </row>
    <row r="764" spans="1:52" ht="15.75" customHeight="1">
      <c r="A764" s="6" t="s">
        <v>3631</v>
      </c>
      <c r="B764" s="7" t="s">
        <v>3632</v>
      </c>
      <c r="C764" s="7" t="str">
        <f t="shared" si="94"/>
        <v>2024-01</v>
      </c>
      <c r="D764" s="7" cm="1">
        <f t="array" ref="D764">_xlfn.LET(_xlpm.x,B764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45292</v>
      </c>
      <c r="E764" s="7" t="s">
        <v>3633</v>
      </c>
      <c r="F764" s="7" cm="1">
        <f t="array" ref="F764">_xlfn.LET(_xlpm.x,E764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45296</v>
      </c>
      <c r="G764" s="8" t="str">
        <f t="shared" si="64"/>
        <v>OK</v>
      </c>
      <c r="H764" s="6">
        <f t="shared" si="65"/>
        <v>4</v>
      </c>
      <c r="I764" s="6" t="s">
        <v>3634</v>
      </c>
      <c r="J764" s="6" t="s">
        <v>284</v>
      </c>
      <c r="K764" s="6" t="str">
        <f t="shared" si="66"/>
        <v>Diya Patel</v>
      </c>
      <c r="L764" s="6" t="s">
        <v>45</v>
      </c>
      <c r="M764" s="8" t="str">
        <f t="shared" si="67"/>
        <v>Corporate</v>
      </c>
      <c r="N764" s="6" t="s">
        <v>9</v>
      </c>
      <c r="O764" s="6" t="str">
        <f t="shared" si="68"/>
        <v>West</v>
      </c>
      <c r="P764" s="6" t="s">
        <v>170</v>
      </c>
      <c r="Q764" s="6" t="str">
        <f t="shared" si="69"/>
        <v>Madhya Pradesh</v>
      </c>
      <c r="R764" s="6" t="s">
        <v>171</v>
      </c>
      <c r="S764" s="6" t="str">
        <f t="shared" si="70"/>
        <v>Indore</v>
      </c>
      <c r="T764" s="6" t="s">
        <v>27</v>
      </c>
      <c r="U764" s="8" t="str">
        <f t="shared" si="71"/>
        <v>Technology</v>
      </c>
      <c r="V764" s="6" t="s">
        <v>30</v>
      </c>
      <c r="W764" s="6" t="str">
        <f t="shared" si="72"/>
        <v>Machines</v>
      </c>
      <c r="X764" s="6" t="s">
        <v>3635</v>
      </c>
      <c r="Y764" s="6" t="s">
        <v>36</v>
      </c>
      <c r="Z764" s="6" t="str">
        <f t="shared" si="73"/>
        <v>Second Class</v>
      </c>
      <c r="AA764" s="6">
        <v>2</v>
      </c>
      <c r="AB764" s="6">
        <v>3694.12</v>
      </c>
      <c r="AC764" s="6">
        <v>0.2</v>
      </c>
      <c r="AD764" s="6">
        <v>5910.59</v>
      </c>
      <c r="AE764" s="6">
        <v>4775.4399999999996</v>
      </c>
      <c r="AF764" s="6">
        <v>1135.1500000000001</v>
      </c>
      <c r="AG764" s="6" t="s">
        <v>56</v>
      </c>
      <c r="AH764" s="6" t="str">
        <f t="shared" si="74"/>
        <v>Refunded</v>
      </c>
      <c r="AI764" s="6" t="s">
        <v>59</v>
      </c>
      <c r="AJ764" s="6" t="str">
        <f t="shared" si="75"/>
        <v>Returned</v>
      </c>
      <c r="AK764" s="9" t="str">
        <f>_xlfn.TEXTJOIN("|",FALSE,A764,TEXT(B764,"mm-dd-yyyy"),TEXT(E764,"mm-dd-yyyy"),I764,J764,L764,N764,P764,R764,T764,V764,X764,Y764,AA764,AB764,AC764,AD764,AE764,AF764,AG764,AI764)</f>
        <v>ORD-2024-10763|01-01-2024|01-05-2024|CUST-6921|Diya Patel|Corporate|West|Madhya Pradesh|Indore|Technology|Machines|Classic Machines 122|Second Class|2|3694.12|0.2|5910.59|4775.44|1135.15|Refunded|Returned</v>
      </c>
      <c r="AL764" s="27" t="str">
        <f>IF(COUNTIF($AK$2:AK764,AK764)&gt;1,"Remove exact duplicate copy","Keep")</f>
        <v>Keep</v>
      </c>
      <c r="AM764" s="9">
        <f t="shared" si="76"/>
        <v>1</v>
      </c>
      <c r="AN764" s="9" t="str">
        <f t="shared" si="77"/>
        <v>Unique</v>
      </c>
      <c r="AO764" s="9" t="str">
        <f t="shared" si="78"/>
        <v/>
      </c>
      <c r="AP764" s="9">
        <f t="shared" si="79"/>
        <v>0.2</v>
      </c>
      <c r="AQ764" s="10">
        <f t="shared" si="80"/>
        <v>5910.5920000000006</v>
      </c>
      <c r="AR764" s="10">
        <f t="shared" si="81"/>
        <v>1135.152000000001</v>
      </c>
      <c r="AS764" s="11">
        <f t="shared" si="82"/>
        <v>0.19205385856442145</v>
      </c>
      <c r="AT764" s="9">
        <f t="shared" si="83"/>
        <v>1</v>
      </c>
      <c r="AU764" s="9">
        <f t="shared" si="84"/>
        <v>2024</v>
      </c>
      <c r="AV764" s="9" t="b">
        <f t="shared" si="85"/>
        <v>0</v>
      </c>
      <c r="AW764" s="9" t="b">
        <f t="shared" si="86"/>
        <v>0</v>
      </c>
      <c r="AX764" s="9" t="str">
        <f t="shared" si="87"/>
        <v>No</v>
      </c>
      <c r="AY764" s="9" t="str">
        <f t="shared" si="95"/>
        <v>Refunded order summarized separately; Returned order excluded</v>
      </c>
      <c r="AZ764" s="9" t="str">
        <f>IF(OR(G764="Missing date",G764="Invalid date",G764="Ship date before order date",NOT(ISNUMBER(AP764)),AP764&lt;0,AP764&gt;0.5,AV764=TRUE,AW764=TRUE),"Invalid",IF(OR(O764="Unknown",Z764="Unknown",AC764="",AH764&lt;&gt;"Paid",AJ764&lt;&gt;"Completed",AO764&lt;&gt;""),"Warning","Clean"))</f>
        <v>Warning</v>
      </c>
    </row>
    <row r="765" spans="1:52" ht="15.75" customHeight="1">
      <c r="A765" s="6" t="s">
        <v>3636</v>
      </c>
      <c r="B765" s="7" t="s">
        <v>3637</v>
      </c>
      <c r="C765" s="7" t="str">
        <f t="shared" si="94"/>
        <v>2025-08</v>
      </c>
      <c r="D765" s="7" cm="1">
        <f t="array" ref="D765">_xlfn.LET(_xlpm.x,B765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45892</v>
      </c>
      <c r="E765" s="7" t="s">
        <v>3638</v>
      </c>
      <c r="F765" s="7" cm="1">
        <f t="array" ref="F765">_xlfn.LET(_xlpm.x,E765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45894</v>
      </c>
      <c r="G765" s="8" t="str">
        <f t="shared" si="64"/>
        <v>OK</v>
      </c>
      <c r="H765" s="6">
        <f t="shared" si="65"/>
        <v>2</v>
      </c>
      <c r="I765" s="6" t="s">
        <v>3639</v>
      </c>
      <c r="J765" s="6" t="s">
        <v>284</v>
      </c>
      <c r="K765" s="6" t="str">
        <f t="shared" si="66"/>
        <v>Diya Patel</v>
      </c>
      <c r="L765" s="6" t="s">
        <v>43</v>
      </c>
      <c r="M765" s="8" t="str">
        <f t="shared" si="67"/>
        <v>Consumer</v>
      </c>
      <c r="N765" s="6" t="s">
        <v>7</v>
      </c>
      <c r="O765" s="6" t="str">
        <f t="shared" si="68"/>
        <v>North</v>
      </c>
      <c r="P765" s="6" t="s">
        <v>131</v>
      </c>
      <c r="Q765" s="6" t="str">
        <f t="shared" si="69"/>
        <v>Rajasthan</v>
      </c>
      <c r="R765" s="6" t="s">
        <v>132</v>
      </c>
      <c r="S765" s="6" t="str">
        <f t="shared" si="70"/>
        <v>Jaipur</v>
      </c>
      <c r="T765" s="6" t="s">
        <v>14</v>
      </c>
      <c r="U765" s="8" t="str">
        <f t="shared" si="71"/>
        <v>Furniture</v>
      </c>
      <c r="V765" s="6" t="s">
        <v>17</v>
      </c>
      <c r="W765" s="6" t="str">
        <f t="shared" si="72"/>
        <v>Furnishings</v>
      </c>
      <c r="X765" s="6" t="s">
        <v>3640</v>
      </c>
      <c r="Y765" s="6" t="s">
        <v>37</v>
      </c>
      <c r="Z765" s="6" t="str">
        <f t="shared" si="73"/>
        <v>Same Day</v>
      </c>
      <c r="AA765" s="6">
        <v>6</v>
      </c>
      <c r="AB765" s="6">
        <v>2742.48</v>
      </c>
      <c r="AC765" s="6">
        <v>0</v>
      </c>
      <c r="AD765" s="6">
        <v>16454.88</v>
      </c>
      <c r="AE765" s="6">
        <v>12081.54</v>
      </c>
      <c r="AF765" s="6">
        <v>4373.34</v>
      </c>
      <c r="AG765" s="6" t="s">
        <v>52</v>
      </c>
      <c r="AH765" s="6" t="str">
        <f t="shared" si="74"/>
        <v>Paid</v>
      </c>
      <c r="AI765" s="6" t="s">
        <v>134</v>
      </c>
      <c r="AJ765" s="6" t="str">
        <f t="shared" si="75"/>
        <v>Completed</v>
      </c>
      <c r="AK765" s="9" t="str">
        <f>_xlfn.TEXTJOIN("|",FALSE,A765,TEXT(B765,"mm-dd-yyyy"),TEXT(E765,"mm-dd-yyyy"),I765,J765,L765,N765,P765,R765,T765,V765,X765,Y765,AA765,AB765,AC765,AD765,AE765,AF765,AG765,AI765)</f>
        <v>ORD-2025-10764|08-23-2025|08-25-2025|CUST-4086|Diya Patel|Consumer|North|Rajasthan|Jaipur|Furniture|Furnishings|Elite Furnishings 169|Same Day|6|2742.48|0|16454.88|12081.54|4373.34|Paid|Completed</v>
      </c>
      <c r="AL765" s="27" t="str">
        <f>IF(COUNTIF($AK$2:AK765,AK765)&gt;1,"Remove exact duplicate copy","Keep")</f>
        <v>Keep</v>
      </c>
      <c r="AM765" s="9">
        <f t="shared" si="76"/>
        <v>1</v>
      </c>
      <c r="AN765" s="9" t="str">
        <f t="shared" si="77"/>
        <v>Unique</v>
      </c>
      <c r="AO765" s="9" t="str">
        <f t="shared" si="78"/>
        <v/>
      </c>
      <c r="AP765" s="9">
        <f t="shared" si="79"/>
        <v>0</v>
      </c>
      <c r="AQ765" s="10">
        <f t="shared" si="80"/>
        <v>16454.88</v>
      </c>
      <c r="AR765" s="10">
        <f t="shared" si="81"/>
        <v>4373.34</v>
      </c>
      <c r="AS765" s="11">
        <f t="shared" si="82"/>
        <v>0.26577769026574488</v>
      </c>
      <c r="AT765" s="9">
        <f t="shared" si="83"/>
        <v>8</v>
      </c>
      <c r="AU765" s="9">
        <f t="shared" si="84"/>
        <v>2025</v>
      </c>
      <c r="AV765" s="9" t="b">
        <f t="shared" si="85"/>
        <v>0</v>
      </c>
      <c r="AW765" s="9" t="b">
        <f t="shared" si="86"/>
        <v>0</v>
      </c>
      <c r="AX765" s="9" t="str">
        <f t="shared" si="87"/>
        <v>Yes</v>
      </c>
      <c r="AY765" s="9" t="str">
        <f t="shared" si="95"/>
        <v/>
      </c>
      <c r="AZ765" s="9" t="str">
        <f>IF(OR(G765="Missing date",G765="Invalid date",G765="Ship date before order date",NOT(ISNUMBER(AP765)),AP765&lt;0,AP765&gt;0.5,AV765=TRUE,AW765=TRUE),"Invalid",IF(OR(O765="Unknown",Z765="Unknown",AC765="",AH765&lt;&gt;"Paid",AJ765&lt;&gt;"Completed",AO765&lt;&gt;""),"Warning","Clean"))</f>
        <v>Clean</v>
      </c>
    </row>
    <row r="766" spans="1:52" ht="15.75" customHeight="1">
      <c r="A766" s="6" t="s">
        <v>3641</v>
      </c>
      <c r="B766" s="7" t="s">
        <v>1949</v>
      </c>
      <c r="C766" s="7" t="str">
        <f t="shared" si="94"/>
        <v>2025-04</v>
      </c>
      <c r="D766" s="7" cm="1">
        <f t="array" ref="D766">_xlfn.LET(_xlpm.x,B766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45760</v>
      </c>
      <c r="E766" s="7" t="s">
        <v>3008</v>
      </c>
      <c r="F766" s="7" cm="1">
        <f t="array" ref="F766">_xlfn.LET(_xlpm.x,E766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45760</v>
      </c>
      <c r="G766" s="8" t="str">
        <f t="shared" si="64"/>
        <v>OK</v>
      </c>
      <c r="H766" s="6">
        <f t="shared" si="65"/>
        <v>0</v>
      </c>
      <c r="I766" s="6" t="s">
        <v>1439</v>
      </c>
      <c r="J766" s="6" t="s">
        <v>220</v>
      </c>
      <c r="K766" s="6" t="str">
        <f t="shared" si="66"/>
        <v>Priya Menon</v>
      </c>
      <c r="L766" s="6" t="s">
        <v>45</v>
      </c>
      <c r="M766" s="8" t="str">
        <f t="shared" si="67"/>
        <v>Corporate</v>
      </c>
      <c r="N766" s="6" t="s">
        <v>10</v>
      </c>
      <c r="O766" s="6" t="str">
        <f t="shared" si="68"/>
        <v>South</v>
      </c>
      <c r="P766" s="6" t="s">
        <v>316</v>
      </c>
      <c r="Q766" s="6" t="str">
        <f t="shared" si="69"/>
        <v>Kerala</v>
      </c>
      <c r="R766" s="6" t="s">
        <v>317</v>
      </c>
      <c r="S766" s="6" t="str">
        <f t="shared" si="70"/>
        <v>Kochi</v>
      </c>
      <c r="T766" s="6" t="s">
        <v>14</v>
      </c>
      <c r="U766" s="8" t="str">
        <f t="shared" si="71"/>
        <v>Furniture</v>
      </c>
      <c r="V766" s="6" t="s">
        <v>15</v>
      </c>
      <c r="W766" s="6" t="str">
        <f t="shared" si="72"/>
        <v>Bookcases</v>
      </c>
      <c r="X766" s="6" t="s">
        <v>3642</v>
      </c>
      <c r="Y766" s="6" t="s">
        <v>35</v>
      </c>
      <c r="Z766" s="6" t="str">
        <f t="shared" si="73"/>
        <v>First Class</v>
      </c>
      <c r="AA766" s="6">
        <v>6</v>
      </c>
      <c r="AB766" s="6">
        <v>4414</v>
      </c>
      <c r="AC766" s="6">
        <v>0.05</v>
      </c>
      <c r="AD766" s="6">
        <v>25159.8</v>
      </c>
      <c r="AE766" s="6">
        <v>21606.83</v>
      </c>
      <c r="AF766" s="6">
        <v>3552.97</v>
      </c>
      <c r="AG766" s="6" t="s">
        <v>52</v>
      </c>
      <c r="AH766" s="6" t="str">
        <f t="shared" si="74"/>
        <v>Paid</v>
      </c>
      <c r="AI766" s="6" t="s">
        <v>134</v>
      </c>
      <c r="AJ766" s="6" t="str">
        <f t="shared" si="75"/>
        <v>Completed</v>
      </c>
      <c r="AK766" s="9" t="str">
        <f>_xlfn.TEXTJOIN("|",FALSE,A766,TEXT(B766,"mm-dd-yyyy"),TEXT(E766,"mm-dd-yyyy"),I766,J766,L766,N766,P766,R766,T766,V766,X766,Y766,AA766,AB766,AC766,AD766,AE766,AF766,AG766,AI766)</f>
        <v>ORD-2025-10765|04-13-2025|13-04-2025|CUST-5174|Priya Menon|Corporate|South|Kerala|Kochi|Furniture|Bookcases|Pro Bookcases 615|First Class|6|4414|0.05|25159.8|21606.83|3552.97|Paid|Completed</v>
      </c>
      <c r="AL766" s="27" t="str">
        <f>IF(COUNTIF($AK$2:AK766,AK766)&gt;1,"Remove exact duplicate copy","Keep")</f>
        <v>Keep</v>
      </c>
      <c r="AM766" s="9">
        <f t="shared" si="76"/>
        <v>1</v>
      </c>
      <c r="AN766" s="9" t="str">
        <f t="shared" si="77"/>
        <v>Unique</v>
      </c>
      <c r="AO766" s="9" t="str">
        <f t="shared" si="78"/>
        <v/>
      </c>
      <c r="AP766" s="9">
        <f t="shared" si="79"/>
        <v>0.05</v>
      </c>
      <c r="AQ766" s="10">
        <f t="shared" si="80"/>
        <v>25159.8</v>
      </c>
      <c r="AR766" s="10">
        <f t="shared" si="81"/>
        <v>3552.9699999999975</v>
      </c>
      <c r="AS766" s="11">
        <f t="shared" si="82"/>
        <v>0.14121614639226057</v>
      </c>
      <c r="AT766" s="9">
        <f t="shared" si="83"/>
        <v>4</v>
      </c>
      <c r="AU766" s="9">
        <f t="shared" si="84"/>
        <v>2025</v>
      </c>
      <c r="AV766" s="9" t="b">
        <f t="shared" si="85"/>
        <v>0</v>
      </c>
      <c r="AW766" s="9" t="b">
        <f t="shared" si="86"/>
        <v>0</v>
      </c>
      <c r="AX766" s="9" t="str">
        <f t="shared" si="87"/>
        <v>Yes</v>
      </c>
      <c r="AY766" s="9" t="str">
        <f t="shared" si="95"/>
        <v/>
      </c>
      <c r="AZ766" s="9" t="str">
        <f>IF(OR(G766="Missing date",G766="Invalid date",G766="Ship date before order date",NOT(ISNUMBER(AP766)),AP766&lt;0,AP766&gt;0.5,AV766=TRUE,AW766=TRUE),"Invalid",IF(OR(O766="Unknown",Z766="Unknown",AC766="",AH766&lt;&gt;"Paid",AJ766&lt;&gt;"Completed",AO766&lt;&gt;""),"Warning","Clean"))</f>
        <v>Clean</v>
      </c>
    </row>
    <row r="767" spans="1:52" ht="15.75" customHeight="1">
      <c r="A767" s="6" t="s">
        <v>3643</v>
      </c>
      <c r="B767" s="7" t="s">
        <v>3644</v>
      </c>
      <c r="C767" s="7" t="str">
        <f t="shared" si="94"/>
        <v>2025-06</v>
      </c>
      <c r="D767" s="7" cm="1">
        <f t="array" ref="D767">_xlfn.LET(_xlpm.x,B767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45837</v>
      </c>
      <c r="E767" s="7" t="s">
        <v>3645</v>
      </c>
      <c r="F767" s="7" cm="1">
        <f t="array" ref="F767">_xlfn.LET(_xlpm.x,E767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45841</v>
      </c>
      <c r="G767" s="8" t="str">
        <f t="shared" ref="G767:G913" si="96">IF(OR(D767="",F767=""),"Missing date",IF(OR(D767="Invalid Date",F767="Invalid Date"),"Invalid date",IF(F767&lt;D767,"Ship date before order date","OK")))</f>
        <v>OK</v>
      </c>
      <c r="H767" s="6">
        <f t="shared" ref="H767:H913" si="97">IF(AND(ISNUMBER(D767),ISNUMBER(F767)),F767-D767,"")</f>
        <v>4</v>
      </c>
      <c r="I767" s="6" t="s">
        <v>3646</v>
      </c>
      <c r="J767" s="6" t="s">
        <v>169</v>
      </c>
      <c r="K767" s="6" t="str">
        <f t="shared" ref="K767:K913" si="98">PROPER(TRIM(CLEAN(SUBSTITUTE(J767,CHAR(160)," "))))</f>
        <v>Vikram Iyer</v>
      </c>
      <c r="L767" s="6" t="s">
        <v>45</v>
      </c>
      <c r="M767" s="8" t="str">
        <f t="shared" ref="M767:M913" si="99">IF(LOWER(TRIM(L767))="consumer","Consumer", IF(LOWER(TRIM(L767))="corporate","Corporate", IF(LOWER(TRIM(L767))="home office","Home Office", IF(LOWER(TRIM(SUBSTITUTE(L767," "," ")))="small business","Small Business", PROPER(TRIM(L767))))))</f>
        <v>Corporate</v>
      </c>
      <c r="N767" s="6" t="s">
        <v>8</v>
      </c>
      <c r="O767" s="6" t="str">
        <f t="shared" ref="O767:O913" si="100">IF(TRIM(N767)="","Unknown",PROPER(TRIM(CLEAN(SUBSTITUTE(N767,CHAR(160)," ")))))</f>
        <v>East</v>
      </c>
      <c r="P767" s="6" t="s">
        <v>385</v>
      </c>
      <c r="Q767" s="6" t="str">
        <f t="shared" ref="Q767:Q913" si="101">PROPER(TRIM(P767))</f>
        <v>Jharkhand</v>
      </c>
      <c r="R767" s="6" t="s">
        <v>386</v>
      </c>
      <c r="S767" s="6" t="str">
        <f t="shared" ref="S767:S913" si="102">PROPER(TRIM(R767))</f>
        <v>Ranchi</v>
      </c>
      <c r="T767" s="6" t="s">
        <v>20</v>
      </c>
      <c r="U767" s="8" t="str">
        <f t="shared" ref="U767:U913" si="103">IF(LOWER(TRIM(SUBSTITUTE(T767," "," ")))="office supplies","Office Supplies", IF(LOWER(TRIM(T767))="furniture","Furniture", IF(LOWER(TRIM(T767))="technology","Technology", PROPER(TRIM(T767)))))</f>
        <v>Office Supplies</v>
      </c>
      <c r="V767" s="6" t="s">
        <v>23</v>
      </c>
      <c r="W767" s="6" t="str">
        <f t="shared" ref="W767:W913" si="104">PROPER(TRIM(V767))</f>
        <v>Labels</v>
      </c>
      <c r="X767" s="6" t="s">
        <v>3647</v>
      </c>
      <c r="Y767" s="6" t="s">
        <v>35</v>
      </c>
      <c r="Z767" s="6" t="str">
        <f t="shared" ref="Z767:Z913" si="105">IF(TRIM(Y767)="","Unknown",PROPER(TRIM(CLEAN(SUBSTITUTE(Y767,CHAR(160)," ")))))</f>
        <v>First Class</v>
      </c>
      <c r="AA767" s="6">
        <v>3</v>
      </c>
      <c r="AB767" s="6">
        <v>608.14</v>
      </c>
      <c r="AC767" s="6">
        <v>0</v>
      </c>
      <c r="AD767" s="6">
        <v>1824.42</v>
      </c>
      <c r="AE767" s="6">
        <v>1214.8699999999999</v>
      </c>
      <c r="AF767" s="6">
        <v>609.54999999999995</v>
      </c>
      <c r="AG767" s="6" t="s">
        <v>52</v>
      </c>
      <c r="AH767" s="6" t="str">
        <f t="shared" ref="AH767:AH913" si="106">PROPER(TRIM(AG767))</f>
        <v>Paid</v>
      </c>
      <c r="AI767" s="6" t="s">
        <v>134</v>
      </c>
      <c r="AJ767" s="6" t="str">
        <f t="shared" ref="AJ767:AJ913" si="107">PROPER(TRIM(AI767))</f>
        <v>Completed</v>
      </c>
      <c r="AK767" s="9" t="str">
        <f>_xlfn.TEXTJOIN("|",FALSE,A767,TEXT(B767,"mm-dd-yyyy"),TEXT(E767,"mm-dd-yyyy"),I767,J767,L767,N767,P767,R767,T767,V767,X767,Y767,AA767,AB767,AC767,AD767,AE767,AF767,AG767,AI767)</f>
        <v>ORD-2025-10766|29-06-2025|07-03-2025|CUST-8747|Vikram Iyer|Corporate|East|Jharkhand|Ranchi|Office Supplies|Labels|Max Labels 136|First Class|3|608.14|0|1824.42|1214.87|609.55|Paid|Completed</v>
      </c>
      <c r="AL767" s="27" t="str">
        <f>IF(COUNTIF($AK$2:AK767,AK767)&gt;1,"Remove exact duplicate copy","Keep")</f>
        <v>Keep</v>
      </c>
      <c r="AM767" s="9">
        <f t="shared" ref="AM767:AM913" si="108">COUNTIF($A$2:$A$913,A767)</f>
        <v>1</v>
      </c>
      <c r="AN767" s="9" t="str">
        <f t="shared" ref="AN767:AN913" si="109">IF(AM767&gt;1,"Duplicate order_id","Unique")</f>
        <v>Unique</v>
      </c>
      <c r="AO767" s="9" t="str">
        <f t="shared" ref="AO767:AO913" si="110">IF(AND(AM767&gt;1,COUNTIF($AK$2:$AK$913,AK767)&lt;AM767),"Review conflicting duplicate","")</f>
        <v/>
      </c>
      <c r="AP767" s="9">
        <f t="shared" ref="AP767:AP913" si="111">IF(TRIM(AC767&amp;"")="",IF(AND(ISNUMBER(AA767),ISNUMBER(AB767),ISNUMBER(AD767),ISNUMBER(AE767),ISNUMBER(AF767)),0,""),IF(RIGHT(TRIM(AC767&amp;""),1)="%",VALUE(SUBSTITUTE(TRIM(AC767&amp;""),"%",""))/100,VALUE(AC767)))</f>
        <v>0</v>
      </c>
      <c r="AQ767" s="10">
        <f t="shared" ref="AQ767:AQ913" si="112">IF(AND(ISNUMBER(AA767),ISNUMBER(AB767),ISNUMBER(AP767)),AA767*AB767*(1-AP767),"")</f>
        <v>1824.42</v>
      </c>
      <c r="AR767" s="10">
        <f t="shared" ref="AR767:AR913" si="113">IF(AND(ISNUMBER(AQ767),ISNUMBER(AE767)),AQ767-AE767,"")</f>
        <v>609.55000000000018</v>
      </c>
      <c r="AS767" s="11">
        <f t="shared" ref="AS767:AS913" si="114">IFERROR(AR767/AQ767,"")</f>
        <v>0.33410618169061956</v>
      </c>
      <c r="AT767" s="9">
        <f t="shared" ref="AT767:AT913" si="115">IF(ISNUMBER(D767),MONTH(D767),"")</f>
        <v>6</v>
      </c>
      <c r="AU767" s="9">
        <f t="shared" ref="AU767:AU913" si="116">IF(ISNUMBER(D767),YEAR(D767),"")</f>
        <v>2025</v>
      </c>
      <c r="AV767" s="9" t="b">
        <f t="shared" ref="AV767:AV913" si="117">IF(AND(ISNUMBER(AQ767),ISNUMBER(AD767)),ABS(AQ767-AD767)&gt;0.05,FALSE)</f>
        <v>0</v>
      </c>
      <c r="AW767" s="9" t="b">
        <f t="shared" ref="AW767:AW913" si="118">IF(AND(ISNUMBER(AR767),ISNUMBER(AF767)),ABS(AR767-AF767)&gt;0.05,FALSE)</f>
        <v>0</v>
      </c>
      <c r="AX767" s="9" t="str">
        <f t="shared" ref="AX767:AX913" si="119">IF(AND(AJ767="Completed",AH767="Paid",AZ767&lt;&gt;"Invalid",AO767="",AL767="Keep"),"Yes","No")</f>
        <v>Yes</v>
      </c>
      <c r="AY767" s="9" t="str">
        <f t="shared" si="95"/>
        <v/>
      </c>
      <c r="AZ767" s="9" t="str">
        <f>IF(OR(G767="Missing date",G767="Invalid date",G767="Ship date before order date",NOT(ISNUMBER(AP767)),AP767&lt;0,AP767&gt;0.5,AV767=TRUE,AW767=TRUE),"Invalid",IF(OR(O767="Unknown",Z767="Unknown",AC767="",AH767&lt;&gt;"Paid",AJ767&lt;&gt;"Completed",AO767&lt;&gt;""),"Warning","Clean"))</f>
        <v>Clean</v>
      </c>
    </row>
    <row r="768" spans="1:52" ht="15.75" customHeight="1">
      <c r="A768" s="6" t="s">
        <v>3648</v>
      </c>
      <c r="B768" s="7" t="s">
        <v>3649</v>
      </c>
      <c r="C768" s="7" t="str">
        <f t="shared" si="94"/>
        <v>2024-09</v>
      </c>
      <c r="D768" s="7" cm="1">
        <f t="array" ref="D768">_xlfn.LET(_xlpm.x,B768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45552</v>
      </c>
      <c r="E768" s="7" t="s">
        <v>2097</v>
      </c>
      <c r="F768" s="7" cm="1">
        <f t="array" ref="F768">_xlfn.LET(_xlpm.x,E768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45559</v>
      </c>
      <c r="G768" s="8" t="str">
        <f t="shared" si="96"/>
        <v>OK</v>
      </c>
      <c r="H768" s="6">
        <f t="shared" si="97"/>
        <v>7</v>
      </c>
      <c r="I768" s="6" t="s">
        <v>3650</v>
      </c>
      <c r="J768" s="6" t="s">
        <v>139</v>
      </c>
      <c r="K768" s="6" t="str">
        <f t="shared" si="98"/>
        <v>Mira Das</v>
      </c>
      <c r="L768" s="6" t="s">
        <v>45</v>
      </c>
      <c r="M768" s="8" t="str">
        <f t="shared" si="99"/>
        <v>Corporate</v>
      </c>
      <c r="N768" s="6" t="s">
        <v>9</v>
      </c>
      <c r="O768" s="6" t="str">
        <f t="shared" si="100"/>
        <v>West</v>
      </c>
      <c r="P768" s="6" t="s">
        <v>309</v>
      </c>
      <c r="Q768" s="6" t="str">
        <f t="shared" si="101"/>
        <v>Gujarat</v>
      </c>
      <c r="R768" s="6" t="s">
        <v>310</v>
      </c>
      <c r="S768" s="6" t="str">
        <f t="shared" si="102"/>
        <v>Ahmedabad</v>
      </c>
      <c r="T768" s="6" t="s">
        <v>20</v>
      </c>
      <c r="U768" s="8" t="str">
        <f t="shared" si="103"/>
        <v>Office Supplies</v>
      </c>
      <c r="V768" s="6" t="s">
        <v>21</v>
      </c>
      <c r="W768" s="6" t="str">
        <f t="shared" si="104"/>
        <v>Art</v>
      </c>
      <c r="X768" s="6" t="s">
        <v>3651</v>
      </c>
      <c r="Y768" s="6" t="s">
        <v>36</v>
      </c>
      <c r="Z768" s="6" t="str">
        <f t="shared" si="105"/>
        <v>Second Class</v>
      </c>
      <c r="AA768" s="6">
        <v>9</v>
      </c>
      <c r="AB768" s="6">
        <v>2307.96</v>
      </c>
      <c r="AC768" s="6">
        <v>0.2</v>
      </c>
      <c r="AD768" s="6">
        <v>16617.310000000001</v>
      </c>
      <c r="AE768" s="6">
        <v>9195.73</v>
      </c>
      <c r="AF768" s="6">
        <v>7421.58</v>
      </c>
      <c r="AG768" s="6" t="s">
        <v>52</v>
      </c>
      <c r="AH768" s="6" t="str">
        <f t="shared" si="106"/>
        <v>Paid</v>
      </c>
      <c r="AI768" s="6" t="s">
        <v>58</v>
      </c>
      <c r="AJ768" s="6" t="str">
        <f t="shared" si="107"/>
        <v>Cancelled</v>
      </c>
      <c r="AK768" s="9" t="str">
        <f>_xlfn.TEXTJOIN("|",FALSE,A768,TEXT(B768,"mm-dd-yyyy"),TEXT(E768,"mm-dd-yyyy"),I768,J768,L768,N768,P768,R768,T768,V768,X768,Y768,AA768,AB768,AC768,AD768,AE768,AF768,AG768,AI768)</f>
        <v>ORD-2024-10767|09-17-2024|09-24-2024|CUST-3156|Mira Das|Corporate|West|Gujarat|Ahmedabad|Office Supplies|Art|Prime Art 380|Second Class|9|2307.96|0.2|16617.31|9195.73|7421.58|Paid|Cancelled</v>
      </c>
      <c r="AL768" s="27" t="str">
        <f>IF(COUNTIF($AK$2:AK768,AK768)&gt;1,"Remove exact duplicate copy","Keep")</f>
        <v>Keep</v>
      </c>
      <c r="AM768" s="9">
        <f t="shared" si="108"/>
        <v>1</v>
      </c>
      <c r="AN768" s="9" t="str">
        <f t="shared" si="109"/>
        <v>Unique</v>
      </c>
      <c r="AO768" s="9" t="str">
        <f t="shared" si="110"/>
        <v/>
      </c>
      <c r="AP768" s="9">
        <f t="shared" si="111"/>
        <v>0.2</v>
      </c>
      <c r="AQ768" s="10">
        <f t="shared" si="112"/>
        <v>16617.312000000002</v>
      </c>
      <c r="AR768" s="10">
        <f t="shared" si="113"/>
        <v>7421.5820000000022</v>
      </c>
      <c r="AS768" s="11">
        <f t="shared" si="114"/>
        <v>0.44661747940942564</v>
      </c>
      <c r="AT768" s="9">
        <f t="shared" si="115"/>
        <v>9</v>
      </c>
      <c r="AU768" s="9">
        <f t="shared" si="116"/>
        <v>2024</v>
      </c>
      <c r="AV768" s="9" t="b">
        <f t="shared" si="117"/>
        <v>0</v>
      </c>
      <c r="AW768" s="9" t="b">
        <f t="shared" si="118"/>
        <v>0</v>
      </c>
      <c r="AX768" s="9" t="str">
        <f t="shared" si="119"/>
        <v>No</v>
      </c>
      <c r="AY768" s="9" t="str">
        <f t="shared" si="95"/>
        <v>Cancelled order excluded</v>
      </c>
      <c r="AZ768" s="9" t="str">
        <f>IF(OR(G768="Missing date",G768="Invalid date",G768="Ship date before order date",NOT(ISNUMBER(AP768)),AP768&lt;0,AP768&gt;0.5,AV768=TRUE,AW768=TRUE),"Invalid",IF(OR(O768="Unknown",Z768="Unknown",AC768="",AH768&lt;&gt;"Paid",AJ768&lt;&gt;"Completed",AO768&lt;&gt;""),"Warning","Clean"))</f>
        <v>Warning</v>
      </c>
    </row>
    <row r="769" spans="1:52" ht="15.75" customHeight="1">
      <c r="A769" s="6" t="s">
        <v>3652</v>
      </c>
      <c r="B769" s="7" t="s">
        <v>3653</v>
      </c>
      <c r="C769" s="7" t="str">
        <f t="shared" si="94"/>
        <v>2024-05</v>
      </c>
      <c r="D769" s="7" cm="1">
        <f t="array" ref="D769">_xlfn.LET(_xlpm.x,B769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45415</v>
      </c>
      <c r="E769" s="7" t="s">
        <v>2801</v>
      </c>
      <c r="F769" s="7" cm="1">
        <f t="array" ref="F769">_xlfn.LET(_xlpm.x,E769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45418</v>
      </c>
      <c r="G769" s="8" t="str">
        <f t="shared" si="96"/>
        <v>OK</v>
      </c>
      <c r="H769" s="6">
        <f t="shared" si="97"/>
        <v>3</v>
      </c>
      <c r="I769" s="6" t="s">
        <v>3654</v>
      </c>
      <c r="J769" s="6" t="s">
        <v>161</v>
      </c>
      <c r="K769" s="6" t="str">
        <f t="shared" si="98"/>
        <v>Ananya Rao</v>
      </c>
      <c r="L769" s="6" t="s">
        <v>44</v>
      </c>
      <c r="M769" s="8" t="str">
        <f t="shared" si="99"/>
        <v>Home Office</v>
      </c>
      <c r="N769" s="6" t="s">
        <v>7</v>
      </c>
      <c r="O769" s="6" t="str">
        <f t="shared" si="100"/>
        <v>North</v>
      </c>
      <c r="P769" s="6" t="s">
        <v>251</v>
      </c>
      <c r="Q769" s="6" t="str">
        <f t="shared" si="101"/>
        <v>Uttar Pradesh</v>
      </c>
      <c r="R769" s="6" t="s">
        <v>252</v>
      </c>
      <c r="S769" s="6" t="str">
        <f t="shared" si="102"/>
        <v>Noida</v>
      </c>
      <c r="T769" s="6" t="s">
        <v>1000</v>
      </c>
      <c r="U769" s="8" t="str">
        <f t="shared" si="103"/>
        <v>Office Supplies</v>
      </c>
      <c r="V769" s="6" t="s">
        <v>22</v>
      </c>
      <c r="W769" s="6" t="str">
        <f t="shared" si="104"/>
        <v>Binders</v>
      </c>
      <c r="X769" s="6" t="s">
        <v>3655</v>
      </c>
      <c r="Y769" s="6" t="s">
        <v>34</v>
      </c>
      <c r="Z769" s="6" t="str">
        <f t="shared" si="105"/>
        <v>Standard Class</v>
      </c>
      <c r="AA769" s="6">
        <v>1</v>
      </c>
      <c r="AB769" s="6">
        <v>1244.58</v>
      </c>
      <c r="AC769" s="6">
        <v>0.25</v>
      </c>
      <c r="AD769" s="6">
        <v>933.43</v>
      </c>
      <c r="AE769" s="6">
        <v>583.09</v>
      </c>
      <c r="AF769" s="6">
        <v>350.34</v>
      </c>
      <c r="AG769" s="6" t="s">
        <v>52</v>
      </c>
      <c r="AH769" s="6" t="str">
        <f t="shared" si="106"/>
        <v>Paid</v>
      </c>
      <c r="AI769" s="6" t="s">
        <v>134</v>
      </c>
      <c r="AJ769" s="6" t="str">
        <f t="shared" si="107"/>
        <v>Completed</v>
      </c>
      <c r="AK769" s="9" t="str">
        <f>_xlfn.TEXTJOIN("|",FALSE,A769,TEXT(B769,"mm-dd-yyyy"),TEXT(E769,"mm-dd-yyyy"),I769,J769,L769,N769,P769,R769,T769,V769,X769,Y769,AA769,AB769,AC769,AD769,AE769,AF769,AG769,AI769)</f>
        <v>ORD-2024-10768|05-03-2024|05-06-2024|CUST-2043|Ananya Rao|Home Office|North|Uttar Pradesh|Noida|OFFICE SUPPLIES|Binders|Classic Binders 234|Standard Class|1|1244.58|0.25|933.43|583.09|350.34|Paid|Completed</v>
      </c>
      <c r="AL769" s="27" t="str">
        <f>IF(COUNTIF($AK$2:AK769,AK769)&gt;1,"Remove exact duplicate copy","Keep")</f>
        <v>Keep</v>
      </c>
      <c r="AM769" s="9">
        <f t="shared" si="108"/>
        <v>1</v>
      </c>
      <c r="AN769" s="9" t="str">
        <f t="shared" si="109"/>
        <v>Unique</v>
      </c>
      <c r="AO769" s="9" t="str">
        <f t="shared" si="110"/>
        <v/>
      </c>
      <c r="AP769" s="9">
        <f t="shared" si="111"/>
        <v>0.25</v>
      </c>
      <c r="AQ769" s="10">
        <f t="shared" si="112"/>
        <v>933.43499999999995</v>
      </c>
      <c r="AR769" s="10">
        <f t="shared" si="113"/>
        <v>350.34499999999991</v>
      </c>
      <c r="AS769" s="11">
        <f t="shared" si="114"/>
        <v>0.3753287588316272</v>
      </c>
      <c r="AT769" s="9">
        <f t="shared" si="115"/>
        <v>5</v>
      </c>
      <c r="AU769" s="9">
        <f t="shared" si="116"/>
        <v>2024</v>
      </c>
      <c r="AV769" s="9" t="b">
        <f t="shared" si="117"/>
        <v>0</v>
      </c>
      <c r="AW769" s="9" t="b">
        <f t="shared" si="118"/>
        <v>0</v>
      </c>
      <c r="AX769" s="9" t="str">
        <f t="shared" si="119"/>
        <v>Yes</v>
      </c>
      <c r="AY769" s="9" t="str">
        <f t="shared" si="95"/>
        <v/>
      </c>
      <c r="AZ769" s="9" t="str">
        <f>IF(OR(G769="Missing date",G769="Invalid date",G769="Ship date before order date",NOT(ISNUMBER(AP769)),AP769&lt;0,AP769&gt;0.5,AV769=TRUE,AW769=TRUE),"Invalid",IF(OR(O769="Unknown",Z769="Unknown",AC769="",AH769&lt;&gt;"Paid",AJ769&lt;&gt;"Completed",AO769&lt;&gt;""),"Warning","Clean"))</f>
        <v>Clean</v>
      </c>
    </row>
    <row r="770" spans="1:52" ht="15.75" customHeight="1">
      <c r="A770" s="6" t="s">
        <v>3656</v>
      </c>
      <c r="B770" s="7" t="s">
        <v>1899</v>
      </c>
      <c r="C770" s="7" t="str">
        <f t="shared" ref="C770:C833" si="120">TEXT(D770, "yyyy-mm")</f>
        <v>2025-04</v>
      </c>
      <c r="D770" s="7" cm="1">
        <f t="array" ref="D770">_xlfn.LET(_xlpm.x,B770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45749</v>
      </c>
      <c r="E770" s="7" t="s">
        <v>3657</v>
      </c>
      <c r="F770" s="7" cm="1">
        <f t="array" ref="F770">_xlfn.LET(_xlpm.x,E770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45751</v>
      </c>
      <c r="G770" s="8" t="str">
        <f t="shared" si="96"/>
        <v>OK</v>
      </c>
      <c r="H770" s="6">
        <f t="shared" si="97"/>
        <v>2</v>
      </c>
      <c r="I770" s="6" t="s">
        <v>3658</v>
      </c>
      <c r="J770" s="6" t="s">
        <v>245</v>
      </c>
      <c r="K770" s="6" t="str">
        <f t="shared" si="98"/>
        <v>Sneha Kapoor</v>
      </c>
      <c r="L770" s="6" t="s">
        <v>44</v>
      </c>
      <c r="M770" s="8" t="str">
        <f t="shared" si="99"/>
        <v>Home Office</v>
      </c>
      <c r="N770" s="6" t="s">
        <v>8</v>
      </c>
      <c r="O770" s="6" t="str">
        <f t="shared" si="100"/>
        <v>East</v>
      </c>
      <c r="P770" s="6" t="s">
        <v>385</v>
      </c>
      <c r="Q770" s="6" t="str">
        <f t="shared" si="101"/>
        <v>Jharkhand</v>
      </c>
      <c r="R770" s="6" t="s">
        <v>386</v>
      </c>
      <c r="S770" s="6" t="str">
        <f t="shared" si="102"/>
        <v>Ranchi</v>
      </c>
      <c r="T770" s="6" t="s">
        <v>20</v>
      </c>
      <c r="U770" s="8" t="str">
        <f t="shared" si="103"/>
        <v>Office Supplies</v>
      </c>
      <c r="V770" s="6" t="s">
        <v>24</v>
      </c>
      <c r="W770" s="6" t="str">
        <f t="shared" si="104"/>
        <v>Paper</v>
      </c>
      <c r="X770" s="6" t="s">
        <v>3659</v>
      </c>
      <c r="Y770" s="6" t="s">
        <v>37</v>
      </c>
      <c r="Z770" s="6" t="str">
        <f t="shared" si="105"/>
        <v>Same Day</v>
      </c>
      <c r="AA770" s="6">
        <v>5</v>
      </c>
      <c r="AB770" s="6">
        <v>3234.24</v>
      </c>
      <c r="AC770" s="6">
        <v>0.1</v>
      </c>
      <c r="AD770" s="6">
        <v>14554.08</v>
      </c>
      <c r="AE770" s="6">
        <v>11166.84</v>
      </c>
      <c r="AF770" s="6">
        <v>3387.24</v>
      </c>
      <c r="AG770" s="6" t="s">
        <v>52</v>
      </c>
      <c r="AH770" s="6" t="str">
        <f t="shared" si="106"/>
        <v>Paid</v>
      </c>
      <c r="AI770" s="6" t="s">
        <v>134</v>
      </c>
      <c r="AJ770" s="6" t="str">
        <f t="shared" si="107"/>
        <v>Completed</v>
      </c>
      <c r="AK770" s="9" t="str">
        <f>_xlfn.TEXTJOIN("|",FALSE,A770,TEXT(B770,"mm-dd-yyyy"),TEXT(E770,"mm-dd-yyyy"),I770,J770,L770,N770,P770,R770,T770,V770,X770,Y770,AA770,AB770,AC770,AD770,AE770,AF770,AG770,AI770)</f>
        <v>ORD-2025-10769|04-02-2025|04-04-2025|CUST-8808|Sneha Kapoor|Home Office|East|Jharkhand|Ranchi|Office Supplies|Paper|Classic Paper 280|Same Day|5|3234.24|0.1|14554.08|11166.84|3387.24|Paid|Completed</v>
      </c>
      <c r="AL770" s="27" t="str">
        <f>IF(COUNTIF($AK$2:AK770,AK770)&gt;1,"Remove exact duplicate copy","Keep")</f>
        <v>Keep</v>
      </c>
      <c r="AM770" s="9">
        <f t="shared" si="108"/>
        <v>1</v>
      </c>
      <c r="AN770" s="9" t="str">
        <f t="shared" si="109"/>
        <v>Unique</v>
      </c>
      <c r="AO770" s="9" t="str">
        <f t="shared" si="110"/>
        <v/>
      </c>
      <c r="AP770" s="9">
        <f t="shared" si="111"/>
        <v>0.1</v>
      </c>
      <c r="AQ770" s="10">
        <f t="shared" si="112"/>
        <v>14554.08</v>
      </c>
      <c r="AR770" s="10">
        <f t="shared" si="113"/>
        <v>3387.24</v>
      </c>
      <c r="AS770" s="11">
        <f t="shared" si="114"/>
        <v>0.23273473830018798</v>
      </c>
      <c r="AT770" s="9">
        <f t="shared" si="115"/>
        <v>4</v>
      </c>
      <c r="AU770" s="9">
        <f t="shared" si="116"/>
        <v>2025</v>
      </c>
      <c r="AV770" s="9" t="b">
        <f t="shared" si="117"/>
        <v>0</v>
      </c>
      <c r="AW770" s="9" t="b">
        <f t="shared" si="118"/>
        <v>0</v>
      </c>
      <c r="AX770" s="9" t="str">
        <f t="shared" si="119"/>
        <v>Yes</v>
      </c>
      <c r="AY770" s="9" t="str">
        <f t="shared" si="95"/>
        <v/>
      </c>
      <c r="AZ770" s="9" t="str">
        <f>IF(OR(G770="Missing date",G770="Invalid date",G770="Ship date before order date",NOT(ISNUMBER(AP770)),AP770&lt;0,AP770&gt;0.5,AV770=TRUE,AW770=TRUE),"Invalid",IF(OR(O770="Unknown",Z770="Unknown",AC770="",AH770&lt;&gt;"Paid",AJ770&lt;&gt;"Completed",AO770&lt;&gt;""),"Warning","Clean"))</f>
        <v>Clean</v>
      </c>
    </row>
    <row r="771" spans="1:52" ht="15.75" customHeight="1">
      <c r="A771" s="6" t="s">
        <v>3660</v>
      </c>
      <c r="B771" s="7" t="s">
        <v>3661</v>
      </c>
      <c r="C771" s="7" t="str">
        <f t="shared" si="120"/>
        <v>2024-05</v>
      </c>
      <c r="D771" s="7" cm="1">
        <f t="array" ref="D771">_xlfn.LET(_xlpm.x,B771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45423</v>
      </c>
      <c r="E771" s="7" t="s">
        <v>2106</v>
      </c>
      <c r="F771" s="7" cm="1">
        <f t="array" ref="F771">_xlfn.LET(_xlpm.x,E771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45425</v>
      </c>
      <c r="G771" s="8" t="str">
        <f t="shared" si="96"/>
        <v>OK</v>
      </c>
      <c r="H771" s="6">
        <f t="shared" si="97"/>
        <v>2</v>
      </c>
      <c r="I771" s="6" t="s">
        <v>3662</v>
      </c>
      <c r="J771" s="6" t="s">
        <v>220</v>
      </c>
      <c r="K771" s="6" t="str">
        <f t="shared" si="98"/>
        <v>Priya Menon</v>
      </c>
      <c r="L771" s="6" t="s">
        <v>44</v>
      </c>
      <c r="M771" s="8" t="str">
        <f t="shared" si="99"/>
        <v>Home Office</v>
      </c>
      <c r="N771" s="6" t="s">
        <v>9</v>
      </c>
      <c r="O771" s="6" t="str">
        <f t="shared" si="100"/>
        <v>West</v>
      </c>
      <c r="P771" s="6" t="s">
        <v>323</v>
      </c>
      <c r="Q771" s="6" t="str">
        <f t="shared" si="101"/>
        <v>Goa</v>
      </c>
      <c r="R771" s="6" t="s">
        <v>324</v>
      </c>
      <c r="S771" s="6" t="str">
        <f t="shared" si="102"/>
        <v>Panaji</v>
      </c>
      <c r="T771" s="6" t="s">
        <v>14</v>
      </c>
      <c r="U771" s="8" t="str">
        <f t="shared" si="103"/>
        <v>Furniture</v>
      </c>
      <c r="V771" s="6" t="s">
        <v>15</v>
      </c>
      <c r="W771" s="6" t="str">
        <f t="shared" si="104"/>
        <v>Bookcases</v>
      </c>
      <c r="X771" s="6" t="s">
        <v>3663</v>
      </c>
      <c r="Y771" s="6" t="s">
        <v>37</v>
      </c>
      <c r="Z771" s="6" t="str">
        <f t="shared" si="105"/>
        <v>Same Day</v>
      </c>
      <c r="AA771" s="6">
        <v>3</v>
      </c>
      <c r="AB771" s="6">
        <v>3612.75</v>
      </c>
      <c r="AC771" s="6">
        <v>0.25</v>
      </c>
      <c r="AD771" s="6">
        <v>8128.69</v>
      </c>
      <c r="AE771" s="6">
        <v>5071.66</v>
      </c>
      <c r="AF771" s="6">
        <v>3057.03</v>
      </c>
      <c r="AG771" s="6" t="s">
        <v>52</v>
      </c>
      <c r="AH771" s="6" t="str">
        <f t="shared" si="106"/>
        <v>Paid</v>
      </c>
      <c r="AI771" s="6" t="s">
        <v>134</v>
      </c>
      <c r="AJ771" s="6" t="str">
        <f t="shared" si="107"/>
        <v>Completed</v>
      </c>
      <c r="AK771" s="9" t="str">
        <f>_xlfn.TEXTJOIN("|",FALSE,A771,TEXT(B771,"mm-dd-yyyy"),TEXT(E771,"mm-dd-yyyy"),I771,J771,L771,N771,P771,R771,T771,V771,X771,Y771,AA771,AB771,AC771,AD771,AE771,AF771,AG771,AI771)</f>
        <v>ORD-2024-10770|05-11-2024|05-13-2024|CUST-1293|Priya Menon|Home Office|West|Goa|Panaji|Furniture|Bookcases|Classic Bookcases 922|Same Day|3|3612.75|0.25|8128.69|5071.66|3057.03|Paid|Completed</v>
      </c>
      <c r="AL771" s="27" t="str">
        <f>IF(COUNTIF($AK$2:AK771,AK771)&gt;1,"Remove exact duplicate copy","Keep")</f>
        <v>Keep</v>
      </c>
      <c r="AM771" s="9">
        <f t="shared" si="108"/>
        <v>1</v>
      </c>
      <c r="AN771" s="9" t="str">
        <f t="shared" si="109"/>
        <v>Unique</v>
      </c>
      <c r="AO771" s="9" t="str">
        <f t="shared" si="110"/>
        <v/>
      </c>
      <c r="AP771" s="9">
        <f t="shared" si="111"/>
        <v>0.25</v>
      </c>
      <c r="AQ771" s="10">
        <f t="shared" si="112"/>
        <v>8128.6875</v>
      </c>
      <c r="AR771" s="10">
        <f t="shared" si="113"/>
        <v>3057.0275000000001</v>
      </c>
      <c r="AS771" s="11">
        <f t="shared" si="114"/>
        <v>0.3760788565189645</v>
      </c>
      <c r="AT771" s="9">
        <f t="shared" si="115"/>
        <v>5</v>
      </c>
      <c r="AU771" s="9">
        <f t="shared" si="116"/>
        <v>2024</v>
      </c>
      <c r="AV771" s="9" t="b">
        <f t="shared" si="117"/>
        <v>0</v>
      </c>
      <c r="AW771" s="9" t="b">
        <f t="shared" si="118"/>
        <v>0</v>
      </c>
      <c r="AX771" s="9" t="str">
        <f t="shared" si="119"/>
        <v>Yes</v>
      </c>
      <c r="AY771" s="9" t="str">
        <f t="shared" ref="AY771:AY834" si="121">_xlfn.TEXTJOIN("; ",TRUE,IF(O771="Unknown","Missing region filled as Unknown",""),IF(Z771="Unknown","Missing ship mode filled as Unknown",""),IF(AND(AC771="",AP771=0),"Missing discount treated as 0",""),IF(AP771&lt;0,"Negative discount",""),IF(AP771&gt;0.5,"Discount above 50%",""),IF(G771="Ship date before order date","Ship date before order date",""),IF(AH771="Failed","Failed payment excluded",""),IF(AH771="Refunded","Refunded order summarized separately",""),IF(AJ771="Cancelled","Cancelled order excluded",""),IF(AJ771="Returned","Returned order excluded",""),IF(AO771&lt;&gt;"","Duplicate order ID conflict",""),IF(AV771=TRUE,"Sales mismatch",""),IF(AW771=TRUE,"Profit mismatch",""))</f>
        <v/>
      </c>
      <c r="AZ771" s="9" t="str">
        <f>IF(OR(G771="Missing date",G771="Invalid date",G771="Ship date before order date",NOT(ISNUMBER(AP771)),AP771&lt;0,AP771&gt;0.5,AV771=TRUE,AW771=TRUE),"Invalid",IF(OR(O771="Unknown",Z771="Unknown",AC771="",AH771&lt;&gt;"Paid",AJ771&lt;&gt;"Completed",AO771&lt;&gt;""),"Warning","Clean"))</f>
        <v>Clean</v>
      </c>
    </row>
    <row r="772" spans="1:52" ht="15.75" customHeight="1">
      <c r="A772" s="6" t="s">
        <v>3664</v>
      </c>
      <c r="B772" s="7" t="s">
        <v>2397</v>
      </c>
      <c r="C772" s="7" t="str">
        <f t="shared" si="120"/>
        <v>2024-02</v>
      </c>
      <c r="D772" s="7" cm="1">
        <f t="array" ref="D772">_xlfn.LET(_xlpm.x,B772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45337</v>
      </c>
      <c r="E772" s="7" t="s">
        <v>2856</v>
      </c>
      <c r="F772" s="7" cm="1">
        <f t="array" ref="F772">_xlfn.LET(_xlpm.x,E772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45339</v>
      </c>
      <c r="G772" s="8" t="str">
        <f t="shared" si="96"/>
        <v>OK</v>
      </c>
      <c r="H772" s="6">
        <f t="shared" si="97"/>
        <v>2</v>
      </c>
      <c r="I772" s="6" t="s">
        <v>3665</v>
      </c>
      <c r="J772" s="6" t="s">
        <v>177</v>
      </c>
      <c r="K772" s="6" t="str">
        <f t="shared" si="98"/>
        <v>Neha Gupta</v>
      </c>
      <c r="L772" s="6" t="s">
        <v>43</v>
      </c>
      <c r="M772" s="8" t="str">
        <f t="shared" si="99"/>
        <v>Consumer</v>
      </c>
      <c r="N772" s="6" t="s">
        <v>7</v>
      </c>
      <c r="O772" s="6" t="str">
        <f t="shared" si="100"/>
        <v>North</v>
      </c>
      <c r="P772" s="6" t="s">
        <v>251</v>
      </c>
      <c r="Q772" s="6" t="str">
        <f t="shared" si="101"/>
        <v>Uttar Pradesh</v>
      </c>
      <c r="R772" s="6" t="s">
        <v>252</v>
      </c>
      <c r="S772" s="6" t="str">
        <f t="shared" si="102"/>
        <v>Noida</v>
      </c>
      <c r="T772" s="6" t="s">
        <v>27</v>
      </c>
      <c r="U772" s="8" t="str">
        <f t="shared" si="103"/>
        <v>Technology</v>
      </c>
      <c r="V772" s="6" t="s">
        <v>29</v>
      </c>
      <c r="W772" s="6" t="str">
        <f t="shared" si="104"/>
        <v>Copiers</v>
      </c>
      <c r="X772" s="6" t="s">
        <v>3666</v>
      </c>
      <c r="Y772" s="6" t="s">
        <v>35</v>
      </c>
      <c r="Z772" s="6" t="str">
        <f t="shared" si="105"/>
        <v>First Class</v>
      </c>
      <c r="AA772" s="6">
        <v>4</v>
      </c>
      <c r="AB772" s="6">
        <v>863</v>
      </c>
      <c r="AC772" s="6"/>
      <c r="AD772" s="6">
        <v>3106.8</v>
      </c>
      <c r="AE772" s="6">
        <v>2376.62</v>
      </c>
      <c r="AF772" s="6">
        <v>730.18</v>
      </c>
      <c r="AG772" s="6" t="s">
        <v>52</v>
      </c>
      <c r="AH772" s="6" t="str">
        <f t="shared" si="106"/>
        <v>Paid</v>
      </c>
      <c r="AI772" s="6" t="s">
        <v>134</v>
      </c>
      <c r="AJ772" s="6" t="str">
        <f t="shared" si="107"/>
        <v>Completed</v>
      </c>
      <c r="AK772" s="9" t="str">
        <f>_xlfn.TEXTJOIN("|",FALSE,A772,TEXT(B772,"mm-dd-yyyy"),TEXT(E772,"mm-dd-yyyy"),I772,J772,L772,N772,P772,R772,T772,V772,X772,Y772,AA772,AB772,AC772,AD772,AE772,AF772,AG772,AI772)</f>
        <v>ORD-2024-10771|02-15-2024|17-02-2024|CUST-8384|Neha Gupta|Consumer|North|Uttar Pradesh|Noida|Technology|Copiers|Eco Copiers 396|First Class|4|863||3106.8|2376.62|730.18|Paid|Completed</v>
      </c>
      <c r="AL772" s="27" t="str">
        <f>IF(COUNTIF($AK$2:AK772,AK772)&gt;1,"Remove exact duplicate copy","Keep")</f>
        <v>Keep</v>
      </c>
      <c r="AM772" s="9">
        <f t="shared" si="108"/>
        <v>1</v>
      </c>
      <c r="AN772" s="9" t="str">
        <f t="shared" si="109"/>
        <v>Unique</v>
      </c>
      <c r="AO772" s="9" t="str">
        <f t="shared" si="110"/>
        <v/>
      </c>
      <c r="AP772" s="9">
        <f t="shared" si="111"/>
        <v>0</v>
      </c>
      <c r="AQ772" s="10">
        <f t="shared" si="112"/>
        <v>3452</v>
      </c>
      <c r="AR772" s="10">
        <f t="shared" si="113"/>
        <v>1075.3800000000001</v>
      </c>
      <c r="AS772" s="11">
        <f t="shared" si="114"/>
        <v>0.3115237543453071</v>
      </c>
      <c r="AT772" s="9">
        <f t="shared" si="115"/>
        <v>2</v>
      </c>
      <c r="AU772" s="9">
        <f t="shared" si="116"/>
        <v>2024</v>
      </c>
      <c r="AV772" s="9" t="b">
        <f t="shared" si="117"/>
        <v>1</v>
      </c>
      <c r="AW772" s="9" t="b">
        <f t="shared" si="118"/>
        <v>1</v>
      </c>
      <c r="AX772" s="9" t="str">
        <f t="shared" si="119"/>
        <v>No</v>
      </c>
      <c r="AY772" s="9" t="str">
        <f t="shared" si="121"/>
        <v>Missing discount treated as 0; Sales mismatch; Profit mismatch</v>
      </c>
      <c r="AZ772" s="9" t="str">
        <f>IF(OR(G772="Missing date",G772="Invalid date",G772="Ship date before order date",NOT(ISNUMBER(AP772)),AP772&lt;0,AP772&gt;0.5,AV772=TRUE,AW772=TRUE),"Invalid",IF(OR(O772="Unknown",Z772="Unknown",AC772="",AH772&lt;&gt;"Paid",AJ772&lt;&gt;"Completed",AO772&lt;&gt;""),"Warning","Clean"))</f>
        <v>Invalid</v>
      </c>
    </row>
    <row r="773" spans="1:52" ht="15.75" customHeight="1">
      <c r="A773" s="6" t="s">
        <v>3667</v>
      </c>
      <c r="B773" s="7" t="s">
        <v>3668</v>
      </c>
      <c r="C773" s="7" t="str">
        <f t="shared" si="120"/>
        <v>2024-07</v>
      </c>
      <c r="D773" s="7" cm="1">
        <f t="array" ref="D773">_xlfn.LET(_xlpm.x,B773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45485</v>
      </c>
      <c r="E773" s="7" t="s">
        <v>2716</v>
      </c>
      <c r="F773" s="7" cm="1">
        <f t="array" ref="F773">_xlfn.LET(_xlpm.x,E773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45487</v>
      </c>
      <c r="G773" s="8" t="str">
        <f t="shared" si="96"/>
        <v>OK</v>
      </c>
      <c r="H773" s="6">
        <f t="shared" si="97"/>
        <v>2</v>
      </c>
      <c r="I773" s="6" t="s">
        <v>771</v>
      </c>
      <c r="J773" s="6" t="s">
        <v>161</v>
      </c>
      <c r="K773" s="6" t="str">
        <f t="shared" si="98"/>
        <v>Ananya Rao</v>
      </c>
      <c r="L773" s="6" t="s">
        <v>43</v>
      </c>
      <c r="M773" s="8" t="str">
        <f t="shared" si="99"/>
        <v>Consumer</v>
      </c>
      <c r="N773" s="6" t="s">
        <v>7</v>
      </c>
      <c r="O773" s="6" t="str">
        <f t="shared" si="100"/>
        <v>North</v>
      </c>
      <c r="P773" s="6" t="s">
        <v>397</v>
      </c>
      <c r="Q773" s="6" t="str">
        <f t="shared" si="101"/>
        <v>Haryana</v>
      </c>
      <c r="R773" s="6" t="s">
        <v>398</v>
      </c>
      <c r="S773" s="6" t="str">
        <f t="shared" si="102"/>
        <v>Gurugram</v>
      </c>
      <c r="T773" s="6" t="s">
        <v>27</v>
      </c>
      <c r="U773" s="8" t="str">
        <f t="shared" si="103"/>
        <v>Technology</v>
      </c>
      <c r="V773" s="6" t="s">
        <v>30</v>
      </c>
      <c r="W773" s="6" t="str">
        <f t="shared" si="104"/>
        <v>Machines</v>
      </c>
      <c r="X773" s="6" t="s">
        <v>3669</v>
      </c>
      <c r="Y773" s="6" t="s">
        <v>36</v>
      </c>
      <c r="Z773" s="6" t="str">
        <f t="shared" si="105"/>
        <v>Second Class</v>
      </c>
      <c r="AA773" s="6">
        <v>4</v>
      </c>
      <c r="AB773" s="6">
        <v>2131.41</v>
      </c>
      <c r="AC773" s="6"/>
      <c r="AD773" s="6">
        <v>6394.23</v>
      </c>
      <c r="AE773" s="6">
        <v>3520.69</v>
      </c>
      <c r="AF773" s="6">
        <v>2873.54</v>
      </c>
      <c r="AG773" s="6" t="s">
        <v>52</v>
      </c>
      <c r="AH773" s="6" t="str">
        <f t="shared" si="106"/>
        <v>Paid</v>
      </c>
      <c r="AI773" s="6" t="s">
        <v>134</v>
      </c>
      <c r="AJ773" s="6" t="str">
        <f t="shared" si="107"/>
        <v>Completed</v>
      </c>
      <c r="AK773" s="9" t="str">
        <f>_xlfn.TEXTJOIN("|",FALSE,A773,TEXT(B773,"mm-dd-yyyy"),TEXT(E773,"mm-dd-yyyy"),I773,J773,L773,N773,P773,R773,T773,V773,X773,Y773,AA773,AB773,AC773,AD773,AE773,AF773,AG773,AI773)</f>
        <v>ORD-2024-10772|07-12-2024|07-14-2024|CUST-7861|Ananya Rao|Consumer|North|Haryana|Gurugram|Technology|Machines|Basic Machines 401|Second Class|4|2131.41||6394.23|3520.69|2873.54|Paid|Completed</v>
      </c>
      <c r="AL773" s="27" t="str">
        <f>IF(COUNTIF($AK$2:AK773,AK773)&gt;1,"Remove exact duplicate copy","Keep")</f>
        <v>Keep</v>
      </c>
      <c r="AM773" s="9">
        <f t="shared" si="108"/>
        <v>1</v>
      </c>
      <c r="AN773" s="9" t="str">
        <f t="shared" si="109"/>
        <v>Unique</v>
      </c>
      <c r="AO773" s="9" t="str">
        <f t="shared" si="110"/>
        <v/>
      </c>
      <c r="AP773" s="9">
        <f t="shared" si="111"/>
        <v>0</v>
      </c>
      <c r="AQ773" s="10">
        <f t="shared" si="112"/>
        <v>8525.64</v>
      </c>
      <c r="AR773" s="10">
        <f t="shared" si="113"/>
        <v>5004.9499999999989</v>
      </c>
      <c r="AS773" s="11">
        <f t="shared" si="114"/>
        <v>0.58704683753946907</v>
      </c>
      <c r="AT773" s="9">
        <f t="shared" si="115"/>
        <v>7</v>
      </c>
      <c r="AU773" s="9">
        <f t="shared" si="116"/>
        <v>2024</v>
      </c>
      <c r="AV773" s="9" t="b">
        <f t="shared" si="117"/>
        <v>1</v>
      </c>
      <c r="AW773" s="9" t="b">
        <f t="shared" si="118"/>
        <v>1</v>
      </c>
      <c r="AX773" s="9" t="str">
        <f t="shared" si="119"/>
        <v>No</v>
      </c>
      <c r="AY773" s="9" t="str">
        <f t="shared" si="121"/>
        <v>Missing discount treated as 0; Sales mismatch; Profit mismatch</v>
      </c>
      <c r="AZ773" s="9" t="str">
        <f>IF(OR(G773="Missing date",G773="Invalid date",G773="Ship date before order date",NOT(ISNUMBER(AP773)),AP773&lt;0,AP773&gt;0.5,AV773=TRUE,AW773=TRUE),"Invalid",IF(OR(O773="Unknown",Z773="Unknown",AC773="",AH773&lt;&gt;"Paid",AJ773&lt;&gt;"Completed",AO773&lt;&gt;""),"Warning","Clean"))</f>
        <v>Invalid</v>
      </c>
    </row>
    <row r="774" spans="1:52" ht="15.75" customHeight="1">
      <c r="A774" s="6" t="s">
        <v>3670</v>
      </c>
      <c r="B774" s="7" t="s">
        <v>248</v>
      </c>
      <c r="C774" s="7" t="str">
        <f t="shared" si="120"/>
        <v>2025-07</v>
      </c>
      <c r="D774" s="7" cm="1">
        <f t="array" ref="D774">_xlfn.LET(_xlpm.x,B774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45853</v>
      </c>
      <c r="E774" s="7" t="s">
        <v>1658</v>
      </c>
      <c r="F774" s="7" cm="1">
        <f t="array" ref="F774">_xlfn.LET(_xlpm.x,E774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45857</v>
      </c>
      <c r="G774" s="8" t="str">
        <f t="shared" si="96"/>
        <v>OK</v>
      </c>
      <c r="H774" s="6">
        <f t="shared" si="97"/>
        <v>4</v>
      </c>
      <c r="I774" s="6" t="s">
        <v>3671</v>
      </c>
      <c r="J774" s="6" t="s">
        <v>284</v>
      </c>
      <c r="K774" s="6" t="str">
        <f t="shared" si="98"/>
        <v>Diya Patel</v>
      </c>
      <c r="L774" s="6" t="s">
        <v>43</v>
      </c>
      <c r="M774" s="8" t="str">
        <f t="shared" si="99"/>
        <v>Consumer</v>
      </c>
      <c r="N774" s="6" t="s">
        <v>10</v>
      </c>
      <c r="O774" s="6" t="str">
        <f t="shared" si="100"/>
        <v>South</v>
      </c>
      <c r="P774" s="6" t="s">
        <v>413</v>
      </c>
      <c r="Q774" s="6" t="str">
        <f t="shared" si="101"/>
        <v>Tamil Nadu</v>
      </c>
      <c r="R774" s="6" t="s">
        <v>414</v>
      </c>
      <c r="S774" s="6" t="str">
        <f t="shared" si="102"/>
        <v>Chennai</v>
      </c>
      <c r="T774" s="6" t="s">
        <v>14</v>
      </c>
      <c r="U774" s="8" t="str">
        <f t="shared" si="103"/>
        <v>Furniture</v>
      </c>
      <c r="V774" s="6" t="s">
        <v>16</v>
      </c>
      <c r="W774" s="6" t="str">
        <f t="shared" si="104"/>
        <v>Chairs</v>
      </c>
      <c r="X774" s="6" t="s">
        <v>3672</v>
      </c>
      <c r="Y774" s="6" t="s">
        <v>37</v>
      </c>
      <c r="Z774" s="6" t="str">
        <f t="shared" si="105"/>
        <v>Same Day</v>
      </c>
      <c r="AA774" s="6">
        <v>1</v>
      </c>
      <c r="AB774" s="6">
        <v>3903.22</v>
      </c>
      <c r="AC774" s="6">
        <v>0.05</v>
      </c>
      <c r="AD774" s="6">
        <v>3708.06</v>
      </c>
      <c r="AE774" s="6">
        <v>2760.29</v>
      </c>
      <c r="AF774" s="6">
        <v>947.77</v>
      </c>
      <c r="AG774" s="6" t="s">
        <v>54</v>
      </c>
      <c r="AH774" s="6" t="str">
        <f t="shared" si="106"/>
        <v>Pending</v>
      </c>
      <c r="AI774" s="6" t="s">
        <v>58</v>
      </c>
      <c r="AJ774" s="6" t="str">
        <f t="shared" si="107"/>
        <v>Cancelled</v>
      </c>
      <c r="AK774" s="9" t="str">
        <f>_xlfn.TEXTJOIN("|",FALSE,A774,TEXT(B774,"mm-dd-yyyy"),TEXT(E774,"mm-dd-yyyy"),I774,J774,L774,N774,P774,R774,T774,V774,X774,Y774,AA774,AB774,AC774,AD774,AE774,AF774,AG774,AI774)</f>
        <v>ORD-2025-10773|07-15-2025|07-19-2025|CUST-8422|Diya Patel|Consumer|South|Tamil Nadu|Chennai|Furniture|Chairs|Basic Chairs 279|Same Day|1|3903.22|0.05|3708.06|2760.29|947.77|Pending|Cancelled</v>
      </c>
      <c r="AL774" s="27" t="str">
        <f>IF(COUNTIF($AK$2:AK774,AK774)&gt;1,"Remove exact duplicate copy","Keep")</f>
        <v>Keep</v>
      </c>
      <c r="AM774" s="9">
        <f t="shared" si="108"/>
        <v>1</v>
      </c>
      <c r="AN774" s="9" t="str">
        <f t="shared" si="109"/>
        <v>Unique</v>
      </c>
      <c r="AO774" s="9" t="str">
        <f t="shared" si="110"/>
        <v/>
      </c>
      <c r="AP774" s="9">
        <f t="shared" si="111"/>
        <v>0.05</v>
      </c>
      <c r="AQ774" s="10">
        <f t="shared" si="112"/>
        <v>3708.0589999999997</v>
      </c>
      <c r="AR774" s="10">
        <f t="shared" si="113"/>
        <v>947.76899999999978</v>
      </c>
      <c r="AS774" s="11">
        <f t="shared" si="114"/>
        <v>0.25559706574248142</v>
      </c>
      <c r="AT774" s="9">
        <f t="shared" si="115"/>
        <v>7</v>
      </c>
      <c r="AU774" s="9">
        <f t="shared" si="116"/>
        <v>2025</v>
      </c>
      <c r="AV774" s="9" t="b">
        <f t="shared" si="117"/>
        <v>0</v>
      </c>
      <c r="AW774" s="9" t="b">
        <f t="shared" si="118"/>
        <v>0</v>
      </c>
      <c r="AX774" s="9" t="str">
        <f t="shared" si="119"/>
        <v>No</v>
      </c>
      <c r="AY774" s="9" t="str">
        <f t="shared" si="121"/>
        <v>Cancelled order excluded</v>
      </c>
      <c r="AZ774" s="9" t="str">
        <f>IF(OR(G774="Missing date",G774="Invalid date",G774="Ship date before order date",NOT(ISNUMBER(AP774)),AP774&lt;0,AP774&gt;0.5,AV774=TRUE,AW774=TRUE),"Invalid",IF(OR(O774="Unknown",Z774="Unknown",AC774="",AH774&lt;&gt;"Paid",AJ774&lt;&gt;"Completed",AO774&lt;&gt;""),"Warning","Clean"))</f>
        <v>Warning</v>
      </c>
    </row>
    <row r="775" spans="1:52" ht="15.75" customHeight="1">
      <c r="A775" s="6" t="s">
        <v>3673</v>
      </c>
      <c r="B775" s="7" t="s">
        <v>3674</v>
      </c>
      <c r="C775" s="7" t="str">
        <f t="shared" si="120"/>
        <v>2025-02</v>
      </c>
      <c r="D775" s="7" cm="1">
        <f t="array" ref="D775">_xlfn.LET(_xlpm.x,B775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45709</v>
      </c>
      <c r="E775" s="7" t="s">
        <v>3675</v>
      </c>
      <c r="F775" s="7" cm="1">
        <f t="array" ref="F775">_xlfn.LET(_xlpm.x,E775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45709</v>
      </c>
      <c r="G775" s="8" t="str">
        <f t="shared" si="96"/>
        <v>OK</v>
      </c>
      <c r="H775" s="6">
        <f t="shared" si="97"/>
        <v>0</v>
      </c>
      <c r="I775" s="6" t="s">
        <v>3676</v>
      </c>
      <c r="J775" s="6" t="s">
        <v>129</v>
      </c>
      <c r="K775" s="6" t="str">
        <f t="shared" si="98"/>
        <v>Karan Malhotra</v>
      </c>
      <c r="L775" s="6" t="s">
        <v>44</v>
      </c>
      <c r="M775" s="8" t="str">
        <f t="shared" si="99"/>
        <v>Home Office</v>
      </c>
      <c r="N775" s="6" t="s">
        <v>9</v>
      </c>
      <c r="O775" s="6" t="str">
        <f t="shared" si="100"/>
        <v>West</v>
      </c>
      <c r="P775" s="6" t="s">
        <v>309</v>
      </c>
      <c r="Q775" s="6" t="str">
        <f t="shared" si="101"/>
        <v>Gujarat</v>
      </c>
      <c r="R775" s="6" t="s">
        <v>310</v>
      </c>
      <c r="S775" s="6" t="str">
        <f t="shared" si="102"/>
        <v>Ahmedabad</v>
      </c>
      <c r="T775" s="6" t="s">
        <v>27</v>
      </c>
      <c r="U775" s="8" t="str">
        <f t="shared" si="103"/>
        <v>Technology</v>
      </c>
      <c r="V775" s="6" t="s">
        <v>31</v>
      </c>
      <c r="W775" s="6" t="str">
        <f t="shared" si="104"/>
        <v>Phones</v>
      </c>
      <c r="X775" s="6" t="s">
        <v>3677</v>
      </c>
      <c r="Y775" s="6"/>
      <c r="Z775" s="6" t="str">
        <f t="shared" si="105"/>
        <v>Unknown</v>
      </c>
      <c r="AA775" s="6">
        <v>4</v>
      </c>
      <c r="AB775" s="6">
        <v>2945.07</v>
      </c>
      <c r="AC775" s="6">
        <v>0.2</v>
      </c>
      <c r="AD775" s="6">
        <v>9424.2199999999993</v>
      </c>
      <c r="AE775" s="6">
        <v>6178.92</v>
      </c>
      <c r="AF775" s="6">
        <v>3245.3</v>
      </c>
      <c r="AG775" s="6" t="s">
        <v>52</v>
      </c>
      <c r="AH775" s="6" t="str">
        <f t="shared" si="106"/>
        <v>Paid</v>
      </c>
      <c r="AI775" s="6" t="s">
        <v>134</v>
      </c>
      <c r="AJ775" s="6" t="str">
        <f t="shared" si="107"/>
        <v>Completed</v>
      </c>
      <c r="AK775" s="9" t="str">
        <f>_xlfn.TEXTJOIN("|",FALSE,A775,TEXT(B775,"mm-dd-yyyy"),TEXT(E775,"mm-dd-yyyy"),I775,J775,L775,N775,P775,R775,T775,V775,X775,Y775,AA775,AB775,AC775,AD775,AE775,AF775,AG775,AI775)</f>
        <v>ORD-2025-10774|02-21-2025|02-21-2025|CUST-4766|Karan Malhotra|Home Office|West|Gujarat|Ahmedabad|Technology|Phones|Basic Phones 753||4|2945.07|0.2|9424.22|6178.92|3245.3|Paid|Completed</v>
      </c>
      <c r="AL775" s="27" t="str">
        <f>IF(COUNTIF($AK$2:AK775,AK775)&gt;1,"Remove exact duplicate copy","Keep")</f>
        <v>Keep</v>
      </c>
      <c r="AM775" s="9">
        <f t="shared" si="108"/>
        <v>1</v>
      </c>
      <c r="AN775" s="9" t="str">
        <f t="shared" si="109"/>
        <v>Unique</v>
      </c>
      <c r="AO775" s="9" t="str">
        <f t="shared" si="110"/>
        <v/>
      </c>
      <c r="AP775" s="9">
        <f t="shared" si="111"/>
        <v>0.2</v>
      </c>
      <c r="AQ775" s="10">
        <f t="shared" si="112"/>
        <v>9424.2240000000002</v>
      </c>
      <c r="AR775" s="10">
        <f t="shared" si="113"/>
        <v>3245.3040000000001</v>
      </c>
      <c r="AS775" s="11">
        <f t="shared" si="114"/>
        <v>0.3443576892909167</v>
      </c>
      <c r="AT775" s="9">
        <f t="shared" si="115"/>
        <v>2</v>
      </c>
      <c r="AU775" s="9">
        <f t="shared" si="116"/>
        <v>2025</v>
      </c>
      <c r="AV775" s="9" t="b">
        <f t="shared" si="117"/>
        <v>0</v>
      </c>
      <c r="AW775" s="9" t="b">
        <f t="shared" si="118"/>
        <v>0</v>
      </c>
      <c r="AX775" s="9" t="str">
        <f t="shared" si="119"/>
        <v>Yes</v>
      </c>
      <c r="AY775" s="9" t="str">
        <f t="shared" si="121"/>
        <v>Missing ship mode filled as Unknown</v>
      </c>
      <c r="AZ775" s="9" t="str">
        <f>IF(OR(G775="Missing date",G775="Invalid date",G775="Ship date before order date",NOT(ISNUMBER(AP775)),AP775&lt;0,AP775&gt;0.5,AV775=TRUE,AW775=TRUE),"Invalid",IF(OR(O775="Unknown",Z775="Unknown",AC775="",AH775&lt;&gt;"Paid",AJ775&lt;&gt;"Completed",AO775&lt;&gt;""),"Warning","Clean"))</f>
        <v>Warning</v>
      </c>
    </row>
    <row r="776" spans="1:52" ht="15.75" customHeight="1">
      <c r="A776" s="6" t="s">
        <v>3678</v>
      </c>
      <c r="B776" s="7" t="s">
        <v>3679</v>
      </c>
      <c r="C776" s="7" t="str">
        <f t="shared" si="120"/>
        <v>2025-08</v>
      </c>
      <c r="D776" s="7" cm="1">
        <f t="array" ref="D776">_xlfn.LET(_xlpm.x,B776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45876</v>
      </c>
      <c r="E776" s="7" t="s">
        <v>1886</v>
      </c>
      <c r="F776" s="7" cm="1">
        <f t="array" ref="F776">_xlfn.LET(_xlpm.x,E776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45876</v>
      </c>
      <c r="G776" s="8" t="str">
        <f t="shared" si="96"/>
        <v>OK</v>
      </c>
      <c r="H776" s="6">
        <f t="shared" si="97"/>
        <v>0</v>
      </c>
      <c r="I776" s="6" t="s">
        <v>3680</v>
      </c>
      <c r="J776" s="6" t="s">
        <v>442</v>
      </c>
      <c r="K776" s="6" t="str">
        <f t="shared" si="98"/>
        <v>Kabir Singh</v>
      </c>
      <c r="L776" s="6" t="s">
        <v>43</v>
      </c>
      <c r="M776" s="8" t="str">
        <f t="shared" si="99"/>
        <v>Consumer</v>
      </c>
      <c r="N776" s="6" t="s">
        <v>9</v>
      </c>
      <c r="O776" s="6" t="str">
        <f t="shared" si="100"/>
        <v>West</v>
      </c>
      <c r="P776" s="6" t="s">
        <v>131</v>
      </c>
      <c r="Q776" s="6" t="str">
        <f t="shared" si="101"/>
        <v>Rajasthan</v>
      </c>
      <c r="R776" s="6" t="s">
        <v>214</v>
      </c>
      <c r="S776" s="6" t="str">
        <f t="shared" si="102"/>
        <v>Udaipur</v>
      </c>
      <c r="T776" s="6" t="s">
        <v>27</v>
      </c>
      <c r="U776" s="8" t="str">
        <f t="shared" si="103"/>
        <v>Technology</v>
      </c>
      <c r="V776" s="6" t="s">
        <v>30</v>
      </c>
      <c r="W776" s="6" t="str">
        <f t="shared" si="104"/>
        <v>Machines</v>
      </c>
      <c r="X776" s="6" t="s">
        <v>3681</v>
      </c>
      <c r="Y776" s="6"/>
      <c r="Z776" s="6" t="str">
        <f t="shared" si="105"/>
        <v>Unknown</v>
      </c>
      <c r="AA776" s="6">
        <v>9</v>
      </c>
      <c r="AB776" s="6">
        <v>1076.75</v>
      </c>
      <c r="AC776" s="6">
        <v>0.2</v>
      </c>
      <c r="AD776" s="6">
        <v>7752.6</v>
      </c>
      <c r="AE776" s="6">
        <v>4689.3</v>
      </c>
      <c r="AF776" s="6">
        <v>3063.3</v>
      </c>
      <c r="AG776" s="6" t="s">
        <v>52</v>
      </c>
      <c r="AH776" s="6" t="str">
        <f t="shared" si="106"/>
        <v>Paid</v>
      </c>
      <c r="AI776" s="6" t="s">
        <v>134</v>
      </c>
      <c r="AJ776" s="6" t="str">
        <f t="shared" si="107"/>
        <v>Completed</v>
      </c>
      <c r="AK776" s="9" t="str">
        <f>_xlfn.TEXTJOIN("|",FALSE,A776,TEXT(B776,"mm-dd-yyyy"),TEXT(E776,"mm-dd-yyyy"),I776,J776,L776,N776,P776,R776,T776,V776,X776,Y776,AA776,AB776,AC776,AD776,AE776,AF776,AG776,AI776)</f>
        <v>ORD-2025-10775|07-08-2025|08-07-2025|CUST-1182|Kabir Singh|Consumer|West|Rajasthan|Udaipur|Technology|Machines|Smart Machines 789||9|1076.75|0.2|7752.6|4689.3|3063.3|Paid|Completed</v>
      </c>
      <c r="AL776" s="27" t="str">
        <f>IF(COUNTIF($AK$2:AK776,AK776)&gt;1,"Remove exact duplicate copy","Keep")</f>
        <v>Keep</v>
      </c>
      <c r="AM776" s="9">
        <f t="shared" si="108"/>
        <v>1</v>
      </c>
      <c r="AN776" s="9" t="str">
        <f t="shared" si="109"/>
        <v>Unique</v>
      </c>
      <c r="AO776" s="9" t="str">
        <f t="shared" si="110"/>
        <v/>
      </c>
      <c r="AP776" s="9">
        <f t="shared" si="111"/>
        <v>0.2</v>
      </c>
      <c r="AQ776" s="10">
        <f t="shared" si="112"/>
        <v>7752.6</v>
      </c>
      <c r="AR776" s="10">
        <f t="shared" si="113"/>
        <v>3063.3</v>
      </c>
      <c r="AS776" s="11">
        <f t="shared" si="114"/>
        <v>0.39513195573098059</v>
      </c>
      <c r="AT776" s="9">
        <f t="shared" si="115"/>
        <v>8</v>
      </c>
      <c r="AU776" s="9">
        <f t="shared" si="116"/>
        <v>2025</v>
      </c>
      <c r="AV776" s="9" t="b">
        <f t="shared" si="117"/>
        <v>0</v>
      </c>
      <c r="AW776" s="9" t="b">
        <f t="shared" si="118"/>
        <v>0</v>
      </c>
      <c r="AX776" s="9" t="str">
        <f t="shared" si="119"/>
        <v>Yes</v>
      </c>
      <c r="AY776" s="9" t="str">
        <f t="shared" si="121"/>
        <v>Missing ship mode filled as Unknown</v>
      </c>
      <c r="AZ776" s="9" t="str">
        <f>IF(OR(G776="Missing date",G776="Invalid date",G776="Ship date before order date",NOT(ISNUMBER(AP776)),AP776&lt;0,AP776&gt;0.5,AV776=TRUE,AW776=TRUE),"Invalid",IF(OR(O776="Unknown",Z776="Unknown",AC776="",AH776&lt;&gt;"Paid",AJ776&lt;&gt;"Completed",AO776&lt;&gt;""),"Warning","Clean"))</f>
        <v>Warning</v>
      </c>
    </row>
    <row r="777" spans="1:52" ht="15.75" customHeight="1">
      <c r="A777" s="6" t="s">
        <v>3682</v>
      </c>
      <c r="B777" s="7" t="s">
        <v>3683</v>
      </c>
      <c r="C777" s="7" t="str">
        <f t="shared" si="120"/>
        <v>2024-04</v>
      </c>
      <c r="D777" s="7" cm="1">
        <f t="array" ref="D777">_xlfn.LET(_xlpm.x,B777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45396</v>
      </c>
      <c r="E777" s="7" t="s">
        <v>3684</v>
      </c>
      <c r="F777" s="7" cm="1">
        <f t="array" ref="F777">_xlfn.LET(_xlpm.x,E777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45404</v>
      </c>
      <c r="G777" s="8" t="str">
        <f t="shared" si="96"/>
        <v>OK</v>
      </c>
      <c r="H777" s="6">
        <f t="shared" si="97"/>
        <v>8</v>
      </c>
      <c r="I777" s="6" t="s">
        <v>3685</v>
      </c>
      <c r="J777" s="6" t="s">
        <v>153</v>
      </c>
      <c r="K777" s="6" t="str">
        <f t="shared" si="98"/>
        <v>Arjun Bose</v>
      </c>
      <c r="L777" s="6" t="s">
        <v>43</v>
      </c>
      <c r="M777" s="8" t="str">
        <f t="shared" si="99"/>
        <v>Consumer</v>
      </c>
      <c r="N777" s="6" t="s">
        <v>7</v>
      </c>
      <c r="O777" s="6" t="str">
        <f t="shared" si="100"/>
        <v>North</v>
      </c>
      <c r="P777" s="6" t="s">
        <v>397</v>
      </c>
      <c r="Q777" s="6" t="str">
        <f t="shared" si="101"/>
        <v>Haryana</v>
      </c>
      <c r="R777" s="6" t="s">
        <v>398</v>
      </c>
      <c r="S777" s="6" t="str">
        <f t="shared" si="102"/>
        <v>Gurugram</v>
      </c>
      <c r="T777" s="6" t="s">
        <v>27</v>
      </c>
      <c r="U777" s="8" t="str">
        <f t="shared" si="103"/>
        <v>Technology</v>
      </c>
      <c r="V777" s="6" t="s">
        <v>28</v>
      </c>
      <c r="W777" s="6" t="str">
        <f t="shared" si="104"/>
        <v>Accessories</v>
      </c>
      <c r="X777" s="6" t="s">
        <v>3686</v>
      </c>
      <c r="Y777" s="6" t="s">
        <v>34</v>
      </c>
      <c r="Z777" s="6" t="str">
        <f t="shared" si="105"/>
        <v>Standard Class</v>
      </c>
      <c r="AA777" s="6">
        <v>8</v>
      </c>
      <c r="AB777" s="6">
        <v>3956.12</v>
      </c>
      <c r="AC777" s="6">
        <v>0.25</v>
      </c>
      <c r="AD777" s="6">
        <v>23736.720000000001</v>
      </c>
      <c r="AE777" s="6">
        <v>13890.9</v>
      </c>
      <c r="AF777" s="6">
        <v>9845.82</v>
      </c>
      <c r="AG777" s="6" t="s">
        <v>52</v>
      </c>
      <c r="AH777" s="6" t="str">
        <f t="shared" si="106"/>
        <v>Paid</v>
      </c>
      <c r="AI777" s="6" t="s">
        <v>134</v>
      </c>
      <c r="AJ777" s="6" t="str">
        <f t="shared" si="107"/>
        <v>Completed</v>
      </c>
      <c r="AK777" s="9" t="str">
        <f>_xlfn.TEXTJOIN("|",FALSE,A777,TEXT(B777,"mm-dd-yyyy"),TEXT(E777,"mm-dd-yyyy"),I777,J777,L777,N777,P777,R777,T777,V777,X777,Y777,AA777,AB777,AC777,AD777,AE777,AF777,AG777,AI777)</f>
        <v>ORD-2024-10776|04-14-2024|22-04-2024|CUST-4461|Arjun Bose|Consumer|North|Haryana|Gurugram|Technology|Accessories|Elite Accessories 312|Standard Class|8|3956.12|0.25|23736.72|13890.9|9845.82|Paid|Completed</v>
      </c>
      <c r="AL777" s="27" t="str">
        <f>IF(COUNTIF($AK$2:AK777,AK777)&gt;1,"Remove exact duplicate copy","Keep")</f>
        <v>Keep</v>
      </c>
      <c r="AM777" s="9">
        <f t="shared" si="108"/>
        <v>1</v>
      </c>
      <c r="AN777" s="9" t="str">
        <f t="shared" si="109"/>
        <v>Unique</v>
      </c>
      <c r="AO777" s="9" t="str">
        <f t="shared" si="110"/>
        <v/>
      </c>
      <c r="AP777" s="9">
        <f t="shared" si="111"/>
        <v>0.25</v>
      </c>
      <c r="AQ777" s="10">
        <f t="shared" si="112"/>
        <v>23736.720000000001</v>
      </c>
      <c r="AR777" s="10">
        <f t="shared" si="113"/>
        <v>9845.8200000000015</v>
      </c>
      <c r="AS777" s="11">
        <f t="shared" si="114"/>
        <v>0.41479277676106896</v>
      </c>
      <c r="AT777" s="9">
        <f t="shared" si="115"/>
        <v>4</v>
      </c>
      <c r="AU777" s="9">
        <f t="shared" si="116"/>
        <v>2024</v>
      </c>
      <c r="AV777" s="9" t="b">
        <f t="shared" si="117"/>
        <v>0</v>
      </c>
      <c r="AW777" s="9" t="b">
        <f t="shared" si="118"/>
        <v>0</v>
      </c>
      <c r="AX777" s="9" t="str">
        <f t="shared" si="119"/>
        <v>Yes</v>
      </c>
      <c r="AY777" s="9" t="str">
        <f t="shared" si="121"/>
        <v/>
      </c>
      <c r="AZ777" s="9" t="str">
        <f>IF(OR(G777="Missing date",G777="Invalid date",G777="Ship date before order date",NOT(ISNUMBER(AP777)),AP777&lt;0,AP777&gt;0.5,AV777=TRUE,AW777=TRUE),"Invalid",IF(OR(O777="Unknown",Z777="Unknown",AC777="",AH777&lt;&gt;"Paid",AJ777&lt;&gt;"Completed",AO777&lt;&gt;""),"Warning","Clean"))</f>
        <v>Clean</v>
      </c>
    </row>
    <row r="778" spans="1:52" ht="15.75" customHeight="1">
      <c r="A778" s="6" t="s">
        <v>3687</v>
      </c>
      <c r="B778" s="7" t="s">
        <v>3688</v>
      </c>
      <c r="C778" s="7" t="str">
        <f t="shared" si="120"/>
        <v>2025-06</v>
      </c>
      <c r="D778" s="7" cm="1">
        <f t="array" ref="D778">_xlfn.LET(_xlpm.x,B778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45816</v>
      </c>
      <c r="E778" s="7" t="s">
        <v>2441</v>
      </c>
      <c r="F778" s="7" cm="1">
        <f t="array" ref="F778">_xlfn.LET(_xlpm.x,E778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45821</v>
      </c>
      <c r="G778" s="8" t="str">
        <f t="shared" si="96"/>
        <v>OK</v>
      </c>
      <c r="H778" s="6">
        <f t="shared" si="97"/>
        <v>5</v>
      </c>
      <c r="I778" s="6" t="s">
        <v>3689</v>
      </c>
      <c r="J778" s="6" t="s">
        <v>190</v>
      </c>
      <c r="K778" s="6" t="str">
        <f t="shared" si="98"/>
        <v>Aditi Sen</v>
      </c>
      <c r="L778" s="6" t="s">
        <v>46</v>
      </c>
      <c r="M778" s="8" t="str">
        <f t="shared" si="99"/>
        <v>Small Business</v>
      </c>
      <c r="N778" s="6" t="s">
        <v>7</v>
      </c>
      <c r="O778" s="6" t="str">
        <f t="shared" si="100"/>
        <v>North</v>
      </c>
      <c r="P778" s="6" t="s">
        <v>131</v>
      </c>
      <c r="Q778" s="6" t="str">
        <f t="shared" si="101"/>
        <v>Rajasthan</v>
      </c>
      <c r="R778" s="6" t="s">
        <v>132</v>
      </c>
      <c r="S778" s="6" t="str">
        <f t="shared" si="102"/>
        <v>Jaipur</v>
      </c>
      <c r="T778" s="6" t="s">
        <v>27</v>
      </c>
      <c r="U778" s="8" t="str">
        <f t="shared" si="103"/>
        <v>Technology</v>
      </c>
      <c r="V778" s="6" t="s">
        <v>29</v>
      </c>
      <c r="W778" s="6" t="str">
        <f t="shared" si="104"/>
        <v>Copiers</v>
      </c>
      <c r="X778" s="6" t="s">
        <v>3690</v>
      </c>
      <c r="Y778" s="6" t="s">
        <v>36</v>
      </c>
      <c r="Z778" s="6" t="str">
        <f t="shared" si="105"/>
        <v>Second Class</v>
      </c>
      <c r="AA778" s="6">
        <v>7</v>
      </c>
      <c r="AB778" s="6">
        <v>3857.13</v>
      </c>
      <c r="AC778" s="6">
        <v>0</v>
      </c>
      <c r="AD778" s="6">
        <v>26999.91</v>
      </c>
      <c r="AE778" s="6">
        <v>17815.98</v>
      </c>
      <c r="AF778" s="6">
        <v>9183.93</v>
      </c>
      <c r="AG778" s="6" t="s">
        <v>52</v>
      </c>
      <c r="AH778" s="6" t="str">
        <f t="shared" si="106"/>
        <v>Paid</v>
      </c>
      <c r="AI778" s="6" t="s">
        <v>134</v>
      </c>
      <c r="AJ778" s="6" t="str">
        <f t="shared" si="107"/>
        <v>Completed</v>
      </c>
      <c r="AK778" s="9" t="str">
        <f>_xlfn.TEXTJOIN("|",FALSE,A778,TEXT(B778,"mm-dd-yyyy"),TEXT(E778,"mm-dd-yyyy"),I778,J778,L778,N778,P778,R778,T778,V778,X778,Y778,AA778,AB778,AC778,AD778,AE778,AF778,AG778,AI778)</f>
        <v>ORD-2025-10777|08-06-2025|06-13-2025|CUST-9690|Aditi Sen|Small Business|North|Rajasthan|Jaipur|Technology|Copiers|Eco Copiers 528|Second Class|7|3857.13|0|26999.91|17815.98|9183.93|Paid|Completed</v>
      </c>
      <c r="AL778" s="27" t="str">
        <f>IF(COUNTIF($AK$2:AK778,AK778)&gt;1,"Remove exact duplicate copy","Keep")</f>
        <v>Keep</v>
      </c>
      <c r="AM778" s="9">
        <f t="shared" si="108"/>
        <v>1</v>
      </c>
      <c r="AN778" s="9" t="str">
        <f t="shared" si="109"/>
        <v>Unique</v>
      </c>
      <c r="AO778" s="9" t="str">
        <f t="shared" si="110"/>
        <v/>
      </c>
      <c r="AP778" s="9">
        <f t="shared" si="111"/>
        <v>0</v>
      </c>
      <c r="AQ778" s="10">
        <f t="shared" si="112"/>
        <v>26999.91</v>
      </c>
      <c r="AR778" s="10">
        <f t="shared" si="113"/>
        <v>9183.93</v>
      </c>
      <c r="AS778" s="11">
        <f t="shared" si="114"/>
        <v>0.34014668937785347</v>
      </c>
      <c r="AT778" s="9">
        <f t="shared" si="115"/>
        <v>6</v>
      </c>
      <c r="AU778" s="9">
        <f t="shared" si="116"/>
        <v>2025</v>
      </c>
      <c r="AV778" s="9" t="b">
        <f t="shared" si="117"/>
        <v>0</v>
      </c>
      <c r="AW778" s="9" t="b">
        <f t="shared" si="118"/>
        <v>0</v>
      </c>
      <c r="AX778" s="9" t="str">
        <f t="shared" si="119"/>
        <v>Yes</v>
      </c>
      <c r="AY778" s="9" t="str">
        <f t="shared" si="121"/>
        <v/>
      </c>
      <c r="AZ778" s="9" t="str">
        <f>IF(OR(G778="Missing date",G778="Invalid date",G778="Ship date before order date",NOT(ISNUMBER(AP778)),AP778&lt;0,AP778&gt;0.5,AV778=TRUE,AW778=TRUE),"Invalid",IF(OR(O778="Unknown",Z778="Unknown",AC778="",AH778&lt;&gt;"Paid",AJ778&lt;&gt;"Completed",AO778&lt;&gt;""),"Warning","Clean"))</f>
        <v>Clean</v>
      </c>
    </row>
    <row r="779" spans="1:52" ht="15.75" customHeight="1">
      <c r="A779" s="6" t="s">
        <v>3691</v>
      </c>
      <c r="B779" s="7" t="s">
        <v>3692</v>
      </c>
      <c r="C779" s="7" t="str">
        <f t="shared" si="120"/>
        <v>2024-02</v>
      </c>
      <c r="D779" s="7" cm="1">
        <f t="array" ref="D779">_xlfn.LET(_xlpm.x,B779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45326</v>
      </c>
      <c r="E779" s="7" t="s">
        <v>2370</v>
      </c>
      <c r="F779" s="7" cm="1">
        <f t="array" ref="F779">_xlfn.LET(_xlpm.x,E779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45328</v>
      </c>
      <c r="G779" s="8" t="str">
        <f t="shared" si="96"/>
        <v>OK</v>
      </c>
      <c r="H779" s="6">
        <f t="shared" si="97"/>
        <v>2</v>
      </c>
      <c r="I779" s="6" t="s">
        <v>3693</v>
      </c>
      <c r="J779" s="6" t="s">
        <v>442</v>
      </c>
      <c r="K779" s="6" t="str">
        <f t="shared" si="98"/>
        <v>Kabir Singh</v>
      </c>
      <c r="L779" s="6" t="s">
        <v>46</v>
      </c>
      <c r="M779" s="8" t="str">
        <f t="shared" si="99"/>
        <v>Small Business</v>
      </c>
      <c r="N779" s="6" t="s">
        <v>9</v>
      </c>
      <c r="O779" s="6" t="str">
        <f t="shared" si="100"/>
        <v>West</v>
      </c>
      <c r="P779" s="6" t="s">
        <v>170</v>
      </c>
      <c r="Q779" s="6" t="str">
        <f t="shared" si="101"/>
        <v>Madhya Pradesh</v>
      </c>
      <c r="R779" s="6" t="s">
        <v>171</v>
      </c>
      <c r="S779" s="6" t="str">
        <f t="shared" si="102"/>
        <v>Indore</v>
      </c>
      <c r="T779" s="6" t="s">
        <v>27</v>
      </c>
      <c r="U779" s="8" t="str">
        <f t="shared" si="103"/>
        <v>Technology</v>
      </c>
      <c r="V779" s="6" t="s">
        <v>28</v>
      </c>
      <c r="W779" s="6" t="str">
        <f t="shared" si="104"/>
        <v>Accessories</v>
      </c>
      <c r="X779" s="6" t="s">
        <v>3694</v>
      </c>
      <c r="Y779" s="6" t="s">
        <v>36</v>
      </c>
      <c r="Z779" s="6" t="str">
        <f t="shared" si="105"/>
        <v>Second Class</v>
      </c>
      <c r="AA779" s="6">
        <v>4</v>
      </c>
      <c r="AB779" s="6">
        <v>1489.74</v>
      </c>
      <c r="AC779" s="6">
        <v>0.15</v>
      </c>
      <c r="AD779" s="6">
        <v>5065.12</v>
      </c>
      <c r="AE779" s="6">
        <v>3530.12</v>
      </c>
      <c r="AF779" s="6">
        <v>1535</v>
      </c>
      <c r="AG779" s="6" t="s">
        <v>50</v>
      </c>
      <c r="AH779" s="6" t="str">
        <f t="shared" si="106"/>
        <v>Failed</v>
      </c>
      <c r="AI779" s="6" t="s">
        <v>58</v>
      </c>
      <c r="AJ779" s="6" t="str">
        <f t="shared" si="107"/>
        <v>Cancelled</v>
      </c>
      <c r="AK779" s="9" t="str">
        <f>_xlfn.TEXTJOIN("|",FALSE,A779,TEXT(B779,"mm-dd-yyyy"),TEXT(E779,"mm-dd-yyyy"),I779,J779,L779,N779,P779,R779,T779,V779,X779,Y779,AA779,AB779,AC779,AD779,AE779,AF779,AG779,AI779)</f>
        <v>ORD-2024-10778|04-02-2024|02-06-2024|CUST-6879|Kabir Singh|Small Business|West|Madhya Pradesh|Indore|Technology|Accessories|Elite Accessories 226|Second Class|4|1489.74|0.15|5065.12|3530.12|1535|Failed|Cancelled</v>
      </c>
      <c r="AL779" s="27" t="str">
        <f>IF(COUNTIF($AK$2:AK779,AK779)&gt;1,"Remove exact duplicate copy","Keep")</f>
        <v>Keep</v>
      </c>
      <c r="AM779" s="9">
        <f t="shared" si="108"/>
        <v>1</v>
      </c>
      <c r="AN779" s="9" t="str">
        <f t="shared" si="109"/>
        <v>Unique</v>
      </c>
      <c r="AO779" s="9" t="str">
        <f t="shared" si="110"/>
        <v/>
      </c>
      <c r="AP779" s="9">
        <f t="shared" si="111"/>
        <v>0.15</v>
      </c>
      <c r="AQ779" s="10">
        <f t="shared" si="112"/>
        <v>5065.116</v>
      </c>
      <c r="AR779" s="10">
        <f t="shared" si="113"/>
        <v>1534.9960000000001</v>
      </c>
      <c r="AS779" s="11">
        <f t="shared" si="114"/>
        <v>0.30305248685321323</v>
      </c>
      <c r="AT779" s="9">
        <f t="shared" si="115"/>
        <v>2</v>
      </c>
      <c r="AU779" s="9">
        <f t="shared" si="116"/>
        <v>2024</v>
      </c>
      <c r="AV779" s="9" t="b">
        <f t="shared" si="117"/>
        <v>0</v>
      </c>
      <c r="AW779" s="9" t="b">
        <f t="shared" si="118"/>
        <v>0</v>
      </c>
      <c r="AX779" s="9" t="str">
        <f t="shared" si="119"/>
        <v>No</v>
      </c>
      <c r="AY779" s="9" t="str">
        <f t="shared" si="121"/>
        <v>Failed payment excluded; Cancelled order excluded</v>
      </c>
      <c r="AZ779" s="9" t="str">
        <f>IF(OR(G779="Missing date",G779="Invalid date",G779="Ship date before order date",NOT(ISNUMBER(AP779)),AP779&lt;0,AP779&gt;0.5,AV779=TRUE,AW779=TRUE),"Invalid",IF(OR(O779="Unknown",Z779="Unknown",AC779="",AH779&lt;&gt;"Paid",AJ779&lt;&gt;"Completed",AO779&lt;&gt;""),"Warning","Clean"))</f>
        <v>Warning</v>
      </c>
    </row>
    <row r="780" spans="1:52" ht="15.75" customHeight="1">
      <c r="A780" s="6" t="s">
        <v>3695</v>
      </c>
      <c r="B780" s="7" t="s">
        <v>796</v>
      </c>
      <c r="C780" s="7" t="str">
        <f t="shared" si="120"/>
        <v>2024-07</v>
      </c>
      <c r="D780" s="7" cm="1">
        <f t="array" ref="D780">_xlfn.LET(_xlpm.x,B780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45497</v>
      </c>
      <c r="E780" s="7" t="s">
        <v>3696</v>
      </c>
      <c r="F780" s="7" cm="1">
        <f t="array" ref="F780">_xlfn.LET(_xlpm.x,E780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45497</v>
      </c>
      <c r="G780" s="8" t="str">
        <f t="shared" si="96"/>
        <v>OK</v>
      </c>
      <c r="H780" s="6">
        <f t="shared" si="97"/>
        <v>0</v>
      </c>
      <c r="I780" s="6" t="s">
        <v>3697</v>
      </c>
      <c r="J780" s="6" t="s">
        <v>129</v>
      </c>
      <c r="K780" s="6" t="str">
        <f t="shared" si="98"/>
        <v>Karan Malhotra</v>
      </c>
      <c r="L780" s="6" t="s">
        <v>46</v>
      </c>
      <c r="M780" s="8" t="str">
        <f t="shared" si="99"/>
        <v>Small Business</v>
      </c>
      <c r="N780" s="6" t="s">
        <v>7</v>
      </c>
      <c r="O780" s="6" t="str">
        <f t="shared" si="100"/>
        <v>North</v>
      </c>
      <c r="P780" s="6" t="s">
        <v>397</v>
      </c>
      <c r="Q780" s="6" t="str">
        <f t="shared" si="101"/>
        <v>Haryana</v>
      </c>
      <c r="R780" s="6" t="s">
        <v>398</v>
      </c>
      <c r="S780" s="6" t="str">
        <f t="shared" si="102"/>
        <v>Gurugram</v>
      </c>
      <c r="T780" s="6" t="s">
        <v>27</v>
      </c>
      <c r="U780" s="8" t="str">
        <f t="shared" si="103"/>
        <v>Technology</v>
      </c>
      <c r="V780" s="6" t="s">
        <v>29</v>
      </c>
      <c r="W780" s="6" t="str">
        <f t="shared" si="104"/>
        <v>Copiers</v>
      </c>
      <c r="X780" s="6" t="s">
        <v>3698</v>
      </c>
      <c r="Y780" s="6" t="s">
        <v>36</v>
      </c>
      <c r="Z780" s="6" t="str">
        <f t="shared" si="105"/>
        <v>Second Class</v>
      </c>
      <c r="AA780" s="6">
        <v>4</v>
      </c>
      <c r="AB780" s="6">
        <v>1676.88</v>
      </c>
      <c r="AC780" s="6">
        <v>0</v>
      </c>
      <c r="AD780" s="6">
        <v>6707.52</v>
      </c>
      <c r="AE780" s="6">
        <v>5672.57</v>
      </c>
      <c r="AF780" s="6">
        <v>1034.95</v>
      </c>
      <c r="AG780" s="6" t="s">
        <v>52</v>
      </c>
      <c r="AH780" s="6" t="str">
        <f t="shared" si="106"/>
        <v>Paid</v>
      </c>
      <c r="AI780" s="6" t="s">
        <v>134</v>
      </c>
      <c r="AJ780" s="6" t="str">
        <f t="shared" si="107"/>
        <v>Completed</v>
      </c>
      <c r="AK780" s="9" t="str">
        <f>_xlfn.TEXTJOIN("|",FALSE,A780,TEXT(B780,"mm-dd-yyyy"),TEXT(E780,"mm-dd-yyyy"),I780,J780,L780,N780,P780,R780,T780,V780,X780,Y780,AA780,AB780,AC780,AD780,AE780,AF780,AG780,AI780)</f>
        <v>ORD-2024-10779|07-24-2024|24-07-2024|CUST-4714|Karan Malhotra|Small Business|North|Haryana|Gurugram|Technology|Copiers|Pro Copiers 298|Second Class|4|1676.88|0|6707.52|5672.57|1034.95|Paid|Completed</v>
      </c>
      <c r="AL780" s="27" t="str">
        <f>IF(COUNTIF($AK$2:AK780,AK780)&gt;1,"Remove exact duplicate copy","Keep")</f>
        <v>Keep</v>
      </c>
      <c r="AM780" s="9">
        <f t="shared" si="108"/>
        <v>1</v>
      </c>
      <c r="AN780" s="9" t="str">
        <f t="shared" si="109"/>
        <v>Unique</v>
      </c>
      <c r="AO780" s="9" t="str">
        <f t="shared" si="110"/>
        <v/>
      </c>
      <c r="AP780" s="9">
        <f t="shared" si="111"/>
        <v>0</v>
      </c>
      <c r="AQ780" s="10">
        <f t="shared" si="112"/>
        <v>6707.52</v>
      </c>
      <c r="AR780" s="10">
        <f t="shared" si="113"/>
        <v>1034.9500000000007</v>
      </c>
      <c r="AS780" s="11">
        <f t="shared" si="114"/>
        <v>0.15429696817899918</v>
      </c>
      <c r="AT780" s="9">
        <f t="shared" si="115"/>
        <v>7</v>
      </c>
      <c r="AU780" s="9">
        <f t="shared" si="116"/>
        <v>2024</v>
      </c>
      <c r="AV780" s="9" t="b">
        <f t="shared" si="117"/>
        <v>0</v>
      </c>
      <c r="AW780" s="9" t="b">
        <f t="shared" si="118"/>
        <v>0</v>
      </c>
      <c r="AX780" s="9" t="str">
        <f t="shared" si="119"/>
        <v>Yes</v>
      </c>
      <c r="AY780" s="9" t="str">
        <f t="shared" si="121"/>
        <v/>
      </c>
      <c r="AZ780" s="9" t="str">
        <f>IF(OR(G780="Missing date",G780="Invalid date",G780="Ship date before order date",NOT(ISNUMBER(AP780)),AP780&lt;0,AP780&gt;0.5,AV780=TRUE,AW780=TRUE),"Invalid",IF(OR(O780="Unknown",Z780="Unknown",AC780="",AH780&lt;&gt;"Paid",AJ780&lt;&gt;"Completed",AO780&lt;&gt;""),"Warning","Clean"))</f>
        <v>Clean</v>
      </c>
    </row>
    <row r="781" spans="1:52" ht="15.75" customHeight="1">
      <c r="A781" s="6" t="s">
        <v>3699</v>
      </c>
      <c r="B781" s="7" t="s">
        <v>2295</v>
      </c>
      <c r="C781" s="7" t="str">
        <f t="shared" si="120"/>
        <v>2024-01</v>
      </c>
      <c r="D781" s="7" cm="1">
        <f t="array" ref="D781">_xlfn.LET(_xlpm.x,B781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45306</v>
      </c>
      <c r="E781" s="7" t="s">
        <v>3700</v>
      </c>
      <c r="F781" s="7" cm="1">
        <f t="array" ref="F781">_xlfn.LET(_xlpm.x,E781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45311</v>
      </c>
      <c r="G781" s="8" t="str">
        <f t="shared" si="96"/>
        <v>OK</v>
      </c>
      <c r="H781" s="6">
        <f t="shared" si="97"/>
        <v>5</v>
      </c>
      <c r="I781" s="6" t="s">
        <v>3701</v>
      </c>
      <c r="J781" s="6" t="s">
        <v>220</v>
      </c>
      <c r="K781" s="6" t="str">
        <f t="shared" si="98"/>
        <v>Priya Menon</v>
      </c>
      <c r="L781" s="6" t="s">
        <v>46</v>
      </c>
      <c r="M781" s="8" t="str">
        <f t="shared" si="99"/>
        <v>Small Business</v>
      </c>
      <c r="N781" s="6" t="s">
        <v>10</v>
      </c>
      <c r="O781" s="6" t="str">
        <f t="shared" si="100"/>
        <v>South</v>
      </c>
      <c r="P781" s="6" t="s">
        <v>183</v>
      </c>
      <c r="Q781" s="6" t="str">
        <f t="shared" si="101"/>
        <v>Andhra Pradesh</v>
      </c>
      <c r="R781" s="6" t="s">
        <v>184</v>
      </c>
      <c r="S781" s="6" t="str">
        <f t="shared" si="102"/>
        <v>Vijayawada</v>
      </c>
      <c r="T781" s="6" t="s">
        <v>14</v>
      </c>
      <c r="U781" s="8" t="str">
        <f t="shared" si="103"/>
        <v>Furniture</v>
      </c>
      <c r="V781" s="6" t="s">
        <v>16</v>
      </c>
      <c r="W781" s="6" t="str">
        <f t="shared" si="104"/>
        <v>Chairs</v>
      </c>
      <c r="X781" s="6" t="s">
        <v>3702</v>
      </c>
      <c r="Y781" s="6" t="s">
        <v>34</v>
      </c>
      <c r="Z781" s="6" t="str">
        <f t="shared" si="105"/>
        <v>Standard Class</v>
      </c>
      <c r="AA781" s="6">
        <v>4</v>
      </c>
      <c r="AB781" s="6">
        <v>3153.54</v>
      </c>
      <c r="AC781" s="6">
        <v>0.05</v>
      </c>
      <c r="AD781" s="6">
        <v>11983.45</v>
      </c>
      <c r="AE781" s="6">
        <v>8572.9</v>
      </c>
      <c r="AF781" s="6">
        <v>3410.55</v>
      </c>
      <c r="AG781" s="6" t="s">
        <v>52</v>
      </c>
      <c r="AH781" s="6" t="str">
        <f t="shared" si="106"/>
        <v>Paid</v>
      </c>
      <c r="AI781" s="6" t="s">
        <v>134</v>
      </c>
      <c r="AJ781" s="6" t="str">
        <f t="shared" si="107"/>
        <v>Completed</v>
      </c>
      <c r="AK781" s="9" t="str">
        <f>_xlfn.TEXTJOIN("|",FALSE,A781,TEXT(B781,"mm-dd-yyyy"),TEXT(E781,"mm-dd-yyyy"),I781,J781,L781,N781,P781,R781,T781,V781,X781,Y781,AA781,AB781,AC781,AD781,AE781,AF781,AG781,AI781)</f>
        <v>ORD-2024-10780|01-15-2024|20-01-2024|CUST-7547|Priya Menon|Small Business|South|Andhra Pradesh|Vijayawada|Furniture|Chairs|Prime Chairs 331|Standard Class|4|3153.54|0.05|11983.45|8572.9|3410.55|Paid|Completed</v>
      </c>
      <c r="AL781" s="27" t="str">
        <f>IF(COUNTIF($AK$2:AK781,AK781)&gt;1,"Remove exact duplicate copy","Keep")</f>
        <v>Keep</v>
      </c>
      <c r="AM781" s="9">
        <f t="shared" si="108"/>
        <v>1</v>
      </c>
      <c r="AN781" s="9" t="str">
        <f t="shared" si="109"/>
        <v>Unique</v>
      </c>
      <c r="AO781" s="9" t="str">
        <f t="shared" si="110"/>
        <v/>
      </c>
      <c r="AP781" s="9">
        <f t="shared" si="111"/>
        <v>0.05</v>
      </c>
      <c r="AQ781" s="10">
        <f t="shared" si="112"/>
        <v>11983.451999999999</v>
      </c>
      <c r="AR781" s="10">
        <f t="shared" si="113"/>
        <v>3410.5519999999997</v>
      </c>
      <c r="AS781" s="11">
        <f t="shared" si="114"/>
        <v>0.2846051371507976</v>
      </c>
      <c r="AT781" s="9">
        <f t="shared" si="115"/>
        <v>1</v>
      </c>
      <c r="AU781" s="9">
        <f t="shared" si="116"/>
        <v>2024</v>
      </c>
      <c r="AV781" s="9" t="b">
        <f t="shared" si="117"/>
        <v>0</v>
      </c>
      <c r="AW781" s="9" t="b">
        <f t="shared" si="118"/>
        <v>0</v>
      </c>
      <c r="AX781" s="9" t="str">
        <f t="shared" si="119"/>
        <v>Yes</v>
      </c>
      <c r="AY781" s="9" t="str">
        <f t="shared" si="121"/>
        <v/>
      </c>
      <c r="AZ781" s="9" t="str">
        <f>IF(OR(G781="Missing date",G781="Invalid date",G781="Ship date before order date",NOT(ISNUMBER(AP781)),AP781&lt;0,AP781&gt;0.5,AV781=TRUE,AW781=TRUE),"Invalid",IF(OR(O781="Unknown",Z781="Unknown",AC781="",AH781&lt;&gt;"Paid",AJ781&lt;&gt;"Completed",AO781&lt;&gt;""),"Warning","Clean"))</f>
        <v>Clean</v>
      </c>
    </row>
    <row r="782" spans="1:52" ht="15.75" customHeight="1">
      <c r="A782" s="6" t="s">
        <v>3703</v>
      </c>
      <c r="B782" s="7" t="s">
        <v>3704</v>
      </c>
      <c r="C782" s="7" t="str">
        <f t="shared" si="120"/>
        <v>2024-08</v>
      </c>
      <c r="D782" s="7" cm="1">
        <f t="array" ref="D782">_xlfn.LET(_xlpm.x,B782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45508</v>
      </c>
      <c r="E782" s="7" t="s">
        <v>2747</v>
      </c>
      <c r="F782" s="7" cm="1">
        <f t="array" ref="F782">_xlfn.LET(_xlpm.x,E782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45514</v>
      </c>
      <c r="G782" s="8" t="str">
        <f t="shared" si="96"/>
        <v>OK</v>
      </c>
      <c r="H782" s="6">
        <f t="shared" si="97"/>
        <v>6</v>
      </c>
      <c r="I782" s="6" t="s">
        <v>3705</v>
      </c>
      <c r="J782" s="6" t="s">
        <v>284</v>
      </c>
      <c r="K782" s="6" t="str">
        <f t="shared" si="98"/>
        <v>Diya Patel</v>
      </c>
      <c r="L782" s="6" t="s">
        <v>46</v>
      </c>
      <c r="M782" s="8" t="str">
        <f t="shared" si="99"/>
        <v>Small Business</v>
      </c>
      <c r="N782" s="6" t="s">
        <v>9</v>
      </c>
      <c r="O782" s="6" t="str">
        <f t="shared" si="100"/>
        <v>West</v>
      </c>
      <c r="P782" s="6" t="s">
        <v>131</v>
      </c>
      <c r="Q782" s="6" t="str">
        <f t="shared" si="101"/>
        <v>Rajasthan</v>
      </c>
      <c r="R782" s="6" t="s">
        <v>214</v>
      </c>
      <c r="S782" s="6" t="str">
        <f t="shared" si="102"/>
        <v>Udaipur</v>
      </c>
      <c r="T782" s="6" t="s">
        <v>14</v>
      </c>
      <c r="U782" s="8" t="str">
        <f t="shared" si="103"/>
        <v>Furniture</v>
      </c>
      <c r="V782" s="6" t="s">
        <v>16</v>
      </c>
      <c r="W782" s="6" t="str">
        <f t="shared" si="104"/>
        <v>Chairs</v>
      </c>
      <c r="X782" s="6" t="s">
        <v>3706</v>
      </c>
      <c r="Y782" s="6" t="s">
        <v>37</v>
      </c>
      <c r="Z782" s="6" t="str">
        <f t="shared" si="105"/>
        <v>Same Day</v>
      </c>
      <c r="AA782" s="6">
        <v>4</v>
      </c>
      <c r="AB782" s="6">
        <v>426.43</v>
      </c>
      <c r="AC782" s="6">
        <v>0.2</v>
      </c>
      <c r="AD782" s="6">
        <v>1364.58</v>
      </c>
      <c r="AE782" s="6">
        <v>978.16</v>
      </c>
      <c r="AF782" s="6">
        <v>386.42</v>
      </c>
      <c r="AG782" s="6" t="s">
        <v>52</v>
      </c>
      <c r="AH782" s="6" t="str">
        <f t="shared" si="106"/>
        <v>Paid</v>
      </c>
      <c r="AI782" s="6" t="s">
        <v>134</v>
      </c>
      <c r="AJ782" s="6" t="str">
        <f t="shared" si="107"/>
        <v>Completed</v>
      </c>
      <c r="AK782" s="9" t="str">
        <f>_xlfn.TEXTJOIN("|",FALSE,A782,TEXT(B782,"mm-dd-yyyy"),TEXT(E782,"mm-dd-yyyy"),I782,J782,L782,N782,P782,R782,T782,V782,X782,Y782,AA782,AB782,AC782,AD782,AE782,AF782,AG782,AI782)</f>
        <v>ORD-2024-10781|08-04-2024|08-10-2024|CUST-3288|Diya Patel|Small Business|West|Rajasthan|Udaipur|Furniture|Chairs|Classic Chairs 798|Same Day|4|426.43|0.2|1364.58|978.16|386.42|Paid|Completed</v>
      </c>
      <c r="AL782" s="27" t="str">
        <f>IF(COUNTIF($AK$2:AK782,AK782)&gt;1,"Remove exact duplicate copy","Keep")</f>
        <v>Keep</v>
      </c>
      <c r="AM782" s="9">
        <f t="shared" si="108"/>
        <v>1</v>
      </c>
      <c r="AN782" s="9" t="str">
        <f t="shared" si="109"/>
        <v>Unique</v>
      </c>
      <c r="AO782" s="9" t="str">
        <f t="shared" si="110"/>
        <v/>
      </c>
      <c r="AP782" s="9">
        <f t="shared" si="111"/>
        <v>0.2</v>
      </c>
      <c r="AQ782" s="10">
        <f t="shared" si="112"/>
        <v>1364.576</v>
      </c>
      <c r="AR782" s="10">
        <f t="shared" si="113"/>
        <v>386.41600000000005</v>
      </c>
      <c r="AS782" s="11">
        <f t="shared" si="114"/>
        <v>0.28317660577351506</v>
      </c>
      <c r="AT782" s="9">
        <f t="shared" si="115"/>
        <v>8</v>
      </c>
      <c r="AU782" s="9">
        <f t="shared" si="116"/>
        <v>2024</v>
      </c>
      <c r="AV782" s="9" t="b">
        <f t="shared" si="117"/>
        <v>0</v>
      </c>
      <c r="AW782" s="9" t="b">
        <f t="shared" si="118"/>
        <v>0</v>
      </c>
      <c r="AX782" s="9" t="str">
        <f t="shared" si="119"/>
        <v>Yes</v>
      </c>
      <c r="AY782" s="9" t="str">
        <f t="shared" si="121"/>
        <v/>
      </c>
      <c r="AZ782" s="9" t="str">
        <f>IF(OR(G782="Missing date",G782="Invalid date",G782="Ship date before order date",NOT(ISNUMBER(AP782)),AP782&lt;0,AP782&gt;0.5,AV782=TRUE,AW782=TRUE),"Invalid",IF(OR(O782="Unknown",Z782="Unknown",AC782="",AH782&lt;&gt;"Paid",AJ782&lt;&gt;"Completed",AO782&lt;&gt;""),"Warning","Clean"))</f>
        <v>Clean</v>
      </c>
    </row>
    <row r="783" spans="1:52" ht="15.75" customHeight="1">
      <c r="A783" s="6" t="s">
        <v>3707</v>
      </c>
      <c r="B783" s="7" t="s">
        <v>3708</v>
      </c>
      <c r="C783" s="7" t="str">
        <f t="shared" si="120"/>
        <v>2024-02</v>
      </c>
      <c r="D783" s="7" cm="1">
        <f t="array" ref="D783">_xlfn.LET(_xlpm.x,B783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45324</v>
      </c>
      <c r="E783" s="7" t="s">
        <v>2218</v>
      </c>
      <c r="F783" s="7" cm="1">
        <f t="array" ref="F783">_xlfn.LET(_xlpm.x,E783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45332</v>
      </c>
      <c r="G783" s="8" t="str">
        <f t="shared" si="96"/>
        <v>OK</v>
      </c>
      <c r="H783" s="6">
        <f t="shared" si="97"/>
        <v>8</v>
      </c>
      <c r="I783" s="6" t="s">
        <v>3709</v>
      </c>
      <c r="J783" s="6" t="s">
        <v>129</v>
      </c>
      <c r="K783" s="6" t="str">
        <f t="shared" si="98"/>
        <v>Karan Malhotra</v>
      </c>
      <c r="L783" s="6" t="s">
        <v>44</v>
      </c>
      <c r="M783" s="8" t="str">
        <f t="shared" si="99"/>
        <v>Home Office</v>
      </c>
      <c r="N783" s="6" t="s">
        <v>9</v>
      </c>
      <c r="O783" s="6" t="str">
        <f t="shared" si="100"/>
        <v>West</v>
      </c>
      <c r="P783" s="6" t="s">
        <v>131</v>
      </c>
      <c r="Q783" s="6" t="str">
        <f t="shared" si="101"/>
        <v>Rajasthan</v>
      </c>
      <c r="R783" s="6" t="s">
        <v>214</v>
      </c>
      <c r="S783" s="6" t="str">
        <f t="shared" si="102"/>
        <v>Udaipur</v>
      </c>
      <c r="T783" s="6" t="s">
        <v>20</v>
      </c>
      <c r="U783" s="8" t="str">
        <f t="shared" si="103"/>
        <v>Office Supplies</v>
      </c>
      <c r="V783" s="6" t="s">
        <v>23</v>
      </c>
      <c r="W783" s="6" t="str">
        <f t="shared" si="104"/>
        <v>Labels</v>
      </c>
      <c r="X783" s="6" t="s">
        <v>3710</v>
      </c>
      <c r="Y783" s="6" t="s">
        <v>35</v>
      </c>
      <c r="Z783" s="6" t="str">
        <f t="shared" si="105"/>
        <v>First Class</v>
      </c>
      <c r="AA783" s="6">
        <v>3</v>
      </c>
      <c r="AB783" s="6">
        <v>383.4</v>
      </c>
      <c r="AC783" s="6">
        <v>0.25</v>
      </c>
      <c r="AD783" s="6">
        <v>862.65</v>
      </c>
      <c r="AE783" s="6">
        <v>603.73</v>
      </c>
      <c r="AF783" s="6">
        <v>258.92</v>
      </c>
      <c r="AG783" s="6" t="s">
        <v>54</v>
      </c>
      <c r="AH783" s="6" t="str">
        <f t="shared" si="106"/>
        <v>Pending</v>
      </c>
      <c r="AI783" s="6" t="s">
        <v>59</v>
      </c>
      <c r="AJ783" s="6" t="str">
        <f t="shared" si="107"/>
        <v>Returned</v>
      </c>
      <c r="AK783" s="9" t="str">
        <f>_xlfn.TEXTJOIN("|",FALSE,A783,TEXT(B783,"mm-dd-yyyy"),TEXT(E783,"mm-dd-yyyy"),I783,J783,L783,N783,P783,R783,T783,V783,X783,Y783,AA783,AB783,AC783,AD783,AE783,AF783,AG783,AI783)</f>
        <v>ORD-2024-10782|02-02-2024|02-10-2024|CUST-8597|Karan Malhotra|Home Office|West|Rajasthan|Udaipur|Office Supplies|Labels|Classic Labels 204|First Class|3|383.4|0.25|862.65|603.73|258.92|Pending|Returned</v>
      </c>
      <c r="AL783" s="27" t="str">
        <f>IF(COUNTIF($AK$2:AK783,AK783)&gt;1,"Remove exact duplicate copy","Keep")</f>
        <v>Keep</v>
      </c>
      <c r="AM783" s="9">
        <f t="shared" si="108"/>
        <v>1</v>
      </c>
      <c r="AN783" s="9" t="str">
        <f t="shared" si="109"/>
        <v>Unique</v>
      </c>
      <c r="AO783" s="9" t="str">
        <f t="shared" si="110"/>
        <v/>
      </c>
      <c r="AP783" s="9">
        <f t="shared" si="111"/>
        <v>0.25</v>
      </c>
      <c r="AQ783" s="10">
        <f t="shared" si="112"/>
        <v>862.64999999999986</v>
      </c>
      <c r="AR783" s="10">
        <f t="shared" si="113"/>
        <v>258.91999999999985</v>
      </c>
      <c r="AS783" s="11">
        <f t="shared" si="114"/>
        <v>0.30014490233582553</v>
      </c>
      <c r="AT783" s="9">
        <f t="shared" si="115"/>
        <v>2</v>
      </c>
      <c r="AU783" s="9">
        <f t="shared" si="116"/>
        <v>2024</v>
      </c>
      <c r="AV783" s="9" t="b">
        <f t="shared" si="117"/>
        <v>0</v>
      </c>
      <c r="AW783" s="9" t="b">
        <f t="shared" si="118"/>
        <v>0</v>
      </c>
      <c r="AX783" s="9" t="str">
        <f t="shared" si="119"/>
        <v>No</v>
      </c>
      <c r="AY783" s="9" t="str">
        <f t="shared" si="121"/>
        <v>Returned order excluded</v>
      </c>
      <c r="AZ783" s="9" t="str">
        <f>IF(OR(G783="Missing date",G783="Invalid date",G783="Ship date before order date",NOT(ISNUMBER(AP783)),AP783&lt;0,AP783&gt;0.5,AV783=TRUE,AW783=TRUE),"Invalid",IF(OR(O783="Unknown",Z783="Unknown",AC783="",AH783&lt;&gt;"Paid",AJ783&lt;&gt;"Completed",AO783&lt;&gt;""),"Warning","Clean"))</f>
        <v>Warning</v>
      </c>
    </row>
    <row r="784" spans="1:52" ht="15.75" customHeight="1">
      <c r="A784" s="6" t="s">
        <v>3711</v>
      </c>
      <c r="B784" s="7" t="s">
        <v>1521</v>
      </c>
      <c r="C784" s="7" t="str">
        <f t="shared" si="120"/>
        <v>2025-03</v>
      </c>
      <c r="D784" s="7" cm="1">
        <f t="array" ref="D784">_xlfn.LET(_xlpm.x,B784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45730</v>
      </c>
      <c r="E784" s="7" t="s">
        <v>3712</v>
      </c>
      <c r="F784" s="7" cm="1">
        <f t="array" ref="F784">_xlfn.LET(_xlpm.x,E784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45738</v>
      </c>
      <c r="G784" s="8" t="str">
        <f t="shared" si="96"/>
        <v>OK</v>
      </c>
      <c r="H784" s="6">
        <f t="shared" si="97"/>
        <v>8</v>
      </c>
      <c r="I784" s="6" t="s">
        <v>3713</v>
      </c>
      <c r="J784" s="6" t="s">
        <v>139</v>
      </c>
      <c r="K784" s="6" t="str">
        <f t="shared" si="98"/>
        <v>Mira Das</v>
      </c>
      <c r="L784" s="6" t="s">
        <v>45</v>
      </c>
      <c r="M784" s="8" t="str">
        <f t="shared" si="99"/>
        <v>Corporate</v>
      </c>
      <c r="N784" s="6" t="s">
        <v>8</v>
      </c>
      <c r="O784" s="6" t="str">
        <f t="shared" si="100"/>
        <v>East</v>
      </c>
      <c r="P784" s="6" t="s">
        <v>201</v>
      </c>
      <c r="Q784" s="6" t="str">
        <f t="shared" si="101"/>
        <v>West Bengal</v>
      </c>
      <c r="R784" s="6" t="s">
        <v>202</v>
      </c>
      <c r="S784" s="6" t="str">
        <f t="shared" si="102"/>
        <v>Kolkata</v>
      </c>
      <c r="T784" s="6" t="s">
        <v>27</v>
      </c>
      <c r="U784" s="8" t="str">
        <f t="shared" si="103"/>
        <v>Technology</v>
      </c>
      <c r="V784" s="6" t="s">
        <v>29</v>
      </c>
      <c r="W784" s="6" t="str">
        <f t="shared" si="104"/>
        <v>Copiers</v>
      </c>
      <c r="X784" s="6" t="s">
        <v>3714</v>
      </c>
      <c r="Y784" s="6" t="s">
        <v>34</v>
      </c>
      <c r="Z784" s="6" t="str">
        <f t="shared" si="105"/>
        <v>Standard Class</v>
      </c>
      <c r="AA784" s="6">
        <v>2</v>
      </c>
      <c r="AB784" s="6">
        <v>669.63</v>
      </c>
      <c r="AC784" s="6">
        <v>0.15</v>
      </c>
      <c r="AD784" s="6">
        <v>1138.3699999999999</v>
      </c>
      <c r="AE784" s="6">
        <v>797.34</v>
      </c>
      <c r="AF784" s="6">
        <v>341.03</v>
      </c>
      <c r="AG784" s="6" t="s">
        <v>52</v>
      </c>
      <c r="AH784" s="6" t="str">
        <f t="shared" si="106"/>
        <v>Paid</v>
      </c>
      <c r="AI784" s="6" t="s">
        <v>134</v>
      </c>
      <c r="AJ784" s="6" t="str">
        <f t="shared" si="107"/>
        <v>Completed</v>
      </c>
      <c r="AK784" s="9" t="str">
        <f>_xlfn.TEXTJOIN("|",FALSE,A784,TEXT(B784,"mm-dd-yyyy"),TEXT(E784,"mm-dd-yyyy"),I784,J784,L784,N784,P784,R784,T784,V784,X784,Y784,AA784,AB784,AC784,AD784,AE784,AF784,AG784,AI784)</f>
        <v>ORD-2025-10783|03-14-2025|03-22-2025|CUST-9085|Mira Das|Corporate|East|West Bengal|Kolkata|Technology|Copiers|Basic Copiers 254|Standard Class|2|669.63|0.15|1138.37|797.34|341.03|Paid|Completed</v>
      </c>
      <c r="AL784" s="27" t="str">
        <f>IF(COUNTIF($AK$2:AK784,AK784)&gt;1,"Remove exact duplicate copy","Keep")</f>
        <v>Keep</v>
      </c>
      <c r="AM784" s="9">
        <f t="shared" si="108"/>
        <v>1</v>
      </c>
      <c r="AN784" s="9" t="str">
        <f t="shared" si="109"/>
        <v>Unique</v>
      </c>
      <c r="AO784" s="9" t="str">
        <f t="shared" si="110"/>
        <v/>
      </c>
      <c r="AP784" s="9">
        <f t="shared" si="111"/>
        <v>0.15</v>
      </c>
      <c r="AQ784" s="10">
        <f t="shared" si="112"/>
        <v>1138.3709999999999</v>
      </c>
      <c r="AR784" s="10">
        <f t="shared" si="113"/>
        <v>341.03099999999984</v>
      </c>
      <c r="AS784" s="11">
        <f t="shared" si="114"/>
        <v>0.29957808131092578</v>
      </c>
      <c r="AT784" s="9">
        <f t="shared" si="115"/>
        <v>3</v>
      </c>
      <c r="AU784" s="9">
        <f t="shared" si="116"/>
        <v>2025</v>
      </c>
      <c r="AV784" s="9" t="b">
        <f t="shared" si="117"/>
        <v>0</v>
      </c>
      <c r="AW784" s="9" t="b">
        <f t="shared" si="118"/>
        <v>0</v>
      </c>
      <c r="AX784" s="9" t="str">
        <f t="shared" si="119"/>
        <v>Yes</v>
      </c>
      <c r="AY784" s="9" t="str">
        <f t="shared" si="121"/>
        <v/>
      </c>
      <c r="AZ784" s="9" t="str">
        <f>IF(OR(G784="Missing date",G784="Invalid date",G784="Ship date before order date",NOT(ISNUMBER(AP784)),AP784&lt;0,AP784&gt;0.5,AV784=TRUE,AW784=TRUE),"Invalid",IF(OR(O784="Unknown",Z784="Unknown",AC784="",AH784&lt;&gt;"Paid",AJ784&lt;&gt;"Completed",AO784&lt;&gt;""),"Warning","Clean"))</f>
        <v>Clean</v>
      </c>
    </row>
    <row r="785" spans="1:52" ht="15.75" customHeight="1">
      <c r="A785" s="6" t="s">
        <v>3715</v>
      </c>
      <c r="B785" s="7" t="s">
        <v>3716</v>
      </c>
      <c r="C785" s="7" t="str">
        <f t="shared" si="120"/>
        <v>2024-06</v>
      </c>
      <c r="D785" s="7" cm="1">
        <f t="array" ref="D785">_xlfn.LET(_xlpm.x,B785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45450</v>
      </c>
      <c r="E785" s="7" t="s">
        <v>3717</v>
      </c>
      <c r="F785" s="7" cm="1">
        <f t="array" ref="F785">_xlfn.LET(_xlpm.x,E785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45450</v>
      </c>
      <c r="G785" s="8" t="str">
        <f t="shared" si="96"/>
        <v>OK</v>
      </c>
      <c r="H785" s="6">
        <f t="shared" si="97"/>
        <v>0</v>
      </c>
      <c r="I785" s="6" t="s">
        <v>3718</v>
      </c>
      <c r="J785" s="6" t="s">
        <v>239</v>
      </c>
      <c r="K785" s="6" t="str">
        <f t="shared" si="98"/>
        <v>Aarav Sharma</v>
      </c>
      <c r="L785" s="6" t="s">
        <v>46</v>
      </c>
      <c r="M785" s="8" t="str">
        <f t="shared" si="99"/>
        <v>Small Business</v>
      </c>
      <c r="N785" s="6" t="s">
        <v>8</v>
      </c>
      <c r="O785" s="6" t="str">
        <f t="shared" si="100"/>
        <v>East</v>
      </c>
      <c r="P785" s="6" t="s">
        <v>263</v>
      </c>
      <c r="Q785" s="6" t="str">
        <f t="shared" si="101"/>
        <v>Bihar</v>
      </c>
      <c r="R785" s="6" t="s">
        <v>264</v>
      </c>
      <c r="S785" s="6" t="str">
        <f t="shared" si="102"/>
        <v>Patna</v>
      </c>
      <c r="T785" s="6" t="s">
        <v>20</v>
      </c>
      <c r="U785" s="8" t="str">
        <f t="shared" si="103"/>
        <v>Office Supplies</v>
      </c>
      <c r="V785" s="6" t="s">
        <v>21</v>
      </c>
      <c r="W785" s="6" t="str">
        <f t="shared" si="104"/>
        <v>Art</v>
      </c>
      <c r="X785" s="6" t="s">
        <v>3719</v>
      </c>
      <c r="Y785" s="6" t="s">
        <v>36</v>
      </c>
      <c r="Z785" s="6" t="str">
        <f t="shared" si="105"/>
        <v>Second Class</v>
      </c>
      <c r="AA785" s="6">
        <v>1</v>
      </c>
      <c r="AB785" s="6">
        <v>2581.9299999999998</v>
      </c>
      <c r="AC785" s="6">
        <v>0.05</v>
      </c>
      <c r="AD785" s="6">
        <v>2452.83</v>
      </c>
      <c r="AE785" s="6">
        <v>1906.7</v>
      </c>
      <c r="AF785" s="6">
        <v>546.13</v>
      </c>
      <c r="AG785" s="6" t="s">
        <v>52</v>
      </c>
      <c r="AH785" s="6" t="str">
        <f t="shared" si="106"/>
        <v>Paid</v>
      </c>
      <c r="AI785" s="6" t="s">
        <v>134</v>
      </c>
      <c r="AJ785" s="6" t="str">
        <f t="shared" si="107"/>
        <v>Completed</v>
      </c>
      <c r="AK785" s="9" t="str">
        <f>_xlfn.TEXTJOIN("|",FALSE,A785,TEXT(B785,"mm-dd-yyyy"),TEXT(E785,"mm-dd-yyyy"),I785,J785,L785,N785,P785,R785,T785,V785,X785,Y785,AA785,AB785,AC785,AD785,AE785,AF785,AG785,AI785)</f>
        <v>ORD-2024-10784|06-07-2024|06-07-2024|CUST-7746|Aarav Sharma|Small Business|East|Bihar|Patna|Office Supplies|Art|Basic Art 709|Second Class|1|2581.93|0.05|2452.83|1906.7|546.13|Paid|Completed</v>
      </c>
      <c r="AL785" s="27" t="str">
        <f>IF(COUNTIF($AK$2:AK785,AK785)&gt;1,"Remove exact duplicate copy","Keep")</f>
        <v>Keep</v>
      </c>
      <c r="AM785" s="9">
        <f t="shared" si="108"/>
        <v>1</v>
      </c>
      <c r="AN785" s="9" t="str">
        <f t="shared" si="109"/>
        <v>Unique</v>
      </c>
      <c r="AO785" s="9" t="str">
        <f t="shared" si="110"/>
        <v/>
      </c>
      <c r="AP785" s="9">
        <f t="shared" si="111"/>
        <v>0.05</v>
      </c>
      <c r="AQ785" s="10">
        <f t="shared" si="112"/>
        <v>2452.8334999999997</v>
      </c>
      <c r="AR785" s="10">
        <f t="shared" si="113"/>
        <v>546.13349999999969</v>
      </c>
      <c r="AS785" s="11">
        <f t="shared" si="114"/>
        <v>0.22265412634000625</v>
      </c>
      <c r="AT785" s="9">
        <f t="shared" si="115"/>
        <v>6</v>
      </c>
      <c r="AU785" s="9">
        <f t="shared" si="116"/>
        <v>2024</v>
      </c>
      <c r="AV785" s="9" t="b">
        <f t="shared" si="117"/>
        <v>0</v>
      </c>
      <c r="AW785" s="9" t="b">
        <f t="shared" si="118"/>
        <v>0</v>
      </c>
      <c r="AX785" s="9" t="str">
        <f t="shared" si="119"/>
        <v>Yes</v>
      </c>
      <c r="AY785" s="9" t="str">
        <f t="shared" si="121"/>
        <v/>
      </c>
      <c r="AZ785" s="9" t="str">
        <f>IF(OR(G785="Missing date",G785="Invalid date",G785="Ship date before order date",NOT(ISNUMBER(AP785)),AP785&lt;0,AP785&gt;0.5,AV785=TRUE,AW785=TRUE),"Invalid",IF(OR(O785="Unknown",Z785="Unknown",AC785="",AH785&lt;&gt;"Paid",AJ785&lt;&gt;"Completed",AO785&lt;&gt;""),"Warning","Clean"))</f>
        <v>Clean</v>
      </c>
    </row>
    <row r="786" spans="1:52" ht="15.75" customHeight="1">
      <c r="A786" s="6" t="s">
        <v>3720</v>
      </c>
      <c r="B786" s="7" t="s">
        <v>3721</v>
      </c>
      <c r="C786" s="7" t="str">
        <f t="shared" si="120"/>
        <v>2025-10</v>
      </c>
      <c r="D786" s="7" cm="1">
        <f t="array" ref="D786">_xlfn.LET(_xlpm.x,B786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45934</v>
      </c>
      <c r="E786" s="7" t="s">
        <v>2646</v>
      </c>
      <c r="F786" s="7" cm="1">
        <f t="array" ref="F786">_xlfn.LET(_xlpm.x,E786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45935</v>
      </c>
      <c r="G786" s="8" t="str">
        <f t="shared" si="96"/>
        <v>OK</v>
      </c>
      <c r="H786" s="6">
        <f t="shared" si="97"/>
        <v>1</v>
      </c>
      <c r="I786" s="6" t="s">
        <v>3722</v>
      </c>
      <c r="J786" s="6" t="s">
        <v>220</v>
      </c>
      <c r="K786" s="6" t="str">
        <f t="shared" si="98"/>
        <v>Priya Menon</v>
      </c>
      <c r="L786" s="6" t="s">
        <v>45</v>
      </c>
      <c r="M786" s="8" t="str">
        <f t="shared" si="99"/>
        <v>Corporate</v>
      </c>
      <c r="N786" s="6" t="s">
        <v>3723</v>
      </c>
      <c r="O786" s="6" t="str">
        <f t="shared" si="100"/>
        <v>North</v>
      </c>
      <c r="P786" s="6" t="s">
        <v>232</v>
      </c>
      <c r="Q786" s="6" t="str">
        <f t="shared" si="101"/>
        <v>Punjab</v>
      </c>
      <c r="R786" s="6" t="s">
        <v>233</v>
      </c>
      <c r="S786" s="6" t="str">
        <f t="shared" si="102"/>
        <v>Ludhiana</v>
      </c>
      <c r="T786" s="6" t="s">
        <v>27</v>
      </c>
      <c r="U786" s="8" t="str">
        <f t="shared" si="103"/>
        <v>Technology</v>
      </c>
      <c r="V786" s="6" t="s">
        <v>29</v>
      </c>
      <c r="W786" s="6" t="str">
        <f t="shared" si="104"/>
        <v>Copiers</v>
      </c>
      <c r="X786" s="6" t="s">
        <v>3724</v>
      </c>
      <c r="Y786" s="6" t="s">
        <v>35</v>
      </c>
      <c r="Z786" s="6" t="str">
        <f t="shared" si="105"/>
        <v>First Class</v>
      </c>
      <c r="AA786" s="6">
        <v>4</v>
      </c>
      <c r="AB786" s="6">
        <v>418.18</v>
      </c>
      <c r="AC786" s="6">
        <v>0.05</v>
      </c>
      <c r="AD786" s="6">
        <v>1589.08</v>
      </c>
      <c r="AE786" s="6">
        <v>1084.6600000000001</v>
      </c>
      <c r="AF786" s="6">
        <v>504.42</v>
      </c>
      <c r="AG786" s="6" t="s">
        <v>52</v>
      </c>
      <c r="AH786" s="6" t="str">
        <f t="shared" si="106"/>
        <v>Paid</v>
      </c>
      <c r="AI786" s="6" t="s">
        <v>134</v>
      </c>
      <c r="AJ786" s="6" t="str">
        <f t="shared" si="107"/>
        <v>Completed</v>
      </c>
      <c r="AK786" s="9" t="str">
        <f>_xlfn.TEXTJOIN("|",FALSE,A786,TEXT(B786,"mm-dd-yyyy"),TEXT(E786,"mm-dd-yyyy"),I786,J786,L786,N786,P786,R786,T786,V786,X786,Y786,AA786,AB786,AC786,AD786,AE786,AF786,AG786,AI786)</f>
        <v>ORD-2025-10785|10-04-2025|10-05-2025|CUST-3119|Priya Menon|Corporate|north|Punjab|Ludhiana|Technology|Copiers|Max Copiers 551|First Class|4|418.18|0.05|1589.08|1084.66|504.42|Paid|Completed</v>
      </c>
      <c r="AL786" s="27" t="str">
        <f>IF(COUNTIF($AK$2:AK786,AK786)&gt;1,"Remove exact duplicate copy","Keep")</f>
        <v>Keep</v>
      </c>
      <c r="AM786" s="9">
        <f t="shared" si="108"/>
        <v>1</v>
      </c>
      <c r="AN786" s="9" t="str">
        <f t="shared" si="109"/>
        <v>Unique</v>
      </c>
      <c r="AO786" s="9" t="str">
        <f t="shared" si="110"/>
        <v/>
      </c>
      <c r="AP786" s="9">
        <f t="shared" si="111"/>
        <v>0.05</v>
      </c>
      <c r="AQ786" s="10">
        <f t="shared" si="112"/>
        <v>1589.0840000000001</v>
      </c>
      <c r="AR786" s="10">
        <f t="shared" si="113"/>
        <v>504.42399999999998</v>
      </c>
      <c r="AS786" s="11">
        <f t="shared" si="114"/>
        <v>0.31743067075120002</v>
      </c>
      <c r="AT786" s="9">
        <f t="shared" si="115"/>
        <v>10</v>
      </c>
      <c r="AU786" s="9">
        <f t="shared" si="116"/>
        <v>2025</v>
      </c>
      <c r="AV786" s="9" t="b">
        <f t="shared" si="117"/>
        <v>0</v>
      </c>
      <c r="AW786" s="9" t="b">
        <f t="shared" si="118"/>
        <v>0</v>
      </c>
      <c r="AX786" s="9" t="str">
        <f t="shared" si="119"/>
        <v>Yes</v>
      </c>
      <c r="AY786" s="9" t="str">
        <f t="shared" si="121"/>
        <v/>
      </c>
      <c r="AZ786" s="9" t="str">
        <f>IF(OR(G786="Missing date",G786="Invalid date",G786="Ship date before order date",NOT(ISNUMBER(AP786)),AP786&lt;0,AP786&gt;0.5,AV786=TRUE,AW786=TRUE),"Invalid",IF(OR(O786="Unknown",Z786="Unknown",AC786="",AH786&lt;&gt;"Paid",AJ786&lt;&gt;"Completed",AO786&lt;&gt;""),"Warning","Clean"))</f>
        <v>Clean</v>
      </c>
    </row>
    <row r="787" spans="1:52" ht="15.75" customHeight="1">
      <c r="A787" s="6" t="s">
        <v>3725</v>
      </c>
      <c r="B787" s="7" t="s">
        <v>3726</v>
      </c>
      <c r="C787" s="7" t="str">
        <f t="shared" si="120"/>
        <v>2024-05</v>
      </c>
      <c r="D787" s="7" cm="1">
        <f t="array" ref="D787">_xlfn.LET(_xlpm.x,B787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45435</v>
      </c>
      <c r="E787" s="7" t="s">
        <v>347</v>
      </c>
      <c r="F787" s="7" cm="1">
        <f t="array" ref="F787">_xlfn.LET(_xlpm.x,E787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45441</v>
      </c>
      <c r="G787" s="8" t="str">
        <f t="shared" si="96"/>
        <v>OK</v>
      </c>
      <c r="H787" s="6">
        <f t="shared" si="97"/>
        <v>6</v>
      </c>
      <c r="I787" s="6" t="s">
        <v>3727</v>
      </c>
      <c r="J787" s="6" t="s">
        <v>284</v>
      </c>
      <c r="K787" s="6" t="str">
        <f t="shared" si="98"/>
        <v>Diya Patel</v>
      </c>
      <c r="L787" s="6" t="s">
        <v>46</v>
      </c>
      <c r="M787" s="8" t="str">
        <f t="shared" si="99"/>
        <v>Small Business</v>
      </c>
      <c r="N787" s="6" t="s">
        <v>7</v>
      </c>
      <c r="O787" s="6" t="str">
        <f t="shared" si="100"/>
        <v>North</v>
      </c>
      <c r="P787" s="6" t="s">
        <v>397</v>
      </c>
      <c r="Q787" s="6" t="str">
        <f t="shared" si="101"/>
        <v>Haryana</v>
      </c>
      <c r="R787" s="6" t="s">
        <v>398</v>
      </c>
      <c r="S787" s="6" t="str">
        <f t="shared" si="102"/>
        <v>Gurugram</v>
      </c>
      <c r="T787" s="6" t="s">
        <v>20</v>
      </c>
      <c r="U787" s="8" t="str">
        <f t="shared" si="103"/>
        <v>Office Supplies</v>
      </c>
      <c r="V787" s="6" t="s">
        <v>25</v>
      </c>
      <c r="W787" s="6" t="str">
        <f t="shared" si="104"/>
        <v>Storage</v>
      </c>
      <c r="X787" s="6" t="s">
        <v>3728</v>
      </c>
      <c r="Y787" s="6" t="s">
        <v>37</v>
      </c>
      <c r="Z787" s="6" t="str">
        <f t="shared" si="105"/>
        <v>Same Day</v>
      </c>
      <c r="AA787" s="6">
        <v>2</v>
      </c>
      <c r="AB787" s="6">
        <v>3012.94</v>
      </c>
      <c r="AC787" s="6">
        <v>0.25</v>
      </c>
      <c r="AD787" s="6">
        <v>4519.41</v>
      </c>
      <c r="AE787" s="6">
        <v>3504.16</v>
      </c>
      <c r="AF787" s="6">
        <v>1275.55</v>
      </c>
      <c r="AG787" s="6" t="s">
        <v>50</v>
      </c>
      <c r="AH787" s="6" t="str">
        <f t="shared" si="106"/>
        <v>Failed</v>
      </c>
      <c r="AI787" s="6" t="s">
        <v>58</v>
      </c>
      <c r="AJ787" s="6" t="str">
        <f t="shared" si="107"/>
        <v>Cancelled</v>
      </c>
      <c r="AK787" s="9" t="str">
        <f>_xlfn.TEXTJOIN("|",FALSE,A787,TEXT(B787,"mm-dd-yyyy"),TEXT(E787,"mm-dd-yyyy"),I787,J787,L787,N787,P787,R787,T787,V787,X787,Y787,AA787,AB787,AC787,AD787,AE787,AF787,AG787,AI787)</f>
        <v>ORD-2024-10786|23-05-2024|29-05-2024|CUST-7518|Diya Patel|Small Business|North|Haryana|Gurugram|Office Supplies|Storage|Eco Storage 183|Same Day|2|3012.94|0.25|4519.41|3504.16|1275.55|Failed|Cancelled</v>
      </c>
      <c r="AL787" s="27" t="str">
        <f>IF(COUNTIF($AK$2:AK787,AK787)&gt;1,"Remove exact duplicate copy","Keep")</f>
        <v>Keep</v>
      </c>
      <c r="AM787" s="9">
        <f t="shared" si="108"/>
        <v>1</v>
      </c>
      <c r="AN787" s="9" t="str">
        <f t="shared" si="109"/>
        <v>Unique</v>
      </c>
      <c r="AO787" s="9" t="str">
        <f t="shared" si="110"/>
        <v/>
      </c>
      <c r="AP787" s="9">
        <f t="shared" si="111"/>
        <v>0.25</v>
      </c>
      <c r="AQ787" s="10">
        <f t="shared" si="112"/>
        <v>4519.41</v>
      </c>
      <c r="AR787" s="10">
        <f t="shared" si="113"/>
        <v>1015.25</v>
      </c>
      <c r="AS787" s="11">
        <f t="shared" si="114"/>
        <v>0.22464215461752751</v>
      </c>
      <c r="AT787" s="9">
        <f t="shared" si="115"/>
        <v>5</v>
      </c>
      <c r="AU787" s="9">
        <f t="shared" si="116"/>
        <v>2024</v>
      </c>
      <c r="AV787" s="9" t="b">
        <f t="shared" si="117"/>
        <v>0</v>
      </c>
      <c r="AW787" s="9" t="b">
        <f t="shared" si="118"/>
        <v>1</v>
      </c>
      <c r="AX787" s="9" t="str">
        <f t="shared" si="119"/>
        <v>No</v>
      </c>
      <c r="AY787" s="9" t="str">
        <f t="shared" si="121"/>
        <v>Failed payment excluded; Cancelled order excluded; Profit mismatch</v>
      </c>
      <c r="AZ787" s="9" t="str">
        <f>IF(OR(G787="Missing date",G787="Invalid date",G787="Ship date before order date",NOT(ISNUMBER(AP787)),AP787&lt;0,AP787&gt;0.5,AV787=TRUE,AW787=TRUE),"Invalid",IF(OR(O787="Unknown",Z787="Unknown",AC787="",AH787&lt;&gt;"Paid",AJ787&lt;&gt;"Completed",AO787&lt;&gt;""),"Warning","Clean"))</f>
        <v>Invalid</v>
      </c>
    </row>
    <row r="788" spans="1:52" ht="15.75" customHeight="1">
      <c r="A788" s="6" t="s">
        <v>3729</v>
      </c>
      <c r="B788" s="7" t="s">
        <v>1356</v>
      </c>
      <c r="C788" s="7" t="str">
        <f t="shared" si="120"/>
        <v>2025-07</v>
      </c>
      <c r="D788" s="7" cm="1">
        <f t="array" ref="D788">_xlfn.LET(_xlpm.x,B788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45844</v>
      </c>
      <c r="E788" s="7" t="s">
        <v>2948</v>
      </c>
      <c r="F788" s="7" cm="1">
        <f t="array" ref="F788">_xlfn.LET(_xlpm.x,E788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45846</v>
      </c>
      <c r="G788" s="8" t="str">
        <f t="shared" si="96"/>
        <v>OK</v>
      </c>
      <c r="H788" s="6">
        <f t="shared" si="97"/>
        <v>2</v>
      </c>
      <c r="I788" s="6" t="s">
        <v>3730</v>
      </c>
      <c r="J788" s="6" t="s">
        <v>161</v>
      </c>
      <c r="K788" s="6" t="str">
        <f t="shared" si="98"/>
        <v>Ananya Rao</v>
      </c>
      <c r="L788" s="6" t="s">
        <v>45</v>
      </c>
      <c r="M788" s="8" t="str">
        <f t="shared" si="99"/>
        <v>Corporate</v>
      </c>
      <c r="N788" s="6" t="s">
        <v>7</v>
      </c>
      <c r="O788" s="6" t="str">
        <f t="shared" si="100"/>
        <v>North</v>
      </c>
      <c r="P788" s="6" t="s">
        <v>131</v>
      </c>
      <c r="Q788" s="6" t="str">
        <f t="shared" si="101"/>
        <v>Rajasthan</v>
      </c>
      <c r="R788" s="6" t="s">
        <v>132</v>
      </c>
      <c r="S788" s="6" t="str">
        <f t="shared" si="102"/>
        <v>Jaipur</v>
      </c>
      <c r="T788" s="6" t="s">
        <v>14</v>
      </c>
      <c r="U788" s="8" t="str">
        <f t="shared" si="103"/>
        <v>Furniture</v>
      </c>
      <c r="V788" s="6" t="s">
        <v>17</v>
      </c>
      <c r="W788" s="6" t="str">
        <f t="shared" si="104"/>
        <v>Furnishings</v>
      </c>
      <c r="X788" s="6" t="s">
        <v>3731</v>
      </c>
      <c r="Y788" s="6"/>
      <c r="Z788" s="6" t="str">
        <f t="shared" si="105"/>
        <v>Unknown</v>
      </c>
      <c r="AA788" s="6">
        <v>4</v>
      </c>
      <c r="AB788" s="6">
        <v>715.45</v>
      </c>
      <c r="AC788" s="6">
        <v>0.05</v>
      </c>
      <c r="AD788" s="6">
        <v>2718.71</v>
      </c>
      <c r="AE788" s="6">
        <v>2065.0500000000002</v>
      </c>
      <c r="AF788" s="6">
        <v>653.66</v>
      </c>
      <c r="AG788" s="6" t="s">
        <v>56</v>
      </c>
      <c r="AH788" s="6" t="str">
        <f t="shared" si="106"/>
        <v>Refunded</v>
      </c>
      <c r="AI788" s="6" t="s">
        <v>59</v>
      </c>
      <c r="AJ788" s="6" t="str">
        <f t="shared" si="107"/>
        <v>Returned</v>
      </c>
      <c r="AK788" s="9" t="str">
        <f>_xlfn.TEXTJOIN("|",FALSE,A788,TEXT(B788,"mm-dd-yyyy"),TEXT(E788,"mm-dd-yyyy"),I788,J788,L788,N788,P788,R788,T788,V788,X788,Y788,AA788,AB788,AC788,AD788,AE788,AF788,AG788,AI788)</f>
        <v>ORD-2025-10787|07-06-2025|07-08-2025|CUST-1343|Ananya Rao|Corporate|North|Rajasthan|Jaipur|Furniture|Furnishings|Pro Furnishings 233||4|715.45|0.05|2718.71|2065.05|653.66|Refunded|Returned</v>
      </c>
      <c r="AL788" s="27" t="str">
        <f>IF(COUNTIF($AK$2:AK788,AK788)&gt;1,"Remove exact duplicate copy","Keep")</f>
        <v>Keep</v>
      </c>
      <c r="AM788" s="9">
        <f t="shared" si="108"/>
        <v>1</v>
      </c>
      <c r="AN788" s="9" t="str">
        <f t="shared" si="109"/>
        <v>Unique</v>
      </c>
      <c r="AO788" s="9" t="str">
        <f t="shared" si="110"/>
        <v/>
      </c>
      <c r="AP788" s="9">
        <f t="shared" si="111"/>
        <v>0.05</v>
      </c>
      <c r="AQ788" s="10">
        <f t="shared" si="112"/>
        <v>2718.71</v>
      </c>
      <c r="AR788" s="10">
        <f t="shared" si="113"/>
        <v>653.65999999999985</v>
      </c>
      <c r="AS788" s="11">
        <f t="shared" si="114"/>
        <v>0.24043020403058799</v>
      </c>
      <c r="AT788" s="9">
        <f t="shared" si="115"/>
        <v>7</v>
      </c>
      <c r="AU788" s="9">
        <f t="shared" si="116"/>
        <v>2025</v>
      </c>
      <c r="AV788" s="9" t="b">
        <f t="shared" si="117"/>
        <v>0</v>
      </c>
      <c r="AW788" s="9" t="b">
        <f t="shared" si="118"/>
        <v>0</v>
      </c>
      <c r="AX788" s="9" t="str">
        <f t="shared" si="119"/>
        <v>No</v>
      </c>
      <c r="AY788" s="9" t="str">
        <f t="shared" si="121"/>
        <v>Missing ship mode filled as Unknown; Refunded order summarized separately; Returned order excluded</v>
      </c>
      <c r="AZ788" s="9" t="str">
        <f>IF(OR(G788="Missing date",G788="Invalid date",G788="Ship date before order date",NOT(ISNUMBER(AP788)),AP788&lt;0,AP788&gt;0.5,AV788=TRUE,AW788=TRUE),"Invalid",IF(OR(O788="Unknown",Z788="Unknown",AC788="",AH788&lt;&gt;"Paid",AJ788&lt;&gt;"Completed",AO788&lt;&gt;""),"Warning","Clean"))</f>
        <v>Warning</v>
      </c>
    </row>
    <row r="789" spans="1:52" ht="15.75" customHeight="1">
      <c r="A789" s="6" t="s">
        <v>3732</v>
      </c>
      <c r="B789" s="7" t="s">
        <v>1409</v>
      </c>
      <c r="C789" s="7" t="str">
        <f t="shared" si="120"/>
        <v>2024-09</v>
      </c>
      <c r="D789" s="7" cm="1">
        <f t="array" ref="D789">_xlfn.LET(_xlpm.x,B789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45547</v>
      </c>
      <c r="E789" s="7" t="s">
        <v>3733</v>
      </c>
      <c r="F789" s="7" cm="1">
        <f t="array" ref="F789">_xlfn.LET(_xlpm.x,E789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45553</v>
      </c>
      <c r="G789" s="8" t="str">
        <f t="shared" si="96"/>
        <v>OK</v>
      </c>
      <c r="H789" s="6">
        <f t="shared" si="97"/>
        <v>6</v>
      </c>
      <c r="I789" s="6" t="s">
        <v>3734</v>
      </c>
      <c r="J789" s="6" t="s">
        <v>161</v>
      </c>
      <c r="K789" s="6" t="str">
        <f t="shared" si="98"/>
        <v>Ananya Rao</v>
      </c>
      <c r="L789" s="6" t="s">
        <v>44</v>
      </c>
      <c r="M789" s="8" t="str">
        <f t="shared" si="99"/>
        <v>Home Office</v>
      </c>
      <c r="N789" s="6" t="s">
        <v>8</v>
      </c>
      <c r="O789" s="6" t="str">
        <f t="shared" si="100"/>
        <v>East</v>
      </c>
      <c r="P789" s="6" t="s">
        <v>263</v>
      </c>
      <c r="Q789" s="6" t="str">
        <f t="shared" si="101"/>
        <v>Bihar</v>
      </c>
      <c r="R789" s="6" t="s">
        <v>264</v>
      </c>
      <c r="S789" s="6" t="str">
        <f t="shared" si="102"/>
        <v>Patna</v>
      </c>
      <c r="T789" s="6" t="s">
        <v>20</v>
      </c>
      <c r="U789" s="8" t="str">
        <f t="shared" si="103"/>
        <v>Office Supplies</v>
      </c>
      <c r="V789" s="6" t="s">
        <v>24</v>
      </c>
      <c r="W789" s="6" t="str">
        <f t="shared" si="104"/>
        <v>Paper</v>
      </c>
      <c r="X789" s="6" t="s">
        <v>3735</v>
      </c>
      <c r="Y789" s="6" t="s">
        <v>36</v>
      </c>
      <c r="Z789" s="6" t="str">
        <f t="shared" si="105"/>
        <v>Second Class</v>
      </c>
      <c r="AA789" s="6">
        <v>2</v>
      </c>
      <c r="AB789" s="6">
        <v>3718.77</v>
      </c>
      <c r="AC789" s="6">
        <v>0.05</v>
      </c>
      <c r="AD789" s="6">
        <v>7065.66</v>
      </c>
      <c r="AE789" s="6">
        <v>4915.2700000000004</v>
      </c>
      <c r="AF789" s="6">
        <v>2150.39</v>
      </c>
      <c r="AG789" s="6" t="s">
        <v>298</v>
      </c>
      <c r="AH789" s="6" t="str">
        <f t="shared" si="106"/>
        <v>Paid</v>
      </c>
      <c r="AI789" s="6" t="s">
        <v>134</v>
      </c>
      <c r="AJ789" s="6" t="str">
        <f t="shared" si="107"/>
        <v>Completed</v>
      </c>
      <c r="AK789" s="9" t="str">
        <f>_xlfn.TEXTJOIN("|",FALSE,A789,TEXT(B789,"mm-dd-yyyy"),TEXT(E789,"mm-dd-yyyy"),I789,J789,L789,N789,P789,R789,T789,V789,X789,Y789,AA789,AB789,AC789,AD789,AE789,AF789,AG789,AI789)</f>
        <v>ORD-2024-10788|09-12-2024|09-18-2024|CUST-7548|Ananya Rao|Home Office|East|Bihar|Patna|Office Supplies|Paper|Prime Paper 878|Second Class|2|3718.77|0.05|7065.66|4915.27|2150.39|Paid |Completed</v>
      </c>
      <c r="AL789" s="27" t="str">
        <f>IF(COUNTIF($AK$2:AK789,AK789)&gt;1,"Remove exact duplicate copy","Keep")</f>
        <v>Keep</v>
      </c>
      <c r="AM789" s="9">
        <f t="shared" si="108"/>
        <v>1</v>
      </c>
      <c r="AN789" s="9" t="str">
        <f t="shared" si="109"/>
        <v>Unique</v>
      </c>
      <c r="AO789" s="9" t="str">
        <f t="shared" si="110"/>
        <v/>
      </c>
      <c r="AP789" s="9">
        <f t="shared" si="111"/>
        <v>0.05</v>
      </c>
      <c r="AQ789" s="10">
        <f t="shared" si="112"/>
        <v>7065.6629999999996</v>
      </c>
      <c r="AR789" s="10">
        <f t="shared" si="113"/>
        <v>2150.3929999999991</v>
      </c>
      <c r="AS789" s="11">
        <f t="shared" si="114"/>
        <v>0.30434412170521002</v>
      </c>
      <c r="AT789" s="9">
        <f t="shared" si="115"/>
        <v>9</v>
      </c>
      <c r="AU789" s="9">
        <f t="shared" si="116"/>
        <v>2024</v>
      </c>
      <c r="AV789" s="9" t="b">
        <f t="shared" si="117"/>
        <v>0</v>
      </c>
      <c r="AW789" s="9" t="b">
        <f t="shared" si="118"/>
        <v>0</v>
      </c>
      <c r="AX789" s="9" t="str">
        <f t="shared" si="119"/>
        <v>Yes</v>
      </c>
      <c r="AY789" s="9" t="str">
        <f t="shared" si="121"/>
        <v/>
      </c>
      <c r="AZ789" s="9" t="str">
        <f>IF(OR(G789="Missing date",G789="Invalid date",G789="Ship date before order date",NOT(ISNUMBER(AP789)),AP789&lt;0,AP789&gt;0.5,AV789=TRUE,AW789=TRUE),"Invalid",IF(OR(O789="Unknown",Z789="Unknown",AC789="",AH789&lt;&gt;"Paid",AJ789&lt;&gt;"Completed",AO789&lt;&gt;""),"Warning","Clean"))</f>
        <v>Clean</v>
      </c>
    </row>
    <row r="790" spans="1:52" ht="15.75" customHeight="1">
      <c r="A790" s="6" t="s">
        <v>3736</v>
      </c>
      <c r="B790" s="7" t="s">
        <v>1384</v>
      </c>
      <c r="C790" s="7" t="str">
        <f t="shared" si="120"/>
        <v>2024-08</v>
      </c>
      <c r="D790" s="7" cm="1">
        <f t="array" ref="D790">_xlfn.LET(_xlpm.x,B790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45505</v>
      </c>
      <c r="E790" s="7" t="s">
        <v>616</v>
      </c>
      <c r="F790" s="7" cm="1">
        <f t="array" ref="F790">_xlfn.LET(_xlpm.x,E790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45506</v>
      </c>
      <c r="G790" s="8" t="str">
        <f t="shared" si="96"/>
        <v>OK</v>
      </c>
      <c r="H790" s="6">
        <f t="shared" si="97"/>
        <v>1</v>
      </c>
      <c r="I790" s="6" t="s">
        <v>3737</v>
      </c>
      <c r="J790" s="6" t="s">
        <v>147</v>
      </c>
      <c r="K790" s="6" t="str">
        <f t="shared" si="98"/>
        <v>Isha Nair</v>
      </c>
      <c r="L790" s="6" t="s">
        <v>45</v>
      </c>
      <c r="M790" s="8" t="str">
        <f t="shared" si="99"/>
        <v>Corporate</v>
      </c>
      <c r="N790" s="6" t="s">
        <v>7</v>
      </c>
      <c r="O790" s="6" t="str">
        <f t="shared" si="100"/>
        <v>North</v>
      </c>
      <c r="P790" s="6" t="s">
        <v>251</v>
      </c>
      <c r="Q790" s="6" t="str">
        <f t="shared" si="101"/>
        <v>Uttar Pradesh</v>
      </c>
      <c r="R790" s="6" t="s">
        <v>252</v>
      </c>
      <c r="S790" s="6" t="str">
        <f t="shared" si="102"/>
        <v>Noida</v>
      </c>
      <c r="T790" s="6" t="s">
        <v>14</v>
      </c>
      <c r="U790" s="8" t="str">
        <f t="shared" si="103"/>
        <v>Furniture</v>
      </c>
      <c r="V790" s="6" t="s">
        <v>16</v>
      </c>
      <c r="W790" s="6" t="str">
        <f t="shared" si="104"/>
        <v>Chairs</v>
      </c>
      <c r="X790" s="6" t="s">
        <v>3738</v>
      </c>
      <c r="Y790" s="6" t="s">
        <v>34</v>
      </c>
      <c r="Z790" s="6" t="str">
        <f t="shared" si="105"/>
        <v>Standard Class</v>
      </c>
      <c r="AA790" s="6">
        <v>8</v>
      </c>
      <c r="AB790" s="6">
        <v>2487.64</v>
      </c>
      <c r="AC790" s="6">
        <v>0.1</v>
      </c>
      <c r="AD790" s="6">
        <v>17911.009999999998</v>
      </c>
      <c r="AE790" s="6">
        <v>11546.05</v>
      </c>
      <c r="AF790" s="6">
        <v>6364.96</v>
      </c>
      <c r="AG790" s="6" t="s">
        <v>50</v>
      </c>
      <c r="AH790" s="6" t="str">
        <f t="shared" si="106"/>
        <v>Failed</v>
      </c>
      <c r="AI790" s="6" t="s">
        <v>59</v>
      </c>
      <c r="AJ790" s="6" t="str">
        <f t="shared" si="107"/>
        <v>Returned</v>
      </c>
      <c r="AK790" s="9" t="str">
        <f>_xlfn.TEXTJOIN("|",FALSE,A790,TEXT(B790,"mm-dd-yyyy"),TEXT(E790,"mm-dd-yyyy"),I790,J790,L790,N790,P790,R790,T790,V790,X790,Y790,AA790,AB790,AC790,AD790,AE790,AF790,AG790,AI790)</f>
        <v>ORD-2024-10789|08-01-2024|02-08-2024|CUST-3631|Isha Nair|Corporate|North|Uttar Pradesh|Noida|Furniture|Chairs|Smart Chairs 353|Standard Class|8|2487.64|0.1|17911.01|11546.05|6364.96|Failed|Returned</v>
      </c>
      <c r="AL790" s="27" t="str">
        <f>IF(COUNTIF($AK$2:AK790,AK790)&gt;1,"Remove exact duplicate copy","Keep")</f>
        <v>Keep</v>
      </c>
      <c r="AM790" s="9">
        <f t="shared" si="108"/>
        <v>1</v>
      </c>
      <c r="AN790" s="9" t="str">
        <f t="shared" si="109"/>
        <v>Unique</v>
      </c>
      <c r="AO790" s="9" t="str">
        <f t="shared" si="110"/>
        <v/>
      </c>
      <c r="AP790" s="9">
        <f t="shared" si="111"/>
        <v>0.1</v>
      </c>
      <c r="AQ790" s="10">
        <f t="shared" si="112"/>
        <v>17911.007999999998</v>
      </c>
      <c r="AR790" s="10">
        <f t="shared" si="113"/>
        <v>6364.9579999999987</v>
      </c>
      <c r="AS790" s="11">
        <f t="shared" si="114"/>
        <v>0.35536570582738836</v>
      </c>
      <c r="AT790" s="9">
        <f t="shared" si="115"/>
        <v>8</v>
      </c>
      <c r="AU790" s="9">
        <f t="shared" si="116"/>
        <v>2024</v>
      </c>
      <c r="AV790" s="9" t="b">
        <f t="shared" si="117"/>
        <v>0</v>
      </c>
      <c r="AW790" s="9" t="b">
        <f t="shared" si="118"/>
        <v>0</v>
      </c>
      <c r="AX790" s="9" t="str">
        <f t="shared" si="119"/>
        <v>No</v>
      </c>
      <c r="AY790" s="9" t="str">
        <f t="shared" si="121"/>
        <v>Failed payment excluded; Returned order excluded</v>
      </c>
      <c r="AZ790" s="9" t="str">
        <f>IF(OR(G790="Missing date",G790="Invalid date",G790="Ship date before order date",NOT(ISNUMBER(AP790)),AP790&lt;0,AP790&gt;0.5,AV790=TRUE,AW790=TRUE),"Invalid",IF(OR(O790="Unknown",Z790="Unknown",AC790="",AH790&lt;&gt;"Paid",AJ790&lt;&gt;"Completed",AO790&lt;&gt;""),"Warning","Clean"))</f>
        <v>Warning</v>
      </c>
    </row>
    <row r="791" spans="1:52" ht="15.75" customHeight="1">
      <c r="A791" s="6" t="s">
        <v>3739</v>
      </c>
      <c r="B791" s="7" t="s">
        <v>3740</v>
      </c>
      <c r="C791" s="7" t="str">
        <f t="shared" si="120"/>
        <v>2025-03</v>
      </c>
      <c r="D791" s="7" cm="1">
        <f t="array" ref="D791">_xlfn.LET(_xlpm.x,B791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45723</v>
      </c>
      <c r="E791" s="7" t="s">
        <v>2414</v>
      </c>
      <c r="F791" s="7" cm="1">
        <f t="array" ref="F791">_xlfn.LET(_xlpm.x,E791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45724</v>
      </c>
      <c r="G791" s="8" t="str">
        <f t="shared" si="96"/>
        <v>OK</v>
      </c>
      <c r="H791" s="6">
        <f t="shared" si="97"/>
        <v>1</v>
      </c>
      <c r="I791" s="6" t="s">
        <v>3741</v>
      </c>
      <c r="J791" s="6" t="s">
        <v>220</v>
      </c>
      <c r="K791" s="6" t="str">
        <f t="shared" si="98"/>
        <v>Priya Menon</v>
      </c>
      <c r="L791" s="6" t="s">
        <v>44</v>
      </c>
      <c r="M791" s="8" t="str">
        <f t="shared" si="99"/>
        <v>Home Office</v>
      </c>
      <c r="N791" s="6"/>
      <c r="O791" s="6" t="str">
        <f t="shared" si="100"/>
        <v>Unknown</v>
      </c>
      <c r="P791" s="6" t="s">
        <v>131</v>
      </c>
      <c r="Q791" s="6" t="str">
        <f t="shared" si="101"/>
        <v>Rajasthan</v>
      </c>
      <c r="R791" s="6" t="s">
        <v>214</v>
      </c>
      <c r="S791" s="6" t="str">
        <f t="shared" si="102"/>
        <v>Udaipur</v>
      </c>
      <c r="T791" s="6" t="s">
        <v>27</v>
      </c>
      <c r="U791" s="8" t="str">
        <f t="shared" si="103"/>
        <v>Technology</v>
      </c>
      <c r="V791" s="6" t="s">
        <v>29</v>
      </c>
      <c r="W791" s="6" t="str">
        <f t="shared" si="104"/>
        <v>Copiers</v>
      </c>
      <c r="X791" s="6" t="s">
        <v>3742</v>
      </c>
      <c r="Y791" s="6" t="s">
        <v>37</v>
      </c>
      <c r="Z791" s="6" t="str">
        <f t="shared" si="105"/>
        <v>Same Day</v>
      </c>
      <c r="AA791" s="6">
        <v>4</v>
      </c>
      <c r="AB791" s="6">
        <v>3537.48</v>
      </c>
      <c r="AC791" s="6">
        <v>0</v>
      </c>
      <c r="AD791" s="6">
        <v>14149.92</v>
      </c>
      <c r="AE791" s="6">
        <v>9466.51</v>
      </c>
      <c r="AF791" s="6">
        <v>4683.41</v>
      </c>
      <c r="AG791" s="6" t="s">
        <v>52</v>
      </c>
      <c r="AH791" s="6" t="str">
        <f t="shared" si="106"/>
        <v>Paid</v>
      </c>
      <c r="AI791" s="6" t="s">
        <v>134</v>
      </c>
      <c r="AJ791" s="6" t="str">
        <f t="shared" si="107"/>
        <v>Completed</v>
      </c>
      <c r="AK791" s="9" t="str">
        <f>_xlfn.TEXTJOIN("|",FALSE,A791,TEXT(B791,"mm-dd-yyyy"),TEXT(E791,"mm-dd-yyyy"),I791,J791,L791,N791,P791,R791,T791,V791,X791,Y791,AA791,AB791,AC791,AD791,AE791,AF791,AG791,AI791)</f>
        <v>ORD-2025-10790|03-07-2025|03-08-2025|CUST-1453|Priya Menon|Home Office||Rajasthan|Udaipur|Technology|Copiers|Smart Copiers 408|Same Day|4|3537.48|0|14149.92|9466.51|4683.41|Paid|Completed</v>
      </c>
      <c r="AL791" s="27" t="str">
        <f>IF(COUNTIF($AK$2:AK791,AK791)&gt;1,"Remove exact duplicate copy","Keep")</f>
        <v>Keep</v>
      </c>
      <c r="AM791" s="9">
        <f t="shared" si="108"/>
        <v>1</v>
      </c>
      <c r="AN791" s="9" t="str">
        <f t="shared" si="109"/>
        <v>Unique</v>
      </c>
      <c r="AO791" s="9" t="str">
        <f t="shared" si="110"/>
        <v/>
      </c>
      <c r="AP791" s="9">
        <f t="shared" si="111"/>
        <v>0</v>
      </c>
      <c r="AQ791" s="10">
        <f t="shared" si="112"/>
        <v>14149.92</v>
      </c>
      <c r="AR791" s="10">
        <f t="shared" si="113"/>
        <v>4683.41</v>
      </c>
      <c r="AS791" s="11">
        <f t="shared" si="114"/>
        <v>0.33098491016203624</v>
      </c>
      <c r="AT791" s="9">
        <f t="shared" si="115"/>
        <v>3</v>
      </c>
      <c r="AU791" s="9">
        <f t="shared" si="116"/>
        <v>2025</v>
      </c>
      <c r="AV791" s="9" t="b">
        <f t="shared" si="117"/>
        <v>0</v>
      </c>
      <c r="AW791" s="9" t="b">
        <f t="shared" si="118"/>
        <v>0</v>
      </c>
      <c r="AX791" s="9" t="str">
        <f t="shared" si="119"/>
        <v>Yes</v>
      </c>
      <c r="AY791" s="9" t="str">
        <f t="shared" si="121"/>
        <v>Missing region filled as Unknown</v>
      </c>
      <c r="AZ791" s="9" t="str">
        <f>IF(OR(G791="Missing date",G791="Invalid date",G791="Ship date before order date",NOT(ISNUMBER(AP791)),AP791&lt;0,AP791&gt;0.5,AV791=TRUE,AW791=TRUE),"Invalid",IF(OR(O791="Unknown",Z791="Unknown",AC791="",AH791&lt;&gt;"Paid",AJ791&lt;&gt;"Completed",AO791&lt;&gt;""),"Warning","Clean"))</f>
        <v>Warning</v>
      </c>
    </row>
    <row r="792" spans="1:52" ht="15.75" customHeight="1">
      <c r="A792" s="6" t="s">
        <v>3743</v>
      </c>
      <c r="B792" s="7" t="s">
        <v>3744</v>
      </c>
      <c r="C792" s="7" t="str">
        <f t="shared" si="120"/>
        <v>2024-05</v>
      </c>
      <c r="D792" s="7" cm="1">
        <f t="array" ref="D792">_xlfn.LET(_xlpm.x,B792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45443</v>
      </c>
      <c r="E792" s="7" t="s">
        <v>3745</v>
      </c>
      <c r="F792" s="7" cm="1">
        <f t="array" ref="F792">_xlfn.LET(_xlpm.x,E792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45445</v>
      </c>
      <c r="G792" s="8" t="str">
        <f t="shared" si="96"/>
        <v>OK</v>
      </c>
      <c r="H792" s="6">
        <f t="shared" si="97"/>
        <v>2</v>
      </c>
      <c r="I792" s="6" t="s">
        <v>3746</v>
      </c>
      <c r="J792" s="6" t="s">
        <v>226</v>
      </c>
      <c r="K792" s="6" t="str">
        <f t="shared" si="98"/>
        <v>Rahul Verma</v>
      </c>
      <c r="L792" s="6" t="s">
        <v>45</v>
      </c>
      <c r="M792" s="8" t="str">
        <f t="shared" si="99"/>
        <v>Corporate</v>
      </c>
      <c r="N792" s="6" t="s">
        <v>10</v>
      </c>
      <c r="O792" s="6" t="str">
        <f t="shared" si="100"/>
        <v>South</v>
      </c>
      <c r="P792" s="6" t="s">
        <v>183</v>
      </c>
      <c r="Q792" s="6" t="str">
        <f t="shared" si="101"/>
        <v>Andhra Pradesh</v>
      </c>
      <c r="R792" s="6" t="s">
        <v>184</v>
      </c>
      <c r="S792" s="6" t="str">
        <f t="shared" si="102"/>
        <v>Vijayawada</v>
      </c>
      <c r="T792" s="6" t="s">
        <v>20</v>
      </c>
      <c r="U792" s="8" t="str">
        <f t="shared" si="103"/>
        <v>Office Supplies</v>
      </c>
      <c r="V792" s="6" t="s">
        <v>21</v>
      </c>
      <c r="W792" s="6" t="str">
        <f t="shared" si="104"/>
        <v>Art</v>
      </c>
      <c r="X792" s="6" t="s">
        <v>3747</v>
      </c>
      <c r="Y792" s="6" t="s">
        <v>34</v>
      </c>
      <c r="Z792" s="6" t="str">
        <f t="shared" si="105"/>
        <v>Standard Class</v>
      </c>
      <c r="AA792" s="6">
        <v>8</v>
      </c>
      <c r="AB792" s="6">
        <v>667.59</v>
      </c>
      <c r="AC792" s="6">
        <v>0.2</v>
      </c>
      <c r="AD792" s="6">
        <v>4272.58</v>
      </c>
      <c r="AE792" s="6">
        <v>3328.92</v>
      </c>
      <c r="AF792" s="6">
        <v>943.66</v>
      </c>
      <c r="AG792" s="6" t="s">
        <v>52</v>
      </c>
      <c r="AH792" s="6" t="str">
        <f t="shared" si="106"/>
        <v>Paid</v>
      </c>
      <c r="AI792" s="6" t="s">
        <v>134</v>
      </c>
      <c r="AJ792" s="6" t="str">
        <f t="shared" si="107"/>
        <v>Completed</v>
      </c>
      <c r="AK792" s="9" t="str">
        <f>_xlfn.TEXTJOIN("|",FALSE,A792,TEXT(B792,"mm-dd-yyyy"),TEXT(E792,"mm-dd-yyyy"),I792,J792,L792,N792,P792,R792,T792,V792,X792,Y792,AA792,AB792,AC792,AD792,AE792,AF792,AG792,AI792)</f>
        <v>ORD-2024-10791|05-31-2024|06-02-2024|CUST-1951|Rahul Verma|Corporate|South|Andhra Pradesh|Vijayawada|Office Supplies|Art|Classic Art 781|Standard Class|8|667.59|0.2|4272.58|3328.92|943.66|Paid|Completed</v>
      </c>
      <c r="AL792" s="27" t="str">
        <f>IF(COUNTIF($AK$2:AK792,AK792)&gt;1,"Remove exact duplicate copy","Keep")</f>
        <v>Keep</v>
      </c>
      <c r="AM792" s="9">
        <f t="shared" si="108"/>
        <v>1</v>
      </c>
      <c r="AN792" s="9" t="str">
        <f t="shared" si="109"/>
        <v>Unique</v>
      </c>
      <c r="AO792" s="9" t="str">
        <f t="shared" si="110"/>
        <v/>
      </c>
      <c r="AP792" s="9">
        <f t="shared" si="111"/>
        <v>0.2</v>
      </c>
      <c r="AQ792" s="10">
        <f t="shared" si="112"/>
        <v>4272.576</v>
      </c>
      <c r="AR792" s="10">
        <f t="shared" si="113"/>
        <v>943.65599999999995</v>
      </c>
      <c r="AS792" s="11">
        <f t="shared" si="114"/>
        <v>0.22086347908147214</v>
      </c>
      <c r="AT792" s="9">
        <f t="shared" si="115"/>
        <v>5</v>
      </c>
      <c r="AU792" s="9">
        <f t="shared" si="116"/>
        <v>2024</v>
      </c>
      <c r="AV792" s="9" t="b">
        <f t="shared" si="117"/>
        <v>0</v>
      </c>
      <c r="AW792" s="9" t="b">
        <f t="shared" si="118"/>
        <v>0</v>
      </c>
      <c r="AX792" s="9" t="str">
        <f t="shared" si="119"/>
        <v>Yes</v>
      </c>
      <c r="AY792" s="9" t="str">
        <f t="shared" si="121"/>
        <v/>
      </c>
      <c r="AZ792" s="9" t="str">
        <f>IF(OR(G792="Missing date",G792="Invalid date",G792="Ship date before order date",NOT(ISNUMBER(AP792)),AP792&lt;0,AP792&gt;0.5,AV792=TRUE,AW792=TRUE),"Invalid",IF(OR(O792="Unknown",Z792="Unknown",AC792="",AH792&lt;&gt;"Paid",AJ792&lt;&gt;"Completed",AO792&lt;&gt;""),"Warning","Clean"))</f>
        <v>Clean</v>
      </c>
    </row>
    <row r="793" spans="1:52" ht="15.75" customHeight="1">
      <c r="A793" s="6" t="s">
        <v>3748</v>
      </c>
      <c r="B793" s="7" t="s">
        <v>3109</v>
      </c>
      <c r="C793" s="7" t="str">
        <f t="shared" si="120"/>
        <v>2024-10</v>
      </c>
      <c r="D793" s="7" cm="1">
        <f t="array" ref="D793">_xlfn.LET(_xlpm.x,B793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45567</v>
      </c>
      <c r="E793" s="7" t="s">
        <v>3749</v>
      </c>
      <c r="F793" s="7" cm="1">
        <f t="array" ref="F793">_xlfn.LET(_xlpm.x,E793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45571</v>
      </c>
      <c r="G793" s="8" t="str">
        <f t="shared" si="96"/>
        <v>OK</v>
      </c>
      <c r="H793" s="6">
        <f t="shared" si="97"/>
        <v>4</v>
      </c>
      <c r="I793" s="6" t="s">
        <v>3750</v>
      </c>
      <c r="J793" s="6" t="s">
        <v>226</v>
      </c>
      <c r="K793" s="6" t="str">
        <f t="shared" si="98"/>
        <v>Rahul Verma</v>
      </c>
      <c r="L793" s="6" t="s">
        <v>44</v>
      </c>
      <c r="M793" s="8" t="str">
        <f t="shared" si="99"/>
        <v>Home Office</v>
      </c>
      <c r="N793" s="6" t="s">
        <v>10</v>
      </c>
      <c r="O793" s="6" t="str">
        <f t="shared" si="100"/>
        <v>South</v>
      </c>
      <c r="P793" s="6" t="s">
        <v>303</v>
      </c>
      <c r="Q793" s="6" t="str">
        <f t="shared" si="101"/>
        <v>Karnataka</v>
      </c>
      <c r="R793" s="6" t="s">
        <v>304</v>
      </c>
      <c r="S793" s="6" t="str">
        <f t="shared" si="102"/>
        <v>Bengaluru</v>
      </c>
      <c r="T793" s="6" t="s">
        <v>14</v>
      </c>
      <c r="U793" s="8" t="str">
        <f t="shared" si="103"/>
        <v>Furniture</v>
      </c>
      <c r="V793" s="6" t="s">
        <v>15</v>
      </c>
      <c r="W793" s="6" t="str">
        <f t="shared" si="104"/>
        <v>Bookcases</v>
      </c>
      <c r="X793" s="6" t="s">
        <v>3751</v>
      </c>
      <c r="Y793" s="6" t="s">
        <v>37</v>
      </c>
      <c r="Z793" s="6" t="str">
        <f t="shared" si="105"/>
        <v>Same Day</v>
      </c>
      <c r="AA793" s="6">
        <v>8</v>
      </c>
      <c r="AB793" s="6">
        <v>1558.77</v>
      </c>
      <c r="AC793" s="6">
        <v>0.25</v>
      </c>
      <c r="AD793" s="6">
        <v>9352.6200000000008</v>
      </c>
      <c r="AE793" s="6">
        <v>5269.41</v>
      </c>
      <c r="AF793" s="6">
        <v>4083.21</v>
      </c>
      <c r="AG793" s="6" t="s">
        <v>52</v>
      </c>
      <c r="AH793" s="6" t="str">
        <f t="shared" si="106"/>
        <v>Paid</v>
      </c>
      <c r="AI793" s="6" t="s">
        <v>134</v>
      </c>
      <c r="AJ793" s="6" t="str">
        <f t="shared" si="107"/>
        <v>Completed</v>
      </c>
      <c r="AK793" s="9" t="str">
        <f>_xlfn.TEXTJOIN("|",FALSE,A793,TEXT(B793,"mm-dd-yyyy"),TEXT(E793,"mm-dd-yyyy"),I793,J793,L793,N793,P793,R793,T793,V793,X793,Y793,AA793,AB793,AC793,AD793,AE793,AF793,AG793,AI793)</f>
        <v>ORD-2024-10792|10-02-2024|10-06-2024|CUST-6300|Rahul Verma|Home Office|South|Karnataka|Bengaluru|Furniture|Bookcases|Eco Bookcases 144|Same Day|8|1558.77|0.25|9352.62|5269.41|4083.21|Paid|Completed</v>
      </c>
      <c r="AL793" s="27" t="str">
        <f>IF(COUNTIF($AK$2:AK793,AK793)&gt;1,"Remove exact duplicate copy","Keep")</f>
        <v>Keep</v>
      </c>
      <c r="AM793" s="9">
        <f t="shared" si="108"/>
        <v>1</v>
      </c>
      <c r="AN793" s="9" t="str">
        <f t="shared" si="109"/>
        <v>Unique</v>
      </c>
      <c r="AO793" s="9" t="str">
        <f t="shared" si="110"/>
        <v/>
      </c>
      <c r="AP793" s="9">
        <f t="shared" si="111"/>
        <v>0.25</v>
      </c>
      <c r="AQ793" s="10">
        <f t="shared" si="112"/>
        <v>9352.619999999999</v>
      </c>
      <c r="AR793" s="10">
        <f t="shared" si="113"/>
        <v>4083.2099999999991</v>
      </c>
      <c r="AS793" s="11">
        <f t="shared" si="114"/>
        <v>0.43658461479243243</v>
      </c>
      <c r="AT793" s="9">
        <f t="shared" si="115"/>
        <v>10</v>
      </c>
      <c r="AU793" s="9">
        <f t="shared" si="116"/>
        <v>2024</v>
      </c>
      <c r="AV793" s="9" t="b">
        <f t="shared" si="117"/>
        <v>0</v>
      </c>
      <c r="AW793" s="9" t="b">
        <f t="shared" si="118"/>
        <v>0</v>
      </c>
      <c r="AX793" s="9" t="str">
        <f t="shared" si="119"/>
        <v>Yes</v>
      </c>
      <c r="AY793" s="9" t="str">
        <f t="shared" si="121"/>
        <v/>
      </c>
      <c r="AZ793" s="9" t="str">
        <f>IF(OR(G793="Missing date",G793="Invalid date",G793="Ship date before order date",NOT(ISNUMBER(AP793)),AP793&lt;0,AP793&gt;0.5,AV793=TRUE,AW793=TRUE),"Invalid",IF(OR(O793="Unknown",Z793="Unknown",AC793="",AH793&lt;&gt;"Paid",AJ793&lt;&gt;"Completed",AO793&lt;&gt;""),"Warning","Clean"))</f>
        <v>Clean</v>
      </c>
    </row>
    <row r="794" spans="1:52" ht="15.75" customHeight="1">
      <c r="A794" s="6" t="s">
        <v>3752</v>
      </c>
      <c r="B794" s="7" t="s">
        <v>1315</v>
      </c>
      <c r="C794" s="7" t="str">
        <f t="shared" si="120"/>
        <v>2025-06</v>
      </c>
      <c r="D794" s="7" cm="1">
        <f t="array" ref="D794">_xlfn.LET(_xlpm.x,B794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45812</v>
      </c>
      <c r="E794" s="7" t="s">
        <v>3753</v>
      </c>
      <c r="F794" s="7" cm="1">
        <f t="array" ref="F794">_xlfn.LET(_xlpm.x,E794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45816</v>
      </c>
      <c r="G794" s="8" t="str">
        <f t="shared" si="96"/>
        <v>OK</v>
      </c>
      <c r="H794" s="6">
        <f t="shared" si="97"/>
        <v>4</v>
      </c>
      <c r="I794" s="6" t="s">
        <v>3754</v>
      </c>
      <c r="J794" s="6" t="s">
        <v>153</v>
      </c>
      <c r="K794" s="6" t="str">
        <f t="shared" si="98"/>
        <v>Arjun Bose</v>
      </c>
      <c r="L794" s="6" t="s">
        <v>46</v>
      </c>
      <c r="M794" s="8" t="str">
        <f t="shared" si="99"/>
        <v>Small Business</v>
      </c>
      <c r="N794" s="6" t="s">
        <v>8</v>
      </c>
      <c r="O794" s="6" t="str">
        <f t="shared" si="100"/>
        <v>East</v>
      </c>
      <c r="P794" s="6" t="s">
        <v>290</v>
      </c>
      <c r="Q794" s="6" t="str">
        <f t="shared" si="101"/>
        <v>Assam</v>
      </c>
      <c r="R794" s="6" t="s">
        <v>291</v>
      </c>
      <c r="S794" s="6" t="str">
        <f t="shared" si="102"/>
        <v>Guwahati</v>
      </c>
      <c r="T794" s="6" t="s">
        <v>14</v>
      </c>
      <c r="U794" s="8" t="str">
        <f t="shared" si="103"/>
        <v>Furniture</v>
      </c>
      <c r="V794" s="6" t="s">
        <v>17</v>
      </c>
      <c r="W794" s="6" t="str">
        <f t="shared" si="104"/>
        <v>Furnishings</v>
      </c>
      <c r="X794" s="6" t="s">
        <v>3755</v>
      </c>
      <c r="Y794" s="6" t="s">
        <v>36</v>
      </c>
      <c r="Z794" s="6" t="str">
        <f t="shared" si="105"/>
        <v>Second Class</v>
      </c>
      <c r="AA794" s="6">
        <v>1</v>
      </c>
      <c r="AB794" s="6">
        <v>3501.12</v>
      </c>
      <c r="AC794" s="6">
        <v>0.2</v>
      </c>
      <c r="AD794" s="6">
        <v>2800.9</v>
      </c>
      <c r="AE794" s="6">
        <v>1735.98</v>
      </c>
      <c r="AF794" s="6">
        <v>1064.92</v>
      </c>
      <c r="AG794" s="6" t="s">
        <v>52</v>
      </c>
      <c r="AH794" s="6" t="str">
        <f t="shared" si="106"/>
        <v>Paid</v>
      </c>
      <c r="AI794" s="6" t="s">
        <v>59</v>
      </c>
      <c r="AJ794" s="6" t="str">
        <f t="shared" si="107"/>
        <v>Returned</v>
      </c>
      <c r="AK794" s="9" t="str">
        <f>_xlfn.TEXTJOIN("|",FALSE,A794,TEXT(B794,"mm-dd-yyyy"),TEXT(E794,"mm-dd-yyyy"),I794,J794,L794,N794,P794,R794,T794,V794,X794,Y794,AA794,AB794,AC794,AD794,AE794,AF794,AG794,AI794)</f>
        <v>ORD-2025-10793|06-04-2025|06-08-2025|CUST-1417|Arjun Bose|Small Business|East|Assam|Guwahati|Furniture|Furnishings|Elite Furnishings 852|Second Class|1|3501.12|0.2|2800.9|1735.98|1064.92|Paid|Returned</v>
      </c>
      <c r="AL794" s="27" t="str">
        <f>IF(COUNTIF($AK$2:AK794,AK794)&gt;1,"Remove exact duplicate copy","Keep")</f>
        <v>Keep</v>
      </c>
      <c r="AM794" s="9">
        <f t="shared" si="108"/>
        <v>1</v>
      </c>
      <c r="AN794" s="9" t="str">
        <f t="shared" si="109"/>
        <v>Unique</v>
      </c>
      <c r="AO794" s="9" t="str">
        <f t="shared" si="110"/>
        <v/>
      </c>
      <c r="AP794" s="9">
        <f t="shared" si="111"/>
        <v>0.2</v>
      </c>
      <c r="AQ794" s="10">
        <f t="shared" si="112"/>
        <v>2800.8960000000002</v>
      </c>
      <c r="AR794" s="10">
        <f t="shared" si="113"/>
        <v>1064.9160000000002</v>
      </c>
      <c r="AS794" s="11">
        <f t="shared" si="114"/>
        <v>0.38020547710446945</v>
      </c>
      <c r="AT794" s="9">
        <f t="shared" si="115"/>
        <v>6</v>
      </c>
      <c r="AU794" s="9">
        <f t="shared" si="116"/>
        <v>2025</v>
      </c>
      <c r="AV794" s="9" t="b">
        <f t="shared" si="117"/>
        <v>0</v>
      </c>
      <c r="AW794" s="9" t="b">
        <f t="shared" si="118"/>
        <v>0</v>
      </c>
      <c r="AX794" s="9" t="str">
        <f t="shared" si="119"/>
        <v>No</v>
      </c>
      <c r="AY794" s="9" t="str">
        <f t="shared" si="121"/>
        <v>Returned order excluded</v>
      </c>
      <c r="AZ794" s="9" t="str">
        <f>IF(OR(G794="Missing date",G794="Invalid date",G794="Ship date before order date",NOT(ISNUMBER(AP794)),AP794&lt;0,AP794&gt;0.5,AV794=TRUE,AW794=TRUE),"Invalid",IF(OR(O794="Unknown",Z794="Unknown",AC794="",AH794&lt;&gt;"Paid",AJ794&lt;&gt;"Completed",AO794&lt;&gt;""),"Warning","Clean"))</f>
        <v>Warning</v>
      </c>
    </row>
    <row r="795" spans="1:52" ht="15.75" customHeight="1">
      <c r="A795" s="6" t="s">
        <v>3756</v>
      </c>
      <c r="B795" s="7" t="s">
        <v>167</v>
      </c>
      <c r="C795" s="7" t="str">
        <f t="shared" si="120"/>
        <v>2024-05</v>
      </c>
      <c r="D795" s="7" cm="1">
        <f t="array" ref="D795">_xlfn.LET(_xlpm.x,B795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45440</v>
      </c>
      <c r="E795" s="7" t="s">
        <v>3757</v>
      </c>
      <c r="F795" s="7" cm="1">
        <f t="array" ref="F795">_xlfn.LET(_xlpm.x,E795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45446</v>
      </c>
      <c r="G795" s="8" t="str">
        <f t="shared" si="96"/>
        <v>OK</v>
      </c>
      <c r="H795" s="6">
        <f t="shared" si="97"/>
        <v>6</v>
      </c>
      <c r="I795" s="6" t="s">
        <v>3758</v>
      </c>
      <c r="J795" s="6" t="s">
        <v>169</v>
      </c>
      <c r="K795" s="6" t="str">
        <f t="shared" si="98"/>
        <v>Vikram Iyer</v>
      </c>
      <c r="L795" s="6" t="s">
        <v>45</v>
      </c>
      <c r="M795" s="8" t="str">
        <f t="shared" si="99"/>
        <v>Corporate</v>
      </c>
      <c r="N795" s="6" t="s">
        <v>7</v>
      </c>
      <c r="O795" s="6" t="str">
        <f t="shared" si="100"/>
        <v>North</v>
      </c>
      <c r="P795" s="6" t="s">
        <v>131</v>
      </c>
      <c r="Q795" s="6" t="str">
        <f t="shared" si="101"/>
        <v>Rajasthan</v>
      </c>
      <c r="R795" s="6" t="s">
        <v>132</v>
      </c>
      <c r="S795" s="6" t="str">
        <f t="shared" si="102"/>
        <v>Jaipur</v>
      </c>
      <c r="T795" s="6" t="s">
        <v>27</v>
      </c>
      <c r="U795" s="8" t="str">
        <f t="shared" si="103"/>
        <v>Technology</v>
      </c>
      <c r="V795" s="6" t="s">
        <v>29</v>
      </c>
      <c r="W795" s="6" t="str">
        <f t="shared" si="104"/>
        <v>Copiers</v>
      </c>
      <c r="X795" s="6" t="s">
        <v>3759</v>
      </c>
      <c r="Y795" s="6" t="s">
        <v>36</v>
      </c>
      <c r="Z795" s="6" t="str">
        <f t="shared" si="105"/>
        <v>Second Class</v>
      </c>
      <c r="AA795" s="6">
        <v>5</v>
      </c>
      <c r="AB795" s="6">
        <v>4302.32</v>
      </c>
      <c r="AC795" s="6">
        <v>0</v>
      </c>
      <c r="AD795" s="6">
        <v>21511.599999999999</v>
      </c>
      <c r="AE795" s="6">
        <v>15408.47</v>
      </c>
      <c r="AF795" s="6">
        <v>6103.13</v>
      </c>
      <c r="AG795" s="6" t="s">
        <v>52</v>
      </c>
      <c r="AH795" s="6" t="str">
        <f t="shared" si="106"/>
        <v>Paid</v>
      </c>
      <c r="AI795" s="6" t="s">
        <v>134</v>
      </c>
      <c r="AJ795" s="6" t="str">
        <f t="shared" si="107"/>
        <v>Completed</v>
      </c>
      <c r="AK795" s="9" t="str">
        <f>_xlfn.TEXTJOIN("|",FALSE,A795,TEXT(B795,"mm-dd-yyyy"),TEXT(E795,"mm-dd-yyyy"),I795,J795,L795,N795,P795,R795,T795,V795,X795,Y795,AA795,AB795,AC795,AD795,AE795,AF795,AG795,AI795)</f>
        <v>ORD-2024-10794|28-05-2024|06-03-2024|CUST-5421|Vikram Iyer|Corporate|North|Rajasthan|Jaipur|Technology|Copiers|Basic Copiers 238|Second Class|5|4302.32|0|21511.6|15408.47|6103.13|Paid|Completed</v>
      </c>
      <c r="AL795" s="27" t="str">
        <f>IF(COUNTIF($AK$2:AK795,AK795)&gt;1,"Remove exact duplicate copy","Keep")</f>
        <v>Keep</v>
      </c>
      <c r="AM795" s="9">
        <f t="shared" si="108"/>
        <v>1</v>
      </c>
      <c r="AN795" s="9" t="str">
        <f t="shared" si="109"/>
        <v>Unique</v>
      </c>
      <c r="AO795" s="9" t="str">
        <f t="shared" si="110"/>
        <v/>
      </c>
      <c r="AP795" s="9">
        <f t="shared" si="111"/>
        <v>0</v>
      </c>
      <c r="AQ795" s="10">
        <f t="shared" si="112"/>
        <v>21511.599999999999</v>
      </c>
      <c r="AR795" s="10">
        <f t="shared" si="113"/>
        <v>6103.1299999999992</v>
      </c>
      <c r="AS795" s="11">
        <f t="shared" si="114"/>
        <v>0.28371343833094703</v>
      </c>
      <c r="AT795" s="9">
        <f t="shared" si="115"/>
        <v>5</v>
      </c>
      <c r="AU795" s="9">
        <f t="shared" si="116"/>
        <v>2024</v>
      </c>
      <c r="AV795" s="9" t="b">
        <f t="shared" si="117"/>
        <v>0</v>
      </c>
      <c r="AW795" s="9" t="b">
        <f t="shared" si="118"/>
        <v>0</v>
      </c>
      <c r="AX795" s="9" t="str">
        <f t="shared" si="119"/>
        <v>Yes</v>
      </c>
      <c r="AY795" s="9" t="str">
        <f t="shared" si="121"/>
        <v/>
      </c>
      <c r="AZ795" s="9" t="str">
        <f>IF(OR(G795="Missing date",G795="Invalid date",G795="Ship date before order date",NOT(ISNUMBER(AP795)),AP795&lt;0,AP795&gt;0.5,AV795=TRUE,AW795=TRUE),"Invalid",IF(OR(O795="Unknown",Z795="Unknown",AC795="",AH795&lt;&gt;"Paid",AJ795&lt;&gt;"Completed",AO795&lt;&gt;""),"Warning","Clean"))</f>
        <v>Clean</v>
      </c>
    </row>
    <row r="796" spans="1:52" ht="15.75" customHeight="1">
      <c r="A796" s="6" t="s">
        <v>3760</v>
      </c>
      <c r="B796" s="7" t="s">
        <v>3761</v>
      </c>
      <c r="C796" s="7" t="str">
        <f t="shared" si="120"/>
        <v>2025-06</v>
      </c>
      <c r="D796" s="7" cm="1">
        <f t="array" ref="D796">_xlfn.LET(_xlpm.x,B796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45830</v>
      </c>
      <c r="E796" s="7" t="s">
        <v>1078</v>
      </c>
      <c r="F796" s="7" cm="1">
        <f t="array" ref="F796">_xlfn.LET(_xlpm.x,E796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45832</v>
      </c>
      <c r="G796" s="8" t="str">
        <f t="shared" si="96"/>
        <v>OK</v>
      </c>
      <c r="H796" s="6">
        <f t="shared" si="97"/>
        <v>2</v>
      </c>
      <c r="I796" s="6" t="s">
        <v>3762</v>
      </c>
      <c r="J796" s="6" t="s">
        <v>245</v>
      </c>
      <c r="K796" s="6" t="str">
        <f t="shared" si="98"/>
        <v>Sneha Kapoor</v>
      </c>
      <c r="L796" s="6" t="s">
        <v>45</v>
      </c>
      <c r="M796" s="8" t="str">
        <f t="shared" si="99"/>
        <v>Corporate</v>
      </c>
      <c r="N796" s="6" t="s">
        <v>8</v>
      </c>
      <c r="O796" s="6" t="str">
        <f t="shared" si="100"/>
        <v>East</v>
      </c>
      <c r="P796" s="6" t="s">
        <v>290</v>
      </c>
      <c r="Q796" s="6" t="str">
        <f t="shared" si="101"/>
        <v>Assam</v>
      </c>
      <c r="R796" s="6" t="s">
        <v>291</v>
      </c>
      <c r="S796" s="6" t="str">
        <f t="shared" si="102"/>
        <v>Guwahati</v>
      </c>
      <c r="T796" s="6" t="s">
        <v>20</v>
      </c>
      <c r="U796" s="8" t="str">
        <f t="shared" si="103"/>
        <v>Office Supplies</v>
      </c>
      <c r="V796" s="6" t="s">
        <v>24</v>
      </c>
      <c r="W796" s="6" t="str">
        <f t="shared" si="104"/>
        <v>Paper</v>
      </c>
      <c r="X796" s="6" t="s">
        <v>3763</v>
      </c>
      <c r="Y796" s="6" t="s">
        <v>34</v>
      </c>
      <c r="Z796" s="6" t="str">
        <f t="shared" si="105"/>
        <v>Standard Class</v>
      </c>
      <c r="AA796" s="6">
        <v>9</v>
      </c>
      <c r="AB796" s="6">
        <v>951.55</v>
      </c>
      <c r="AC796" s="6">
        <v>0.15</v>
      </c>
      <c r="AD796" s="6">
        <v>7279.36</v>
      </c>
      <c r="AE796" s="6">
        <v>4870.3900000000003</v>
      </c>
      <c r="AF796" s="6">
        <v>2408.9699999999998</v>
      </c>
      <c r="AG796" s="6" t="s">
        <v>52</v>
      </c>
      <c r="AH796" s="6" t="str">
        <f t="shared" si="106"/>
        <v>Paid</v>
      </c>
      <c r="AI796" s="6" t="s">
        <v>134</v>
      </c>
      <c r="AJ796" s="6" t="str">
        <f t="shared" si="107"/>
        <v>Completed</v>
      </c>
      <c r="AK796" s="9" t="str">
        <f>_xlfn.TEXTJOIN("|",FALSE,A796,TEXT(B796,"mm-dd-yyyy"),TEXT(E796,"mm-dd-yyyy"),I796,J796,L796,N796,P796,R796,T796,V796,X796,Y796,AA796,AB796,AC796,AD796,AE796,AF796,AG796,AI796)</f>
        <v>ORD-2025-10795|06-22-2025|06-24-2025|CUST-2829|Sneha Kapoor|Corporate|East|Assam|Guwahati|Office Supplies|Paper|Elite Paper 847|Standard Class|9|951.55|0.15|7279.36|4870.39|2408.97|Paid|Completed</v>
      </c>
      <c r="AL796" s="27" t="str">
        <f>IF(COUNTIF($AK$2:AK796,AK796)&gt;1,"Remove exact duplicate copy","Keep")</f>
        <v>Keep</v>
      </c>
      <c r="AM796" s="9">
        <f t="shared" si="108"/>
        <v>1</v>
      </c>
      <c r="AN796" s="9" t="str">
        <f t="shared" si="109"/>
        <v>Unique</v>
      </c>
      <c r="AO796" s="9" t="str">
        <f t="shared" si="110"/>
        <v/>
      </c>
      <c r="AP796" s="9">
        <f t="shared" si="111"/>
        <v>0.15</v>
      </c>
      <c r="AQ796" s="10">
        <f t="shared" si="112"/>
        <v>7279.3574999999992</v>
      </c>
      <c r="AR796" s="10">
        <f t="shared" si="113"/>
        <v>2408.9674999999988</v>
      </c>
      <c r="AS796" s="11">
        <f t="shared" si="114"/>
        <v>0.33093133562955235</v>
      </c>
      <c r="AT796" s="9">
        <f t="shared" si="115"/>
        <v>6</v>
      </c>
      <c r="AU796" s="9">
        <f t="shared" si="116"/>
        <v>2025</v>
      </c>
      <c r="AV796" s="9" t="b">
        <f t="shared" si="117"/>
        <v>0</v>
      </c>
      <c r="AW796" s="9" t="b">
        <f t="shared" si="118"/>
        <v>0</v>
      </c>
      <c r="AX796" s="9" t="str">
        <f t="shared" si="119"/>
        <v>Yes</v>
      </c>
      <c r="AY796" s="9" t="str">
        <f t="shared" si="121"/>
        <v/>
      </c>
      <c r="AZ796" s="9" t="str">
        <f>IF(OR(G796="Missing date",G796="Invalid date",G796="Ship date before order date",NOT(ISNUMBER(AP796)),AP796&lt;0,AP796&gt;0.5,AV796=TRUE,AW796=TRUE),"Invalid",IF(OR(O796="Unknown",Z796="Unknown",AC796="",AH796&lt;&gt;"Paid",AJ796&lt;&gt;"Completed",AO796&lt;&gt;""),"Warning","Clean"))</f>
        <v>Clean</v>
      </c>
    </row>
    <row r="797" spans="1:52" ht="15.75" customHeight="1">
      <c r="A797" s="6" t="s">
        <v>3764</v>
      </c>
      <c r="B797" s="7" t="s">
        <v>3765</v>
      </c>
      <c r="C797" s="7" t="str">
        <f t="shared" si="120"/>
        <v>2024-07</v>
      </c>
      <c r="D797" s="7" cm="1">
        <f t="array" ref="D797">_xlfn.LET(_xlpm.x,B797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45503</v>
      </c>
      <c r="E797" s="7" t="s">
        <v>607</v>
      </c>
      <c r="F797" s="7" cm="1">
        <f t="array" ref="F797">_xlfn.LET(_xlpm.x,E797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45503</v>
      </c>
      <c r="G797" s="8" t="str">
        <f t="shared" si="96"/>
        <v>OK</v>
      </c>
      <c r="H797" s="6">
        <f t="shared" si="97"/>
        <v>0</v>
      </c>
      <c r="I797" s="6" t="s">
        <v>3766</v>
      </c>
      <c r="J797" s="6" t="s">
        <v>284</v>
      </c>
      <c r="K797" s="6" t="str">
        <f t="shared" si="98"/>
        <v>Diya Patel</v>
      </c>
      <c r="L797" s="6" t="s">
        <v>44</v>
      </c>
      <c r="M797" s="8" t="str">
        <f t="shared" si="99"/>
        <v>Home Office</v>
      </c>
      <c r="N797" s="6" t="s">
        <v>8</v>
      </c>
      <c r="O797" s="6" t="str">
        <f t="shared" si="100"/>
        <v>East</v>
      </c>
      <c r="P797" s="6" t="s">
        <v>140</v>
      </c>
      <c r="Q797" s="6" t="str">
        <f t="shared" si="101"/>
        <v>Odisha</v>
      </c>
      <c r="R797" s="6" t="s">
        <v>141</v>
      </c>
      <c r="S797" s="6" t="str">
        <f t="shared" si="102"/>
        <v>Bhubaneswar</v>
      </c>
      <c r="T797" s="6" t="s">
        <v>27</v>
      </c>
      <c r="U797" s="8" t="str">
        <f t="shared" si="103"/>
        <v>Technology</v>
      </c>
      <c r="V797" s="6" t="s">
        <v>29</v>
      </c>
      <c r="W797" s="6" t="str">
        <f t="shared" si="104"/>
        <v>Copiers</v>
      </c>
      <c r="X797" s="6" t="s">
        <v>3767</v>
      </c>
      <c r="Y797" s="6" t="s">
        <v>37</v>
      </c>
      <c r="Z797" s="6" t="str">
        <f t="shared" si="105"/>
        <v>Same Day</v>
      </c>
      <c r="AA797" s="6">
        <v>9</v>
      </c>
      <c r="AB797" s="6">
        <v>2894.66</v>
      </c>
      <c r="AC797" s="6">
        <v>0</v>
      </c>
      <c r="AD797" s="6">
        <v>26051.94</v>
      </c>
      <c r="AE797" s="6">
        <v>16883.59</v>
      </c>
      <c r="AF797" s="6">
        <v>9168.35</v>
      </c>
      <c r="AG797" s="6" t="s">
        <v>56</v>
      </c>
      <c r="AH797" s="6" t="str">
        <f t="shared" si="106"/>
        <v>Refunded</v>
      </c>
      <c r="AI797" s="6" t="s">
        <v>58</v>
      </c>
      <c r="AJ797" s="6" t="str">
        <f t="shared" si="107"/>
        <v>Cancelled</v>
      </c>
      <c r="AK797" s="9" t="str">
        <f>_xlfn.TEXTJOIN("|",FALSE,A797,TEXT(B797,"mm-dd-yyyy"),TEXT(E797,"mm-dd-yyyy"),I797,J797,L797,N797,P797,R797,T797,V797,X797,Y797,AA797,AB797,AC797,AD797,AE797,AF797,AG797,AI797)</f>
        <v>ORD-2024-10796|30-07-2024|07-30-2024|CUST-6529|Diya Patel|Home Office|East|Odisha|Bhubaneswar|Technology|Copiers|Pro Copiers 653|Same Day|9|2894.66|0|26051.94|16883.59|9168.35|Refunded|Cancelled</v>
      </c>
      <c r="AL797" s="27" t="str">
        <f>IF(COUNTIF($AK$2:AK797,AK797)&gt;1,"Remove exact duplicate copy","Keep")</f>
        <v>Keep</v>
      </c>
      <c r="AM797" s="9">
        <f t="shared" si="108"/>
        <v>1</v>
      </c>
      <c r="AN797" s="9" t="str">
        <f t="shared" si="109"/>
        <v>Unique</v>
      </c>
      <c r="AO797" s="9" t="str">
        <f t="shared" si="110"/>
        <v/>
      </c>
      <c r="AP797" s="9">
        <f t="shared" si="111"/>
        <v>0</v>
      </c>
      <c r="AQ797" s="10">
        <f t="shared" si="112"/>
        <v>26051.94</v>
      </c>
      <c r="AR797" s="10">
        <f t="shared" si="113"/>
        <v>9168.3499999999985</v>
      </c>
      <c r="AS797" s="11">
        <f t="shared" si="114"/>
        <v>0.3519258066769691</v>
      </c>
      <c r="AT797" s="9">
        <f t="shared" si="115"/>
        <v>7</v>
      </c>
      <c r="AU797" s="9">
        <f t="shared" si="116"/>
        <v>2024</v>
      </c>
      <c r="AV797" s="9" t="b">
        <f t="shared" si="117"/>
        <v>0</v>
      </c>
      <c r="AW797" s="9" t="b">
        <f t="shared" si="118"/>
        <v>0</v>
      </c>
      <c r="AX797" s="9" t="str">
        <f t="shared" si="119"/>
        <v>No</v>
      </c>
      <c r="AY797" s="9" t="str">
        <f t="shared" si="121"/>
        <v>Refunded order summarized separately; Cancelled order excluded</v>
      </c>
      <c r="AZ797" s="9" t="str">
        <f>IF(OR(G797="Missing date",G797="Invalid date",G797="Ship date before order date",NOT(ISNUMBER(AP797)),AP797&lt;0,AP797&gt;0.5,AV797=TRUE,AW797=TRUE),"Invalid",IF(OR(O797="Unknown",Z797="Unknown",AC797="",AH797&lt;&gt;"Paid",AJ797&lt;&gt;"Completed",AO797&lt;&gt;""),"Warning","Clean"))</f>
        <v>Warning</v>
      </c>
    </row>
    <row r="798" spans="1:52" ht="15.75" customHeight="1">
      <c r="A798" s="6" t="s">
        <v>3768</v>
      </c>
      <c r="B798" s="7" t="s">
        <v>879</v>
      </c>
      <c r="C798" s="7" t="str">
        <f t="shared" si="120"/>
        <v>2024-03</v>
      </c>
      <c r="D798" s="7" cm="1">
        <f t="array" ref="D798">_xlfn.LET(_xlpm.x,B798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45374</v>
      </c>
      <c r="E798" s="7" t="s">
        <v>3769</v>
      </c>
      <c r="F798" s="7" cm="1">
        <f t="array" ref="F798">_xlfn.LET(_xlpm.x,E798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45381</v>
      </c>
      <c r="G798" s="8" t="str">
        <f t="shared" si="96"/>
        <v>OK</v>
      </c>
      <c r="H798" s="6">
        <f t="shared" si="97"/>
        <v>7</v>
      </c>
      <c r="I798" s="6" t="s">
        <v>3770</v>
      </c>
      <c r="J798" s="6" t="s">
        <v>257</v>
      </c>
      <c r="K798" s="6" t="str">
        <f t="shared" si="98"/>
        <v>Rohan Mehta</v>
      </c>
      <c r="L798" s="6" t="s">
        <v>46</v>
      </c>
      <c r="M798" s="8" t="str">
        <f t="shared" si="99"/>
        <v>Small Business</v>
      </c>
      <c r="N798" s="6" t="s">
        <v>10</v>
      </c>
      <c r="O798" s="6" t="str">
        <f t="shared" si="100"/>
        <v>South</v>
      </c>
      <c r="P798" s="6" t="s">
        <v>183</v>
      </c>
      <c r="Q798" s="6" t="str">
        <f t="shared" si="101"/>
        <v>Andhra Pradesh</v>
      </c>
      <c r="R798" s="6" t="s">
        <v>184</v>
      </c>
      <c r="S798" s="6" t="str">
        <f t="shared" si="102"/>
        <v>Vijayawada</v>
      </c>
      <c r="T798" s="6" t="s">
        <v>27</v>
      </c>
      <c r="U798" s="8" t="str">
        <f t="shared" si="103"/>
        <v>Technology</v>
      </c>
      <c r="V798" s="6" t="s">
        <v>30</v>
      </c>
      <c r="W798" s="6" t="str">
        <f t="shared" si="104"/>
        <v>Machines</v>
      </c>
      <c r="X798" s="6" t="s">
        <v>3771</v>
      </c>
      <c r="Y798" s="6" t="s">
        <v>35</v>
      </c>
      <c r="Z798" s="6" t="str">
        <f t="shared" si="105"/>
        <v>First Class</v>
      </c>
      <c r="AA798" s="6">
        <v>6</v>
      </c>
      <c r="AB798" s="6">
        <v>1894.44</v>
      </c>
      <c r="AC798" s="6">
        <v>0.15</v>
      </c>
      <c r="AD798" s="6">
        <v>9661.64</v>
      </c>
      <c r="AE798" s="6">
        <v>6303.77</v>
      </c>
      <c r="AF798" s="6">
        <v>3357.87</v>
      </c>
      <c r="AG798" s="6" t="s">
        <v>52</v>
      </c>
      <c r="AH798" s="6" t="str">
        <f t="shared" si="106"/>
        <v>Paid</v>
      </c>
      <c r="AI798" s="6" t="s">
        <v>134</v>
      </c>
      <c r="AJ798" s="6" t="str">
        <f t="shared" si="107"/>
        <v>Completed</v>
      </c>
      <c r="AK798" s="9" t="str">
        <f>_xlfn.TEXTJOIN("|",FALSE,A798,TEXT(B798,"mm-dd-yyyy"),TEXT(E798,"mm-dd-yyyy"),I798,J798,L798,N798,P798,R798,T798,V798,X798,Y798,AA798,AB798,AC798,AD798,AE798,AF798,AG798,AI798)</f>
        <v>ORD-2024-10797|03-23-2024|30-03-2024|CUST-3126|Rohan Mehta|Small Business|South|Andhra Pradesh|Vijayawada|Technology|Machines|Elite Machines 459|First Class|6|1894.44|0.15|9661.64|6303.77|3357.87|Paid|Completed</v>
      </c>
      <c r="AL798" s="27" t="str">
        <f>IF(COUNTIF($AK$2:AK798,AK798)&gt;1,"Remove exact duplicate copy","Keep")</f>
        <v>Keep</v>
      </c>
      <c r="AM798" s="9">
        <f t="shared" si="108"/>
        <v>1</v>
      </c>
      <c r="AN798" s="9" t="str">
        <f t="shared" si="109"/>
        <v>Unique</v>
      </c>
      <c r="AO798" s="9" t="str">
        <f t="shared" si="110"/>
        <v/>
      </c>
      <c r="AP798" s="9">
        <f t="shared" si="111"/>
        <v>0.15</v>
      </c>
      <c r="AQ798" s="10">
        <f t="shared" si="112"/>
        <v>9661.6439999999984</v>
      </c>
      <c r="AR798" s="10">
        <f t="shared" si="113"/>
        <v>3357.873999999998</v>
      </c>
      <c r="AS798" s="11">
        <f t="shared" si="114"/>
        <v>0.34754685641491223</v>
      </c>
      <c r="AT798" s="9">
        <f t="shared" si="115"/>
        <v>3</v>
      </c>
      <c r="AU798" s="9">
        <f t="shared" si="116"/>
        <v>2024</v>
      </c>
      <c r="AV798" s="9" t="b">
        <f t="shared" si="117"/>
        <v>0</v>
      </c>
      <c r="AW798" s="9" t="b">
        <f t="shared" si="118"/>
        <v>0</v>
      </c>
      <c r="AX798" s="9" t="str">
        <f t="shared" si="119"/>
        <v>Yes</v>
      </c>
      <c r="AY798" s="9" t="str">
        <f t="shared" si="121"/>
        <v/>
      </c>
      <c r="AZ798" s="9" t="str">
        <f>IF(OR(G798="Missing date",G798="Invalid date",G798="Ship date before order date",NOT(ISNUMBER(AP798)),AP798&lt;0,AP798&gt;0.5,AV798=TRUE,AW798=TRUE),"Invalid",IF(OR(O798="Unknown",Z798="Unknown",AC798="",AH798&lt;&gt;"Paid",AJ798&lt;&gt;"Completed",AO798&lt;&gt;""),"Warning","Clean"))</f>
        <v>Clean</v>
      </c>
    </row>
    <row r="799" spans="1:52" ht="15.75" customHeight="1">
      <c r="A799" s="6" t="s">
        <v>3772</v>
      </c>
      <c r="B799" s="7" t="s">
        <v>3773</v>
      </c>
      <c r="C799" s="7" t="str">
        <f t="shared" si="120"/>
        <v>2024-04</v>
      </c>
      <c r="D799" s="7" cm="1">
        <f t="array" ref="D799">_xlfn.LET(_xlpm.x,B799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45400</v>
      </c>
      <c r="E799" s="7" t="s">
        <v>3684</v>
      </c>
      <c r="F799" s="7" cm="1">
        <f t="array" ref="F799">_xlfn.LET(_xlpm.x,E799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45404</v>
      </c>
      <c r="G799" s="8" t="str">
        <f t="shared" si="96"/>
        <v>OK</v>
      </c>
      <c r="H799" s="6">
        <f t="shared" si="97"/>
        <v>4</v>
      </c>
      <c r="I799" s="6" t="s">
        <v>3774</v>
      </c>
      <c r="J799" s="6" t="s">
        <v>239</v>
      </c>
      <c r="K799" s="6" t="str">
        <f t="shared" si="98"/>
        <v>Aarav Sharma</v>
      </c>
      <c r="L799" s="6" t="s">
        <v>43</v>
      </c>
      <c r="M799" s="8" t="str">
        <f t="shared" si="99"/>
        <v>Consumer</v>
      </c>
      <c r="N799" s="6" t="s">
        <v>8</v>
      </c>
      <c r="O799" s="6" t="str">
        <f t="shared" si="100"/>
        <v>East</v>
      </c>
      <c r="P799" s="6" t="s">
        <v>140</v>
      </c>
      <c r="Q799" s="6" t="str">
        <f t="shared" si="101"/>
        <v>Odisha</v>
      </c>
      <c r="R799" s="6" t="s">
        <v>141</v>
      </c>
      <c r="S799" s="6" t="str">
        <f t="shared" si="102"/>
        <v>Bhubaneswar</v>
      </c>
      <c r="T799" s="6" t="s">
        <v>20</v>
      </c>
      <c r="U799" s="8" t="str">
        <f t="shared" si="103"/>
        <v>Office Supplies</v>
      </c>
      <c r="V799" s="6" t="s">
        <v>22</v>
      </c>
      <c r="W799" s="6" t="str">
        <f t="shared" si="104"/>
        <v>Binders</v>
      </c>
      <c r="X799" s="6" t="s">
        <v>3775</v>
      </c>
      <c r="Y799" s="6" t="s">
        <v>35</v>
      </c>
      <c r="Z799" s="6" t="str">
        <f t="shared" si="105"/>
        <v>First Class</v>
      </c>
      <c r="AA799" s="6">
        <v>8</v>
      </c>
      <c r="AB799" s="6">
        <v>1714.37</v>
      </c>
      <c r="AC799" s="6">
        <v>0</v>
      </c>
      <c r="AD799" s="6">
        <v>13714.96</v>
      </c>
      <c r="AE799" s="6">
        <v>10550.47</v>
      </c>
      <c r="AF799" s="6">
        <v>3164.49</v>
      </c>
      <c r="AG799" s="6" t="s">
        <v>50</v>
      </c>
      <c r="AH799" s="6" t="str">
        <f t="shared" si="106"/>
        <v>Failed</v>
      </c>
      <c r="AI799" s="6" t="s">
        <v>58</v>
      </c>
      <c r="AJ799" s="6" t="str">
        <f t="shared" si="107"/>
        <v>Cancelled</v>
      </c>
      <c r="AK799" s="9" t="str">
        <f>_xlfn.TEXTJOIN("|",FALSE,A799,TEXT(B799,"mm-dd-yyyy"),TEXT(E799,"mm-dd-yyyy"),I799,J799,L799,N799,P799,R799,T799,V799,X799,Y799,AA799,AB799,AC799,AD799,AE799,AF799,AG799,AI799)</f>
        <v>ORD-2024-10798|04-18-2024|22-04-2024|CUST-3991|Aarav Sharma|Consumer|East|Odisha|Bhubaneswar|Office Supplies|Binders|Elite Binders 764|First Class|8|1714.37|0|13714.96|10550.47|3164.49|Failed|Cancelled</v>
      </c>
      <c r="AL799" s="27" t="str">
        <f>IF(COUNTIF($AK$2:AK799,AK799)&gt;1,"Remove exact duplicate copy","Keep")</f>
        <v>Keep</v>
      </c>
      <c r="AM799" s="9">
        <f t="shared" si="108"/>
        <v>1</v>
      </c>
      <c r="AN799" s="9" t="str">
        <f t="shared" si="109"/>
        <v>Unique</v>
      </c>
      <c r="AO799" s="9" t="str">
        <f t="shared" si="110"/>
        <v/>
      </c>
      <c r="AP799" s="9">
        <f t="shared" si="111"/>
        <v>0</v>
      </c>
      <c r="AQ799" s="10">
        <f t="shared" si="112"/>
        <v>13714.96</v>
      </c>
      <c r="AR799" s="10">
        <f t="shared" si="113"/>
        <v>3164.49</v>
      </c>
      <c r="AS799" s="11">
        <f t="shared" si="114"/>
        <v>0.23073271814135804</v>
      </c>
      <c r="AT799" s="9">
        <f t="shared" si="115"/>
        <v>4</v>
      </c>
      <c r="AU799" s="9">
        <f t="shared" si="116"/>
        <v>2024</v>
      </c>
      <c r="AV799" s="9" t="b">
        <f t="shared" si="117"/>
        <v>0</v>
      </c>
      <c r="AW799" s="9" t="b">
        <f t="shared" si="118"/>
        <v>0</v>
      </c>
      <c r="AX799" s="9" t="str">
        <f t="shared" si="119"/>
        <v>No</v>
      </c>
      <c r="AY799" s="9" t="str">
        <f t="shared" si="121"/>
        <v>Failed payment excluded; Cancelled order excluded</v>
      </c>
      <c r="AZ799" s="9" t="str">
        <f>IF(OR(G799="Missing date",G799="Invalid date",G799="Ship date before order date",NOT(ISNUMBER(AP799)),AP799&lt;0,AP799&gt;0.5,AV799=TRUE,AW799=TRUE),"Invalid",IF(OR(O799="Unknown",Z799="Unknown",AC799="",AH799&lt;&gt;"Paid",AJ799&lt;&gt;"Completed",AO799&lt;&gt;""),"Warning","Clean"))</f>
        <v>Warning</v>
      </c>
    </row>
    <row r="800" spans="1:52" ht="15.75" customHeight="1">
      <c r="A800" s="6" t="s">
        <v>3776</v>
      </c>
      <c r="B800" s="7" t="s">
        <v>3777</v>
      </c>
      <c r="C800" s="7" t="str">
        <f t="shared" si="120"/>
        <v>2025-07</v>
      </c>
      <c r="D800" s="7" cm="1">
        <f t="array" ref="D800">_xlfn.LET(_xlpm.x,B800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45849</v>
      </c>
      <c r="E800" s="7" t="s">
        <v>3778</v>
      </c>
      <c r="F800" s="7" cm="1">
        <f t="array" ref="F800">_xlfn.LET(_xlpm.x,E800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45847</v>
      </c>
      <c r="G800" s="8" t="str">
        <f t="shared" si="96"/>
        <v>Ship date before order date</v>
      </c>
      <c r="H800" s="6">
        <f t="shared" si="97"/>
        <v>-2</v>
      </c>
      <c r="I800" s="6" t="s">
        <v>3779</v>
      </c>
      <c r="J800" s="6" t="s">
        <v>190</v>
      </c>
      <c r="K800" s="6" t="str">
        <f t="shared" si="98"/>
        <v>Aditi Sen</v>
      </c>
      <c r="L800" s="6" t="s">
        <v>45</v>
      </c>
      <c r="M800" s="8" t="str">
        <f t="shared" si="99"/>
        <v>Corporate</v>
      </c>
      <c r="N800" s="6" t="s">
        <v>7</v>
      </c>
      <c r="O800" s="6" t="str">
        <f t="shared" si="100"/>
        <v>North</v>
      </c>
      <c r="P800" s="6" t="s">
        <v>583</v>
      </c>
      <c r="Q800" s="6" t="str">
        <f t="shared" si="101"/>
        <v>Delhi</v>
      </c>
      <c r="R800" s="6" t="s">
        <v>584</v>
      </c>
      <c r="S800" s="6" t="str">
        <f t="shared" si="102"/>
        <v>New Delhi</v>
      </c>
      <c r="T800" s="6" t="s">
        <v>14</v>
      </c>
      <c r="U800" s="8" t="str">
        <f t="shared" si="103"/>
        <v>Furniture</v>
      </c>
      <c r="V800" s="6" t="s">
        <v>17</v>
      </c>
      <c r="W800" s="6" t="str">
        <f t="shared" si="104"/>
        <v>Furnishings</v>
      </c>
      <c r="X800" s="6" t="s">
        <v>3780</v>
      </c>
      <c r="Y800" s="6" t="s">
        <v>34</v>
      </c>
      <c r="Z800" s="6" t="str">
        <f t="shared" si="105"/>
        <v>Standard Class</v>
      </c>
      <c r="AA800" s="6">
        <v>9</v>
      </c>
      <c r="AB800" s="6">
        <v>1706.05</v>
      </c>
      <c r="AC800" s="6">
        <v>0</v>
      </c>
      <c r="AD800" s="6">
        <v>15354.45</v>
      </c>
      <c r="AE800" s="6">
        <v>9656.5</v>
      </c>
      <c r="AF800" s="6">
        <v>5697.95</v>
      </c>
      <c r="AG800" s="6" t="s">
        <v>52</v>
      </c>
      <c r="AH800" s="6" t="str">
        <f t="shared" si="106"/>
        <v>Paid</v>
      </c>
      <c r="AI800" s="6" t="s">
        <v>134</v>
      </c>
      <c r="AJ800" s="6" t="str">
        <f t="shared" si="107"/>
        <v>Completed</v>
      </c>
      <c r="AK800" s="9" t="str">
        <f>_xlfn.TEXTJOIN("|",FALSE,A800,TEXT(B800,"mm-dd-yyyy"),TEXT(E800,"mm-dd-yyyy"),I800,J800,L800,N800,P800,R800,T800,V800,X800,Y800,AA800,AB800,AC800,AD800,AE800,AF800,AG800,AI800)</f>
        <v>ORD-2025-10799|07-11-2025|09-07-2025|CUST-7553|Aditi Sen|Corporate|North|Delhi|New Delhi|Furniture|Furnishings|Classic Furnishings 348|Standard Class|9|1706.05|0|15354.45|9656.5|5697.95|Paid|Completed</v>
      </c>
      <c r="AL800" s="27" t="str">
        <f>IF(COUNTIF($AK$2:AK800,AK800)&gt;1,"Remove exact duplicate copy","Keep")</f>
        <v>Keep</v>
      </c>
      <c r="AM800" s="9">
        <f t="shared" si="108"/>
        <v>1</v>
      </c>
      <c r="AN800" s="9" t="str">
        <f t="shared" si="109"/>
        <v>Unique</v>
      </c>
      <c r="AO800" s="9" t="str">
        <f t="shared" si="110"/>
        <v/>
      </c>
      <c r="AP800" s="9">
        <f t="shared" si="111"/>
        <v>0</v>
      </c>
      <c r="AQ800" s="10">
        <f t="shared" si="112"/>
        <v>15354.449999999999</v>
      </c>
      <c r="AR800" s="10">
        <f t="shared" si="113"/>
        <v>5697.9499999999989</v>
      </c>
      <c r="AS800" s="11">
        <f t="shared" si="114"/>
        <v>0.37109437329243311</v>
      </c>
      <c r="AT800" s="9">
        <f t="shared" si="115"/>
        <v>7</v>
      </c>
      <c r="AU800" s="9">
        <f t="shared" si="116"/>
        <v>2025</v>
      </c>
      <c r="AV800" s="9" t="b">
        <f t="shared" si="117"/>
        <v>0</v>
      </c>
      <c r="AW800" s="9" t="b">
        <f t="shared" si="118"/>
        <v>0</v>
      </c>
      <c r="AX800" s="9" t="str">
        <f t="shared" si="119"/>
        <v>No</v>
      </c>
      <c r="AY800" s="9" t="str">
        <f t="shared" si="121"/>
        <v>Ship date before order date</v>
      </c>
      <c r="AZ800" s="9" t="str">
        <f>IF(OR(G800="Missing date",G800="Invalid date",G800="Ship date before order date",NOT(ISNUMBER(AP800)),AP800&lt;0,AP800&gt;0.5,AV800=TRUE,AW800=TRUE),"Invalid",IF(OR(O800="Unknown",Z800="Unknown",AC800="",AH800&lt;&gt;"Paid",AJ800&lt;&gt;"Completed",AO800&lt;&gt;""),"Warning","Clean"))</f>
        <v>Invalid</v>
      </c>
    </row>
    <row r="801" spans="1:52" ht="15.75" customHeight="1">
      <c r="A801" s="6" t="s">
        <v>3781</v>
      </c>
      <c r="B801" s="7" t="s">
        <v>3464</v>
      </c>
      <c r="C801" s="7" t="str">
        <f t="shared" si="120"/>
        <v>2024-10</v>
      </c>
      <c r="D801" s="7" cm="1">
        <f t="array" ref="D801">_xlfn.LET(_xlpm.x,B801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45575</v>
      </c>
      <c r="E801" s="7" t="s">
        <v>2636</v>
      </c>
      <c r="F801" s="7" cm="1">
        <f t="array" ref="F801">_xlfn.LET(_xlpm.x,E801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45582</v>
      </c>
      <c r="G801" s="8" t="str">
        <f t="shared" si="96"/>
        <v>OK</v>
      </c>
      <c r="H801" s="6">
        <f t="shared" si="97"/>
        <v>7</v>
      </c>
      <c r="I801" s="6" t="s">
        <v>3782</v>
      </c>
      <c r="J801" s="6" t="s">
        <v>147</v>
      </c>
      <c r="K801" s="6" t="str">
        <f t="shared" si="98"/>
        <v>Isha Nair</v>
      </c>
      <c r="L801" s="6" t="s">
        <v>44</v>
      </c>
      <c r="M801" s="8" t="str">
        <f t="shared" si="99"/>
        <v>Home Office</v>
      </c>
      <c r="N801" s="6" t="s">
        <v>7</v>
      </c>
      <c r="O801" s="6" t="str">
        <f t="shared" si="100"/>
        <v>North</v>
      </c>
      <c r="P801" s="6" t="s">
        <v>397</v>
      </c>
      <c r="Q801" s="6" t="str">
        <f t="shared" si="101"/>
        <v>Haryana</v>
      </c>
      <c r="R801" s="6" t="s">
        <v>398</v>
      </c>
      <c r="S801" s="6" t="str">
        <f t="shared" si="102"/>
        <v>Gurugram</v>
      </c>
      <c r="T801" s="6" t="s">
        <v>27</v>
      </c>
      <c r="U801" s="8" t="str">
        <f t="shared" si="103"/>
        <v>Technology</v>
      </c>
      <c r="V801" s="6" t="s">
        <v>28</v>
      </c>
      <c r="W801" s="6" t="str">
        <f t="shared" si="104"/>
        <v>Accessories</v>
      </c>
      <c r="X801" s="6" t="s">
        <v>3783</v>
      </c>
      <c r="Y801" s="6"/>
      <c r="Z801" s="6" t="str">
        <f t="shared" si="105"/>
        <v>Unknown</v>
      </c>
      <c r="AA801" s="6">
        <v>5</v>
      </c>
      <c r="AB801" s="6">
        <v>967.41</v>
      </c>
      <c r="AC801" s="6">
        <v>0.05</v>
      </c>
      <c r="AD801" s="6">
        <v>4595.2</v>
      </c>
      <c r="AE801" s="6">
        <v>3887.41</v>
      </c>
      <c r="AF801" s="6">
        <v>707.79</v>
      </c>
      <c r="AG801" s="6" t="s">
        <v>52</v>
      </c>
      <c r="AH801" s="6" t="str">
        <f t="shared" si="106"/>
        <v>Paid</v>
      </c>
      <c r="AI801" s="6" t="s">
        <v>59</v>
      </c>
      <c r="AJ801" s="6" t="str">
        <f t="shared" si="107"/>
        <v>Returned</v>
      </c>
      <c r="AK801" s="9" t="str">
        <f>_xlfn.TEXTJOIN("|",FALSE,A801,TEXT(B801,"mm-dd-yyyy"),TEXT(E801,"mm-dd-yyyy"),I801,J801,L801,N801,P801,R801,T801,V801,X801,Y801,AA801,AB801,AC801,AD801,AE801,AF801,AG801,AI801)</f>
        <v>ORD-2024-10800|10-10-2024|10-17-2024|CUST-8527|Isha Nair|Home Office|North|Haryana|Gurugram|Technology|Accessories|Smart Accessories 487||5|967.41|0.05|4595.2|3887.41|707.79|Paid|Returned</v>
      </c>
      <c r="AL801" s="27" t="str">
        <f>IF(COUNTIF($AK$2:AK801,AK801)&gt;1,"Remove exact duplicate copy","Keep")</f>
        <v>Keep</v>
      </c>
      <c r="AM801" s="9">
        <f t="shared" si="108"/>
        <v>1</v>
      </c>
      <c r="AN801" s="9" t="str">
        <f t="shared" si="109"/>
        <v>Unique</v>
      </c>
      <c r="AO801" s="9" t="str">
        <f t="shared" si="110"/>
        <v/>
      </c>
      <c r="AP801" s="9">
        <f t="shared" si="111"/>
        <v>0.05</v>
      </c>
      <c r="AQ801" s="10">
        <f t="shared" si="112"/>
        <v>4595.1975000000002</v>
      </c>
      <c r="AR801" s="10">
        <f t="shared" si="113"/>
        <v>707.78750000000036</v>
      </c>
      <c r="AS801" s="11">
        <f t="shared" si="114"/>
        <v>0.15402765604742785</v>
      </c>
      <c r="AT801" s="9">
        <f t="shared" si="115"/>
        <v>10</v>
      </c>
      <c r="AU801" s="9">
        <f t="shared" si="116"/>
        <v>2024</v>
      </c>
      <c r="AV801" s="9" t="b">
        <f t="shared" si="117"/>
        <v>0</v>
      </c>
      <c r="AW801" s="9" t="b">
        <f t="shared" si="118"/>
        <v>0</v>
      </c>
      <c r="AX801" s="9" t="str">
        <f t="shared" si="119"/>
        <v>No</v>
      </c>
      <c r="AY801" s="9" t="str">
        <f t="shared" si="121"/>
        <v>Missing ship mode filled as Unknown; Returned order excluded</v>
      </c>
      <c r="AZ801" s="9" t="str">
        <f>IF(OR(G801="Missing date",G801="Invalid date",G801="Ship date before order date",NOT(ISNUMBER(AP801)),AP801&lt;0,AP801&gt;0.5,AV801=TRUE,AW801=TRUE),"Invalid",IF(OR(O801="Unknown",Z801="Unknown",AC801="",AH801&lt;&gt;"Paid",AJ801&lt;&gt;"Completed",AO801&lt;&gt;""),"Warning","Clean"))</f>
        <v>Warning</v>
      </c>
    </row>
    <row r="802" spans="1:52" ht="15.75" customHeight="1">
      <c r="A802" s="6" t="s">
        <v>3784</v>
      </c>
      <c r="B802" s="7" t="s">
        <v>3785</v>
      </c>
      <c r="C802" s="7" t="str">
        <f t="shared" si="120"/>
        <v>2024-03</v>
      </c>
      <c r="D802" s="7" cm="1">
        <f t="array" ref="D802">_xlfn.LET(_xlpm.x,B802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45352</v>
      </c>
      <c r="E802" s="7" t="s">
        <v>3786</v>
      </c>
      <c r="F802" s="7" cm="1">
        <f t="array" ref="F802">_xlfn.LET(_xlpm.x,E802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45358</v>
      </c>
      <c r="G802" s="8" t="str">
        <f t="shared" si="96"/>
        <v>OK</v>
      </c>
      <c r="H802" s="6">
        <f t="shared" si="97"/>
        <v>6</v>
      </c>
      <c r="I802" s="6" t="s">
        <v>3787</v>
      </c>
      <c r="J802" s="6" t="s">
        <v>169</v>
      </c>
      <c r="K802" s="6" t="str">
        <f t="shared" si="98"/>
        <v>Vikram Iyer</v>
      </c>
      <c r="L802" s="6" t="s">
        <v>46</v>
      </c>
      <c r="M802" s="8" t="str">
        <f t="shared" si="99"/>
        <v>Small Business</v>
      </c>
      <c r="N802" s="6" t="s">
        <v>9</v>
      </c>
      <c r="O802" s="6" t="str">
        <f t="shared" si="100"/>
        <v>West</v>
      </c>
      <c r="P802" s="6" t="s">
        <v>162</v>
      </c>
      <c r="Q802" s="6" t="str">
        <f t="shared" si="101"/>
        <v>Maharashtra</v>
      </c>
      <c r="R802" s="6" t="s">
        <v>163</v>
      </c>
      <c r="S802" s="6" t="str">
        <f t="shared" si="102"/>
        <v>Mumbai</v>
      </c>
      <c r="T802" s="6" t="s">
        <v>20</v>
      </c>
      <c r="U802" s="8" t="str">
        <f t="shared" si="103"/>
        <v>Office Supplies</v>
      </c>
      <c r="V802" s="6" t="s">
        <v>25</v>
      </c>
      <c r="W802" s="6" t="str">
        <f t="shared" si="104"/>
        <v>Storage</v>
      </c>
      <c r="X802" s="6" t="s">
        <v>3788</v>
      </c>
      <c r="Y802" s="6" t="s">
        <v>36</v>
      </c>
      <c r="Z802" s="6" t="str">
        <f t="shared" si="105"/>
        <v>Second Class</v>
      </c>
      <c r="AA802" s="6">
        <v>6</v>
      </c>
      <c r="AB802" s="6">
        <v>4163.72</v>
      </c>
      <c r="AC802" s="6">
        <v>0.15</v>
      </c>
      <c r="AD802" s="6">
        <v>21234.97</v>
      </c>
      <c r="AE802" s="6">
        <v>16736.09</v>
      </c>
      <c r="AF802" s="6">
        <v>4498.88</v>
      </c>
      <c r="AG802" s="6" t="s">
        <v>52</v>
      </c>
      <c r="AH802" s="6" t="str">
        <f t="shared" si="106"/>
        <v>Paid</v>
      </c>
      <c r="AI802" s="6" t="s">
        <v>134</v>
      </c>
      <c r="AJ802" s="6" t="str">
        <f t="shared" si="107"/>
        <v>Completed</v>
      </c>
      <c r="AK802" s="9" t="str">
        <f>_xlfn.TEXTJOIN("|",FALSE,A802,TEXT(B802,"mm-dd-yyyy"),TEXT(E802,"mm-dd-yyyy"),I802,J802,L802,N802,P802,R802,T802,V802,X802,Y802,AA802,AB802,AC802,AD802,AE802,AF802,AG802,AI802)</f>
        <v>ORD-2024-10801|03-01-2024|03-07-2024|CUST-5015|Vikram Iyer|Small Business|West|Maharashtra|Mumbai|Office Supplies|Storage|Elite Storage 825|Second Class|6|4163.72|0.15|21234.97|16736.09|4498.88|Paid|Completed</v>
      </c>
      <c r="AL802" s="27" t="str">
        <f>IF(COUNTIF($AK$2:AK802,AK802)&gt;1,"Remove exact duplicate copy","Keep")</f>
        <v>Keep</v>
      </c>
      <c r="AM802" s="9">
        <f t="shared" si="108"/>
        <v>1</v>
      </c>
      <c r="AN802" s="9" t="str">
        <f t="shared" si="109"/>
        <v>Unique</v>
      </c>
      <c r="AO802" s="9" t="str">
        <f t="shared" si="110"/>
        <v/>
      </c>
      <c r="AP802" s="9">
        <f t="shared" si="111"/>
        <v>0.15</v>
      </c>
      <c r="AQ802" s="10">
        <f t="shared" si="112"/>
        <v>21234.971999999998</v>
      </c>
      <c r="AR802" s="10">
        <f t="shared" si="113"/>
        <v>4498.8819999999978</v>
      </c>
      <c r="AS802" s="11">
        <f t="shared" si="114"/>
        <v>0.21186192286950029</v>
      </c>
      <c r="AT802" s="9">
        <f t="shared" si="115"/>
        <v>3</v>
      </c>
      <c r="AU802" s="9">
        <f t="shared" si="116"/>
        <v>2024</v>
      </c>
      <c r="AV802" s="9" t="b">
        <f t="shared" si="117"/>
        <v>0</v>
      </c>
      <c r="AW802" s="9" t="b">
        <f t="shared" si="118"/>
        <v>0</v>
      </c>
      <c r="AX802" s="9" t="str">
        <f t="shared" si="119"/>
        <v>Yes</v>
      </c>
      <c r="AY802" s="9" t="str">
        <f t="shared" si="121"/>
        <v/>
      </c>
      <c r="AZ802" s="9" t="str">
        <f>IF(OR(G802="Missing date",G802="Invalid date",G802="Ship date before order date",NOT(ISNUMBER(AP802)),AP802&lt;0,AP802&gt;0.5,AV802=TRUE,AW802=TRUE),"Invalid",IF(OR(O802="Unknown",Z802="Unknown",AC802="",AH802&lt;&gt;"Paid",AJ802&lt;&gt;"Completed",AO802&lt;&gt;""),"Warning","Clean"))</f>
        <v>Clean</v>
      </c>
    </row>
    <row r="803" spans="1:52" ht="15.75" customHeight="1">
      <c r="A803" s="6" t="s">
        <v>3789</v>
      </c>
      <c r="B803" s="7" t="s">
        <v>3790</v>
      </c>
      <c r="C803" s="7" t="str">
        <f t="shared" si="120"/>
        <v>2025-10</v>
      </c>
      <c r="D803" s="7" cm="1">
        <f t="array" ref="D803">_xlfn.LET(_xlpm.x,B803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45938</v>
      </c>
      <c r="E803" s="7" t="s">
        <v>383</v>
      </c>
      <c r="F803" s="7" cm="1">
        <f t="array" ref="F803">_xlfn.LET(_xlpm.x,E803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45945</v>
      </c>
      <c r="G803" s="8" t="str">
        <f t="shared" si="96"/>
        <v>OK</v>
      </c>
      <c r="H803" s="6">
        <f t="shared" si="97"/>
        <v>7</v>
      </c>
      <c r="I803" s="6" t="s">
        <v>3791</v>
      </c>
      <c r="J803" s="6" t="s">
        <v>239</v>
      </c>
      <c r="K803" s="6" t="str">
        <f t="shared" si="98"/>
        <v>Aarav Sharma</v>
      </c>
      <c r="L803" s="6" t="s">
        <v>44</v>
      </c>
      <c r="M803" s="8" t="str">
        <f t="shared" si="99"/>
        <v>Home Office</v>
      </c>
      <c r="N803" s="6" t="s">
        <v>8</v>
      </c>
      <c r="O803" s="6" t="str">
        <f t="shared" si="100"/>
        <v>East</v>
      </c>
      <c r="P803" s="6" t="s">
        <v>140</v>
      </c>
      <c r="Q803" s="6" t="str">
        <f t="shared" si="101"/>
        <v>Odisha</v>
      </c>
      <c r="R803" s="6" t="s">
        <v>141</v>
      </c>
      <c r="S803" s="6" t="str">
        <f t="shared" si="102"/>
        <v>Bhubaneswar</v>
      </c>
      <c r="T803" s="6" t="s">
        <v>27</v>
      </c>
      <c r="U803" s="8" t="str">
        <f t="shared" si="103"/>
        <v>Technology</v>
      </c>
      <c r="V803" s="6" t="s">
        <v>28</v>
      </c>
      <c r="W803" s="6" t="str">
        <f t="shared" si="104"/>
        <v>Accessories</v>
      </c>
      <c r="X803" s="6" t="s">
        <v>3792</v>
      </c>
      <c r="Y803" s="6" t="s">
        <v>36</v>
      </c>
      <c r="Z803" s="6" t="str">
        <f t="shared" si="105"/>
        <v>Second Class</v>
      </c>
      <c r="AA803" s="6">
        <v>3</v>
      </c>
      <c r="AB803" s="6">
        <v>3372.21</v>
      </c>
      <c r="AC803" s="6">
        <v>0.2</v>
      </c>
      <c r="AD803" s="6">
        <v>8093.3</v>
      </c>
      <c r="AE803" s="6">
        <v>6052.43</v>
      </c>
      <c r="AF803" s="6">
        <v>2040.87</v>
      </c>
      <c r="AG803" s="6" t="s">
        <v>54</v>
      </c>
      <c r="AH803" s="6" t="str">
        <f t="shared" si="106"/>
        <v>Pending</v>
      </c>
      <c r="AI803" s="6" t="s">
        <v>58</v>
      </c>
      <c r="AJ803" s="6" t="str">
        <f t="shared" si="107"/>
        <v>Cancelled</v>
      </c>
      <c r="AK803" s="9" t="str">
        <f>_xlfn.TEXTJOIN("|",FALSE,A803,TEXT(B803,"mm-dd-yyyy"),TEXT(E803,"mm-dd-yyyy"),I803,J803,L803,N803,P803,R803,T803,V803,X803,Y803,AA803,AB803,AC803,AD803,AE803,AF803,AG803,AI803)</f>
        <v>ORD-2025-10802|10-08-2025|10-15-2025|CUST-3344|Aarav Sharma|Home Office|East|Odisha|Bhubaneswar|Technology|Accessories|Pro Accessories 500|Second Class|3|3372.21|0.2|8093.3|6052.43|2040.87|Pending|Cancelled</v>
      </c>
      <c r="AL803" s="27" t="str">
        <f>IF(COUNTIF($AK$2:AK803,AK803)&gt;1,"Remove exact duplicate copy","Keep")</f>
        <v>Keep</v>
      </c>
      <c r="AM803" s="9">
        <f t="shared" si="108"/>
        <v>1</v>
      </c>
      <c r="AN803" s="9" t="str">
        <f t="shared" si="109"/>
        <v>Unique</v>
      </c>
      <c r="AO803" s="9" t="str">
        <f t="shared" si="110"/>
        <v/>
      </c>
      <c r="AP803" s="9">
        <f t="shared" si="111"/>
        <v>0.2</v>
      </c>
      <c r="AQ803" s="10">
        <f t="shared" si="112"/>
        <v>8093.304000000001</v>
      </c>
      <c r="AR803" s="10">
        <f t="shared" si="113"/>
        <v>2040.8740000000007</v>
      </c>
      <c r="AS803" s="11">
        <f t="shared" si="114"/>
        <v>0.25216821214179036</v>
      </c>
      <c r="AT803" s="9">
        <f t="shared" si="115"/>
        <v>10</v>
      </c>
      <c r="AU803" s="9">
        <f t="shared" si="116"/>
        <v>2025</v>
      </c>
      <c r="AV803" s="9" t="b">
        <f t="shared" si="117"/>
        <v>0</v>
      </c>
      <c r="AW803" s="9" t="b">
        <f t="shared" si="118"/>
        <v>0</v>
      </c>
      <c r="AX803" s="9" t="str">
        <f t="shared" si="119"/>
        <v>No</v>
      </c>
      <c r="AY803" s="9" t="str">
        <f t="shared" si="121"/>
        <v>Cancelled order excluded</v>
      </c>
      <c r="AZ803" s="9" t="str">
        <f>IF(OR(G803="Missing date",G803="Invalid date",G803="Ship date before order date",NOT(ISNUMBER(AP803)),AP803&lt;0,AP803&gt;0.5,AV803=TRUE,AW803=TRUE),"Invalid",IF(OR(O803="Unknown",Z803="Unknown",AC803="",AH803&lt;&gt;"Paid",AJ803&lt;&gt;"Completed",AO803&lt;&gt;""),"Warning","Clean"))</f>
        <v>Warning</v>
      </c>
    </row>
    <row r="804" spans="1:52" ht="15.75" customHeight="1">
      <c r="A804" s="6" t="s">
        <v>3793</v>
      </c>
      <c r="B804" s="7" t="s">
        <v>3269</v>
      </c>
      <c r="C804" s="7" t="str">
        <f t="shared" si="120"/>
        <v>2025-02</v>
      </c>
      <c r="D804" s="7" cm="1">
        <f t="array" ref="D804">_xlfn.LET(_xlpm.x,B804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45704</v>
      </c>
      <c r="E804" s="7" t="s">
        <v>3794</v>
      </c>
      <c r="F804" s="7" cm="1">
        <f t="array" ref="F804">_xlfn.LET(_xlpm.x,E804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45704</v>
      </c>
      <c r="G804" s="8" t="str">
        <f t="shared" si="96"/>
        <v>OK</v>
      </c>
      <c r="H804" s="6">
        <f t="shared" si="97"/>
        <v>0</v>
      </c>
      <c r="I804" s="6" t="s">
        <v>3795</v>
      </c>
      <c r="J804" s="6" t="s">
        <v>257</v>
      </c>
      <c r="K804" s="6" t="str">
        <f t="shared" si="98"/>
        <v>Rohan Mehta</v>
      </c>
      <c r="L804" s="6" t="s">
        <v>46</v>
      </c>
      <c r="M804" s="8" t="str">
        <f t="shared" si="99"/>
        <v>Small Business</v>
      </c>
      <c r="N804" s="6" t="s">
        <v>8</v>
      </c>
      <c r="O804" s="6" t="str">
        <f t="shared" si="100"/>
        <v>East</v>
      </c>
      <c r="P804" s="6" t="s">
        <v>290</v>
      </c>
      <c r="Q804" s="6" t="str">
        <f t="shared" si="101"/>
        <v>Assam</v>
      </c>
      <c r="R804" s="6" t="s">
        <v>291</v>
      </c>
      <c r="S804" s="6" t="str">
        <f t="shared" si="102"/>
        <v>Guwahati</v>
      </c>
      <c r="T804" s="6" t="s">
        <v>14</v>
      </c>
      <c r="U804" s="8" t="str">
        <f t="shared" si="103"/>
        <v>Furniture</v>
      </c>
      <c r="V804" s="6" t="s">
        <v>17</v>
      </c>
      <c r="W804" s="6" t="str">
        <f t="shared" si="104"/>
        <v>Furnishings</v>
      </c>
      <c r="X804" s="6" t="s">
        <v>3796</v>
      </c>
      <c r="Y804" s="6" t="s">
        <v>36</v>
      </c>
      <c r="Z804" s="6" t="str">
        <f t="shared" si="105"/>
        <v>Second Class</v>
      </c>
      <c r="AA804" s="6">
        <v>6</v>
      </c>
      <c r="AB804" s="6">
        <v>1441.91</v>
      </c>
      <c r="AC804" s="6">
        <v>0</v>
      </c>
      <c r="AD804" s="6">
        <v>8651.4599999999991</v>
      </c>
      <c r="AE804" s="6">
        <v>5254.62</v>
      </c>
      <c r="AF804" s="6">
        <v>3396.84</v>
      </c>
      <c r="AG804" s="6" t="s">
        <v>3797</v>
      </c>
      <c r="AH804" s="6" t="str">
        <f t="shared" si="106"/>
        <v>Failed</v>
      </c>
      <c r="AI804" s="6" t="s">
        <v>59</v>
      </c>
      <c r="AJ804" s="6" t="str">
        <f t="shared" si="107"/>
        <v>Returned</v>
      </c>
      <c r="AK804" s="9" t="str">
        <f>_xlfn.TEXTJOIN("|",FALSE,A804,TEXT(B804,"mm-dd-yyyy"),TEXT(E804,"mm-dd-yyyy"),I804,J804,L804,N804,P804,R804,T804,V804,X804,Y804,AA804,AB804,AC804,AD804,AE804,AF804,AG804,AI804)</f>
        <v>ORD-2025-10803|02-16-2025|02-16-2025|CUST-5866|Rohan Mehta|Small Business|East|Assam|Guwahati|Furniture|Furnishings|Pro Furnishings 909|Second Class|6|1441.91|0|8651.46|5254.62|3396.84|failed|Returned</v>
      </c>
      <c r="AL804" s="27" t="str">
        <f>IF(COUNTIF($AK$2:AK804,AK804)&gt;1,"Remove exact duplicate copy","Keep")</f>
        <v>Keep</v>
      </c>
      <c r="AM804" s="9">
        <f t="shared" si="108"/>
        <v>1</v>
      </c>
      <c r="AN804" s="9" t="str">
        <f t="shared" si="109"/>
        <v>Unique</v>
      </c>
      <c r="AO804" s="9" t="str">
        <f t="shared" si="110"/>
        <v/>
      </c>
      <c r="AP804" s="9">
        <f t="shared" si="111"/>
        <v>0</v>
      </c>
      <c r="AQ804" s="10">
        <f t="shared" si="112"/>
        <v>8651.4600000000009</v>
      </c>
      <c r="AR804" s="10">
        <f t="shared" si="113"/>
        <v>3396.8400000000011</v>
      </c>
      <c r="AS804" s="11">
        <f t="shared" si="114"/>
        <v>0.39263199506210522</v>
      </c>
      <c r="AT804" s="9">
        <f t="shared" si="115"/>
        <v>2</v>
      </c>
      <c r="AU804" s="9">
        <f t="shared" si="116"/>
        <v>2025</v>
      </c>
      <c r="AV804" s="9" t="b">
        <f t="shared" si="117"/>
        <v>0</v>
      </c>
      <c r="AW804" s="9" t="b">
        <f t="shared" si="118"/>
        <v>0</v>
      </c>
      <c r="AX804" s="9" t="str">
        <f t="shared" si="119"/>
        <v>No</v>
      </c>
      <c r="AY804" s="9" t="str">
        <f t="shared" si="121"/>
        <v>Failed payment excluded; Returned order excluded</v>
      </c>
      <c r="AZ804" s="9" t="str">
        <f>IF(OR(G804="Missing date",G804="Invalid date",G804="Ship date before order date",NOT(ISNUMBER(AP804)),AP804&lt;0,AP804&gt;0.5,AV804=TRUE,AW804=TRUE),"Invalid",IF(OR(O804="Unknown",Z804="Unknown",AC804="",AH804&lt;&gt;"Paid",AJ804&lt;&gt;"Completed",AO804&lt;&gt;""),"Warning","Clean"))</f>
        <v>Warning</v>
      </c>
    </row>
    <row r="805" spans="1:52" ht="15.75" customHeight="1">
      <c r="A805" s="6" t="s">
        <v>3798</v>
      </c>
      <c r="B805" s="7" t="s">
        <v>3799</v>
      </c>
      <c r="C805" s="7" t="str">
        <f t="shared" si="120"/>
        <v>2024-12</v>
      </c>
      <c r="D805" s="7" cm="1">
        <f t="array" ref="D805">_xlfn.LET(_xlpm.x,B805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45635</v>
      </c>
      <c r="E805" s="7" t="s">
        <v>815</v>
      </c>
      <c r="F805" s="7" cm="1">
        <f t="array" ref="F805">_xlfn.LET(_xlpm.x,E805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45639</v>
      </c>
      <c r="G805" s="8" t="str">
        <f t="shared" si="96"/>
        <v>OK</v>
      </c>
      <c r="H805" s="6">
        <f t="shared" si="97"/>
        <v>4</v>
      </c>
      <c r="I805" s="6" t="s">
        <v>3800</v>
      </c>
      <c r="J805" s="6" t="s">
        <v>257</v>
      </c>
      <c r="K805" s="6" t="str">
        <f t="shared" si="98"/>
        <v>Rohan Mehta</v>
      </c>
      <c r="L805" s="6" t="s">
        <v>43</v>
      </c>
      <c r="M805" s="8" t="str">
        <f t="shared" si="99"/>
        <v>Consumer</v>
      </c>
      <c r="N805" s="6"/>
      <c r="O805" s="6" t="str">
        <f t="shared" si="100"/>
        <v>Unknown</v>
      </c>
      <c r="P805" s="6" t="s">
        <v>385</v>
      </c>
      <c r="Q805" s="6" t="str">
        <f t="shared" si="101"/>
        <v>Jharkhand</v>
      </c>
      <c r="R805" s="6" t="s">
        <v>386</v>
      </c>
      <c r="S805" s="6" t="str">
        <f t="shared" si="102"/>
        <v>Ranchi</v>
      </c>
      <c r="T805" s="6" t="s">
        <v>20</v>
      </c>
      <c r="U805" s="8" t="str">
        <f t="shared" si="103"/>
        <v>Office Supplies</v>
      </c>
      <c r="V805" s="6" t="s">
        <v>23</v>
      </c>
      <c r="W805" s="6" t="str">
        <f t="shared" si="104"/>
        <v>Labels</v>
      </c>
      <c r="X805" s="6" t="s">
        <v>3801</v>
      </c>
      <c r="Y805" s="6" t="s">
        <v>35</v>
      </c>
      <c r="Z805" s="6" t="str">
        <f t="shared" si="105"/>
        <v>First Class</v>
      </c>
      <c r="AA805" s="6">
        <v>1</v>
      </c>
      <c r="AB805" s="6">
        <v>4306.6499999999996</v>
      </c>
      <c r="AC805" s="6">
        <v>0</v>
      </c>
      <c r="AD805" s="6">
        <v>4306.6499999999996</v>
      </c>
      <c r="AE805" s="6">
        <v>2568.8200000000002</v>
      </c>
      <c r="AF805" s="6">
        <v>1737.83</v>
      </c>
      <c r="AG805" s="6" t="s">
        <v>52</v>
      </c>
      <c r="AH805" s="6" t="str">
        <f t="shared" si="106"/>
        <v>Paid</v>
      </c>
      <c r="AI805" s="6" t="s">
        <v>134</v>
      </c>
      <c r="AJ805" s="6" t="str">
        <f t="shared" si="107"/>
        <v>Completed</v>
      </c>
      <c r="AK805" s="9" t="str">
        <f>_xlfn.TEXTJOIN("|",FALSE,A805,TEXT(B805,"mm-dd-yyyy"),TEXT(E805,"mm-dd-yyyy"),I805,J805,L805,N805,P805,R805,T805,V805,X805,Y805,AA805,AB805,AC805,AD805,AE805,AF805,AG805,AI805)</f>
        <v>ORD-2024-10804|12-09-2024|12-13-2024|CUST-7180|Rohan Mehta|Consumer||Jharkhand|Ranchi|Office Supplies|Labels|Basic Labels 359|First Class|1|4306.65|0|4306.65|2568.82|1737.83|Paid|Completed</v>
      </c>
      <c r="AL805" s="27" t="str">
        <f>IF(COUNTIF($AK$2:AK805,AK805)&gt;1,"Remove exact duplicate copy","Keep")</f>
        <v>Keep</v>
      </c>
      <c r="AM805" s="9">
        <f t="shared" si="108"/>
        <v>1</v>
      </c>
      <c r="AN805" s="9" t="str">
        <f t="shared" si="109"/>
        <v>Unique</v>
      </c>
      <c r="AO805" s="9" t="str">
        <f t="shared" si="110"/>
        <v/>
      </c>
      <c r="AP805" s="9">
        <f t="shared" si="111"/>
        <v>0</v>
      </c>
      <c r="AQ805" s="10">
        <f t="shared" si="112"/>
        <v>4306.6499999999996</v>
      </c>
      <c r="AR805" s="10">
        <f t="shared" si="113"/>
        <v>1737.8299999999995</v>
      </c>
      <c r="AS805" s="11">
        <f t="shared" si="114"/>
        <v>0.40352245945224235</v>
      </c>
      <c r="AT805" s="9">
        <f t="shared" si="115"/>
        <v>12</v>
      </c>
      <c r="AU805" s="9">
        <f t="shared" si="116"/>
        <v>2024</v>
      </c>
      <c r="AV805" s="9" t="b">
        <f t="shared" si="117"/>
        <v>0</v>
      </c>
      <c r="AW805" s="9" t="b">
        <f t="shared" si="118"/>
        <v>0</v>
      </c>
      <c r="AX805" s="9" t="str">
        <f t="shared" si="119"/>
        <v>Yes</v>
      </c>
      <c r="AY805" s="9" t="str">
        <f t="shared" si="121"/>
        <v>Missing region filled as Unknown</v>
      </c>
      <c r="AZ805" s="9" t="str">
        <f>IF(OR(G805="Missing date",G805="Invalid date",G805="Ship date before order date",NOT(ISNUMBER(AP805)),AP805&lt;0,AP805&gt;0.5,AV805=TRUE,AW805=TRUE),"Invalid",IF(OR(O805="Unknown",Z805="Unknown",AC805="",AH805&lt;&gt;"Paid",AJ805&lt;&gt;"Completed",AO805&lt;&gt;""),"Warning","Clean"))</f>
        <v>Warning</v>
      </c>
    </row>
    <row r="806" spans="1:52" ht="15.75" customHeight="1">
      <c r="A806" s="6" t="s">
        <v>3802</v>
      </c>
      <c r="B806" s="7" t="s">
        <v>1071</v>
      </c>
      <c r="C806" s="7" t="str">
        <f t="shared" si="120"/>
        <v>2025-09</v>
      </c>
      <c r="D806" s="7" cm="1">
        <f t="array" ref="D806">_xlfn.LET(_xlpm.x,B806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45910</v>
      </c>
      <c r="E806" s="7" t="s">
        <v>2286</v>
      </c>
      <c r="F806" s="7" cm="1">
        <f t="array" ref="F806">_xlfn.LET(_xlpm.x,E806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45918</v>
      </c>
      <c r="G806" s="8" t="str">
        <f t="shared" si="96"/>
        <v>OK</v>
      </c>
      <c r="H806" s="6">
        <f t="shared" si="97"/>
        <v>8</v>
      </c>
      <c r="I806" s="6" t="s">
        <v>3803</v>
      </c>
      <c r="J806" s="6" t="s">
        <v>226</v>
      </c>
      <c r="K806" s="6" t="str">
        <f t="shared" si="98"/>
        <v>Rahul Verma</v>
      </c>
      <c r="L806" s="6" t="s">
        <v>44</v>
      </c>
      <c r="M806" s="8" t="str">
        <f t="shared" si="99"/>
        <v>Home Office</v>
      </c>
      <c r="N806" s="6" t="s">
        <v>10</v>
      </c>
      <c r="O806" s="6" t="str">
        <f t="shared" si="100"/>
        <v>South</v>
      </c>
      <c r="P806" s="6" t="s">
        <v>154</v>
      </c>
      <c r="Q806" s="6" t="str">
        <f t="shared" si="101"/>
        <v>Telangana</v>
      </c>
      <c r="R806" s="6" t="s">
        <v>155</v>
      </c>
      <c r="S806" s="6" t="str">
        <f t="shared" si="102"/>
        <v>Hyderabad</v>
      </c>
      <c r="T806" s="6" t="s">
        <v>14</v>
      </c>
      <c r="U806" s="8" t="str">
        <f t="shared" si="103"/>
        <v>Furniture</v>
      </c>
      <c r="V806" s="6" t="s">
        <v>17</v>
      </c>
      <c r="W806" s="6" t="str">
        <f t="shared" si="104"/>
        <v>Furnishings</v>
      </c>
      <c r="X806" s="6" t="s">
        <v>3804</v>
      </c>
      <c r="Y806" s="6" t="s">
        <v>34</v>
      </c>
      <c r="Z806" s="6" t="str">
        <f t="shared" si="105"/>
        <v>Standard Class</v>
      </c>
      <c r="AA806" s="6">
        <v>1</v>
      </c>
      <c r="AB806" s="6">
        <v>2050.62</v>
      </c>
      <c r="AC806" s="6">
        <v>0.05</v>
      </c>
      <c r="AD806" s="6">
        <v>1948.09</v>
      </c>
      <c r="AE806" s="6">
        <v>1507.08</v>
      </c>
      <c r="AF806" s="6">
        <v>441.01</v>
      </c>
      <c r="AG806" s="6" t="s">
        <v>52</v>
      </c>
      <c r="AH806" s="6" t="str">
        <f t="shared" si="106"/>
        <v>Paid</v>
      </c>
      <c r="AI806" s="6" t="s">
        <v>134</v>
      </c>
      <c r="AJ806" s="6" t="str">
        <f t="shared" si="107"/>
        <v>Completed</v>
      </c>
      <c r="AK806" s="9" t="str">
        <f>_xlfn.TEXTJOIN("|",FALSE,A806,TEXT(B806,"mm-dd-yyyy"),TEXT(E806,"mm-dd-yyyy"),I806,J806,L806,N806,P806,R806,T806,V806,X806,Y806,AA806,AB806,AC806,AD806,AE806,AF806,AG806,AI806)</f>
        <v>ORD-2025-10805|10-09-2025|18-09-2025|CUST-8745|Rahul Verma|Home Office|South|Telangana|Hyderabad|Furniture|Furnishings|Eco Furnishings 541|Standard Class|1|2050.62|0.05|1948.09|1507.08|441.01|Paid|Completed</v>
      </c>
      <c r="AL806" s="27" t="str">
        <f>IF(COUNTIF($AK$2:AK806,AK806)&gt;1,"Remove exact duplicate copy","Keep")</f>
        <v>Keep</v>
      </c>
      <c r="AM806" s="9">
        <f t="shared" si="108"/>
        <v>1</v>
      </c>
      <c r="AN806" s="9" t="str">
        <f t="shared" si="109"/>
        <v>Unique</v>
      </c>
      <c r="AO806" s="9" t="str">
        <f t="shared" si="110"/>
        <v/>
      </c>
      <c r="AP806" s="9">
        <f t="shared" si="111"/>
        <v>0.05</v>
      </c>
      <c r="AQ806" s="10">
        <f t="shared" si="112"/>
        <v>1948.0889999999997</v>
      </c>
      <c r="AR806" s="10">
        <f t="shared" si="113"/>
        <v>441.00899999999979</v>
      </c>
      <c r="AS806" s="11">
        <f t="shared" si="114"/>
        <v>0.22638031424642296</v>
      </c>
      <c r="AT806" s="9">
        <f t="shared" si="115"/>
        <v>9</v>
      </c>
      <c r="AU806" s="9">
        <f t="shared" si="116"/>
        <v>2025</v>
      </c>
      <c r="AV806" s="9" t="b">
        <f t="shared" si="117"/>
        <v>0</v>
      </c>
      <c r="AW806" s="9" t="b">
        <f t="shared" si="118"/>
        <v>0</v>
      </c>
      <c r="AX806" s="9" t="str">
        <f t="shared" si="119"/>
        <v>Yes</v>
      </c>
      <c r="AY806" s="9" t="str">
        <f t="shared" si="121"/>
        <v/>
      </c>
      <c r="AZ806" s="9" t="str">
        <f>IF(OR(G806="Missing date",G806="Invalid date",G806="Ship date before order date",NOT(ISNUMBER(AP806)),AP806&lt;0,AP806&gt;0.5,AV806=TRUE,AW806=TRUE),"Invalid",IF(OR(O806="Unknown",Z806="Unknown",AC806="",AH806&lt;&gt;"Paid",AJ806&lt;&gt;"Completed",AO806&lt;&gt;""),"Warning","Clean"))</f>
        <v>Clean</v>
      </c>
    </row>
    <row r="807" spans="1:52" ht="15.75" customHeight="1">
      <c r="A807" s="6" t="s">
        <v>3805</v>
      </c>
      <c r="B807" s="7" t="s">
        <v>1401</v>
      </c>
      <c r="C807" s="7" t="str">
        <f t="shared" si="120"/>
        <v>2025-04</v>
      </c>
      <c r="D807" s="7" cm="1">
        <f t="array" ref="D807">_xlfn.LET(_xlpm.x,B807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45753</v>
      </c>
      <c r="E807" s="7" t="s">
        <v>1146</v>
      </c>
      <c r="F807" s="7" cm="1">
        <f t="array" ref="F807">_xlfn.LET(_xlpm.x,E807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45754</v>
      </c>
      <c r="G807" s="8" t="str">
        <f t="shared" si="96"/>
        <v>OK</v>
      </c>
      <c r="H807" s="6">
        <f t="shared" si="97"/>
        <v>1</v>
      </c>
      <c r="I807" s="6" t="s">
        <v>3620</v>
      </c>
      <c r="J807" s="6" t="s">
        <v>220</v>
      </c>
      <c r="K807" s="6" t="str">
        <f t="shared" si="98"/>
        <v>Priya Menon</v>
      </c>
      <c r="L807" s="6" t="s">
        <v>44</v>
      </c>
      <c r="M807" s="8" t="str">
        <f t="shared" si="99"/>
        <v>Home Office</v>
      </c>
      <c r="N807" s="6" t="s">
        <v>8</v>
      </c>
      <c r="O807" s="6" t="str">
        <f t="shared" si="100"/>
        <v>East</v>
      </c>
      <c r="P807" s="6" t="s">
        <v>290</v>
      </c>
      <c r="Q807" s="6" t="str">
        <f t="shared" si="101"/>
        <v>Assam</v>
      </c>
      <c r="R807" s="6" t="s">
        <v>291</v>
      </c>
      <c r="S807" s="6" t="str">
        <f t="shared" si="102"/>
        <v>Guwahati</v>
      </c>
      <c r="T807" s="6" t="s">
        <v>20</v>
      </c>
      <c r="U807" s="8" t="str">
        <f t="shared" si="103"/>
        <v>Office Supplies</v>
      </c>
      <c r="V807" s="6" t="s">
        <v>22</v>
      </c>
      <c r="W807" s="6" t="str">
        <f t="shared" si="104"/>
        <v>Binders</v>
      </c>
      <c r="X807" s="6" t="s">
        <v>3806</v>
      </c>
      <c r="Y807" s="6" t="s">
        <v>36</v>
      </c>
      <c r="Z807" s="6" t="str">
        <f t="shared" si="105"/>
        <v>Second Class</v>
      </c>
      <c r="AA807" s="6">
        <v>2</v>
      </c>
      <c r="AB807" s="6">
        <v>2030.06</v>
      </c>
      <c r="AC807" s="6">
        <v>0.25</v>
      </c>
      <c r="AD807" s="6">
        <v>3045.09</v>
      </c>
      <c r="AE807" s="6">
        <v>2601.09</v>
      </c>
      <c r="AF807" s="6">
        <v>444</v>
      </c>
      <c r="AG807" s="6" t="s">
        <v>52</v>
      </c>
      <c r="AH807" s="6" t="str">
        <f t="shared" si="106"/>
        <v>Paid</v>
      </c>
      <c r="AI807" s="6" t="s">
        <v>134</v>
      </c>
      <c r="AJ807" s="6" t="str">
        <f t="shared" si="107"/>
        <v>Completed</v>
      </c>
      <c r="AK807" s="9" t="str">
        <f>_xlfn.TEXTJOIN("|",FALSE,A807,TEXT(B807,"mm-dd-yyyy"),TEXT(E807,"mm-dd-yyyy"),I807,J807,L807,N807,P807,R807,T807,V807,X807,Y807,AA807,AB807,AC807,AD807,AE807,AF807,AG807,AI807)</f>
        <v>ORD-2025-10806|04-06-2025|07-04-2025|CUST-2098|Priya Menon|Home Office|East|Assam|Guwahati|Office Supplies|Binders|Classic Binders 103|Second Class|2|2030.06|0.25|3045.09|2601.09|444|Paid|Completed</v>
      </c>
      <c r="AL807" s="27" t="str">
        <f>IF(COUNTIF($AK$2:AK807,AK807)&gt;1,"Remove exact duplicate copy","Keep")</f>
        <v>Keep</v>
      </c>
      <c r="AM807" s="9">
        <f t="shared" si="108"/>
        <v>1</v>
      </c>
      <c r="AN807" s="9" t="str">
        <f t="shared" si="109"/>
        <v>Unique</v>
      </c>
      <c r="AO807" s="9" t="str">
        <f t="shared" si="110"/>
        <v/>
      </c>
      <c r="AP807" s="9">
        <f t="shared" si="111"/>
        <v>0.25</v>
      </c>
      <c r="AQ807" s="10">
        <f t="shared" si="112"/>
        <v>3045.09</v>
      </c>
      <c r="AR807" s="10">
        <f t="shared" si="113"/>
        <v>444</v>
      </c>
      <c r="AS807" s="11">
        <f t="shared" si="114"/>
        <v>0.14580849827098705</v>
      </c>
      <c r="AT807" s="9">
        <f t="shared" si="115"/>
        <v>4</v>
      </c>
      <c r="AU807" s="9">
        <f t="shared" si="116"/>
        <v>2025</v>
      </c>
      <c r="AV807" s="9" t="b">
        <f t="shared" si="117"/>
        <v>0</v>
      </c>
      <c r="AW807" s="9" t="b">
        <f t="shared" si="118"/>
        <v>0</v>
      </c>
      <c r="AX807" s="9" t="str">
        <f t="shared" si="119"/>
        <v>Yes</v>
      </c>
      <c r="AY807" s="9" t="str">
        <f t="shared" si="121"/>
        <v/>
      </c>
      <c r="AZ807" s="9" t="str">
        <f>IF(OR(G807="Missing date",G807="Invalid date",G807="Ship date before order date",NOT(ISNUMBER(AP807)),AP807&lt;0,AP807&gt;0.5,AV807=TRUE,AW807=TRUE),"Invalid",IF(OR(O807="Unknown",Z807="Unknown",AC807="",AH807&lt;&gt;"Paid",AJ807&lt;&gt;"Completed",AO807&lt;&gt;""),"Warning","Clean"))</f>
        <v>Clean</v>
      </c>
    </row>
    <row r="808" spans="1:52" ht="15.75" customHeight="1">
      <c r="A808" s="6" t="s">
        <v>3807</v>
      </c>
      <c r="B808" s="7" t="s">
        <v>3808</v>
      </c>
      <c r="C808" s="7" t="str">
        <f t="shared" si="120"/>
        <v>2024-11</v>
      </c>
      <c r="D808" s="7" cm="1">
        <f t="array" ref="D808">_xlfn.LET(_xlpm.x,B808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45605</v>
      </c>
      <c r="E808" s="7" t="s">
        <v>3809</v>
      </c>
      <c r="F808" s="7" cm="1">
        <f t="array" ref="F808">_xlfn.LET(_xlpm.x,E808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45611</v>
      </c>
      <c r="G808" s="8" t="str">
        <f t="shared" si="96"/>
        <v>OK</v>
      </c>
      <c r="H808" s="6">
        <f t="shared" si="97"/>
        <v>6</v>
      </c>
      <c r="I808" s="6" t="s">
        <v>3810</v>
      </c>
      <c r="J808" s="6" t="s">
        <v>147</v>
      </c>
      <c r="K808" s="6" t="str">
        <f t="shared" si="98"/>
        <v>Isha Nair</v>
      </c>
      <c r="L808" s="6" t="s">
        <v>44</v>
      </c>
      <c r="M808" s="8" t="str">
        <f t="shared" si="99"/>
        <v>Home Office</v>
      </c>
      <c r="N808" s="6" t="s">
        <v>7</v>
      </c>
      <c r="O808" s="6" t="str">
        <f t="shared" si="100"/>
        <v>North</v>
      </c>
      <c r="P808" s="6" t="s">
        <v>131</v>
      </c>
      <c r="Q808" s="6" t="str">
        <f t="shared" si="101"/>
        <v>Rajasthan</v>
      </c>
      <c r="R808" s="6" t="s">
        <v>132</v>
      </c>
      <c r="S808" s="6" t="str">
        <f t="shared" si="102"/>
        <v>Jaipur</v>
      </c>
      <c r="T808" s="6" t="s">
        <v>27</v>
      </c>
      <c r="U808" s="8" t="str">
        <f t="shared" si="103"/>
        <v>Technology</v>
      </c>
      <c r="V808" s="6" t="s">
        <v>29</v>
      </c>
      <c r="W808" s="6" t="str">
        <f t="shared" si="104"/>
        <v>Copiers</v>
      </c>
      <c r="X808" s="6" t="s">
        <v>3811</v>
      </c>
      <c r="Y808" s="6" t="s">
        <v>34</v>
      </c>
      <c r="Z808" s="6" t="str">
        <f t="shared" si="105"/>
        <v>Standard Class</v>
      </c>
      <c r="AA808" s="6">
        <v>1</v>
      </c>
      <c r="AB808" s="6">
        <v>3665.97</v>
      </c>
      <c r="AC808" s="6">
        <v>0.2</v>
      </c>
      <c r="AD808" s="6">
        <v>2932.78</v>
      </c>
      <c r="AE808" s="6">
        <v>1900.35</v>
      </c>
      <c r="AF808" s="6">
        <v>1032.43</v>
      </c>
      <c r="AG808" s="6" t="s">
        <v>50</v>
      </c>
      <c r="AH808" s="6" t="str">
        <f t="shared" si="106"/>
        <v>Failed</v>
      </c>
      <c r="AI808" s="6" t="s">
        <v>58</v>
      </c>
      <c r="AJ808" s="6" t="str">
        <f t="shared" si="107"/>
        <v>Cancelled</v>
      </c>
      <c r="AK808" s="9" t="str">
        <f>_xlfn.TEXTJOIN("|",FALSE,A808,TEXT(B808,"mm-dd-yyyy"),TEXT(E808,"mm-dd-yyyy"),I808,J808,L808,N808,P808,R808,T808,V808,X808,Y808,AA808,AB808,AC808,AD808,AE808,AF808,AG808,AI808)</f>
        <v>ORD-2024-10807|09-11-2024|11-15-2024|CUST-3704|Isha Nair|Home Office|North|Rajasthan|Jaipur|Technology|Copiers|Max Copiers 560|Standard Class|1|3665.97|0.2|2932.78|1900.35|1032.43|Failed|Cancelled</v>
      </c>
      <c r="AL808" s="27" t="str">
        <f>IF(COUNTIF($AK$2:AK808,AK808)&gt;1,"Remove exact duplicate copy","Keep")</f>
        <v>Keep</v>
      </c>
      <c r="AM808" s="9">
        <f t="shared" si="108"/>
        <v>1</v>
      </c>
      <c r="AN808" s="9" t="str">
        <f t="shared" si="109"/>
        <v>Unique</v>
      </c>
      <c r="AO808" s="9" t="str">
        <f t="shared" si="110"/>
        <v/>
      </c>
      <c r="AP808" s="9">
        <f t="shared" si="111"/>
        <v>0.2</v>
      </c>
      <c r="AQ808" s="10">
        <f t="shared" si="112"/>
        <v>2932.7759999999998</v>
      </c>
      <c r="AR808" s="10">
        <f t="shared" si="113"/>
        <v>1032.4259999999999</v>
      </c>
      <c r="AS808" s="11">
        <f t="shared" si="114"/>
        <v>0.35203029484692999</v>
      </c>
      <c r="AT808" s="9">
        <f t="shared" si="115"/>
        <v>11</v>
      </c>
      <c r="AU808" s="9">
        <f t="shared" si="116"/>
        <v>2024</v>
      </c>
      <c r="AV808" s="9" t="b">
        <f t="shared" si="117"/>
        <v>0</v>
      </c>
      <c r="AW808" s="9" t="b">
        <f t="shared" si="118"/>
        <v>0</v>
      </c>
      <c r="AX808" s="9" t="str">
        <f t="shared" si="119"/>
        <v>No</v>
      </c>
      <c r="AY808" s="9" t="str">
        <f t="shared" si="121"/>
        <v>Failed payment excluded; Cancelled order excluded</v>
      </c>
      <c r="AZ808" s="9" t="str">
        <f>IF(OR(G808="Missing date",G808="Invalid date",G808="Ship date before order date",NOT(ISNUMBER(AP808)),AP808&lt;0,AP808&gt;0.5,AV808=TRUE,AW808=TRUE),"Invalid",IF(OR(O808="Unknown",Z808="Unknown",AC808="",AH808&lt;&gt;"Paid",AJ808&lt;&gt;"Completed",AO808&lt;&gt;""),"Warning","Clean"))</f>
        <v>Warning</v>
      </c>
    </row>
    <row r="809" spans="1:52" ht="15.75" customHeight="1">
      <c r="A809" s="6" t="s">
        <v>3812</v>
      </c>
      <c r="B809" s="7" t="s">
        <v>1361</v>
      </c>
      <c r="C809" s="7" t="str">
        <f t="shared" si="120"/>
        <v>2025-02</v>
      </c>
      <c r="D809" s="7" cm="1">
        <f t="array" ref="D809">_xlfn.LET(_xlpm.x,B809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45695</v>
      </c>
      <c r="E809" s="7" t="s">
        <v>2360</v>
      </c>
      <c r="F809" s="7" cm="1">
        <f t="array" ref="F809">_xlfn.LET(_xlpm.x,E809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45696</v>
      </c>
      <c r="G809" s="8" t="str">
        <f t="shared" si="96"/>
        <v>OK</v>
      </c>
      <c r="H809" s="6">
        <f t="shared" si="97"/>
        <v>1</v>
      </c>
      <c r="I809" s="6" t="s">
        <v>3813</v>
      </c>
      <c r="J809" s="6" t="s">
        <v>129</v>
      </c>
      <c r="K809" s="6" t="str">
        <f t="shared" si="98"/>
        <v>Karan Malhotra</v>
      </c>
      <c r="L809" s="6" t="s">
        <v>46</v>
      </c>
      <c r="M809" s="8" t="str">
        <f t="shared" si="99"/>
        <v>Small Business</v>
      </c>
      <c r="N809" s="6" t="s">
        <v>10</v>
      </c>
      <c r="O809" s="6" t="str">
        <f t="shared" si="100"/>
        <v>South</v>
      </c>
      <c r="P809" s="6" t="s">
        <v>154</v>
      </c>
      <c r="Q809" s="6" t="str">
        <f t="shared" si="101"/>
        <v>Telangana</v>
      </c>
      <c r="R809" s="6" t="s">
        <v>155</v>
      </c>
      <c r="S809" s="6" t="str">
        <f t="shared" si="102"/>
        <v>Hyderabad</v>
      </c>
      <c r="T809" s="6" t="s">
        <v>20</v>
      </c>
      <c r="U809" s="8" t="str">
        <f t="shared" si="103"/>
        <v>Office Supplies</v>
      </c>
      <c r="V809" s="6" t="s">
        <v>23</v>
      </c>
      <c r="W809" s="6" t="str">
        <f t="shared" si="104"/>
        <v>Labels</v>
      </c>
      <c r="X809" s="6" t="s">
        <v>3814</v>
      </c>
      <c r="Y809" s="6" t="s">
        <v>3815</v>
      </c>
      <c r="Z809" s="6" t="str">
        <f t="shared" si="105"/>
        <v>Standard Class</v>
      </c>
      <c r="AA809" s="6">
        <v>2</v>
      </c>
      <c r="AB809" s="6">
        <v>2432.98</v>
      </c>
      <c r="AC809" s="6">
        <v>0.1</v>
      </c>
      <c r="AD809" s="6">
        <v>4379.3599999999997</v>
      </c>
      <c r="AE809" s="6">
        <v>3723.93</v>
      </c>
      <c r="AF809" s="6">
        <v>655.43</v>
      </c>
      <c r="AG809" s="6" t="s">
        <v>52</v>
      </c>
      <c r="AH809" s="6" t="str">
        <f t="shared" si="106"/>
        <v>Paid</v>
      </c>
      <c r="AI809" s="6" t="s">
        <v>134</v>
      </c>
      <c r="AJ809" s="6" t="str">
        <f t="shared" si="107"/>
        <v>Completed</v>
      </c>
      <c r="AK809" s="9" t="str">
        <f>_xlfn.TEXTJOIN("|",FALSE,A809,TEXT(B809,"mm-dd-yyyy"),TEXT(E809,"mm-dd-yyyy"),I809,J809,L809,N809,P809,R809,T809,V809,X809,Y809,AA809,AB809,AC809,AD809,AE809,AF809,AG809,AI809)</f>
        <v>ORD-2025-10808|02-07-2025|02-08-2025|CUST-5884|Karan Malhotra|Small Business|South|Telangana|Hyderabad|Office Supplies|Labels|Smart Labels 436|standard class|2|2432.98|0.1|4379.36|3723.93|655.43|Paid|Completed</v>
      </c>
      <c r="AL809" s="27" t="str">
        <f>IF(COUNTIF($AK$2:AK809,AK809)&gt;1,"Remove exact duplicate copy","Keep")</f>
        <v>Keep</v>
      </c>
      <c r="AM809" s="9">
        <f t="shared" si="108"/>
        <v>1</v>
      </c>
      <c r="AN809" s="9" t="str">
        <f t="shared" si="109"/>
        <v>Unique</v>
      </c>
      <c r="AO809" s="9" t="str">
        <f t="shared" si="110"/>
        <v/>
      </c>
      <c r="AP809" s="9">
        <f t="shared" si="111"/>
        <v>0.1</v>
      </c>
      <c r="AQ809" s="10">
        <f t="shared" si="112"/>
        <v>4379.3640000000005</v>
      </c>
      <c r="AR809" s="10">
        <f t="shared" si="113"/>
        <v>655.43400000000065</v>
      </c>
      <c r="AS809" s="11">
        <f t="shared" si="114"/>
        <v>0.14966419781502532</v>
      </c>
      <c r="AT809" s="9">
        <f t="shared" si="115"/>
        <v>2</v>
      </c>
      <c r="AU809" s="9">
        <f t="shared" si="116"/>
        <v>2025</v>
      </c>
      <c r="AV809" s="9" t="b">
        <f t="shared" si="117"/>
        <v>0</v>
      </c>
      <c r="AW809" s="9" t="b">
        <f t="shared" si="118"/>
        <v>0</v>
      </c>
      <c r="AX809" s="9" t="str">
        <f t="shared" si="119"/>
        <v>Yes</v>
      </c>
      <c r="AY809" s="9" t="str">
        <f t="shared" si="121"/>
        <v/>
      </c>
      <c r="AZ809" s="9" t="str">
        <f>IF(OR(G809="Missing date",G809="Invalid date",G809="Ship date before order date",NOT(ISNUMBER(AP809)),AP809&lt;0,AP809&gt;0.5,AV809=TRUE,AW809=TRUE),"Invalid",IF(OR(O809="Unknown",Z809="Unknown",AC809="",AH809&lt;&gt;"Paid",AJ809&lt;&gt;"Completed",AO809&lt;&gt;""),"Warning","Clean"))</f>
        <v>Clean</v>
      </c>
    </row>
    <row r="810" spans="1:52" ht="15.75" customHeight="1">
      <c r="A810" s="6" t="s">
        <v>3816</v>
      </c>
      <c r="B810" s="7" t="s">
        <v>3817</v>
      </c>
      <c r="C810" s="7" t="str">
        <f t="shared" si="120"/>
        <v>2025-08</v>
      </c>
      <c r="D810" s="7" cm="1">
        <f t="array" ref="D810">_xlfn.LET(_xlpm.x,B810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45900</v>
      </c>
      <c r="E810" s="7" t="s">
        <v>2122</v>
      </c>
      <c r="F810" s="7" cm="1">
        <f t="array" ref="F810">_xlfn.LET(_xlpm.x,E810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45897</v>
      </c>
      <c r="G810" s="8" t="str">
        <f t="shared" si="96"/>
        <v>Ship date before order date</v>
      </c>
      <c r="H810" s="6">
        <f t="shared" si="97"/>
        <v>-3</v>
      </c>
      <c r="I810" s="6" t="s">
        <v>3818</v>
      </c>
      <c r="J810" s="6" t="s">
        <v>239</v>
      </c>
      <c r="K810" s="6" t="str">
        <f t="shared" si="98"/>
        <v>Aarav Sharma</v>
      </c>
      <c r="L810" s="6" t="s">
        <v>46</v>
      </c>
      <c r="M810" s="8" t="str">
        <f t="shared" si="99"/>
        <v>Small Business</v>
      </c>
      <c r="N810" s="6" t="s">
        <v>10</v>
      </c>
      <c r="O810" s="6" t="str">
        <f t="shared" si="100"/>
        <v>South</v>
      </c>
      <c r="P810" s="6" t="s">
        <v>413</v>
      </c>
      <c r="Q810" s="6" t="str">
        <f t="shared" si="101"/>
        <v>Tamil Nadu</v>
      </c>
      <c r="R810" s="6" t="s">
        <v>414</v>
      </c>
      <c r="S810" s="6" t="str">
        <f t="shared" si="102"/>
        <v>Chennai</v>
      </c>
      <c r="T810" s="6" t="s">
        <v>14</v>
      </c>
      <c r="U810" s="8" t="str">
        <f t="shared" si="103"/>
        <v>Furniture</v>
      </c>
      <c r="V810" s="6" t="s">
        <v>17</v>
      </c>
      <c r="W810" s="6" t="str">
        <f t="shared" si="104"/>
        <v>Furnishings</v>
      </c>
      <c r="X810" s="6" t="s">
        <v>3819</v>
      </c>
      <c r="Y810" s="6" t="s">
        <v>35</v>
      </c>
      <c r="Z810" s="6" t="str">
        <f t="shared" si="105"/>
        <v>First Class</v>
      </c>
      <c r="AA810" s="6">
        <v>7</v>
      </c>
      <c r="AB810" s="6">
        <v>977.28</v>
      </c>
      <c r="AC810" s="6">
        <v>0.2</v>
      </c>
      <c r="AD810" s="6">
        <v>5472.77</v>
      </c>
      <c r="AE810" s="6">
        <v>4477.33</v>
      </c>
      <c r="AF810" s="6">
        <v>995.44</v>
      </c>
      <c r="AG810" s="6" t="s">
        <v>52</v>
      </c>
      <c r="AH810" s="6" t="str">
        <f t="shared" si="106"/>
        <v>Paid</v>
      </c>
      <c r="AI810" s="6" t="s">
        <v>134</v>
      </c>
      <c r="AJ810" s="6" t="str">
        <f t="shared" si="107"/>
        <v>Completed</v>
      </c>
      <c r="AK810" s="9" t="str">
        <f>_xlfn.TEXTJOIN("|",FALSE,A810,TEXT(B810,"mm-dd-yyyy"),TEXT(E810,"mm-dd-yyyy"),I810,J810,L810,N810,P810,R810,T810,V810,X810,Y810,AA810,AB810,AC810,AD810,AE810,AF810,AG810,AI810)</f>
        <v>ORD-2025-10809|08-31-2025|08-28-2025|CUST-7503|Aarav Sharma|Small Business|South|Tamil Nadu|Chennai|Furniture|Furnishings|Pro Furnishings 386|First Class|7|977.28|0.2|5472.77|4477.33|995.44|Paid|Completed</v>
      </c>
      <c r="AL810" s="27" t="str">
        <f>IF(COUNTIF($AK$2:AK810,AK810)&gt;1,"Remove exact duplicate copy","Keep")</f>
        <v>Keep</v>
      </c>
      <c r="AM810" s="9">
        <f t="shared" si="108"/>
        <v>1</v>
      </c>
      <c r="AN810" s="9" t="str">
        <f t="shared" si="109"/>
        <v>Unique</v>
      </c>
      <c r="AO810" s="9" t="str">
        <f t="shared" si="110"/>
        <v/>
      </c>
      <c r="AP810" s="9">
        <f t="shared" si="111"/>
        <v>0.2</v>
      </c>
      <c r="AQ810" s="10">
        <f t="shared" si="112"/>
        <v>5472.768</v>
      </c>
      <c r="AR810" s="10">
        <f t="shared" si="113"/>
        <v>995.4380000000001</v>
      </c>
      <c r="AS810" s="11">
        <f t="shared" si="114"/>
        <v>0.18188931085695575</v>
      </c>
      <c r="AT810" s="9">
        <f t="shared" si="115"/>
        <v>8</v>
      </c>
      <c r="AU810" s="9">
        <f t="shared" si="116"/>
        <v>2025</v>
      </c>
      <c r="AV810" s="9" t="b">
        <f t="shared" si="117"/>
        <v>0</v>
      </c>
      <c r="AW810" s="9" t="b">
        <f t="shared" si="118"/>
        <v>0</v>
      </c>
      <c r="AX810" s="9" t="str">
        <f t="shared" si="119"/>
        <v>No</v>
      </c>
      <c r="AY810" s="9" t="str">
        <f t="shared" si="121"/>
        <v>Ship date before order date</v>
      </c>
      <c r="AZ810" s="9" t="str">
        <f>IF(OR(G810="Missing date",G810="Invalid date",G810="Ship date before order date",NOT(ISNUMBER(AP810)),AP810&lt;0,AP810&gt;0.5,AV810=TRUE,AW810=TRUE),"Invalid",IF(OR(O810="Unknown",Z810="Unknown",AC810="",AH810&lt;&gt;"Paid",AJ810&lt;&gt;"Completed",AO810&lt;&gt;""),"Warning","Clean"))</f>
        <v>Invalid</v>
      </c>
    </row>
    <row r="811" spans="1:52" ht="15.75" customHeight="1">
      <c r="A811" s="6" t="s">
        <v>3820</v>
      </c>
      <c r="B811" s="7" t="s">
        <v>1603</v>
      </c>
      <c r="C811" s="7" t="str">
        <f t="shared" si="120"/>
        <v>2025-06</v>
      </c>
      <c r="D811" s="7" cm="1">
        <f t="array" ref="D811">_xlfn.LET(_xlpm.x,B811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45833</v>
      </c>
      <c r="E811" s="7" t="s">
        <v>1603</v>
      </c>
      <c r="F811" s="7" cm="1">
        <f t="array" ref="F811">_xlfn.LET(_xlpm.x,E811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45833</v>
      </c>
      <c r="G811" s="8" t="str">
        <f t="shared" si="96"/>
        <v>OK</v>
      </c>
      <c r="H811" s="6">
        <f t="shared" si="97"/>
        <v>0</v>
      </c>
      <c r="I811" s="6" t="s">
        <v>3821</v>
      </c>
      <c r="J811" s="6" t="s">
        <v>153</v>
      </c>
      <c r="K811" s="6" t="str">
        <f t="shared" si="98"/>
        <v>Arjun Bose</v>
      </c>
      <c r="L811" s="6" t="s">
        <v>46</v>
      </c>
      <c r="M811" s="8" t="str">
        <f t="shared" si="99"/>
        <v>Small Business</v>
      </c>
      <c r="N811" s="6"/>
      <c r="O811" s="6" t="str">
        <f t="shared" si="100"/>
        <v>Unknown</v>
      </c>
      <c r="P811" s="6" t="s">
        <v>232</v>
      </c>
      <c r="Q811" s="6" t="str">
        <f t="shared" si="101"/>
        <v>Punjab</v>
      </c>
      <c r="R811" s="6" t="s">
        <v>233</v>
      </c>
      <c r="S811" s="6" t="str">
        <f t="shared" si="102"/>
        <v>Ludhiana</v>
      </c>
      <c r="T811" s="6" t="s">
        <v>20</v>
      </c>
      <c r="U811" s="8" t="str">
        <f t="shared" si="103"/>
        <v>Office Supplies</v>
      </c>
      <c r="V811" s="6" t="s">
        <v>22</v>
      </c>
      <c r="W811" s="6" t="str">
        <f t="shared" si="104"/>
        <v>Binders</v>
      </c>
      <c r="X811" s="6" t="s">
        <v>3822</v>
      </c>
      <c r="Y811" s="6" t="s">
        <v>36</v>
      </c>
      <c r="Z811" s="6" t="str">
        <f t="shared" si="105"/>
        <v>Second Class</v>
      </c>
      <c r="AA811" s="6">
        <v>6</v>
      </c>
      <c r="AB811" s="6">
        <v>1366.13</v>
      </c>
      <c r="AC811" s="6">
        <v>0.1</v>
      </c>
      <c r="AD811" s="6">
        <v>7377.1</v>
      </c>
      <c r="AE811" s="6">
        <v>5085.21</v>
      </c>
      <c r="AF811" s="6">
        <v>2291.89</v>
      </c>
      <c r="AG811" s="6" t="s">
        <v>52</v>
      </c>
      <c r="AH811" s="6" t="str">
        <f t="shared" si="106"/>
        <v>Paid</v>
      </c>
      <c r="AI811" s="6" t="s">
        <v>134</v>
      </c>
      <c r="AJ811" s="6" t="str">
        <f t="shared" si="107"/>
        <v>Completed</v>
      </c>
      <c r="AK811" s="9" t="str">
        <f>_xlfn.TEXTJOIN("|",FALSE,A811,TEXT(B811,"mm-dd-yyyy"),TEXT(E811,"mm-dd-yyyy"),I811,J811,L811,N811,P811,R811,T811,V811,X811,Y811,AA811,AB811,AC811,AD811,AE811,AF811,AG811,AI811)</f>
        <v>ORD-2025-10810|06-25-2025|06-25-2025|CUST-6973|Arjun Bose|Small Business||Punjab|Ludhiana|Office Supplies|Binders|Eco Binders 601|Second Class|6|1366.13|0.1|7377.1|5085.21|2291.89|Paid|Completed</v>
      </c>
      <c r="AL811" s="27" t="str">
        <f>IF(COUNTIF($AK$2:AK811,AK811)&gt;1,"Remove exact duplicate copy","Keep")</f>
        <v>Keep</v>
      </c>
      <c r="AM811" s="9">
        <f t="shared" si="108"/>
        <v>1</v>
      </c>
      <c r="AN811" s="9" t="str">
        <f t="shared" si="109"/>
        <v>Unique</v>
      </c>
      <c r="AO811" s="9" t="str">
        <f t="shared" si="110"/>
        <v/>
      </c>
      <c r="AP811" s="9">
        <f t="shared" si="111"/>
        <v>0.1</v>
      </c>
      <c r="AQ811" s="10">
        <f t="shared" si="112"/>
        <v>7377.1020000000008</v>
      </c>
      <c r="AR811" s="10">
        <f t="shared" si="113"/>
        <v>2291.8920000000007</v>
      </c>
      <c r="AS811" s="11">
        <f t="shared" si="114"/>
        <v>0.31067646888981615</v>
      </c>
      <c r="AT811" s="9">
        <f t="shared" si="115"/>
        <v>6</v>
      </c>
      <c r="AU811" s="9">
        <f t="shared" si="116"/>
        <v>2025</v>
      </c>
      <c r="AV811" s="9" t="b">
        <f t="shared" si="117"/>
        <v>0</v>
      </c>
      <c r="AW811" s="9" t="b">
        <f t="shared" si="118"/>
        <v>0</v>
      </c>
      <c r="AX811" s="9" t="str">
        <f t="shared" si="119"/>
        <v>Yes</v>
      </c>
      <c r="AY811" s="9" t="str">
        <f t="shared" si="121"/>
        <v>Missing region filled as Unknown</v>
      </c>
      <c r="AZ811" s="9" t="str">
        <f>IF(OR(G811="Missing date",G811="Invalid date",G811="Ship date before order date",NOT(ISNUMBER(AP811)),AP811&lt;0,AP811&gt;0.5,AV811=TRUE,AW811=TRUE),"Invalid",IF(OR(O811="Unknown",Z811="Unknown",AC811="",AH811&lt;&gt;"Paid",AJ811&lt;&gt;"Completed",AO811&lt;&gt;""),"Warning","Clean"))</f>
        <v>Warning</v>
      </c>
    </row>
    <row r="812" spans="1:52" ht="15.75" customHeight="1">
      <c r="A812" s="6" t="s">
        <v>3823</v>
      </c>
      <c r="B812" s="7" t="s">
        <v>3824</v>
      </c>
      <c r="C812" s="7" t="str">
        <f t="shared" si="120"/>
        <v>2024-04</v>
      </c>
      <c r="D812" s="7" cm="1">
        <f t="array" ref="D812">_xlfn.LET(_xlpm.x,B812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45385</v>
      </c>
      <c r="E812" s="7" t="s">
        <v>3825</v>
      </c>
      <c r="F812" s="7" cm="1">
        <f t="array" ref="F812">_xlfn.LET(_xlpm.x,E812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45390</v>
      </c>
      <c r="G812" s="8" t="str">
        <f t="shared" si="96"/>
        <v>OK</v>
      </c>
      <c r="H812" s="6">
        <f t="shared" si="97"/>
        <v>5</v>
      </c>
      <c r="I812" s="6" t="s">
        <v>2627</v>
      </c>
      <c r="J812" s="6" t="s">
        <v>442</v>
      </c>
      <c r="K812" s="6" t="str">
        <f t="shared" si="98"/>
        <v>Kabir Singh</v>
      </c>
      <c r="L812" s="6" t="s">
        <v>3527</v>
      </c>
      <c r="M812" s="8" t="str">
        <f t="shared" si="99"/>
        <v>Home Office</v>
      </c>
      <c r="N812" s="6" t="s">
        <v>9</v>
      </c>
      <c r="O812" s="6" t="str">
        <f t="shared" si="100"/>
        <v>West</v>
      </c>
      <c r="P812" s="6" t="s">
        <v>309</v>
      </c>
      <c r="Q812" s="6" t="str">
        <f t="shared" si="101"/>
        <v>Gujarat</v>
      </c>
      <c r="R812" s="6" t="s">
        <v>310</v>
      </c>
      <c r="S812" s="6" t="str">
        <f t="shared" si="102"/>
        <v>Ahmedabad</v>
      </c>
      <c r="T812" s="6" t="s">
        <v>27</v>
      </c>
      <c r="U812" s="8" t="str">
        <f t="shared" si="103"/>
        <v>Technology</v>
      </c>
      <c r="V812" s="6" t="s">
        <v>29</v>
      </c>
      <c r="W812" s="6" t="str">
        <f t="shared" si="104"/>
        <v>Copiers</v>
      </c>
      <c r="X812" s="6" t="s">
        <v>3826</v>
      </c>
      <c r="Y812" s="6" t="s">
        <v>35</v>
      </c>
      <c r="Z812" s="6" t="str">
        <f t="shared" si="105"/>
        <v>First Class</v>
      </c>
      <c r="AA812" s="6">
        <v>1</v>
      </c>
      <c r="AB812" s="6">
        <v>3151.85</v>
      </c>
      <c r="AC812" s="6">
        <v>0.25</v>
      </c>
      <c r="AD812" s="6">
        <v>2363.89</v>
      </c>
      <c r="AE812" s="6">
        <v>1471.51</v>
      </c>
      <c r="AF812" s="6">
        <v>892.38</v>
      </c>
      <c r="AG812" s="6" t="s">
        <v>52</v>
      </c>
      <c r="AH812" s="6" t="str">
        <f t="shared" si="106"/>
        <v>Paid</v>
      </c>
      <c r="AI812" s="6" t="s">
        <v>134</v>
      </c>
      <c r="AJ812" s="6" t="str">
        <f t="shared" si="107"/>
        <v>Completed</v>
      </c>
      <c r="AK812" s="9" t="str">
        <f>_xlfn.TEXTJOIN("|",FALSE,A812,TEXT(B812,"mm-dd-yyyy"),TEXT(E812,"mm-dd-yyyy"),I812,J812,L812,N812,P812,R812,T812,V812,X812,Y812,AA812,AB812,AC812,AD812,AE812,AF812,AG812,AI812)</f>
        <v>ORD-2024-10811|04-03-2024|08-04-2024|CUST-4653|Kabir Singh|Home Office |West|Gujarat|Ahmedabad|Technology|Copiers|Pro Copiers 867|First Class|1|3151.85|0.25|2363.89|1471.51|892.38|Paid|Completed</v>
      </c>
      <c r="AL812" s="27" t="str">
        <f>IF(COUNTIF($AK$2:AK812,AK812)&gt;1,"Remove exact duplicate copy","Keep")</f>
        <v>Keep</v>
      </c>
      <c r="AM812" s="9">
        <f t="shared" si="108"/>
        <v>1</v>
      </c>
      <c r="AN812" s="9" t="str">
        <f t="shared" si="109"/>
        <v>Unique</v>
      </c>
      <c r="AO812" s="9" t="str">
        <f t="shared" si="110"/>
        <v/>
      </c>
      <c r="AP812" s="9">
        <f t="shared" si="111"/>
        <v>0.25</v>
      </c>
      <c r="AQ812" s="10">
        <f t="shared" si="112"/>
        <v>2363.8874999999998</v>
      </c>
      <c r="AR812" s="10">
        <f t="shared" si="113"/>
        <v>892.37749999999983</v>
      </c>
      <c r="AS812" s="11">
        <f t="shared" si="114"/>
        <v>0.37750421710000998</v>
      </c>
      <c r="AT812" s="9">
        <f t="shared" si="115"/>
        <v>4</v>
      </c>
      <c r="AU812" s="9">
        <f t="shared" si="116"/>
        <v>2024</v>
      </c>
      <c r="AV812" s="9" t="b">
        <f t="shared" si="117"/>
        <v>0</v>
      </c>
      <c r="AW812" s="9" t="b">
        <f t="shared" si="118"/>
        <v>0</v>
      </c>
      <c r="AX812" s="9" t="str">
        <f t="shared" si="119"/>
        <v>Yes</v>
      </c>
      <c r="AY812" s="9" t="str">
        <f t="shared" si="121"/>
        <v/>
      </c>
      <c r="AZ812" s="9" t="str">
        <f>IF(OR(G812="Missing date",G812="Invalid date",G812="Ship date before order date",NOT(ISNUMBER(AP812)),AP812&lt;0,AP812&gt;0.5,AV812=TRUE,AW812=TRUE),"Invalid",IF(OR(O812="Unknown",Z812="Unknown",AC812="",AH812&lt;&gt;"Paid",AJ812&lt;&gt;"Completed",AO812&lt;&gt;""),"Warning","Clean"))</f>
        <v>Clean</v>
      </c>
    </row>
    <row r="813" spans="1:52" ht="15.75" customHeight="1">
      <c r="A813" s="6" t="s">
        <v>3827</v>
      </c>
      <c r="B813" s="7" t="s">
        <v>3828</v>
      </c>
      <c r="C813" s="7" t="str">
        <f t="shared" si="120"/>
        <v>2024-12</v>
      </c>
      <c r="D813" s="7" cm="1">
        <f t="array" ref="D813">_xlfn.LET(_xlpm.x,B813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45638</v>
      </c>
      <c r="E813" s="7" t="s">
        <v>3829</v>
      </c>
      <c r="F813" s="7" cm="1">
        <f t="array" ref="F813">_xlfn.LET(_xlpm.x,E813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45645</v>
      </c>
      <c r="G813" s="8" t="str">
        <f t="shared" si="96"/>
        <v>OK</v>
      </c>
      <c r="H813" s="6">
        <f t="shared" si="97"/>
        <v>7</v>
      </c>
      <c r="I813" s="6" t="s">
        <v>3830</v>
      </c>
      <c r="J813" s="6" t="s">
        <v>257</v>
      </c>
      <c r="K813" s="6" t="str">
        <f t="shared" si="98"/>
        <v>Rohan Mehta</v>
      </c>
      <c r="L813" s="6" t="s">
        <v>44</v>
      </c>
      <c r="M813" s="8" t="str">
        <f t="shared" si="99"/>
        <v>Home Office</v>
      </c>
      <c r="N813" s="6" t="s">
        <v>7</v>
      </c>
      <c r="O813" s="6" t="str">
        <f t="shared" si="100"/>
        <v>North</v>
      </c>
      <c r="P813" s="6" t="s">
        <v>397</v>
      </c>
      <c r="Q813" s="6" t="str">
        <f t="shared" si="101"/>
        <v>Haryana</v>
      </c>
      <c r="R813" s="6" t="s">
        <v>398</v>
      </c>
      <c r="S813" s="6" t="str">
        <f t="shared" si="102"/>
        <v>Gurugram</v>
      </c>
      <c r="T813" s="6" t="s">
        <v>27</v>
      </c>
      <c r="U813" s="8" t="str">
        <f t="shared" si="103"/>
        <v>Technology</v>
      </c>
      <c r="V813" s="6" t="s">
        <v>28</v>
      </c>
      <c r="W813" s="6" t="str">
        <f t="shared" si="104"/>
        <v>Accessories</v>
      </c>
      <c r="X813" s="6" t="s">
        <v>3831</v>
      </c>
      <c r="Y813" s="6" t="s">
        <v>35</v>
      </c>
      <c r="Z813" s="6" t="str">
        <f t="shared" si="105"/>
        <v>First Class</v>
      </c>
      <c r="AA813" s="6">
        <v>2</v>
      </c>
      <c r="AB813" s="6">
        <v>1610.75</v>
      </c>
      <c r="AC813" s="6">
        <v>0.2</v>
      </c>
      <c r="AD813" s="6">
        <v>2577.1999999999998</v>
      </c>
      <c r="AE813" s="6">
        <v>1475.87</v>
      </c>
      <c r="AF813" s="6">
        <v>1101.33</v>
      </c>
      <c r="AG813" s="6" t="s">
        <v>52</v>
      </c>
      <c r="AH813" s="6" t="str">
        <f t="shared" si="106"/>
        <v>Paid</v>
      </c>
      <c r="AI813" s="6" t="s">
        <v>134</v>
      </c>
      <c r="AJ813" s="6" t="str">
        <f t="shared" si="107"/>
        <v>Completed</v>
      </c>
      <c r="AK813" s="9" t="str">
        <f>_xlfn.TEXTJOIN("|",FALSE,A813,TEXT(B813,"mm-dd-yyyy"),TEXT(E813,"mm-dd-yyyy"),I813,J813,L813,N813,P813,R813,T813,V813,X813,Y813,AA813,AB813,AC813,AD813,AE813,AF813,AG813,AI813)</f>
        <v>ORD-2024-10812|12-12-2024|12-19-2024|CUST-3303|Rohan Mehta|Home Office|North|Haryana|Gurugram|Technology|Accessories|Eco Accessories 122|First Class|2|1610.75|0.2|2577.2|1475.87|1101.33|Paid|Completed</v>
      </c>
      <c r="AL813" s="27" t="str">
        <f>IF(COUNTIF($AK$2:AK813,AK813)&gt;1,"Remove exact duplicate copy","Keep")</f>
        <v>Keep</v>
      </c>
      <c r="AM813" s="9">
        <f t="shared" si="108"/>
        <v>1</v>
      </c>
      <c r="AN813" s="9" t="str">
        <f t="shared" si="109"/>
        <v>Unique</v>
      </c>
      <c r="AO813" s="9" t="str">
        <f t="shared" si="110"/>
        <v/>
      </c>
      <c r="AP813" s="9">
        <f t="shared" si="111"/>
        <v>0.2</v>
      </c>
      <c r="AQ813" s="10">
        <f t="shared" si="112"/>
        <v>2577.2000000000003</v>
      </c>
      <c r="AR813" s="10">
        <f t="shared" si="113"/>
        <v>1101.3300000000004</v>
      </c>
      <c r="AS813" s="11">
        <f t="shared" si="114"/>
        <v>0.42733586838429316</v>
      </c>
      <c r="AT813" s="9">
        <f t="shared" si="115"/>
        <v>12</v>
      </c>
      <c r="AU813" s="9">
        <f t="shared" si="116"/>
        <v>2024</v>
      </c>
      <c r="AV813" s="9" t="b">
        <f t="shared" si="117"/>
        <v>0</v>
      </c>
      <c r="AW813" s="9" t="b">
        <f t="shared" si="118"/>
        <v>0</v>
      </c>
      <c r="AX813" s="9" t="str">
        <f t="shared" si="119"/>
        <v>Yes</v>
      </c>
      <c r="AY813" s="9" t="str">
        <f t="shared" si="121"/>
        <v/>
      </c>
      <c r="AZ813" s="9" t="str">
        <f>IF(OR(G813="Missing date",G813="Invalid date",G813="Ship date before order date",NOT(ISNUMBER(AP813)),AP813&lt;0,AP813&gt;0.5,AV813=TRUE,AW813=TRUE),"Invalid",IF(OR(O813="Unknown",Z813="Unknown",AC813="",AH813&lt;&gt;"Paid",AJ813&lt;&gt;"Completed",AO813&lt;&gt;""),"Warning","Clean"))</f>
        <v>Clean</v>
      </c>
    </row>
    <row r="814" spans="1:52" ht="15.75" customHeight="1">
      <c r="A814" s="6" t="s">
        <v>3832</v>
      </c>
      <c r="B814" s="7" t="s">
        <v>893</v>
      </c>
      <c r="C814" s="7" t="str">
        <f t="shared" si="120"/>
        <v>2024-06</v>
      </c>
      <c r="D814" s="7" cm="1">
        <f t="array" ref="D814">_xlfn.LET(_xlpm.x,B814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45458</v>
      </c>
      <c r="E814" s="7" t="s">
        <v>3833</v>
      </c>
      <c r="F814" s="7" cm="1">
        <f t="array" ref="F814">_xlfn.LET(_xlpm.x,E814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45463</v>
      </c>
      <c r="G814" s="8" t="str">
        <f t="shared" si="96"/>
        <v>OK</v>
      </c>
      <c r="H814" s="6">
        <f t="shared" si="97"/>
        <v>5</v>
      </c>
      <c r="I814" s="6" t="s">
        <v>3834</v>
      </c>
      <c r="J814" s="6" t="s">
        <v>245</v>
      </c>
      <c r="K814" s="6" t="str">
        <f t="shared" si="98"/>
        <v>Sneha Kapoor</v>
      </c>
      <c r="L814" s="6" t="s">
        <v>46</v>
      </c>
      <c r="M814" s="8" t="str">
        <f t="shared" si="99"/>
        <v>Small Business</v>
      </c>
      <c r="N814" s="6" t="s">
        <v>8</v>
      </c>
      <c r="O814" s="6" t="str">
        <f t="shared" si="100"/>
        <v>East</v>
      </c>
      <c r="P814" s="6" t="s">
        <v>385</v>
      </c>
      <c r="Q814" s="6" t="str">
        <f t="shared" si="101"/>
        <v>Jharkhand</v>
      </c>
      <c r="R814" s="6" t="s">
        <v>386</v>
      </c>
      <c r="S814" s="6" t="str">
        <f t="shared" si="102"/>
        <v>Ranchi</v>
      </c>
      <c r="T814" s="6" t="s">
        <v>14</v>
      </c>
      <c r="U814" s="8" t="str">
        <f t="shared" si="103"/>
        <v>Furniture</v>
      </c>
      <c r="V814" s="6" t="s">
        <v>18</v>
      </c>
      <c r="W814" s="6" t="str">
        <f t="shared" si="104"/>
        <v>Tables</v>
      </c>
      <c r="X814" s="6" t="s">
        <v>3835</v>
      </c>
      <c r="Y814" s="6" t="s">
        <v>35</v>
      </c>
      <c r="Z814" s="6" t="str">
        <f t="shared" si="105"/>
        <v>First Class</v>
      </c>
      <c r="AA814" s="6">
        <v>8</v>
      </c>
      <c r="AB814" s="6">
        <v>2228.4699999999998</v>
      </c>
      <c r="AC814" s="6">
        <v>0</v>
      </c>
      <c r="AD814" s="6">
        <v>17827.759999999998</v>
      </c>
      <c r="AE814" s="6">
        <v>14122.13</v>
      </c>
      <c r="AF814" s="6">
        <v>3705.63</v>
      </c>
      <c r="AG814" s="6" t="s">
        <v>52</v>
      </c>
      <c r="AH814" s="6" t="str">
        <f t="shared" si="106"/>
        <v>Paid</v>
      </c>
      <c r="AI814" s="6" t="s">
        <v>134</v>
      </c>
      <c r="AJ814" s="6" t="str">
        <f t="shared" si="107"/>
        <v>Completed</v>
      </c>
      <c r="AK814" s="9" t="str">
        <f>_xlfn.TEXTJOIN("|",FALSE,A814,TEXT(B814,"mm-dd-yyyy"),TEXT(E814,"mm-dd-yyyy"),I814,J814,L814,N814,P814,R814,T814,V814,X814,Y814,AA814,AB814,AC814,AD814,AE814,AF814,AG814,AI814)</f>
        <v>ORD-2024-10813|06-15-2024|20-06-2024|CUST-5754|Sneha Kapoor|Small Business|East|Jharkhand|Ranchi|Furniture|Tables|Basic Tables 127|First Class|8|2228.47|0|17827.76|14122.13|3705.63|Paid|Completed</v>
      </c>
      <c r="AL814" s="27" t="str">
        <f>IF(COUNTIF($AK$2:AK814,AK814)&gt;1,"Remove exact duplicate copy","Keep")</f>
        <v>Keep</v>
      </c>
      <c r="AM814" s="9">
        <f t="shared" si="108"/>
        <v>1</v>
      </c>
      <c r="AN814" s="9" t="str">
        <f t="shared" si="109"/>
        <v>Unique</v>
      </c>
      <c r="AO814" s="9" t="str">
        <f t="shared" si="110"/>
        <v/>
      </c>
      <c r="AP814" s="9">
        <f t="shared" si="111"/>
        <v>0</v>
      </c>
      <c r="AQ814" s="10">
        <f t="shared" si="112"/>
        <v>17827.759999999998</v>
      </c>
      <c r="AR814" s="10">
        <f t="shared" si="113"/>
        <v>3705.6299999999992</v>
      </c>
      <c r="AS814" s="11">
        <f t="shared" si="114"/>
        <v>0.20785729671029896</v>
      </c>
      <c r="AT814" s="9">
        <f t="shared" si="115"/>
        <v>6</v>
      </c>
      <c r="AU814" s="9">
        <f t="shared" si="116"/>
        <v>2024</v>
      </c>
      <c r="AV814" s="9" t="b">
        <f t="shared" si="117"/>
        <v>0</v>
      </c>
      <c r="AW814" s="9" t="b">
        <f t="shared" si="118"/>
        <v>0</v>
      </c>
      <c r="AX814" s="9" t="str">
        <f t="shared" si="119"/>
        <v>Yes</v>
      </c>
      <c r="AY814" s="9" t="str">
        <f t="shared" si="121"/>
        <v/>
      </c>
      <c r="AZ814" s="9" t="str">
        <f>IF(OR(G814="Missing date",G814="Invalid date",G814="Ship date before order date",NOT(ISNUMBER(AP814)),AP814&lt;0,AP814&gt;0.5,AV814=TRUE,AW814=TRUE),"Invalid",IF(OR(O814="Unknown",Z814="Unknown",AC814="",AH814&lt;&gt;"Paid",AJ814&lt;&gt;"Completed",AO814&lt;&gt;""),"Warning","Clean"))</f>
        <v>Clean</v>
      </c>
    </row>
    <row r="815" spans="1:52" ht="15.75" customHeight="1">
      <c r="A815" s="6" t="s">
        <v>3836</v>
      </c>
      <c r="B815" s="7" t="s">
        <v>3837</v>
      </c>
      <c r="C815" s="7" t="str">
        <f t="shared" si="120"/>
        <v>2025-04</v>
      </c>
      <c r="D815" s="7" cm="1">
        <f t="array" ref="D815">_xlfn.LET(_xlpm.x,B815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45753</v>
      </c>
      <c r="E815" s="7" t="s">
        <v>3838</v>
      </c>
      <c r="F815" s="7" cm="1">
        <f t="array" ref="F815">_xlfn.LET(_xlpm.x,E815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45757</v>
      </c>
      <c r="G815" s="8" t="str">
        <f t="shared" si="96"/>
        <v>OK</v>
      </c>
      <c r="H815" s="6">
        <f t="shared" si="97"/>
        <v>4</v>
      </c>
      <c r="I815" s="6" t="s">
        <v>3839</v>
      </c>
      <c r="J815" s="6" t="s">
        <v>257</v>
      </c>
      <c r="K815" s="6" t="str">
        <f t="shared" si="98"/>
        <v>Rohan Mehta</v>
      </c>
      <c r="L815" s="6" t="s">
        <v>43</v>
      </c>
      <c r="M815" s="8" t="str">
        <f t="shared" si="99"/>
        <v>Consumer</v>
      </c>
      <c r="N815" s="6" t="s">
        <v>8</v>
      </c>
      <c r="O815" s="6" t="str">
        <f t="shared" si="100"/>
        <v>East</v>
      </c>
      <c r="P815" s="6" t="s">
        <v>140</v>
      </c>
      <c r="Q815" s="6" t="str">
        <f t="shared" si="101"/>
        <v>Odisha</v>
      </c>
      <c r="R815" s="6" t="s">
        <v>141</v>
      </c>
      <c r="S815" s="6" t="str">
        <f t="shared" si="102"/>
        <v>Bhubaneswar</v>
      </c>
      <c r="T815" s="6" t="s">
        <v>14</v>
      </c>
      <c r="U815" s="8" t="str">
        <f t="shared" si="103"/>
        <v>Furniture</v>
      </c>
      <c r="V815" s="6" t="s">
        <v>15</v>
      </c>
      <c r="W815" s="6" t="str">
        <f t="shared" si="104"/>
        <v>Bookcases</v>
      </c>
      <c r="X815" s="6" t="s">
        <v>1804</v>
      </c>
      <c r="Y815" s="6" t="s">
        <v>34</v>
      </c>
      <c r="Z815" s="6" t="str">
        <f t="shared" si="105"/>
        <v>Standard Class</v>
      </c>
      <c r="AA815" s="6">
        <v>2</v>
      </c>
      <c r="AB815" s="6">
        <v>1337.67</v>
      </c>
      <c r="AC815" s="6">
        <v>0</v>
      </c>
      <c r="AD815" s="6">
        <v>2675.34</v>
      </c>
      <c r="AE815" s="6">
        <v>1595.87</v>
      </c>
      <c r="AF815" s="6">
        <v>1079.47</v>
      </c>
      <c r="AG815" s="6" t="s">
        <v>52</v>
      </c>
      <c r="AH815" s="6" t="str">
        <f t="shared" si="106"/>
        <v>Paid</v>
      </c>
      <c r="AI815" s="6" t="s">
        <v>134</v>
      </c>
      <c r="AJ815" s="6" t="str">
        <f t="shared" si="107"/>
        <v>Completed</v>
      </c>
      <c r="AK815" s="9" t="str">
        <f>_xlfn.TEXTJOIN("|",FALSE,A815,TEXT(B815,"mm-dd-yyyy"),TEXT(E815,"mm-dd-yyyy"),I815,J815,L815,N815,P815,R815,T815,V815,X815,Y815,AA815,AB815,AC815,AD815,AE815,AF815,AG815,AI815)</f>
        <v>ORD-2025-10814|04-06-2025|04-10-2025|CUST-7848|Rohan Mehta|Consumer|East|Odisha|Bhubaneswar|Furniture|Bookcases|Elite Bookcases 988|Standard Class|2|1337.67|0|2675.34|1595.87|1079.47|Paid|Completed</v>
      </c>
      <c r="AL815" s="27" t="str">
        <f>IF(COUNTIF($AK$2:AK815,AK815)&gt;1,"Remove exact duplicate copy","Keep")</f>
        <v>Keep</v>
      </c>
      <c r="AM815" s="9">
        <f t="shared" si="108"/>
        <v>1</v>
      </c>
      <c r="AN815" s="9" t="str">
        <f t="shared" si="109"/>
        <v>Unique</v>
      </c>
      <c r="AO815" s="9" t="str">
        <f t="shared" si="110"/>
        <v/>
      </c>
      <c r="AP815" s="9">
        <f t="shared" si="111"/>
        <v>0</v>
      </c>
      <c r="AQ815" s="10">
        <f t="shared" si="112"/>
        <v>2675.34</v>
      </c>
      <c r="AR815" s="10">
        <f t="shared" si="113"/>
        <v>1079.4700000000003</v>
      </c>
      <c r="AS815" s="11">
        <f t="shared" si="114"/>
        <v>0.40348890234512258</v>
      </c>
      <c r="AT815" s="9">
        <f t="shared" si="115"/>
        <v>4</v>
      </c>
      <c r="AU815" s="9">
        <f t="shared" si="116"/>
        <v>2025</v>
      </c>
      <c r="AV815" s="9" t="b">
        <f t="shared" si="117"/>
        <v>0</v>
      </c>
      <c r="AW815" s="9" t="b">
        <f t="shared" si="118"/>
        <v>0</v>
      </c>
      <c r="AX815" s="9" t="str">
        <f t="shared" si="119"/>
        <v>Yes</v>
      </c>
      <c r="AY815" s="9" t="str">
        <f t="shared" si="121"/>
        <v/>
      </c>
      <c r="AZ815" s="9" t="str">
        <f>IF(OR(G815="Missing date",G815="Invalid date",G815="Ship date before order date",NOT(ISNUMBER(AP815)),AP815&lt;0,AP815&gt;0.5,AV815=TRUE,AW815=TRUE),"Invalid",IF(OR(O815="Unknown",Z815="Unknown",AC815="",AH815&lt;&gt;"Paid",AJ815&lt;&gt;"Completed",AO815&lt;&gt;""),"Warning","Clean"))</f>
        <v>Clean</v>
      </c>
    </row>
    <row r="816" spans="1:52" ht="15.75" customHeight="1">
      <c r="A816" s="6" t="s">
        <v>3840</v>
      </c>
      <c r="B816" s="7" t="s">
        <v>1456</v>
      </c>
      <c r="C816" s="7" t="str">
        <f t="shared" si="120"/>
        <v>2025-08</v>
      </c>
      <c r="D816" s="7" cm="1">
        <f t="array" ref="D816">_xlfn.LET(_xlpm.x,B816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45875</v>
      </c>
      <c r="E816" s="7" t="s">
        <v>661</v>
      </c>
      <c r="F816" s="7" cm="1">
        <f t="array" ref="F816">_xlfn.LET(_xlpm.x,E816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45880</v>
      </c>
      <c r="G816" s="8" t="str">
        <f t="shared" si="96"/>
        <v>OK</v>
      </c>
      <c r="H816" s="6">
        <f t="shared" si="97"/>
        <v>5</v>
      </c>
      <c r="I816" s="6" t="s">
        <v>3841</v>
      </c>
      <c r="J816" s="6" t="s">
        <v>153</v>
      </c>
      <c r="K816" s="6" t="str">
        <f t="shared" si="98"/>
        <v>Arjun Bose</v>
      </c>
      <c r="L816" s="6" t="s">
        <v>43</v>
      </c>
      <c r="M816" s="8" t="str">
        <f t="shared" si="99"/>
        <v>Consumer</v>
      </c>
      <c r="N816" s="6" t="s">
        <v>9</v>
      </c>
      <c r="O816" s="6" t="str">
        <f t="shared" si="100"/>
        <v>West</v>
      </c>
      <c r="P816" s="6" t="s">
        <v>170</v>
      </c>
      <c r="Q816" s="6" t="str">
        <f t="shared" si="101"/>
        <v>Madhya Pradesh</v>
      </c>
      <c r="R816" s="6" t="s">
        <v>171</v>
      </c>
      <c r="S816" s="6" t="str">
        <f t="shared" si="102"/>
        <v>Indore</v>
      </c>
      <c r="T816" s="6" t="s">
        <v>20</v>
      </c>
      <c r="U816" s="8" t="str">
        <f t="shared" si="103"/>
        <v>Office Supplies</v>
      </c>
      <c r="V816" s="6" t="s">
        <v>23</v>
      </c>
      <c r="W816" s="6" t="str">
        <f t="shared" si="104"/>
        <v>Labels</v>
      </c>
      <c r="X816" s="6" t="s">
        <v>3842</v>
      </c>
      <c r="Y816" s="6" t="s">
        <v>35</v>
      </c>
      <c r="Z816" s="6" t="str">
        <f t="shared" si="105"/>
        <v>First Class</v>
      </c>
      <c r="AA816" s="6">
        <v>2</v>
      </c>
      <c r="AB816" s="6">
        <v>2375.94</v>
      </c>
      <c r="AC816" s="6">
        <v>0.25</v>
      </c>
      <c r="AD816" s="6">
        <v>3563.91</v>
      </c>
      <c r="AE816" s="6">
        <v>2639.7</v>
      </c>
      <c r="AF816" s="6">
        <v>924.21</v>
      </c>
      <c r="AG816" s="6" t="s">
        <v>52</v>
      </c>
      <c r="AH816" s="6" t="str">
        <f t="shared" si="106"/>
        <v>Paid</v>
      </c>
      <c r="AI816" s="6" t="s">
        <v>134</v>
      </c>
      <c r="AJ816" s="6" t="str">
        <f t="shared" si="107"/>
        <v>Completed</v>
      </c>
      <c r="AK816" s="9" t="str">
        <f>_xlfn.TEXTJOIN("|",FALSE,A816,TEXT(B816,"mm-dd-yyyy"),TEXT(E816,"mm-dd-yyyy"),I816,J816,L816,N816,P816,R816,T816,V816,X816,Y816,AA816,AB816,AC816,AD816,AE816,AF816,AG816,AI816)</f>
        <v>ORD-2025-10815|08-06-2025|08-11-2025|CUST-9048|Arjun Bose|Consumer|West|Madhya Pradesh|Indore|Office Supplies|Labels|Smart Labels 126|First Class|2|2375.94|0.25|3563.91|2639.7|924.21|Paid|Completed</v>
      </c>
      <c r="AL816" s="27" t="str">
        <f>IF(COUNTIF($AK$2:AK816,AK816)&gt;1,"Remove exact duplicate copy","Keep")</f>
        <v>Keep</v>
      </c>
      <c r="AM816" s="9">
        <f t="shared" si="108"/>
        <v>1</v>
      </c>
      <c r="AN816" s="9" t="str">
        <f t="shared" si="109"/>
        <v>Unique</v>
      </c>
      <c r="AO816" s="9" t="str">
        <f t="shared" si="110"/>
        <v/>
      </c>
      <c r="AP816" s="9">
        <f t="shared" si="111"/>
        <v>0.25</v>
      </c>
      <c r="AQ816" s="10">
        <f t="shared" si="112"/>
        <v>3563.91</v>
      </c>
      <c r="AR816" s="10">
        <f t="shared" si="113"/>
        <v>924.21</v>
      </c>
      <c r="AS816" s="11">
        <f t="shared" si="114"/>
        <v>0.25932473042248544</v>
      </c>
      <c r="AT816" s="9">
        <f t="shared" si="115"/>
        <v>8</v>
      </c>
      <c r="AU816" s="9">
        <f t="shared" si="116"/>
        <v>2025</v>
      </c>
      <c r="AV816" s="9" t="b">
        <f t="shared" si="117"/>
        <v>0</v>
      </c>
      <c r="AW816" s="9" t="b">
        <f t="shared" si="118"/>
        <v>0</v>
      </c>
      <c r="AX816" s="9" t="str">
        <f t="shared" si="119"/>
        <v>Yes</v>
      </c>
      <c r="AY816" s="9" t="str">
        <f t="shared" si="121"/>
        <v/>
      </c>
      <c r="AZ816" s="9" t="str">
        <f>IF(OR(G816="Missing date",G816="Invalid date",G816="Ship date before order date",NOT(ISNUMBER(AP816)),AP816&lt;0,AP816&gt;0.5,AV816=TRUE,AW816=TRUE),"Invalid",IF(OR(O816="Unknown",Z816="Unknown",AC816="",AH816&lt;&gt;"Paid",AJ816&lt;&gt;"Completed",AO816&lt;&gt;""),"Warning","Clean"))</f>
        <v>Clean</v>
      </c>
    </row>
    <row r="817" spans="1:52" ht="15.75" customHeight="1">
      <c r="A817" s="6" t="s">
        <v>3843</v>
      </c>
      <c r="B817" s="7" t="s">
        <v>2533</v>
      </c>
      <c r="C817" s="7" t="str">
        <f t="shared" si="120"/>
        <v>2024-04</v>
      </c>
      <c r="D817" s="7" cm="1">
        <f t="array" ref="D817">_xlfn.LET(_xlpm.x,B817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45383</v>
      </c>
      <c r="E817" s="7" t="s">
        <v>3844</v>
      </c>
      <c r="F817" s="7" cm="1">
        <f t="array" ref="F817">_xlfn.LET(_xlpm.x,E817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45390</v>
      </c>
      <c r="G817" s="8" t="str">
        <f t="shared" si="96"/>
        <v>OK</v>
      </c>
      <c r="H817" s="6">
        <f t="shared" si="97"/>
        <v>7</v>
      </c>
      <c r="I817" s="6" t="s">
        <v>3845</v>
      </c>
      <c r="J817" s="6" t="s">
        <v>284</v>
      </c>
      <c r="K817" s="6" t="str">
        <f t="shared" si="98"/>
        <v>Diya Patel</v>
      </c>
      <c r="L817" s="6" t="s">
        <v>43</v>
      </c>
      <c r="M817" s="8" t="str">
        <f t="shared" si="99"/>
        <v>Consumer</v>
      </c>
      <c r="N817" s="6" t="s">
        <v>8</v>
      </c>
      <c r="O817" s="6" t="str">
        <f t="shared" si="100"/>
        <v>East</v>
      </c>
      <c r="P817" s="6" t="s">
        <v>140</v>
      </c>
      <c r="Q817" s="6" t="str">
        <f t="shared" si="101"/>
        <v>Odisha</v>
      </c>
      <c r="R817" s="6" t="s">
        <v>141</v>
      </c>
      <c r="S817" s="6" t="str">
        <f t="shared" si="102"/>
        <v>Bhubaneswar</v>
      </c>
      <c r="T817" s="6" t="s">
        <v>27</v>
      </c>
      <c r="U817" s="8" t="str">
        <f t="shared" si="103"/>
        <v>Technology</v>
      </c>
      <c r="V817" s="6" t="s">
        <v>30</v>
      </c>
      <c r="W817" s="6" t="str">
        <f t="shared" si="104"/>
        <v>Machines</v>
      </c>
      <c r="X817" s="6" t="s">
        <v>3846</v>
      </c>
      <c r="Y817" s="6" t="s">
        <v>34</v>
      </c>
      <c r="Z817" s="6" t="str">
        <f t="shared" si="105"/>
        <v>Standard Class</v>
      </c>
      <c r="AA817" s="6">
        <v>7</v>
      </c>
      <c r="AB817" s="6">
        <v>715.81</v>
      </c>
      <c r="AC817" s="6">
        <v>0.15</v>
      </c>
      <c r="AD817" s="6">
        <v>4259.07</v>
      </c>
      <c r="AE817" s="6">
        <v>3130.32</v>
      </c>
      <c r="AF817" s="6">
        <v>1128.75</v>
      </c>
      <c r="AG817" s="6" t="s">
        <v>54</v>
      </c>
      <c r="AH817" s="6" t="str">
        <f t="shared" si="106"/>
        <v>Pending</v>
      </c>
      <c r="AI817" s="6" t="s">
        <v>58</v>
      </c>
      <c r="AJ817" s="6" t="str">
        <f t="shared" si="107"/>
        <v>Cancelled</v>
      </c>
      <c r="AK817" s="9" t="str">
        <f>_xlfn.TEXTJOIN("|",FALSE,A817,TEXT(B817,"mm-dd-yyyy"),TEXT(E817,"mm-dd-yyyy"),I817,J817,L817,N817,P817,R817,T817,V817,X817,Y817,AA817,AB817,AC817,AD817,AE817,AF817,AG817,AI817)</f>
        <v>ORD-2024-10816|04-01-2024|04-08-2024|CUST-2951|Diya Patel|Consumer|East|Odisha|Bhubaneswar|Technology|Machines|Max Machines 569|Standard Class|7|715.81|0.15|4259.07|3130.32|1128.75|Pending|Cancelled</v>
      </c>
      <c r="AL817" s="27" t="str">
        <f>IF(COUNTIF($AK$2:AK817,AK817)&gt;1,"Remove exact duplicate copy","Keep")</f>
        <v>Keep</v>
      </c>
      <c r="AM817" s="9">
        <f t="shared" si="108"/>
        <v>1</v>
      </c>
      <c r="AN817" s="9" t="str">
        <f t="shared" si="109"/>
        <v>Unique</v>
      </c>
      <c r="AO817" s="9" t="str">
        <f t="shared" si="110"/>
        <v/>
      </c>
      <c r="AP817" s="9">
        <f t="shared" si="111"/>
        <v>0.15</v>
      </c>
      <c r="AQ817" s="10">
        <f t="shared" si="112"/>
        <v>4259.0694999999996</v>
      </c>
      <c r="AR817" s="10">
        <f t="shared" si="113"/>
        <v>1128.7494999999994</v>
      </c>
      <c r="AS817" s="11">
        <f t="shared" si="114"/>
        <v>0.26502255950507486</v>
      </c>
      <c r="AT817" s="9">
        <f t="shared" si="115"/>
        <v>4</v>
      </c>
      <c r="AU817" s="9">
        <f t="shared" si="116"/>
        <v>2024</v>
      </c>
      <c r="AV817" s="9" t="b">
        <f t="shared" si="117"/>
        <v>0</v>
      </c>
      <c r="AW817" s="9" t="b">
        <f t="shared" si="118"/>
        <v>0</v>
      </c>
      <c r="AX817" s="9" t="str">
        <f t="shared" si="119"/>
        <v>No</v>
      </c>
      <c r="AY817" s="9" t="str">
        <f t="shared" si="121"/>
        <v>Cancelled order excluded</v>
      </c>
      <c r="AZ817" s="9" t="str">
        <f>IF(OR(G817="Missing date",G817="Invalid date",G817="Ship date before order date",NOT(ISNUMBER(AP817)),AP817&lt;0,AP817&gt;0.5,AV817=TRUE,AW817=TRUE),"Invalid",IF(OR(O817="Unknown",Z817="Unknown",AC817="",AH817&lt;&gt;"Paid",AJ817&lt;&gt;"Completed",AO817&lt;&gt;""),"Warning","Clean"))</f>
        <v>Warning</v>
      </c>
    </row>
    <row r="818" spans="1:52" ht="15.75" customHeight="1">
      <c r="A818" s="6" t="s">
        <v>3847</v>
      </c>
      <c r="B818" s="7" t="s">
        <v>3848</v>
      </c>
      <c r="C818" s="7" t="str">
        <f t="shared" si="120"/>
        <v>2024-11</v>
      </c>
      <c r="D818" s="7" cm="1">
        <f t="array" ref="D818">_xlfn.LET(_xlpm.x,B818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45623</v>
      </c>
      <c r="E818" s="7" t="s">
        <v>3849</v>
      </c>
      <c r="F818" s="7" cm="1">
        <f t="array" ref="F818">_xlfn.LET(_xlpm.x,E818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45626</v>
      </c>
      <c r="G818" s="8" t="str">
        <f t="shared" si="96"/>
        <v>OK</v>
      </c>
      <c r="H818" s="6">
        <f t="shared" si="97"/>
        <v>3</v>
      </c>
      <c r="I818" s="6" t="s">
        <v>3850</v>
      </c>
      <c r="J818" s="6" t="s">
        <v>226</v>
      </c>
      <c r="K818" s="6" t="str">
        <f t="shared" si="98"/>
        <v>Rahul Verma</v>
      </c>
      <c r="L818" s="6" t="s">
        <v>46</v>
      </c>
      <c r="M818" s="8" t="str">
        <f t="shared" si="99"/>
        <v>Small Business</v>
      </c>
      <c r="N818" s="6" t="s">
        <v>8</v>
      </c>
      <c r="O818" s="6" t="str">
        <f t="shared" si="100"/>
        <v>East</v>
      </c>
      <c r="P818" s="6" t="s">
        <v>385</v>
      </c>
      <c r="Q818" s="6" t="str">
        <f t="shared" si="101"/>
        <v>Jharkhand</v>
      </c>
      <c r="R818" s="6" t="s">
        <v>386</v>
      </c>
      <c r="S818" s="6" t="str">
        <f t="shared" si="102"/>
        <v>Ranchi</v>
      </c>
      <c r="T818" s="6" t="s">
        <v>14</v>
      </c>
      <c r="U818" s="8" t="str">
        <f t="shared" si="103"/>
        <v>Furniture</v>
      </c>
      <c r="V818" s="6" t="s">
        <v>17</v>
      </c>
      <c r="W818" s="6" t="str">
        <f t="shared" si="104"/>
        <v>Furnishings</v>
      </c>
      <c r="X818" s="6" t="s">
        <v>3851</v>
      </c>
      <c r="Y818" s="6" t="s">
        <v>35</v>
      </c>
      <c r="Z818" s="6" t="str">
        <f t="shared" si="105"/>
        <v>First Class</v>
      </c>
      <c r="AA818" s="6">
        <v>1</v>
      </c>
      <c r="AB818" s="6">
        <v>874.3</v>
      </c>
      <c r="AC818" s="6">
        <v>0.1</v>
      </c>
      <c r="AD818" s="6">
        <v>786.87</v>
      </c>
      <c r="AE818" s="6">
        <v>498.5</v>
      </c>
      <c r="AF818" s="6">
        <v>288.37</v>
      </c>
      <c r="AG818" s="6" t="s">
        <v>52</v>
      </c>
      <c r="AH818" s="6" t="str">
        <f t="shared" si="106"/>
        <v>Paid</v>
      </c>
      <c r="AI818" s="6" t="s">
        <v>134</v>
      </c>
      <c r="AJ818" s="6" t="str">
        <f t="shared" si="107"/>
        <v>Completed</v>
      </c>
      <c r="AK818" s="9" t="str">
        <f>_xlfn.TEXTJOIN("|",FALSE,A818,TEXT(B818,"mm-dd-yyyy"),TEXT(E818,"mm-dd-yyyy"),I818,J818,L818,N818,P818,R818,T818,V818,X818,Y818,AA818,AB818,AC818,AD818,AE818,AF818,AG818,AI818)</f>
        <v>ORD-2024-10817|11-27-2024|11-30-2024|CUST-3072|Rahul Verma|Small Business|East|Jharkhand|Ranchi|Furniture|Furnishings|Basic Furnishings 306|First Class|1|874.3|0.1|786.87|498.5|288.37|Paid|Completed</v>
      </c>
      <c r="AL818" s="27" t="str">
        <f>IF(COUNTIF($AK$2:AK818,AK818)&gt;1,"Remove exact duplicate copy","Keep")</f>
        <v>Keep</v>
      </c>
      <c r="AM818" s="9">
        <f t="shared" si="108"/>
        <v>1</v>
      </c>
      <c r="AN818" s="9" t="str">
        <f t="shared" si="109"/>
        <v>Unique</v>
      </c>
      <c r="AO818" s="9" t="str">
        <f t="shared" si="110"/>
        <v/>
      </c>
      <c r="AP818" s="9">
        <f t="shared" si="111"/>
        <v>0.1</v>
      </c>
      <c r="AQ818" s="10">
        <f t="shared" si="112"/>
        <v>786.87</v>
      </c>
      <c r="AR818" s="10">
        <f t="shared" si="113"/>
        <v>288.37</v>
      </c>
      <c r="AS818" s="11">
        <f t="shared" si="114"/>
        <v>0.36647730883119195</v>
      </c>
      <c r="AT818" s="9">
        <f t="shared" si="115"/>
        <v>11</v>
      </c>
      <c r="AU818" s="9">
        <f t="shared" si="116"/>
        <v>2024</v>
      </c>
      <c r="AV818" s="9" t="b">
        <f t="shared" si="117"/>
        <v>0</v>
      </c>
      <c r="AW818" s="9" t="b">
        <f t="shared" si="118"/>
        <v>0</v>
      </c>
      <c r="AX818" s="9" t="str">
        <f t="shared" si="119"/>
        <v>Yes</v>
      </c>
      <c r="AY818" s="9" t="str">
        <f t="shared" si="121"/>
        <v/>
      </c>
      <c r="AZ818" s="9" t="str">
        <f>IF(OR(G818="Missing date",G818="Invalid date",G818="Ship date before order date",NOT(ISNUMBER(AP818)),AP818&lt;0,AP818&gt;0.5,AV818=TRUE,AW818=TRUE),"Invalid",IF(OR(O818="Unknown",Z818="Unknown",AC818="",AH818&lt;&gt;"Paid",AJ818&lt;&gt;"Completed",AO818&lt;&gt;""),"Warning","Clean"))</f>
        <v>Clean</v>
      </c>
    </row>
    <row r="819" spans="1:52" ht="15.75" customHeight="1">
      <c r="A819" s="6" t="s">
        <v>3852</v>
      </c>
      <c r="B819" s="7" t="s">
        <v>3853</v>
      </c>
      <c r="C819" s="7" t="str">
        <f t="shared" si="120"/>
        <v>2025-04</v>
      </c>
      <c r="D819" s="7" cm="1">
        <f t="array" ref="D819">_xlfn.LET(_xlpm.x,B819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45752</v>
      </c>
      <c r="E819" s="7" t="s">
        <v>3854</v>
      </c>
      <c r="F819" s="7" cm="1">
        <f t="array" ref="F819">_xlfn.LET(_xlpm.x,E819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45752</v>
      </c>
      <c r="G819" s="8" t="str">
        <f t="shared" si="96"/>
        <v>OK</v>
      </c>
      <c r="H819" s="6">
        <f t="shared" si="97"/>
        <v>0</v>
      </c>
      <c r="I819" s="6" t="s">
        <v>3855</v>
      </c>
      <c r="J819" s="6" t="s">
        <v>245</v>
      </c>
      <c r="K819" s="6" t="str">
        <f t="shared" si="98"/>
        <v>Sneha Kapoor</v>
      </c>
      <c r="L819" s="6" t="s">
        <v>43</v>
      </c>
      <c r="M819" s="8" t="str">
        <f t="shared" si="99"/>
        <v>Consumer</v>
      </c>
      <c r="N819" s="6" t="s">
        <v>8</v>
      </c>
      <c r="O819" s="6" t="str">
        <f t="shared" si="100"/>
        <v>East</v>
      </c>
      <c r="P819" s="6" t="s">
        <v>263</v>
      </c>
      <c r="Q819" s="6" t="str">
        <f t="shared" si="101"/>
        <v>Bihar</v>
      </c>
      <c r="R819" s="6" t="s">
        <v>264</v>
      </c>
      <c r="S819" s="6" t="str">
        <f t="shared" si="102"/>
        <v>Patna</v>
      </c>
      <c r="T819" s="6" t="s">
        <v>20</v>
      </c>
      <c r="U819" s="8" t="str">
        <f t="shared" si="103"/>
        <v>Office Supplies</v>
      </c>
      <c r="V819" s="6" t="s">
        <v>22</v>
      </c>
      <c r="W819" s="6" t="str">
        <f t="shared" si="104"/>
        <v>Binders</v>
      </c>
      <c r="X819" s="6" t="s">
        <v>3856</v>
      </c>
      <c r="Y819" s="6" t="s">
        <v>34</v>
      </c>
      <c r="Z819" s="6" t="str">
        <f t="shared" si="105"/>
        <v>Standard Class</v>
      </c>
      <c r="AA819" s="6">
        <v>6</v>
      </c>
      <c r="AB819" s="6">
        <v>1829.69</v>
      </c>
      <c r="AC819" s="6">
        <v>0.25</v>
      </c>
      <c r="AD819" s="6">
        <v>8233.6</v>
      </c>
      <c r="AE819" s="6">
        <v>4713.79</v>
      </c>
      <c r="AF819" s="6">
        <v>3519.81</v>
      </c>
      <c r="AG819" s="6" t="s">
        <v>52</v>
      </c>
      <c r="AH819" s="6" t="str">
        <f t="shared" si="106"/>
        <v>Paid</v>
      </c>
      <c r="AI819" s="6" t="s">
        <v>134</v>
      </c>
      <c r="AJ819" s="6" t="str">
        <f t="shared" si="107"/>
        <v>Completed</v>
      </c>
      <c r="AK819" s="9" t="str">
        <f>_xlfn.TEXTJOIN("|",FALSE,A819,TEXT(B819,"mm-dd-yyyy"),TEXT(E819,"mm-dd-yyyy"),I819,J819,L819,N819,P819,R819,T819,V819,X819,Y819,AA819,AB819,AC819,AD819,AE819,AF819,AG819,AI819)</f>
        <v>ORD-2025-10818|04-05-2025|04-05-2025|CUST-2221|Sneha Kapoor|Consumer|East|Bihar|Patna|Office Supplies|Binders|Classic Binders 873|Standard Class|6|1829.69|0.25|8233.6|4713.79|3519.81|Paid|Completed</v>
      </c>
      <c r="AL819" s="27" t="str">
        <f>IF(COUNTIF($AK$2:AK819,AK819)&gt;1,"Remove exact duplicate copy","Keep")</f>
        <v>Keep</v>
      </c>
      <c r="AM819" s="9">
        <f t="shared" si="108"/>
        <v>1</v>
      </c>
      <c r="AN819" s="9" t="str">
        <f t="shared" si="109"/>
        <v>Unique</v>
      </c>
      <c r="AO819" s="9" t="str">
        <f t="shared" si="110"/>
        <v/>
      </c>
      <c r="AP819" s="9">
        <f t="shared" si="111"/>
        <v>0.25</v>
      </c>
      <c r="AQ819" s="10">
        <f t="shared" si="112"/>
        <v>8233.6049999999996</v>
      </c>
      <c r="AR819" s="10">
        <f t="shared" si="113"/>
        <v>3519.8149999999996</v>
      </c>
      <c r="AS819" s="11">
        <f t="shared" si="114"/>
        <v>0.42749378917254349</v>
      </c>
      <c r="AT819" s="9">
        <f t="shared" si="115"/>
        <v>4</v>
      </c>
      <c r="AU819" s="9">
        <f t="shared" si="116"/>
        <v>2025</v>
      </c>
      <c r="AV819" s="9" t="b">
        <f t="shared" si="117"/>
        <v>0</v>
      </c>
      <c r="AW819" s="9" t="b">
        <f t="shared" si="118"/>
        <v>0</v>
      </c>
      <c r="AX819" s="9" t="str">
        <f t="shared" si="119"/>
        <v>Yes</v>
      </c>
      <c r="AY819" s="9" t="str">
        <f t="shared" si="121"/>
        <v/>
      </c>
      <c r="AZ819" s="9" t="str">
        <f>IF(OR(G819="Missing date",G819="Invalid date",G819="Ship date before order date",NOT(ISNUMBER(AP819)),AP819&lt;0,AP819&gt;0.5,AV819=TRUE,AW819=TRUE),"Invalid",IF(OR(O819="Unknown",Z819="Unknown",AC819="",AH819&lt;&gt;"Paid",AJ819&lt;&gt;"Completed",AO819&lt;&gt;""),"Warning","Clean"))</f>
        <v>Clean</v>
      </c>
    </row>
    <row r="820" spans="1:52" ht="15.75" customHeight="1">
      <c r="A820" s="6" t="s">
        <v>3857</v>
      </c>
      <c r="B820" s="7" t="s">
        <v>3858</v>
      </c>
      <c r="C820" s="7" t="str">
        <f t="shared" si="120"/>
        <v>2024-09</v>
      </c>
      <c r="D820" s="7" cm="1">
        <f t="array" ref="D820">_xlfn.LET(_xlpm.x,B820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45564</v>
      </c>
      <c r="E820" s="7" t="s">
        <v>3335</v>
      </c>
      <c r="F820" s="7" cm="1">
        <f t="array" ref="F820">_xlfn.LET(_xlpm.x,E820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45570</v>
      </c>
      <c r="G820" s="8" t="str">
        <f t="shared" si="96"/>
        <v>OK</v>
      </c>
      <c r="H820" s="6">
        <f t="shared" si="97"/>
        <v>6</v>
      </c>
      <c r="I820" s="6" t="s">
        <v>3859</v>
      </c>
      <c r="J820" s="6" t="s">
        <v>220</v>
      </c>
      <c r="K820" s="6" t="str">
        <f t="shared" si="98"/>
        <v>Priya Menon</v>
      </c>
      <c r="L820" s="6" t="s">
        <v>46</v>
      </c>
      <c r="M820" s="8" t="str">
        <f t="shared" si="99"/>
        <v>Small Business</v>
      </c>
      <c r="N820" s="6" t="s">
        <v>9</v>
      </c>
      <c r="O820" s="6" t="str">
        <f t="shared" si="100"/>
        <v>West</v>
      </c>
      <c r="P820" s="6" t="s">
        <v>162</v>
      </c>
      <c r="Q820" s="6" t="str">
        <f t="shared" si="101"/>
        <v>Maharashtra</v>
      </c>
      <c r="R820" s="6" t="s">
        <v>163</v>
      </c>
      <c r="S820" s="6" t="str">
        <f t="shared" si="102"/>
        <v>Mumbai</v>
      </c>
      <c r="T820" s="6" t="s">
        <v>20</v>
      </c>
      <c r="U820" s="8" t="str">
        <f t="shared" si="103"/>
        <v>Office Supplies</v>
      </c>
      <c r="V820" s="6" t="s">
        <v>23</v>
      </c>
      <c r="W820" s="6" t="str">
        <f t="shared" si="104"/>
        <v>Labels</v>
      </c>
      <c r="X820" s="6" t="s">
        <v>3860</v>
      </c>
      <c r="Y820" s="6" t="s">
        <v>35</v>
      </c>
      <c r="Z820" s="6" t="str">
        <f t="shared" si="105"/>
        <v>First Class</v>
      </c>
      <c r="AA820" s="6">
        <v>8</v>
      </c>
      <c r="AB820" s="6">
        <v>1981.04</v>
      </c>
      <c r="AC820" s="6">
        <v>-0.14000000000000001</v>
      </c>
      <c r="AD820" s="6">
        <v>12678.66</v>
      </c>
      <c r="AE820" s="6">
        <v>10088.65</v>
      </c>
      <c r="AF820" s="6">
        <v>2590.0100000000002</v>
      </c>
      <c r="AG820" s="6" t="s">
        <v>52</v>
      </c>
      <c r="AH820" s="6" t="str">
        <f t="shared" si="106"/>
        <v>Paid</v>
      </c>
      <c r="AI820" s="6" t="s">
        <v>134</v>
      </c>
      <c r="AJ820" s="6" t="str">
        <f t="shared" si="107"/>
        <v>Completed</v>
      </c>
      <c r="AK820" s="9" t="str">
        <f>_xlfn.TEXTJOIN("|",FALSE,A820,TEXT(B820,"mm-dd-yyyy"),TEXT(E820,"mm-dd-yyyy"),I820,J820,L820,N820,P820,R820,T820,V820,X820,Y820,AA820,AB820,AC820,AD820,AE820,AF820,AG820,AI820)</f>
        <v>ORD-2024-10819|09-29-2024|05-10-2024|CUST-3943|Priya Menon|Small Business|West|Maharashtra|Mumbai|Office Supplies|Labels|Pro Labels 611|First Class|8|1981.04|-0.14|12678.66|10088.65|2590.01|Paid|Completed</v>
      </c>
      <c r="AL820" s="27" t="str">
        <f>IF(COUNTIF($AK$2:AK820,AK820)&gt;1,"Remove exact duplicate copy","Keep")</f>
        <v>Keep</v>
      </c>
      <c r="AM820" s="9">
        <f t="shared" si="108"/>
        <v>1</v>
      </c>
      <c r="AN820" s="9" t="str">
        <f t="shared" si="109"/>
        <v>Unique</v>
      </c>
      <c r="AO820" s="9" t="str">
        <f t="shared" si="110"/>
        <v/>
      </c>
      <c r="AP820" s="9">
        <f t="shared" si="111"/>
        <v>-0.14000000000000001</v>
      </c>
      <c r="AQ820" s="10">
        <f t="shared" si="112"/>
        <v>18067.084800000001</v>
      </c>
      <c r="AR820" s="10">
        <f t="shared" si="113"/>
        <v>7978.4348000000009</v>
      </c>
      <c r="AS820" s="11">
        <f t="shared" si="114"/>
        <v>0.44160056192352631</v>
      </c>
      <c r="AT820" s="9">
        <f t="shared" si="115"/>
        <v>9</v>
      </c>
      <c r="AU820" s="9">
        <f t="shared" si="116"/>
        <v>2024</v>
      </c>
      <c r="AV820" s="9" t="b">
        <f t="shared" si="117"/>
        <v>1</v>
      </c>
      <c r="AW820" s="9" t="b">
        <f t="shared" si="118"/>
        <v>1</v>
      </c>
      <c r="AX820" s="9" t="str">
        <f t="shared" si="119"/>
        <v>No</v>
      </c>
      <c r="AY820" s="9" t="str">
        <f t="shared" si="121"/>
        <v>Negative discount; Sales mismatch; Profit mismatch</v>
      </c>
      <c r="AZ820" s="9" t="str">
        <f>IF(OR(G820="Missing date",G820="Invalid date",G820="Ship date before order date",NOT(ISNUMBER(AP820)),AP820&lt;0,AP820&gt;0.5,AV820=TRUE,AW820=TRUE),"Invalid",IF(OR(O820="Unknown",Z820="Unknown",AC820="",AH820&lt;&gt;"Paid",AJ820&lt;&gt;"Completed",AO820&lt;&gt;""),"Warning","Clean"))</f>
        <v>Invalid</v>
      </c>
    </row>
    <row r="821" spans="1:52" ht="15.75" customHeight="1">
      <c r="A821" s="6" t="s">
        <v>3861</v>
      </c>
      <c r="B821" s="7" t="s">
        <v>1681</v>
      </c>
      <c r="C821" s="7" t="str">
        <f t="shared" si="120"/>
        <v>2024-07</v>
      </c>
      <c r="D821" s="7" cm="1">
        <f t="array" ref="D821">_xlfn.LET(_xlpm.x,B821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45504</v>
      </c>
      <c r="E821" s="7" t="s">
        <v>3862</v>
      </c>
      <c r="F821" s="7" cm="1">
        <f t="array" ref="F821">_xlfn.LET(_xlpm.x,E821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45504</v>
      </c>
      <c r="G821" s="8" t="str">
        <f t="shared" si="96"/>
        <v>OK</v>
      </c>
      <c r="H821" s="6">
        <f t="shared" si="97"/>
        <v>0</v>
      </c>
      <c r="I821" s="6" t="s">
        <v>3863</v>
      </c>
      <c r="J821" s="6" t="s">
        <v>129</v>
      </c>
      <c r="K821" s="6" t="str">
        <f t="shared" si="98"/>
        <v>Karan Malhotra</v>
      </c>
      <c r="L821" s="6" t="s">
        <v>44</v>
      </c>
      <c r="M821" s="8" t="str">
        <f t="shared" si="99"/>
        <v>Home Office</v>
      </c>
      <c r="N821" s="6" t="s">
        <v>10</v>
      </c>
      <c r="O821" s="6" t="str">
        <f t="shared" si="100"/>
        <v>South</v>
      </c>
      <c r="P821" s="6" t="s">
        <v>316</v>
      </c>
      <c r="Q821" s="6" t="str">
        <f t="shared" si="101"/>
        <v>Kerala</v>
      </c>
      <c r="R821" s="6" t="s">
        <v>317</v>
      </c>
      <c r="S821" s="6" t="str">
        <f t="shared" si="102"/>
        <v>Kochi</v>
      </c>
      <c r="T821" s="6" t="s">
        <v>27</v>
      </c>
      <c r="U821" s="8" t="str">
        <f t="shared" si="103"/>
        <v>Technology</v>
      </c>
      <c r="V821" s="6" t="s">
        <v>3864</v>
      </c>
      <c r="W821" s="6" t="str">
        <f t="shared" si="104"/>
        <v>Machines</v>
      </c>
      <c r="X821" s="6" t="s">
        <v>3865</v>
      </c>
      <c r="Y821" s="6" t="s">
        <v>34</v>
      </c>
      <c r="Z821" s="6" t="str">
        <f t="shared" si="105"/>
        <v>Standard Class</v>
      </c>
      <c r="AA821" s="6">
        <v>8</v>
      </c>
      <c r="AB821" s="6">
        <v>4246.01</v>
      </c>
      <c r="AC821" s="6">
        <v>0</v>
      </c>
      <c r="AD821" s="6">
        <v>33968.080000000002</v>
      </c>
      <c r="AE821" s="6">
        <v>26902.44</v>
      </c>
      <c r="AF821" s="6">
        <v>7065.64</v>
      </c>
      <c r="AG821" s="6" t="s">
        <v>50</v>
      </c>
      <c r="AH821" s="6" t="str">
        <f t="shared" si="106"/>
        <v>Failed</v>
      </c>
      <c r="AI821" s="6" t="s">
        <v>58</v>
      </c>
      <c r="AJ821" s="6" t="str">
        <f t="shared" si="107"/>
        <v>Cancelled</v>
      </c>
      <c r="AK821" s="9" t="str">
        <f>_xlfn.TEXTJOIN("|",FALSE,A821,TEXT(B821,"mm-dd-yyyy"),TEXT(E821,"mm-dd-yyyy"),I821,J821,L821,N821,P821,R821,T821,V821,X821,Y821,AA821,AB821,AC821,AD821,AE821,AF821,AG821,AI821)</f>
        <v>ORD-2024-10820|07-31-2024|31-07-2024|CUST-7510|Karan Malhotra|Home Office|South|Kerala|Kochi|Technology|MACHINES|Prime Machines 524|Standard Class|8|4246.01|0|33968.08|26902.44|7065.64|Failed|Cancelled</v>
      </c>
      <c r="AL821" s="27" t="str">
        <f>IF(COUNTIF($AK$2:AK821,AK821)&gt;1,"Remove exact duplicate copy","Keep")</f>
        <v>Keep</v>
      </c>
      <c r="AM821" s="9">
        <f t="shared" si="108"/>
        <v>1</v>
      </c>
      <c r="AN821" s="9" t="str">
        <f t="shared" si="109"/>
        <v>Unique</v>
      </c>
      <c r="AO821" s="9" t="str">
        <f t="shared" si="110"/>
        <v/>
      </c>
      <c r="AP821" s="9">
        <f t="shared" si="111"/>
        <v>0</v>
      </c>
      <c r="AQ821" s="10">
        <f t="shared" si="112"/>
        <v>33968.080000000002</v>
      </c>
      <c r="AR821" s="10">
        <f t="shared" si="113"/>
        <v>7065.6400000000031</v>
      </c>
      <c r="AS821" s="11">
        <f t="shared" si="114"/>
        <v>0.20800822419165294</v>
      </c>
      <c r="AT821" s="9">
        <f t="shared" si="115"/>
        <v>7</v>
      </c>
      <c r="AU821" s="9">
        <f t="shared" si="116"/>
        <v>2024</v>
      </c>
      <c r="AV821" s="9" t="b">
        <f t="shared" si="117"/>
        <v>0</v>
      </c>
      <c r="AW821" s="9" t="b">
        <f t="shared" si="118"/>
        <v>0</v>
      </c>
      <c r="AX821" s="9" t="str">
        <f t="shared" si="119"/>
        <v>No</v>
      </c>
      <c r="AY821" s="9" t="str">
        <f t="shared" si="121"/>
        <v>Failed payment excluded; Cancelled order excluded</v>
      </c>
      <c r="AZ821" s="9" t="str">
        <f>IF(OR(G821="Missing date",G821="Invalid date",G821="Ship date before order date",NOT(ISNUMBER(AP821)),AP821&lt;0,AP821&gt;0.5,AV821=TRUE,AW821=TRUE),"Invalid",IF(OR(O821="Unknown",Z821="Unknown",AC821="",AH821&lt;&gt;"Paid",AJ821&lt;&gt;"Completed",AO821&lt;&gt;""),"Warning","Clean"))</f>
        <v>Warning</v>
      </c>
    </row>
    <row r="822" spans="1:52" ht="15.75" customHeight="1">
      <c r="A822" s="6" t="s">
        <v>3866</v>
      </c>
      <c r="B822" s="7" t="s">
        <v>3867</v>
      </c>
      <c r="C822" s="7" t="str">
        <f t="shared" si="120"/>
        <v>2025-02</v>
      </c>
      <c r="D822" s="7" cm="1">
        <f t="array" ref="D822">_xlfn.LET(_xlpm.x,B822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45694</v>
      </c>
      <c r="E822" s="7" t="s">
        <v>3868</v>
      </c>
      <c r="F822" s="7" cm="1">
        <f t="array" ref="F822">_xlfn.LET(_xlpm.x,E822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45698</v>
      </c>
      <c r="G822" s="8" t="str">
        <f t="shared" si="96"/>
        <v>OK</v>
      </c>
      <c r="H822" s="6">
        <f t="shared" si="97"/>
        <v>4</v>
      </c>
      <c r="I822" s="6" t="s">
        <v>3869</v>
      </c>
      <c r="J822" s="6" t="s">
        <v>161</v>
      </c>
      <c r="K822" s="6" t="str">
        <f t="shared" si="98"/>
        <v>Ananya Rao</v>
      </c>
      <c r="L822" s="6" t="s">
        <v>44</v>
      </c>
      <c r="M822" s="8" t="str">
        <f t="shared" si="99"/>
        <v>Home Office</v>
      </c>
      <c r="N822" s="6" t="s">
        <v>7</v>
      </c>
      <c r="O822" s="6" t="str">
        <f t="shared" si="100"/>
        <v>North</v>
      </c>
      <c r="P822" s="6" t="s">
        <v>251</v>
      </c>
      <c r="Q822" s="6" t="str">
        <f t="shared" si="101"/>
        <v>Uttar Pradesh</v>
      </c>
      <c r="R822" s="6" t="s">
        <v>252</v>
      </c>
      <c r="S822" s="6" t="str">
        <f t="shared" si="102"/>
        <v>Noida</v>
      </c>
      <c r="T822" s="6" t="s">
        <v>14</v>
      </c>
      <c r="U822" s="8" t="str">
        <f t="shared" si="103"/>
        <v>Furniture</v>
      </c>
      <c r="V822" s="6" t="s">
        <v>15</v>
      </c>
      <c r="W822" s="6" t="str">
        <f t="shared" si="104"/>
        <v>Bookcases</v>
      </c>
      <c r="X822" s="6" t="s">
        <v>3870</v>
      </c>
      <c r="Y822" s="6" t="s">
        <v>34</v>
      </c>
      <c r="Z822" s="6" t="str">
        <f t="shared" si="105"/>
        <v>Standard Class</v>
      </c>
      <c r="AA822" s="6">
        <v>2</v>
      </c>
      <c r="AB822" s="6">
        <v>319.57</v>
      </c>
      <c r="AC822" s="6">
        <v>0.2</v>
      </c>
      <c r="AD822" s="6">
        <v>511.31</v>
      </c>
      <c r="AE822" s="6">
        <v>436.43</v>
      </c>
      <c r="AF822" s="6">
        <v>74.88</v>
      </c>
      <c r="AG822" s="6" t="s">
        <v>52</v>
      </c>
      <c r="AH822" s="6" t="str">
        <f t="shared" si="106"/>
        <v>Paid</v>
      </c>
      <c r="AI822" s="6" t="s">
        <v>134</v>
      </c>
      <c r="AJ822" s="6" t="str">
        <f t="shared" si="107"/>
        <v>Completed</v>
      </c>
      <c r="AK822" s="9" t="str">
        <f>_xlfn.TEXTJOIN("|",FALSE,A822,TEXT(B822,"mm-dd-yyyy"),TEXT(E822,"mm-dd-yyyy"),I822,J822,L822,N822,P822,R822,T822,V822,X822,Y822,AA822,AB822,AC822,AD822,AE822,AF822,AG822,AI822)</f>
        <v>ORD-2025-10821|06-02-2025|10-02-2025|CUST-2041|Ananya Rao|Home Office|North|Uttar Pradesh|Noida|Furniture|Bookcases|Classic Bookcases 882|Standard Class|2|319.57|0.2|511.31|436.43|74.88|Paid|Completed</v>
      </c>
      <c r="AL822" s="27" t="str">
        <f>IF(COUNTIF($AK$2:AK822,AK822)&gt;1,"Remove exact duplicate copy","Keep")</f>
        <v>Keep</v>
      </c>
      <c r="AM822" s="9">
        <f t="shared" si="108"/>
        <v>1</v>
      </c>
      <c r="AN822" s="9" t="str">
        <f t="shared" si="109"/>
        <v>Unique</v>
      </c>
      <c r="AO822" s="9" t="str">
        <f t="shared" si="110"/>
        <v/>
      </c>
      <c r="AP822" s="9">
        <f t="shared" si="111"/>
        <v>0.2</v>
      </c>
      <c r="AQ822" s="10">
        <f t="shared" si="112"/>
        <v>511.31200000000001</v>
      </c>
      <c r="AR822" s="10">
        <f t="shared" si="113"/>
        <v>74.882000000000005</v>
      </c>
      <c r="AS822" s="11">
        <f t="shared" si="114"/>
        <v>0.14645069937728825</v>
      </c>
      <c r="AT822" s="9">
        <f t="shared" si="115"/>
        <v>2</v>
      </c>
      <c r="AU822" s="9">
        <f t="shared" si="116"/>
        <v>2025</v>
      </c>
      <c r="AV822" s="9" t="b">
        <f t="shared" si="117"/>
        <v>0</v>
      </c>
      <c r="AW822" s="9" t="b">
        <f t="shared" si="118"/>
        <v>0</v>
      </c>
      <c r="AX822" s="9" t="str">
        <f t="shared" si="119"/>
        <v>Yes</v>
      </c>
      <c r="AY822" s="9" t="str">
        <f t="shared" si="121"/>
        <v/>
      </c>
      <c r="AZ822" s="9" t="str">
        <f>IF(OR(G822="Missing date",G822="Invalid date",G822="Ship date before order date",NOT(ISNUMBER(AP822)),AP822&lt;0,AP822&gt;0.5,AV822=TRUE,AW822=TRUE),"Invalid",IF(OR(O822="Unknown",Z822="Unknown",AC822="",AH822&lt;&gt;"Paid",AJ822&lt;&gt;"Completed",AO822&lt;&gt;""),"Warning","Clean"))</f>
        <v>Clean</v>
      </c>
    </row>
    <row r="823" spans="1:52" ht="15.75" customHeight="1">
      <c r="A823" s="6" t="s">
        <v>3871</v>
      </c>
      <c r="B823" s="7" t="s">
        <v>3872</v>
      </c>
      <c r="C823" s="7" t="str">
        <f t="shared" si="120"/>
        <v>2024-07</v>
      </c>
      <c r="D823" s="7" cm="1">
        <f t="array" ref="D823">_xlfn.LET(_xlpm.x,B823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45476</v>
      </c>
      <c r="E823" s="7" t="s">
        <v>3873</v>
      </c>
      <c r="F823" s="7" cm="1">
        <f t="array" ref="F823">_xlfn.LET(_xlpm.x,E823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45479</v>
      </c>
      <c r="G823" s="8" t="str">
        <f t="shared" si="96"/>
        <v>OK</v>
      </c>
      <c r="H823" s="6">
        <f t="shared" si="97"/>
        <v>3</v>
      </c>
      <c r="I823" s="6" t="s">
        <v>3874</v>
      </c>
      <c r="J823" s="6" t="s">
        <v>239</v>
      </c>
      <c r="K823" s="6" t="str">
        <f t="shared" si="98"/>
        <v>Aarav Sharma</v>
      </c>
      <c r="L823" s="6" t="s">
        <v>45</v>
      </c>
      <c r="M823" s="8" t="str">
        <f t="shared" si="99"/>
        <v>Corporate</v>
      </c>
      <c r="N823" s="6" t="s">
        <v>10</v>
      </c>
      <c r="O823" s="6" t="str">
        <f t="shared" si="100"/>
        <v>South</v>
      </c>
      <c r="P823" s="6" t="s">
        <v>303</v>
      </c>
      <c r="Q823" s="6" t="str">
        <f t="shared" si="101"/>
        <v>Karnataka</v>
      </c>
      <c r="R823" s="6" t="s">
        <v>304</v>
      </c>
      <c r="S823" s="6" t="str">
        <f t="shared" si="102"/>
        <v>Bengaluru</v>
      </c>
      <c r="T823" s="6" t="s">
        <v>27</v>
      </c>
      <c r="U823" s="8" t="str">
        <f t="shared" si="103"/>
        <v>Technology</v>
      </c>
      <c r="V823" s="6" t="s">
        <v>28</v>
      </c>
      <c r="W823" s="6" t="str">
        <f t="shared" si="104"/>
        <v>Accessories</v>
      </c>
      <c r="X823" s="6" t="s">
        <v>3875</v>
      </c>
      <c r="Y823" s="6" t="s">
        <v>35</v>
      </c>
      <c r="Z823" s="6" t="str">
        <f t="shared" si="105"/>
        <v>First Class</v>
      </c>
      <c r="AA823" s="6">
        <v>7</v>
      </c>
      <c r="AB823" s="6">
        <v>1942.49</v>
      </c>
      <c r="AC823" s="6">
        <v>0.2</v>
      </c>
      <c r="AD823" s="6">
        <v>10877.94</v>
      </c>
      <c r="AE823" s="6">
        <v>9110.14</v>
      </c>
      <c r="AF823" s="6">
        <v>1767.8</v>
      </c>
      <c r="AG823" s="6" t="s">
        <v>52</v>
      </c>
      <c r="AH823" s="6" t="str">
        <f t="shared" si="106"/>
        <v>Paid</v>
      </c>
      <c r="AI823" s="6" t="s">
        <v>134</v>
      </c>
      <c r="AJ823" s="6" t="str">
        <f t="shared" si="107"/>
        <v>Completed</v>
      </c>
      <c r="AK823" s="9" t="str">
        <f>_xlfn.TEXTJOIN("|",FALSE,A823,TEXT(B823,"mm-dd-yyyy"),TEXT(E823,"mm-dd-yyyy"),I823,J823,L823,N823,P823,R823,T823,V823,X823,Y823,AA823,AB823,AC823,AD823,AE823,AF823,AG823,AI823)</f>
        <v>ORD-2024-10822|07-03-2024|06-07-2024|CUST-4466|Aarav Sharma|Corporate|South|Karnataka|Bengaluru|Technology|Accessories|Classic Accessories 471|First Class|7|1942.49|0.2|10877.94|9110.14|1767.8|Paid|Completed</v>
      </c>
      <c r="AL823" s="27" t="str">
        <f>IF(COUNTIF($AK$2:AK823,AK823)&gt;1,"Remove exact duplicate copy","Keep")</f>
        <v>Keep</v>
      </c>
      <c r="AM823" s="9">
        <f t="shared" si="108"/>
        <v>1</v>
      </c>
      <c r="AN823" s="9" t="str">
        <f t="shared" si="109"/>
        <v>Unique</v>
      </c>
      <c r="AO823" s="9" t="str">
        <f t="shared" si="110"/>
        <v/>
      </c>
      <c r="AP823" s="9">
        <f t="shared" si="111"/>
        <v>0.2</v>
      </c>
      <c r="AQ823" s="10">
        <f t="shared" si="112"/>
        <v>10877.944000000001</v>
      </c>
      <c r="AR823" s="10">
        <f t="shared" si="113"/>
        <v>1767.8040000000019</v>
      </c>
      <c r="AS823" s="11">
        <f t="shared" si="114"/>
        <v>0.16251269541376584</v>
      </c>
      <c r="AT823" s="9">
        <f t="shared" si="115"/>
        <v>7</v>
      </c>
      <c r="AU823" s="9">
        <f t="shared" si="116"/>
        <v>2024</v>
      </c>
      <c r="AV823" s="9" t="b">
        <f t="shared" si="117"/>
        <v>0</v>
      </c>
      <c r="AW823" s="9" t="b">
        <f t="shared" si="118"/>
        <v>0</v>
      </c>
      <c r="AX823" s="9" t="str">
        <f t="shared" si="119"/>
        <v>Yes</v>
      </c>
      <c r="AY823" s="9" t="str">
        <f t="shared" si="121"/>
        <v/>
      </c>
      <c r="AZ823" s="9" t="str">
        <f>IF(OR(G823="Missing date",G823="Invalid date",G823="Ship date before order date",NOT(ISNUMBER(AP823)),AP823&lt;0,AP823&gt;0.5,AV823=TRUE,AW823=TRUE),"Invalid",IF(OR(O823="Unknown",Z823="Unknown",AC823="",AH823&lt;&gt;"Paid",AJ823&lt;&gt;"Completed",AO823&lt;&gt;""),"Warning","Clean"))</f>
        <v>Clean</v>
      </c>
    </row>
    <row r="824" spans="1:52" ht="15.75" customHeight="1">
      <c r="A824" s="6" t="s">
        <v>3876</v>
      </c>
      <c r="B824" s="7" t="s">
        <v>3877</v>
      </c>
      <c r="C824" s="7" t="str">
        <f t="shared" si="120"/>
        <v>2024-10</v>
      </c>
      <c r="D824" s="7" cm="1">
        <f t="array" ref="D824">_xlfn.LET(_xlpm.x,B824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45577</v>
      </c>
      <c r="E824" s="7" t="s">
        <v>3878</v>
      </c>
      <c r="F824" s="7" cm="1">
        <f t="array" ref="F824">_xlfn.LET(_xlpm.x,E824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45573</v>
      </c>
      <c r="G824" s="8" t="str">
        <f t="shared" si="96"/>
        <v>Ship date before order date</v>
      </c>
      <c r="H824" s="6">
        <f t="shared" si="97"/>
        <v>-4</v>
      </c>
      <c r="I824" s="6" t="s">
        <v>3879</v>
      </c>
      <c r="J824" s="6" t="s">
        <v>139</v>
      </c>
      <c r="K824" s="6" t="str">
        <f t="shared" si="98"/>
        <v>Mira Das</v>
      </c>
      <c r="L824" s="6" t="s">
        <v>45</v>
      </c>
      <c r="M824" s="8" t="str">
        <f t="shared" si="99"/>
        <v>Corporate</v>
      </c>
      <c r="N824" s="6" t="s">
        <v>8</v>
      </c>
      <c r="O824" s="6" t="str">
        <f t="shared" si="100"/>
        <v>East</v>
      </c>
      <c r="P824" s="6" t="s">
        <v>290</v>
      </c>
      <c r="Q824" s="6" t="str">
        <f t="shared" si="101"/>
        <v>Assam</v>
      </c>
      <c r="R824" s="6" t="s">
        <v>291</v>
      </c>
      <c r="S824" s="6" t="str">
        <f t="shared" si="102"/>
        <v>Guwahati</v>
      </c>
      <c r="T824" s="6" t="s">
        <v>14</v>
      </c>
      <c r="U824" s="8" t="str">
        <f t="shared" si="103"/>
        <v>Furniture</v>
      </c>
      <c r="V824" s="6" t="s">
        <v>17</v>
      </c>
      <c r="W824" s="6" t="str">
        <f t="shared" si="104"/>
        <v>Furnishings</v>
      </c>
      <c r="X824" s="6" t="s">
        <v>3880</v>
      </c>
      <c r="Y824" s="6" t="s">
        <v>36</v>
      </c>
      <c r="Z824" s="6" t="str">
        <f t="shared" si="105"/>
        <v>Second Class</v>
      </c>
      <c r="AA824" s="6">
        <v>4</v>
      </c>
      <c r="AB824" s="6">
        <v>3202.04</v>
      </c>
      <c r="AC824" s="6">
        <v>0.2</v>
      </c>
      <c r="AD824" s="6">
        <v>10246.530000000001</v>
      </c>
      <c r="AE824" s="6">
        <v>8634.42</v>
      </c>
      <c r="AF824" s="6">
        <v>1612.11</v>
      </c>
      <c r="AG824" s="6" t="s">
        <v>54</v>
      </c>
      <c r="AH824" s="6" t="str">
        <f t="shared" si="106"/>
        <v>Pending</v>
      </c>
      <c r="AI824" s="6" t="s">
        <v>59</v>
      </c>
      <c r="AJ824" s="6" t="str">
        <f t="shared" si="107"/>
        <v>Returned</v>
      </c>
      <c r="AK824" s="9" t="str">
        <f>_xlfn.TEXTJOIN("|",FALSE,A824,TEXT(B824,"mm-dd-yyyy"),TEXT(E824,"mm-dd-yyyy"),I824,J824,L824,N824,P824,R824,T824,V824,X824,Y824,AA824,AB824,AC824,AD824,AE824,AF824,AG824,AI824)</f>
        <v>ORD-2024-10823|10-12-2024|10-08-2024|CUST-3188|Mira Das|Corporate|East|Assam|Guwahati|Furniture|Furnishings|Smart Furnishings 175|Second Class|4|3202.04|0.2|10246.53|8634.42|1612.11|Pending|Returned</v>
      </c>
      <c r="AL824" s="27" t="str">
        <f>IF(COUNTIF($AK$2:AK824,AK824)&gt;1,"Remove exact duplicate copy","Keep")</f>
        <v>Keep</v>
      </c>
      <c r="AM824" s="9">
        <f t="shared" si="108"/>
        <v>1</v>
      </c>
      <c r="AN824" s="9" t="str">
        <f t="shared" si="109"/>
        <v>Unique</v>
      </c>
      <c r="AO824" s="9" t="str">
        <f t="shared" si="110"/>
        <v/>
      </c>
      <c r="AP824" s="9">
        <f t="shared" si="111"/>
        <v>0.2</v>
      </c>
      <c r="AQ824" s="10">
        <f t="shared" si="112"/>
        <v>10246.528</v>
      </c>
      <c r="AR824" s="10">
        <f t="shared" si="113"/>
        <v>1612.1080000000002</v>
      </c>
      <c r="AS824" s="11">
        <f t="shared" si="114"/>
        <v>0.15733212264681268</v>
      </c>
      <c r="AT824" s="9">
        <f t="shared" si="115"/>
        <v>10</v>
      </c>
      <c r="AU824" s="9">
        <f t="shared" si="116"/>
        <v>2024</v>
      </c>
      <c r="AV824" s="9" t="b">
        <f t="shared" si="117"/>
        <v>0</v>
      </c>
      <c r="AW824" s="9" t="b">
        <f t="shared" si="118"/>
        <v>0</v>
      </c>
      <c r="AX824" s="9" t="str">
        <f t="shared" si="119"/>
        <v>No</v>
      </c>
      <c r="AY824" s="9" t="str">
        <f t="shared" si="121"/>
        <v>Ship date before order date; Returned order excluded</v>
      </c>
      <c r="AZ824" s="9" t="str">
        <f>IF(OR(G824="Missing date",G824="Invalid date",G824="Ship date before order date",NOT(ISNUMBER(AP824)),AP824&lt;0,AP824&gt;0.5,AV824=TRUE,AW824=TRUE),"Invalid",IF(OR(O824="Unknown",Z824="Unknown",AC824="",AH824&lt;&gt;"Paid",AJ824&lt;&gt;"Completed",AO824&lt;&gt;""),"Warning","Clean"))</f>
        <v>Invalid</v>
      </c>
    </row>
    <row r="825" spans="1:52" ht="15.75" customHeight="1">
      <c r="A825" s="6" t="s">
        <v>3881</v>
      </c>
      <c r="B825" s="7" t="s">
        <v>3882</v>
      </c>
      <c r="C825" s="7" t="str">
        <f t="shared" si="120"/>
        <v>2025-01</v>
      </c>
      <c r="D825" s="7" cm="1">
        <f t="array" ref="D825">_xlfn.LET(_xlpm.x,B825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45663</v>
      </c>
      <c r="E825" s="7" t="s">
        <v>2268</v>
      </c>
      <c r="F825" s="7" cm="1">
        <f t="array" ref="F825">_xlfn.LET(_xlpm.x,E825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45669</v>
      </c>
      <c r="G825" s="8" t="str">
        <f t="shared" si="96"/>
        <v>OK</v>
      </c>
      <c r="H825" s="6">
        <f t="shared" si="97"/>
        <v>6</v>
      </c>
      <c r="I825" s="6" t="s">
        <v>3883</v>
      </c>
      <c r="J825" s="6" t="s">
        <v>139</v>
      </c>
      <c r="K825" s="6" t="str">
        <f t="shared" si="98"/>
        <v>Mira Das</v>
      </c>
      <c r="L825" s="6" t="s">
        <v>44</v>
      </c>
      <c r="M825" s="8" t="str">
        <f t="shared" si="99"/>
        <v>Home Office</v>
      </c>
      <c r="N825" s="6" t="s">
        <v>9</v>
      </c>
      <c r="O825" s="6" t="str">
        <f t="shared" si="100"/>
        <v>West</v>
      </c>
      <c r="P825" s="6" t="s">
        <v>323</v>
      </c>
      <c r="Q825" s="6" t="str">
        <f t="shared" si="101"/>
        <v>Goa</v>
      </c>
      <c r="R825" s="6" t="s">
        <v>324</v>
      </c>
      <c r="S825" s="6" t="str">
        <f t="shared" si="102"/>
        <v>Panaji</v>
      </c>
      <c r="T825" s="6" t="s">
        <v>20</v>
      </c>
      <c r="U825" s="8" t="str">
        <f t="shared" si="103"/>
        <v>Office Supplies</v>
      </c>
      <c r="V825" s="6" t="s">
        <v>24</v>
      </c>
      <c r="W825" s="6" t="str">
        <f t="shared" si="104"/>
        <v>Paper</v>
      </c>
      <c r="X825" s="6" t="s">
        <v>3884</v>
      </c>
      <c r="Y825" s="6" t="s">
        <v>37</v>
      </c>
      <c r="Z825" s="6" t="str">
        <f t="shared" si="105"/>
        <v>Same Day</v>
      </c>
      <c r="AA825" s="6">
        <v>3</v>
      </c>
      <c r="AB825" s="6">
        <v>668.33</v>
      </c>
      <c r="AC825" s="6">
        <v>0.15</v>
      </c>
      <c r="AD825" s="6">
        <v>1704.24</v>
      </c>
      <c r="AE825" s="6">
        <v>957.55</v>
      </c>
      <c r="AF825" s="6">
        <v>746.69</v>
      </c>
      <c r="AG825" s="6" t="s">
        <v>52</v>
      </c>
      <c r="AH825" s="6" t="str">
        <f t="shared" si="106"/>
        <v>Paid</v>
      </c>
      <c r="AI825" s="6" t="s">
        <v>134</v>
      </c>
      <c r="AJ825" s="6" t="str">
        <f t="shared" si="107"/>
        <v>Completed</v>
      </c>
      <c r="AK825" s="9" t="str">
        <f>_xlfn.TEXTJOIN("|",FALSE,A825,TEXT(B825,"mm-dd-yyyy"),TEXT(E825,"mm-dd-yyyy"),I825,J825,L825,N825,P825,R825,T825,V825,X825,Y825,AA825,AB825,AC825,AD825,AE825,AF825,AG825,AI825)</f>
        <v>ORD-2025-10824|01-06-2025|01-12-2025|CUST-6638|Mira Das|Home Office|West|Goa|Panaji|Office Supplies|Paper|Basic Paper 899|Same Day|3|668.33|0.15|1704.24|957.55|746.69|Paid|Completed</v>
      </c>
      <c r="AL825" s="27" t="str">
        <f>IF(COUNTIF($AK$2:AK825,AK825)&gt;1,"Remove exact duplicate copy","Keep")</f>
        <v>Keep</v>
      </c>
      <c r="AM825" s="9">
        <f t="shared" si="108"/>
        <v>1</v>
      </c>
      <c r="AN825" s="9" t="str">
        <f t="shared" si="109"/>
        <v>Unique</v>
      </c>
      <c r="AO825" s="9" t="str">
        <f t="shared" si="110"/>
        <v/>
      </c>
      <c r="AP825" s="9">
        <f t="shared" si="111"/>
        <v>0.15</v>
      </c>
      <c r="AQ825" s="10">
        <f t="shared" si="112"/>
        <v>1704.2415000000001</v>
      </c>
      <c r="AR825" s="10">
        <f t="shared" si="113"/>
        <v>746.69150000000013</v>
      </c>
      <c r="AS825" s="11">
        <f t="shared" si="114"/>
        <v>0.43813714194848563</v>
      </c>
      <c r="AT825" s="9">
        <f t="shared" si="115"/>
        <v>1</v>
      </c>
      <c r="AU825" s="9">
        <f t="shared" si="116"/>
        <v>2025</v>
      </c>
      <c r="AV825" s="9" t="b">
        <f t="shared" si="117"/>
        <v>0</v>
      </c>
      <c r="AW825" s="9" t="b">
        <f t="shared" si="118"/>
        <v>0</v>
      </c>
      <c r="AX825" s="9" t="str">
        <f t="shared" si="119"/>
        <v>Yes</v>
      </c>
      <c r="AY825" s="9" t="str">
        <f t="shared" si="121"/>
        <v/>
      </c>
      <c r="AZ825" s="9" t="str">
        <f>IF(OR(G825="Missing date",G825="Invalid date",G825="Ship date before order date",NOT(ISNUMBER(AP825)),AP825&lt;0,AP825&gt;0.5,AV825=TRUE,AW825=TRUE),"Invalid",IF(OR(O825="Unknown",Z825="Unknown",AC825="",AH825&lt;&gt;"Paid",AJ825&lt;&gt;"Completed",AO825&lt;&gt;""),"Warning","Clean"))</f>
        <v>Clean</v>
      </c>
    </row>
    <row r="826" spans="1:52" ht="15.75" customHeight="1">
      <c r="A826" s="6" t="s">
        <v>3885</v>
      </c>
      <c r="B826" s="7" t="s">
        <v>3886</v>
      </c>
      <c r="C826" s="7" t="str">
        <f t="shared" si="120"/>
        <v>2025-03</v>
      </c>
      <c r="D826" s="7" cm="1">
        <f t="array" ref="D826">_xlfn.LET(_xlpm.x,B826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45737</v>
      </c>
      <c r="E826" s="7" t="s">
        <v>2203</v>
      </c>
      <c r="F826" s="7" cm="1">
        <f t="array" ref="F826">_xlfn.LET(_xlpm.x,E826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45738</v>
      </c>
      <c r="G826" s="8" t="str">
        <f t="shared" si="96"/>
        <v>OK</v>
      </c>
      <c r="H826" s="6">
        <f t="shared" si="97"/>
        <v>1</v>
      </c>
      <c r="I826" s="6" t="s">
        <v>3887</v>
      </c>
      <c r="J826" s="6" t="s">
        <v>220</v>
      </c>
      <c r="K826" s="6" t="str">
        <f t="shared" si="98"/>
        <v>Priya Menon</v>
      </c>
      <c r="L826" s="6" t="s">
        <v>43</v>
      </c>
      <c r="M826" s="8" t="str">
        <f t="shared" si="99"/>
        <v>Consumer</v>
      </c>
      <c r="N826" s="6" t="s">
        <v>9</v>
      </c>
      <c r="O826" s="6" t="str">
        <f t="shared" si="100"/>
        <v>West</v>
      </c>
      <c r="P826" s="6" t="s">
        <v>323</v>
      </c>
      <c r="Q826" s="6" t="str">
        <f t="shared" si="101"/>
        <v>Goa</v>
      </c>
      <c r="R826" s="6" t="s">
        <v>324</v>
      </c>
      <c r="S826" s="6" t="str">
        <f t="shared" si="102"/>
        <v>Panaji</v>
      </c>
      <c r="T826" s="6" t="s">
        <v>20</v>
      </c>
      <c r="U826" s="8" t="str">
        <f t="shared" si="103"/>
        <v>Office Supplies</v>
      </c>
      <c r="V826" s="6" t="s">
        <v>24</v>
      </c>
      <c r="W826" s="6" t="str">
        <f t="shared" si="104"/>
        <v>Paper</v>
      </c>
      <c r="X826" s="6" t="s">
        <v>3888</v>
      </c>
      <c r="Y826" s="6" t="s">
        <v>35</v>
      </c>
      <c r="Z826" s="6" t="str">
        <f t="shared" si="105"/>
        <v>First Class</v>
      </c>
      <c r="AA826" s="6">
        <v>8</v>
      </c>
      <c r="AB826" s="6">
        <v>4436.74</v>
      </c>
      <c r="AC826" s="6">
        <v>0.05</v>
      </c>
      <c r="AD826" s="6">
        <v>33719.22</v>
      </c>
      <c r="AE826" s="6">
        <v>28924.43</v>
      </c>
      <c r="AF826" s="6">
        <v>4794.79</v>
      </c>
      <c r="AG826" s="6" t="s">
        <v>52</v>
      </c>
      <c r="AH826" s="6" t="str">
        <f t="shared" si="106"/>
        <v>Paid</v>
      </c>
      <c r="AI826" s="6" t="s">
        <v>134</v>
      </c>
      <c r="AJ826" s="6" t="str">
        <f t="shared" si="107"/>
        <v>Completed</v>
      </c>
      <c r="AK826" s="9" t="str">
        <f>_xlfn.TEXTJOIN("|",FALSE,A826,TEXT(B826,"mm-dd-yyyy"),TEXT(E826,"mm-dd-yyyy"),I826,J826,L826,N826,P826,R826,T826,V826,X826,Y826,AA826,AB826,AC826,AD826,AE826,AF826,AG826,AI826)</f>
        <v>ORD-2025-10825|21-03-2025|03-22-2025|CUST-3540|Priya Menon|Consumer|West|Goa|Panaji|Office Supplies|Paper|Pro Paper 267|First Class|8|4436.74|0.05|33719.22|28924.43|4794.79|Paid|Completed</v>
      </c>
      <c r="AL826" s="27" t="str">
        <f>IF(COUNTIF($AK$2:AK826,AK826)&gt;1,"Remove exact duplicate copy","Keep")</f>
        <v>Keep</v>
      </c>
      <c r="AM826" s="9">
        <f t="shared" si="108"/>
        <v>1</v>
      </c>
      <c r="AN826" s="9" t="str">
        <f t="shared" si="109"/>
        <v>Unique</v>
      </c>
      <c r="AO826" s="9" t="str">
        <f t="shared" si="110"/>
        <v/>
      </c>
      <c r="AP826" s="9">
        <f t="shared" si="111"/>
        <v>0.05</v>
      </c>
      <c r="AQ826" s="10">
        <f t="shared" si="112"/>
        <v>33719.223999999995</v>
      </c>
      <c r="AR826" s="10">
        <f t="shared" si="113"/>
        <v>4794.7939999999944</v>
      </c>
      <c r="AS826" s="11">
        <f t="shared" si="114"/>
        <v>0.14219763776295669</v>
      </c>
      <c r="AT826" s="9">
        <f t="shared" si="115"/>
        <v>3</v>
      </c>
      <c r="AU826" s="9">
        <f t="shared" si="116"/>
        <v>2025</v>
      </c>
      <c r="AV826" s="9" t="b">
        <f t="shared" si="117"/>
        <v>0</v>
      </c>
      <c r="AW826" s="9" t="b">
        <f t="shared" si="118"/>
        <v>0</v>
      </c>
      <c r="AX826" s="9" t="str">
        <f t="shared" si="119"/>
        <v>Yes</v>
      </c>
      <c r="AY826" s="9" t="str">
        <f t="shared" si="121"/>
        <v/>
      </c>
      <c r="AZ826" s="9" t="str">
        <f>IF(OR(G826="Missing date",G826="Invalid date",G826="Ship date before order date",NOT(ISNUMBER(AP826)),AP826&lt;0,AP826&gt;0.5,AV826=TRUE,AW826=TRUE),"Invalid",IF(OR(O826="Unknown",Z826="Unknown",AC826="",AH826&lt;&gt;"Paid",AJ826&lt;&gt;"Completed",AO826&lt;&gt;""),"Warning","Clean"))</f>
        <v>Clean</v>
      </c>
    </row>
    <row r="827" spans="1:52" ht="15.75" customHeight="1">
      <c r="A827" s="6" t="s">
        <v>3889</v>
      </c>
      <c r="B827" s="7" t="s">
        <v>3890</v>
      </c>
      <c r="C827" s="7" t="str">
        <f t="shared" si="120"/>
        <v>2025-04</v>
      </c>
      <c r="D827" s="7" cm="1">
        <f t="array" ref="D827">_xlfn.LET(_xlpm.x,B827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45763</v>
      </c>
      <c r="E827" s="7" t="s">
        <v>3891</v>
      </c>
      <c r="F827" s="7" cm="1">
        <f t="array" ref="F827">_xlfn.LET(_xlpm.x,E827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45764</v>
      </c>
      <c r="G827" s="8" t="str">
        <f t="shared" si="96"/>
        <v>OK</v>
      </c>
      <c r="H827" s="6">
        <f t="shared" si="97"/>
        <v>1</v>
      </c>
      <c r="I827" s="6" t="s">
        <v>3892</v>
      </c>
      <c r="J827" s="6" t="s">
        <v>169</v>
      </c>
      <c r="K827" s="6" t="str">
        <f t="shared" si="98"/>
        <v>Vikram Iyer</v>
      </c>
      <c r="L827" s="6" t="s">
        <v>46</v>
      </c>
      <c r="M827" s="8" t="str">
        <f t="shared" si="99"/>
        <v>Small Business</v>
      </c>
      <c r="N827" s="6" t="s">
        <v>7</v>
      </c>
      <c r="O827" s="6" t="str">
        <f t="shared" si="100"/>
        <v>North</v>
      </c>
      <c r="P827" s="6" t="s">
        <v>251</v>
      </c>
      <c r="Q827" s="6" t="str">
        <f t="shared" si="101"/>
        <v>Uttar Pradesh</v>
      </c>
      <c r="R827" s="6" t="s">
        <v>252</v>
      </c>
      <c r="S827" s="6" t="str">
        <f t="shared" si="102"/>
        <v>Noida</v>
      </c>
      <c r="T827" s="6" t="s">
        <v>27</v>
      </c>
      <c r="U827" s="8" t="str">
        <f t="shared" si="103"/>
        <v>Technology</v>
      </c>
      <c r="V827" s="6" t="s">
        <v>30</v>
      </c>
      <c r="W827" s="6" t="str">
        <f t="shared" si="104"/>
        <v>Machines</v>
      </c>
      <c r="X827" s="6" t="s">
        <v>3893</v>
      </c>
      <c r="Y827" s="6" t="s">
        <v>35</v>
      </c>
      <c r="Z827" s="6" t="str">
        <f t="shared" si="105"/>
        <v>First Class</v>
      </c>
      <c r="AA827" s="6">
        <v>1</v>
      </c>
      <c r="AB827" s="6">
        <v>2720.17</v>
      </c>
      <c r="AC827" s="6">
        <v>0</v>
      </c>
      <c r="AD827" s="6">
        <v>2720.17</v>
      </c>
      <c r="AE827" s="6">
        <v>1834.23</v>
      </c>
      <c r="AF827" s="6">
        <v>885.94</v>
      </c>
      <c r="AG827" s="6" t="s">
        <v>52</v>
      </c>
      <c r="AH827" s="6" t="str">
        <f t="shared" si="106"/>
        <v>Paid</v>
      </c>
      <c r="AI827" s="6" t="s">
        <v>134</v>
      </c>
      <c r="AJ827" s="6" t="str">
        <f t="shared" si="107"/>
        <v>Completed</v>
      </c>
      <c r="AK827" s="9" t="str">
        <f>_xlfn.TEXTJOIN("|",FALSE,A827,TEXT(B827,"mm-dd-yyyy"),TEXT(E827,"mm-dd-yyyy"),I827,J827,L827,N827,P827,R827,T827,V827,X827,Y827,AA827,AB827,AC827,AD827,AE827,AF827,AG827,AI827)</f>
        <v>ORD-2025-10826|04-16-2025|17-04-2025|CUST-3351|Vikram Iyer|Small Business|North|Uttar Pradesh|Noida|Technology|Machines|Basic Machines 832|First Class|1|2720.17|0|2720.17|1834.23|885.94|Paid|Completed</v>
      </c>
      <c r="AL827" s="27" t="str">
        <f>IF(COUNTIF($AK$2:AK827,AK827)&gt;1,"Remove exact duplicate copy","Keep")</f>
        <v>Keep</v>
      </c>
      <c r="AM827" s="9">
        <f t="shared" si="108"/>
        <v>1</v>
      </c>
      <c r="AN827" s="9" t="str">
        <f t="shared" si="109"/>
        <v>Unique</v>
      </c>
      <c r="AO827" s="9" t="str">
        <f t="shared" si="110"/>
        <v/>
      </c>
      <c r="AP827" s="9">
        <f t="shared" si="111"/>
        <v>0</v>
      </c>
      <c r="AQ827" s="10">
        <f t="shared" si="112"/>
        <v>2720.17</v>
      </c>
      <c r="AR827" s="10">
        <f t="shared" si="113"/>
        <v>885.94</v>
      </c>
      <c r="AS827" s="11">
        <f t="shared" si="114"/>
        <v>0.3256928794891496</v>
      </c>
      <c r="AT827" s="9">
        <f t="shared" si="115"/>
        <v>4</v>
      </c>
      <c r="AU827" s="9">
        <f t="shared" si="116"/>
        <v>2025</v>
      </c>
      <c r="AV827" s="9" t="b">
        <f t="shared" si="117"/>
        <v>0</v>
      </c>
      <c r="AW827" s="9" t="b">
        <f t="shared" si="118"/>
        <v>0</v>
      </c>
      <c r="AX827" s="9" t="str">
        <f t="shared" si="119"/>
        <v>Yes</v>
      </c>
      <c r="AY827" s="9" t="str">
        <f t="shared" si="121"/>
        <v/>
      </c>
      <c r="AZ827" s="9" t="str">
        <f>IF(OR(G827="Missing date",G827="Invalid date",G827="Ship date before order date",NOT(ISNUMBER(AP827)),AP827&lt;0,AP827&gt;0.5,AV827=TRUE,AW827=TRUE),"Invalid",IF(OR(O827="Unknown",Z827="Unknown",AC827="",AH827&lt;&gt;"Paid",AJ827&lt;&gt;"Completed",AO827&lt;&gt;""),"Warning","Clean"))</f>
        <v>Clean</v>
      </c>
    </row>
    <row r="828" spans="1:52" ht="15.75" customHeight="1">
      <c r="A828" s="6" t="s">
        <v>3894</v>
      </c>
      <c r="B828" s="7" t="s">
        <v>3199</v>
      </c>
      <c r="C828" s="7" t="str">
        <f t="shared" si="120"/>
        <v>2025-08</v>
      </c>
      <c r="D828" s="7" cm="1">
        <f t="array" ref="D828">_xlfn.LET(_xlpm.x,B828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45879</v>
      </c>
      <c r="E828" s="7" t="s">
        <v>3895</v>
      </c>
      <c r="F828" s="7" cm="1">
        <f t="array" ref="F828">_xlfn.LET(_xlpm.x,E828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45883</v>
      </c>
      <c r="G828" s="8" t="str">
        <f t="shared" si="96"/>
        <v>OK</v>
      </c>
      <c r="H828" s="6">
        <f t="shared" si="97"/>
        <v>4</v>
      </c>
      <c r="I828" s="6" t="s">
        <v>3896</v>
      </c>
      <c r="J828" s="6" t="s">
        <v>190</v>
      </c>
      <c r="K828" s="6" t="str">
        <f t="shared" si="98"/>
        <v>Aditi Sen</v>
      </c>
      <c r="L828" s="6" t="s">
        <v>43</v>
      </c>
      <c r="M828" s="8" t="str">
        <f t="shared" si="99"/>
        <v>Consumer</v>
      </c>
      <c r="N828" s="6" t="s">
        <v>9</v>
      </c>
      <c r="O828" s="6" t="str">
        <f t="shared" si="100"/>
        <v>West</v>
      </c>
      <c r="P828" s="6" t="s">
        <v>131</v>
      </c>
      <c r="Q828" s="6" t="str">
        <f t="shared" si="101"/>
        <v>Rajasthan</v>
      </c>
      <c r="R828" s="6" t="s">
        <v>214</v>
      </c>
      <c r="S828" s="6" t="str">
        <f t="shared" si="102"/>
        <v>Udaipur</v>
      </c>
      <c r="T828" s="6" t="s">
        <v>27</v>
      </c>
      <c r="U828" s="8" t="str">
        <f t="shared" si="103"/>
        <v>Technology</v>
      </c>
      <c r="V828" s="6" t="s">
        <v>28</v>
      </c>
      <c r="W828" s="6" t="str">
        <f t="shared" si="104"/>
        <v>Accessories</v>
      </c>
      <c r="X828" s="6" t="s">
        <v>3897</v>
      </c>
      <c r="Y828" s="6" t="s">
        <v>34</v>
      </c>
      <c r="Z828" s="6" t="str">
        <f t="shared" si="105"/>
        <v>Standard Class</v>
      </c>
      <c r="AA828" s="6">
        <v>5</v>
      </c>
      <c r="AB828" s="6">
        <v>2190.14</v>
      </c>
      <c r="AC828" s="6">
        <v>0.25</v>
      </c>
      <c r="AD828" s="6">
        <v>8213.02</v>
      </c>
      <c r="AE828" s="6">
        <v>5569.3</v>
      </c>
      <c r="AF828" s="6">
        <v>2643.72</v>
      </c>
      <c r="AG828" s="6" t="s">
        <v>52</v>
      </c>
      <c r="AH828" s="6" t="str">
        <f t="shared" si="106"/>
        <v>Paid</v>
      </c>
      <c r="AI828" s="6" t="s">
        <v>134</v>
      </c>
      <c r="AJ828" s="6" t="str">
        <f t="shared" si="107"/>
        <v>Completed</v>
      </c>
      <c r="AK828" s="9" t="str">
        <f>_xlfn.TEXTJOIN("|",FALSE,A828,TEXT(B828,"mm-dd-yyyy"),TEXT(E828,"mm-dd-yyyy"),I828,J828,L828,N828,P828,R828,T828,V828,X828,Y828,AA828,AB828,AC828,AD828,AE828,AF828,AG828,AI828)</f>
        <v>ORD-2025-10827|08-10-2025|08-14-2025|CUST-4375|Aditi Sen|Consumer|West|Rajasthan|Udaipur|Technology|Accessories|Elite Accessories 790|Standard Class|5|2190.14|0.25|8213.02|5569.3|2643.72|Paid|Completed</v>
      </c>
      <c r="AL828" s="27" t="str">
        <f>IF(COUNTIF($AK$2:AK828,AK828)&gt;1,"Remove exact duplicate copy","Keep")</f>
        <v>Keep</v>
      </c>
      <c r="AM828" s="9">
        <f t="shared" si="108"/>
        <v>1</v>
      </c>
      <c r="AN828" s="9" t="str">
        <f t="shared" si="109"/>
        <v>Unique</v>
      </c>
      <c r="AO828" s="9" t="str">
        <f t="shared" si="110"/>
        <v/>
      </c>
      <c r="AP828" s="9">
        <f t="shared" si="111"/>
        <v>0.25</v>
      </c>
      <c r="AQ828" s="10">
        <f t="shared" si="112"/>
        <v>8213.0249999999996</v>
      </c>
      <c r="AR828" s="10">
        <f t="shared" si="113"/>
        <v>2643.7249999999995</v>
      </c>
      <c r="AS828" s="11">
        <f t="shared" si="114"/>
        <v>0.32189418636860345</v>
      </c>
      <c r="AT828" s="9">
        <f t="shared" si="115"/>
        <v>8</v>
      </c>
      <c r="AU828" s="9">
        <f t="shared" si="116"/>
        <v>2025</v>
      </c>
      <c r="AV828" s="9" t="b">
        <f t="shared" si="117"/>
        <v>0</v>
      </c>
      <c r="AW828" s="9" t="b">
        <f t="shared" si="118"/>
        <v>0</v>
      </c>
      <c r="AX828" s="9" t="str">
        <f t="shared" si="119"/>
        <v>Yes</v>
      </c>
      <c r="AY828" s="9" t="str">
        <f t="shared" si="121"/>
        <v/>
      </c>
      <c r="AZ828" s="9" t="str">
        <f>IF(OR(G828="Missing date",G828="Invalid date",G828="Ship date before order date",NOT(ISNUMBER(AP828)),AP828&lt;0,AP828&gt;0.5,AV828=TRUE,AW828=TRUE),"Invalid",IF(OR(O828="Unknown",Z828="Unknown",AC828="",AH828&lt;&gt;"Paid",AJ828&lt;&gt;"Completed",AO828&lt;&gt;""),"Warning","Clean"))</f>
        <v>Clean</v>
      </c>
    </row>
    <row r="829" spans="1:52" ht="15.75" customHeight="1">
      <c r="A829" s="6" t="s">
        <v>3898</v>
      </c>
      <c r="B829" s="7" t="s">
        <v>3899</v>
      </c>
      <c r="C829" s="7" t="str">
        <f t="shared" si="120"/>
        <v>2024-11</v>
      </c>
      <c r="D829" s="7" cm="1">
        <f t="array" ref="D829">_xlfn.LET(_xlpm.x,B829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45620</v>
      </c>
      <c r="E829" s="7" t="s">
        <v>1837</v>
      </c>
      <c r="F829" s="7" cm="1">
        <f t="array" ref="F829">_xlfn.LET(_xlpm.x,E829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45627</v>
      </c>
      <c r="G829" s="8" t="str">
        <f t="shared" si="96"/>
        <v>OK</v>
      </c>
      <c r="H829" s="6">
        <f t="shared" si="97"/>
        <v>7</v>
      </c>
      <c r="I829" s="6" t="s">
        <v>3900</v>
      </c>
      <c r="J829" s="6" t="s">
        <v>220</v>
      </c>
      <c r="K829" s="6" t="str">
        <f t="shared" si="98"/>
        <v>Priya Menon</v>
      </c>
      <c r="L829" s="6" t="s">
        <v>44</v>
      </c>
      <c r="M829" s="8" t="str">
        <f t="shared" si="99"/>
        <v>Home Office</v>
      </c>
      <c r="N829" s="6" t="s">
        <v>10</v>
      </c>
      <c r="O829" s="6" t="str">
        <f t="shared" si="100"/>
        <v>South</v>
      </c>
      <c r="P829" s="6" t="s">
        <v>413</v>
      </c>
      <c r="Q829" s="6" t="str">
        <f t="shared" si="101"/>
        <v>Tamil Nadu</v>
      </c>
      <c r="R829" s="6" t="s">
        <v>414</v>
      </c>
      <c r="S829" s="6" t="str">
        <f t="shared" si="102"/>
        <v>Chennai</v>
      </c>
      <c r="T829" s="6" t="s">
        <v>20</v>
      </c>
      <c r="U829" s="8" t="str">
        <f t="shared" si="103"/>
        <v>Office Supplies</v>
      </c>
      <c r="V829" s="6" t="s">
        <v>24</v>
      </c>
      <c r="W829" s="6" t="str">
        <f t="shared" si="104"/>
        <v>Paper</v>
      </c>
      <c r="X829" s="6" t="s">
        <v>3901</v>
      </c>
      <c r="Y829" s="6" t="s">
        <v>37</v>
      </c>
      <c r="Z829" s="6" t="str">
        <f t="shared" si="105"/>
        <v>Same Day</v>
      </c>
      <c r="AA829" s="6">
        <v>1</v>
      </c>
      <c r="AB829" s="6">
        <v>844.89</v>
      </c>
      <c r="AC829" s="6">
        <v>0.25</v>
      </c>
      <c r="AD829" s="6">
        <v>633.66999999999996</v>
      </c>
      <c r="AE829" s="6">
        <v>520.47</v>
      </c>
      <c r="AF829" s="6">
        <v>113.2</v>
      </c>
      <c r="AG829" s="6" t="s">
        <v>52</v>
      </c>
      <c r="AH829" s="6" t="str">
        <f t="shared" si="106"/>
        <v>Paid</v>
      </c>
      <c r="AI829" s="6" t="s">
        <v>58</v>
      </c>
      <c r="AJ829" s="6" t="str">
        <f t="shared" si="107"/>
        <v>Cancelled</v>
      </c>
      <c r="AK829" s="9" t="str">
        <f>_xlfn.TEXTJOIN("|",FALSE,A829,TEXT(B829,"mm-dd-yyyy"),TEXT(E829,"mm-dd-yyyy"),I829,J829,L829,N829,P829,R829,T829,V829,X829,Y829,AA829,AB829,AC829,AD829,AE829,AF829,AG829,AI829)</f>
        <v>ORD-2024-10828|11-24-2024|01-12-2024|CUST-5125|Priya Menon|Home Office|South|Tamil Nadu|Chennai|Office Supplies|Paper|Basic Paper 707|Same Day|1|844.89|0.25|633.67|520.47|113.2|Paid|Cancelled</v>
      </c>
      <c r="AL829" s="27" t="str">
        <f>IF(COUNTIF($AK$2:AK829,AK829)&gt;1,"Remove exact duplicate copy","Keep")</f>
        <v>Keep</v>
      </c>
      <c r="AM829" s="9">
        <f t="shared" si="108"/>
        <v>1</v>
      </c>
      <c r="AN829" s="9" t="str">
        <f t="shared" si="109"/>
        <v>Unique</v>
      </c>
      <c r="AO829" s="9" t="str">
        <f t="shared" si="110"/>
        <v/>
      </c>
      <c r="AP829" s="9">
        <f t="shared" si="111"/>
        <v>0.25</v>
      </c>
      <c r="AQ829" s="10">
        <f t="shared" si="112"/>
        <v>633.66750000000002</v>
      </c>
      <c r="AR829" s="10">
        <f t="shared" si="113"/>
        <v>113.19749999999999</v>
      </c>
      <c r="AS829" s="11">
        <f t="shared" si="114"/>
        <v>0.17863863934950111</v>
      </c>
      <c r="AT829" s="9">
        <f t="shared" si="115"/>
        <v>11</v>
      </c>
      <c r="AU829" s="9">
        <f t="shared" si="116"/>
        <v>2024</v>
      </c>
      <c r="AV829" s="9" t="b">
        <f t="shared" si="117"/>
        <v>0</v>
      </c>
      <c r="AW829" s="9" t="b">
        <f t="shared" si="118"/>
        <v>0</v>
      </c>
      <c r="AX829" s="9" t="str">
        <f t="shared" si="119"/>
        <v>No</v>
      </c>
      <c r="AY829" s="9" t="str">
        <f t="shared" si="121"/>
        <v>Cancelled order excluded</v>
      </c>
      <c r="AZ829" s="9" t="str">
        <f>IF(OR(G829="Missing date",G829="Invalid date",G829="Ship date before order date",NOT(ISNUMBER(AP829)),AP829&lt;0,AP829&gt;0.5,AV829=TRUE,AW829=TRUE),"Invalid",IF(OR(O829="Unknown",Z829="Unknown",AC829="",AH829&lt;&gt;"Paid",AJ829&lt;&gt;"Completed",AO829&lt;&gt;""),"Warning","Clean"))</f>
        <v>Warning</v>
      </c>
    </row>
    <row r="830" spans="1:52" ht="15.75" customHeight="1">
      <c r="A830" s="6" t="s">
        <v>3902</v>
      </c>
      <c r="B830" s="7" t="s">
        <v>3903</v>
      </c>
      <c r="C830" s="7" t="str">
        <f t="shared" si="120"/>
        <v>2025-10</v>
      </c>
      <c r="D830" s="7" cm="1">
        <f t="array" ref="D830">_xlfn.LET(_xlpm.x,B830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45940</v>
      </c>
      <c r="E830" s="7" t="s">
        <v>3904</v>
      </c>
      <c r="F830" s="7" cm="1">
        <f t="array" ref="F830">_xlfn.LET(_xlpm.x,E830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45941</v>
      </c>
      <c r="G830" s="8" t="str">
        <f t="shared" si="96"/>
        <v>OK</v>
      </c>
      <c r="H830" s="6">
        <f t="shared" si="97"/>
        <v>1</v>
      </c>
      <c r="I830" s="6" t="s">
        <v>3905</v>
      </c>
      <c r="J830" s="6" t="s">
        <v>3906</v>
      </c>
      <c r="K830" s="6" t="str">
        <f t="shared" si="98"/>
        <v>Karan Malhotra</v>
      </c>
      <c r="L830" s="6" t="s">
        <v>45</v>
      </c>
      <c r="M830" s="8" t="str">
        <f t="shared" si="99"/>
        <v>Corporate</v>
      </c>
      <c r="N830" s="6" t="s">
        <v>8</v>
      </c>
      <c r="O830" s="6" t="str">
        <f t="shared" si="100"/>
        <v>East</v>
      </c>
      <c r="P830" s="6" t="s">
        <v>140</v>
      </c>
      <c r="Q830" s="6" t="str">
        <f t="shared" si="101"/>
        <v>Odisha</v>
      </c>
      <c r="R830" s="6" t="s">
        <v>141</v>
      </c>
      <c r="S830" s="6" t="str">
        <f t="shared" si="102"/>
        <v>Bhubaneswar</v>
      </c>
      <c r="T830" s="6" t="s">
        <v>14</v>
      </c>
      <c r="U830" s="8" t="str">
        <f t="shared" si="103"/>
        <v>Furniture</v>
      </c>
      <c r="V830" s="6" t="s">
        <v>16</v>
      </c>
      <c r="W830" s="6" t="str">
        <f t="shared" si="104"/>
        <v>Chairs</v>
      </c>
      <c r="X830" s="6" t="s">
        <v>3907</v>
      </c>
      <c r="Y830" s="6" t="s">
        <v>36</v>
      </c>
      <c r="Z830" s="6" t="str">
        <f t="shared" si="105"/>
        <v>Second Class</v>
      </c>
      <c r="AA830" s="6">
        <v>7</v>
      </c>
      <c r="AB830" s="6">
        <v>3791.96</v>
      </c>
      <c r="AC830" s="6">
        <v>0.05</v>
      </c>
      <c r="AD830" s="6">
        <v>25216.53</v>
      </c>
      <c r="AE830" s="6">
        <v>14216.94</v>
      </c>
      <c r="AF830" s="6">
        <v>10999.59</v>
      </c>
      <c r="AG830" s="6" t="s">
        <v>50</v>
      </c>
      <c r="AH830" s="6" t="str">
        <f t="shared" si="106"/>
        <v>Failed</v>
      </c>
      <c r="AI830" s="6" t="s">
        <v>58</v>
      </c>
      <c r="AJ830" s="6" t="str">
        <f t="shared" si="107"/>
        <v>Cancelled</v>
      </c>
      <c r="AK830" s="9" t="str">
        <f>_xlfn.TEXTJOIN("|",FALSE,A830,TEXT(B830,"mm-dd-yyyy"),TEXT(E830,"mm-dd-yyyy"),I830,J830,L830,N830,P830,R830,T830,V830,X830,Y830,AA830,AB830,AC830,AD830,AE830,AF830,AG830,AI830)</f>
        <v>ORD-2025-10829|10-10-2025|11-10-2025|CUST-6010|Karan Malhotra |Corporate|East|Odisha|Bhubaneswar|Furniture|Chairs|Elite Chairs 979|Second Class|7|3791.96|0.05|25216.53|14216.94|10999.59|Failed|Cancelled</v>
      </c>
      <c r="AL830" s="27" t="str">
        <f>IF(COUNTIF($AK$2:AK830,AK830)&gt;1,"Remove exact duplicate copy","Keep")</f>
        <v>Keep</v>
      </c>
      <c r="AM830" s="9">
        <f t="shared" si="108"/>
        <v>1</v>
      </c>
      <c r="AN830" s="9" t="str">
        <f t="shared" si="109"/>
        <v>Unique</v>
      </c>
      <c r="AO830" s="9" t="str">
        <f t="shared" si="110"/>
        <v/>
      </c>
      <c r="AP830" s="9">
        <f t="shared" si="111"/>
        <v>0.05</v>
      </c>
      <c r="AQ830" s="10">
        <f t="shared" si="112"/>
        <v>25216.534</v>
      </c>
      <c r="AR830" s="10">
        <f t="shared" si="113"/>
        <v>10999.593999999999</v>
      </c>
      <c r="AS830" s="11">
        <f t="shared" si="114"/>
        <v>0.4362056260388521</v>
      </c>
      <c r="AT830" s="9">
        <f t="shared" si="115"/>
        <v>10</v>
      </c>
      <c r="AU830" s="9">
        <f t="shared" si="116"/>
        <v>2025</v>
      </c>
      <c r="AV830" s="9" t="b">
        <f t="shared" si="117"/>
        <v>0</v>
      </c>
      <c r="AW830" s="9" t="b">
        <f t="shared" si="118"/>
        <v>0</v>
      </c>
      <c r="AX830" s="9" t="str">
        <f t="shared" si="119"/>
        <v>No</v>
      </c>
      <c r="AY830" s="9" t="str">
        <f t="shared" si="121"/>
        <v>Failed payment excluded; Cancelled order excluded</v>
      </c>
      <c r="AZ830" s="9" t="str">
        <f>IF(OR(G830="Missing date",G830="Invalid date",G830="Ship date before order date",NOT(ISNUMBER(AP830)),AP830&lt;0,AP830&gt;0.5,AV830=TRUE,AW830=TRUE),"Invalid",IF(OR(O830="Unknown",Z830="Unknown",AC830="",AH830&lt;&gt;"Paid",AJ830&lt;&gt;"Completed",AO830&lt;&gt;""),"Warning","Clean"))</f>
        <v>Warning</v>
      </c>
    </row>
    <row r="831" spans="1:52" ht="15.75" customHeight="1">
      <c r="A831" s="6" t="s">
        <v>3908</v>
      </c>
      <c r="B831" s="7" t="s">
        <v>3909</v>
      </c>
      <c r="C831" s="7" t="str">
        <f t="shared" si="120"/>
        <v>2024-02</v>
      </c>
      <c r="D831" s="7" cm="1">
        <f t="array" ref="D831">_xlfn.LET(_xlpm.x,B831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45348</v>
      </c>
      <c r="E831" s="7" t="s">
        <v>1561</v>
      </c>
      <c r="F831" s="7" cm="1">
        <f t="array" ref="F831">_xlfn.LET(_xlpm.x,E831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45350</v>
      </c>
      <c r="G831" s="8" t="str">
        <f t="shared" si="96"/>
        <v>OK</v>
      </c>
      <c r="H831" s="6">
        <f t="shared" si="97"/>
        <v>2</v>
      </c>
      <c r="I831" s="6" t="s">
        <v>3910</v>
      </c>
      <c r="J831" s="6" t="s">
        <v>190</v>
      </c>
      <c r="K831" s="6" t="str">
        <f t="shared" si="98"/>
        <v>Aditi Sen</v>
      </c>
      <c r="L831" s="6" t="s">
        <v>46</v>
      </c>
      <c r="M831" s="8" t="str">
        <f t="shared" si="99"/>
        <v>Small Business</v>
      </c>
      <c r="N831" s="6" t="s">
        <v>9</v>
      </c>
      <c r="O831" s="6" t="str">
        <f t="shared" si="100"/>
        <v>West</v>
      </c>
      <c r="P831" s="6" t="s">
        <v>323</v>
      </c>
      <c r="Q831" s="6" t="str">
        <f t="shared" si="101"/>
        <v>Goa</v>
      </c>
      <c r="R831" s="6" t="s">
        <v>324</v>
      </c>
      <c r="S831" s="6" t="str">
        <f t="shared" si="102"/>
        <v>Panaji</v>
      </c>
      <c r="T831" s="6" t="s">
        <v>14</v>
      </c>
      <c r="U831" s="8" t="str">
        <f t="shared" si="103"/>
        <v>Furniture</v>
      </c>
      <c r="V831" s="6" t="s">
        <v>17</v>
      </c>
      <c r="W831" s="6" t="str">
        <f t="shared" si="104"/>
        <v>Furnishings</v>
      </c>
      <c r="X831" s="6" t="s">
        <v>3911</v>
      </c>
      <c r="Y831" s="6" t="s">
        <v>36</v>
      </c>
      <c r="Z831" s="6" t="str">
        <f t="shared" si="105"/>
        <v>Second Class</v>
      </c>
      <c r="AA831" s="6">
        <v>7</v>
      </c>
      <c r="AB831" s="6">
        <v>1035.1400000000001</v>
      </c>
      <c r="AC831" s="6">
        <v>0.1</v>
      </c>
      <c r="AD831" s="6">
        <v>6521.38</v>
      </c>
      <c r="AE831" s="6">
        <v>4511.1000000000004</v>
      </c>
      <c r="AF831" s="6">
        <v>2010.28</v>
      </c>
      <c r="AG831" s="6" t="s">
        <v>52</v>
      </c>
      <c r="AH831" s="6" t="str">
        <f t="shared" si="106"/>
        <v>Paid</v>
      </c>
      <c r="AI831" s="6" t="s">
        <v>134</v>
      </c>
      <c r="AJ831" s="6" t="str">
        <f t="shared" si="107"/>
        <v>Completed</v>
      </c>
      <c r="AK831" s="9" t="str">
        <f>_xlfn.TEXTJOIN("|",FALSE,A831,TEXT(B831,"mm-dd-yyyy"),TEXT(E831,"mm-dd-yyyy"),I831,J831,L831,N831,P831,R831,T831,V831,X831,Y831,AA831,AB831,AC831,AD831,AE831,AF831,AG831,AI831)</f>
        <v>ORD-2024-10830|02-26-2024|28-02-2024|CUST-9036|Aditi Sen|Small Business|West|Goa|Panaji|Furniture|Furnishings|Pro Furnishings 192|Second Class|7|1035.14|0.1|6521.38|4511.1|2010.28|Paid|Completed</v>
      </c>
      <c r="AL831" s="27" t="str">
        <f>IF(COUNTIF($AK$2:AK831,AK831)&gt;1,"Remove exact duplicate copy","Keep")</f>
        <v>Keep</v>
      </c>
      <c r="AM831" s="9">
        <f t="shared" si="108"/>
        <v>1</v>
      </c>
      <c r="AN831" s="9" t="str">
        <f t="shared" si="109"/>
        <v>Unique</v>
      </c>
      <c r="AO831" s="9" t="str">
        <f t="shared" si="110"/>
        <v/>
      </c>
      <c r="AP831" s="9">
        <f t="shared" si="111"/>
        <v>0.1</v>
      </c>
      <c r="AQ831" s="10">
        <f t="shared" si="112"/>
        <v>6521.3820000000005</v>
      </c>
      <c r="AR831" s="10">
        <f t="shared" si="113"/>
        <v>2010.2820000000002</v>
      </c>
      <c r="AS831" s="11">
        <f t="shared" si="114"/>
        <v>0.30826012032418892</v>
      </c>
      <c r="AT831" s="9">
        <f t="shared" si="115"/>
        <v>2</v>
      </c>
      <c r="AU831" s="9">
        <f t="shared" si="116"/>
        <v>2024</v>
      </c>
      <c r="AV831" s="9" t="b">
        <f t="shared" si="117"/>
        <v>0</v>
      </c>
      <c r="AW831" s="9" t="b">
        <f t="shared" si="118"/>
        <v>0</v>
      </c>
      <c r="AX831" s="9" t="str">
        <f t="shared" si="119"/>
        <v>Yes</v>
      </c>
      <c r="AY831" s="9" t="str">
        <f t="shared" si="121"/>
        <v/>
      </c>
      <c r="AZ831" s="9" t="str">
        <f>IF(OR(G831="Missing date",G831="Invalid date",G831="Ship date before order date",NOT(ISNUMBER(AP831)),AP831&lt;0,AP831&gt;0.5,AV831=TRUE,AW831=TRUE),"Invalid",IF(OR(O831="Unknown",Z831="Unknown",AC831="",AH831&lt;&gt;"Paid",AJ831&lt;&gt;"Completed",AO831&lt;&gt;""),"Warning","Clean"))</f>
        <v>Clean</v>
      </c>
    </row>
    <row r="832" spans="1:52" ht="15.75" customHeight="1">
      <c r="A832" s="6" t="s">
        <v>3912</v>
      </c>
      <c r="B832" s="7" t="s">
        <v>3003</v>
      </c>
      <c r="C832" s="7" t="str">
        <f t="shared" si="120"/>
        <v>2025-07</v>
      </c>
      <c r="D832" s="7" cm="1">
        <f t="array" ref="D832">_xlfn.LET(_xlpm.x,B832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45853</v>
      </c>
      <c r="E832" s="7" t="s">
        <v>802</v>
      </c>
      <c r="F832" s="7" cm="1">
        <f t="array" ref="F832">_xlfn.LET(_xlpm.x,E832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45856</v>
      </c>
      <c r="G832" s="8" t="str">
        <f t="shared" si="96"/>
        <v>OK</v>
      </c>
      <c r="H832" s="6">
        <f t="shared" si="97"/>
        <v>3</v>
      </c>
      <c r="I832" s="6" t="s">
        <v>3913</v>
      </c>
      <c r="J832" s="6" t="s">
        <v>190</v>
      </c>
      <c r="K832" s="6" t="str">
        <f t="shared" si="98"/>
        <v>Aditi Sen</v>
      </c>
      <c r="L832" s="6" t="s">
        <v>46</v>
      </c>
      <c r="M832" s="8" t="str">
        <f t="shared" si="99"/>
        <v>Small Business</v>
      </c>
      <c r="N832" s="6"/>
      <c r="O832" s="6" t="str">
        <f t="shared" si="100"/>
        <v>Unknown</v>
      </c>
      <c r="P832" s="6" t="s">
        <v>413</v>
      </c>
      <c r="Q832" s="6" t="str">
        <f t="shared" si="101"/>
        <v>Tamil Nadu</v>
      </c>
      <c r="R832" s="6" t="s">
        <v>414</v>
      </c>
      <c r="S832" s="6" t="str">
        <f t="shared" si="102"/>
        <v>Chennai</v>
      </c>
      <c r="T832" s="6" t="s">
        <v>27</v>
      </c>
      <c r="U832" s="8" t="str">
        <f t="shared" si="103"/>
        <v>Technology</v>
      </c>
      <c r="V832" s="6" t="s">
        <v>30</v>
      </c>
      <c r="W832" s="6" t="str">
        <f t="shared" si="104"/>
        <v>Machines</v>
      </c>
      <c r="X832" s="6" t="s">
        <v>3914</v>
      </c>
      <c r="Y832" s="6" t="s">
        <v>35</v>
      </c>
      <c r="Z832" s="6" t="str">
        <f t="shared" si="105"/>
        <v>First Class</v>
      </c>
      <c r="AA832" s="6">
        <v>6</v>
      </c>
      <c r="AB832" s="6">
        <v>2382.88</v>
      </c>
      <c r="AC832" s="6">
        <v>0.1</v>
      </c>
      <c r="AD832" s="6">
        <v>12867.55</v>
      </c>
      <c r="AE832" s="6">
        <v>10068.94</v>
      </c>
      <c r="AF832" s="6">
        <v>2798.61</v>
      </c>
      <c r="AG832" s="6" t="s">
        <v>52</v>
      </c>
      <c r="AH832" s="6" t="str">
        <f t="shared" si="106"/>
        <v>Paid</v>
      </c>
      <c r="AI832" s="6" t="s">
        <v>134</v>
      </c>
      <c r="AJ832" s="6" t="str">
        <f t="shared" si="107"/>
        <v>Completed</v>
      </c>
      <c r="AK832" s="9" t="str">
        <f>_xlfn.TEXTJOIN("|",FALSE,A832,TEXT(B832,"mm-dd-yyyy"),TEXT(E832,"mm-dd-yyyy"),I832,J832,L832,N832,P832,R832,T832,V832,X832,Y832,AA832,AB832,AC832,AD832,AE832,AF832,AG832,AI832)</f>
        <v>ORD-2025-10831|07-15-2025|18-07-2025|CUST-7929|Aditi Sen|Small Business||Tamil Nadu|Chennai|Technology|Machines|Smart Machines 951|First Class|6|2382.88|0.1|12867.55|10068.94|2798.61|Paid|Completed</v>
      </c>
      <c r="AL832" s="27" t="str">
        <f>IF(COUNTIF($AK$2:AK832,AK832)&gt;1,"Remove exact duplicate copy","Keep")</f>
        <v>Keep</v>
      </c>
      <c r="AM832" s="9">
        <f t="shared" si="108"/>
        <v>1</v>
      </c>
      <c r="AN832" s="9" t="str">
        <f t="shared" si="109"/>
        <v>Unique</v>
      </c>
      <c r="AO832" s="9" t="str">
        <f t="shared" si="110"/>
        <v/>
      </c>
      <c r="AP832" s="9">
        <f t="shared" si="111"/>
        <v>0.1</v>
      </c>
      <c r="AQ832" s="10">
        <f t="shared" si="112"/>
        <v>12867.552000000001</v>
      </c>
      <c r="AR832" s="10">
        <f t="shared" si="113"/>
        <v>2798.612000000001</v>
      </c>
      <c r="AS832" s="11">
        <f t="shared" si="114"/>
        <v>0.21749373929089236</v>
      </c>
      <c r="AT832" s="9">
        <f t="shared" si="115"/>
        <v>7</v>
      </c>
      <c r="AU832" s="9">
        <f t="shared" si="116"/>
        <v>2025</v>
      </c>
      <c r="AV832" s="9" t="b">
        <f t="shared" si="117"/>
        <v>0</v>
      </c>
      <c r="AW832" s="9" t="b">
        <f t="shared" si="118"/>
        <v>0</v>
      </c>
      <c r="AX832" s="9" t="str">
        <f t="shared" si="119"/>
        <v>Yes</v>
      </c>
      <c r="AY832" s="9" t="str">
        <f t="shared" si="121"/>
        <v>Missing region filled as Unknown</v>
      </c>
      <c r="AZ832" s="9" t="str">
        <f>IF(OR(G832="Missing date",G832="Invalid date",G832="Ship date before order date",NOT(ISNUMBER(AP832)),AP832&lt;0,AP832&gt;0.5,AV832=TRUE,AW832=TRUE),"Invalid",IF(OR(O832="Unknown",Z832="Unknown",AC832="",AH832&lt;&gt;"Paid",AJ832&lt;&gt;"Completed",AO832&lt;&gt;""),"Warning","Clean"))</f>
        <v>Warning</v>
      </c>
    </row>
    <row r="833" spans="1:52" ht="15.75" customHeight="1">
      <c r="A833" s="6" t="s">
        <v>3915</v>
      </c>
      <c r="B833" s="7" t="s">
        <v>545</v>
      </c>
      <c r="C833" s="7" t="str">
        <f t="shared" si="120"/>
        <v>2025-04</v>
      </c>
      <c r="D833" s="7" cm="1">
        <f t="array" ref="D833">_xlfn.LET(_xlpm.x,B833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45750</v>
      </c>
      <c r="E833" s="7" t="s">
        <v>3352</v>
      </c>
      <c r="F833" s="7" cm="1">
        <f t="array" ref="F833">_xlfn.LET(_xlpm.x,E833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45750</v>
      </c>
      <c r="G833" s="8" t="str">
        <f t="shared" si="96"/>
        <v>OK</v>
      </c>
      <c r="H833" s="6">
        <f t="shared" si="97"/>
        <v>0</v>
      </c>
      <c r="I833" s="6" t="s">
        <v>3916</v>
      </c>
      <c r="J833" s="6" t="s">
        <v>284</v>
      </c>
      <c r="K833" s="6" t="str">
        <f t="shared" si="98"/>
        <v>Diya Patel</v>
      </c>
      <c r="L833" s="6" t="s">
        <v>44</v>
      </c>
      <c r="M833" s="8" t="str">
        <f t="shared" si="99"/>
        <v>Home Office</v>
      </c>
      <c r="N833" s="6"/>
      <c r="O833" s="6" t="str">
        <f t="shared" si="100"/>
        <v>Unknown</v>
      </c>
      <c r="P833" s="6" t="s">
        <v>397</v>
      </c>
      <c r="Q833" s="6" t="str">
        <f t="shared" si="101"/>
        <v>Haryana</v>
      </c>
      <c r="R833" s="6" t="s">
        <v>398</v>
      </c>
      <c r="S833" s="6" t="str">
        <f t="shared" si="102"/>
        <v>Gurugram</v>
      </c>
      <c r="T833" s="6" t="s">
        <v>14</v>
      </c>
      <c r="U833" s="8" t="str">
        <f t="shared" si="103"/>
        <v>Furniture</v>
      </c>
      <c r="V833" s="6" t="s">
        <v>16</v>
      </c>
      <c r="W833" s="6" t="str">
        <f t="shared" si="104"/>
        <v>Chairs</v>
      </c>
      <c r="X833" s="6" t="s">
        <v>3917</v>
      </c>
      <c r="Y833" s="6" t="s">
        <v>35</v>
      </c>
      <c r="Z833" s="6" t="str">
        <f t="shared" si="105"/>
        <v>First Class</v>
      </c>
      <c r="AA833" s="6">
        <v>9</v>
      </c>
      <c r="AB833" s="6">
        <v>3462.7</v>
      </c>
      <c r="AC833" s="6">
        <v>0.15</v>
      </c>
      <c r="AD833" s="6">
        <v>26489.65</v>
      </c>
      <c r="AE833" s="6">
        <v>15818.46</v>
      </c>
      <c r="AF833" s="6">
        <v>10671.19</v>
      </c>
      <c r="AG833" s="6" t="s">
        <v>50</v>
      </c>
      <c r="AH833" s="6" t="str">
        <f t="shared" si="106"/>
        <v>Failed</v>
      </c>
      <c r="AI833" s="6" t="s">
        <v>59</v>
      </c>
      <c r="AJ833" s="6" t="str">
        <f t="shared" si="107"/>
        <v>Returned</v>
      </c>
      <c r="AK833" s="9" t="str">
        <f>_xlfn.TEXTJOIN("|",FALSE,A833,TEXT(B833,"mm-dd-yyyy"),TEXT(E833,"mm-dd-yyyy"),I833,J833,L833,N833,P833,R833,T833,V833,X833,Y833,AA833,AB833,AC833,AD833,AE833,AF833,AG833,AI833)</f>
        <v>ORD-2025-10832|04-03-2025|03-04-2025|CUST-1106|Diya Patel|Home Office||Haryana|Gurugram|Furniture|Chairs|Smart Chairs 794|First Class|9|3462.7|0.15|26489.65|15818.46|10671.19|Failed|Returned</v>
      </c>
      <c r="AL833" s="27" t="str">
        <f>IF(COUNTIF($AK$2:AK833,AK833)&gt;1,"Remove exact duplicate copy","Keep")</f>
        <v>Keep</v>
      </c>
      <c r="AM833" s="9">
        <f t="shared" si="108"/>
        <v>1</v>
      </c>
      <c r="AN833" s="9" t="str">
        <f t="shared" si="109"/>
        <v>Unique</v>
      </c>
      <c r="AO833" s="9" t="str">
        <f t="shared" si="110"/>
        <v/>
      </c>
      <c r="AP833" s="9">
        <f t="shared" si="111"/>
        <v>0.15</v>
      </c>
      <c r="AQ833" s="10">
        <f t="shared" si="112"/>
        <v>26489.654999999999</v>
      </c>
      <c r="AR833" s="10">
        <f t="shared" si="113"/>
        <v>10671.195</v>
      </c>
      <c r="AS833" s="11">
        <f t="shared" si="114"/>
        <v>0.40284386489744772</v>
      </c>
      <c r="AT833" s="9">
        <f t="shared" si="115"/>
        <v>4</v>
      </c>
      <c r="AU833" s="9">
        <f t="shared" si="116"/>
        <v>2025</v>
      </c>
      <c r="AV833" s="9" t="b">
        <f t="shared" si="117"/>
        <v>0</v>
      </c>
      <c r="AW833" s="9" t="b">
        <f t="shared" si="118"/>
        <v>0</v>
      </c>
      <c r="AX833" s="9" t="str">
        <f t="shared" si="119"/>
        <v>No</v>
      </c>
      <c r="AY833" s="9" t="str">
        <f t="shared" si="121"/>
        <v>Missing region filled as Unknown; Failed payment excluded; Returned order excluded</v>
      </c>
      <c r="AZ833" s="9" t="str">
        <f>IF(OR(G833="Missing date",G833="Invalid date",G833="Ship date before order date",NOT(ISNUMBER(AP833)),AP833&lt;0,AP833&gt;0.5,AV833=TRUE,AW833=TRUE),"Invalid",IF(OR(O833="Unknown",Z833="Unknown",AC833="",AH833&lt;&gt;"Paid",AJ833&lt;&gt;"Completed",AO833&lt;&gt;""),"Warning","Clean"))</f>
        <v>Warning</v>
      </c>
    </row>
    <row r="834" spans="1:52" ht="15.75" customHeight="1">
      <c r="A834" s="6" t="s">
        <v>3918</v>
      </c>
      <c r="B834" s="7" t="s">
        <v>3919</v>
      </c>
      <c r="C834" s="7" t="str">
        <f t="shared" ref="C834:C897" si="122">TEXT(D834, "yyyy-mm")</f>
        <v>2025-05</v>
      </c>
      <c r="D834" s="7" cm="1">
        <f t="array" ref="D834">_xlfn.LET(_xlpm.x,B834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45803</v>
      </c>
      <c r="E834" s="7" t="s">
        <v>3920</v>
      </c>
      <c r="F834" s="7" cm="1">
        <f t="array" ref="F834">_xlfn.LET(_xlpm.x,E834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45805</v>
      </c>
      <c r="G834" s="8" t="str">
        <f t="shared" si="96"/>
        <v>OK</v>
      </c>
      <c r="H834" s="6">
        <f t="shared" si="97"/>
        <v>2</v>
      </c>
      <c r="I834" s="6" t="s">
        <v>3921</v>
      </c>
      <c r="J834" s="6" t="s">
        <v>442</v>
      </c>
      <c r="K834" s="6" t="str">
        <f t="shared" si="98"/>
        <v>Kabir Singh</v>
      </c>
      <c r="L834" s="6" t="s">
        <v>46</v>
      </c>
      <c r="M834" s="8" t="str">
        <f t="shared" si="99"/>
        <v>Small Business</v>
      </c>
      <c r="N834" s="6" t="s">
        <v>10</v>
      </c>
      <c r="O834" s="6" t="str">
        <f t="shared" si="100"/>
        <v>South</v>
      </c>
      <c r="P834" s="6" t="s">
        <v>183</v>
      </c>
      <c r="Q834" s="6" t="str">
        <f t="shared" si="101"/>
        <v>Andhra Pradesh</v>
      </c>
      <c r="R834" s="6" t="s">
        <v>184</v>
      </c>
      <c r="S834" s="6" t="str">
        <f t="shared" si="102"/>
        <v>Vijayawada</v>
      </c>
      <c r="T834" s="6" t="s">
        <v>27</v>
      </c>
      <c r="U834" s="8" t="str">
        <f t="shared" si="103"/>
        <v>Technology</v>
      </c>
      <c r="V834" s="6" t="s">
        <v>31</v>
      </c>
      <c r="W834" s="6" t="str">
        <f t="shared" si="104"/>
        <v>Phones</v>
      </c>
      <c r="X834" s="6" t="s">
        <v>3922</v>
      </c>
      <c r="Y834" s="6" t="s">
        <v>36</v>
      </c>
      <c r="Z834" s="6" t="str">
        <f t="shared" si="105"/>
        <v>Second Class</v>
      </c>
      <c r="AA834" s="6">
        <v>9</v>
      </c>
      <c r="AB834" s="6">
        <v>4302.0200000000004</v>
      </c>
      <c r="AC834" s="6">
        <v>0.05</v>
      </c>
      <c r="AD834" s="6">
        <v>36782.269999999997</v>
      </c>
      <c r="AE834" s="6">
        <v>25902.81</v>
      </c>
      <c r="AF834" s="6">
        <v>10879.46</v>
      </c>
      <c r="AG834" s="6" t="s">
        <v>52</v>
      </c>
      <c r="AH834" s="6" t="str">
        <f t="shared" si="106"/>
        <v>Paid</v>
      </c>
      <c r="AI834" s="6" t="s">
        <v>134</v>
      </c>
      <c r="AJ834" s="6" t="str">
        <f t="shared" si="107"/>
        <v>Completed</v>
      </c>
      <c r="AK834" s="9" t="str">
        <f>_xlfn.TEXTJOIN("|",FALSE,A834,TEXT(B834,"mm-dd-yyyy"),TEXT(E834,"mm-dd-yyyy"),I834,J834,L834,N834,P834,R834,T834,V834,X834,Y834,AA834,AB834,AC834,AD834,AE834,AF834,AG834,AI834)</f>
        <v>ORD-2025-10833|05-26-2025|28-05-2025|CUST-9557|Kabir Singh|Small Business|South|Andhra Pradesh|Vijayawada|Technology|Phones|Max Phones 919|Second Class|9|4302.02|0.05|36782.27|25902.81|10879.46|Paid|Completed</v>
      </c>
      <c r="AL834" s="27" t="str">
        <f>IF(COUNTIF($AK$2:AK834,AK834)&gt;1,"Remove exact duplicate copy","Keep")</f>
        <v>Keep</v>
      </c>
      <c r="AM834" s="9">
        <f t="shared" si="108"/>
        <v>1</v>
      </c>
      <c r="AN834" s="9" t="str">
        <f t="shared" si="109"/>
        <v>Unique</v>
      </c>
      <c r="AO834" s="9" t="str">
        <f t="shared" si="110"/>
        <v/>
      </c>
      <c r="AP834" s="9">
        <f t="shared" si="111"/>
        <v>0.05</v>
      </c>
      <c r="AQ834" s="10">
        <f t="shared" si="112"/>
        <v>36782.271000000008</v>
      </c>
      <c r="AR834" s="10">
        <f t="shared" si="113"/>
        <v>10879.461000000007</v>
      </c>
      <c r="AS834" s="11">
        <f t="shared" si="114"/>
        <v>0.29578002402298664</v>
      </c>
      <c r="AT834" s="9">
        <f t="shared" si="115"/>
        <v>5</v>
      </c>
      <c r="AU834" s="9">
        <f t="shared" si="116"/>
        <v>2025</v>
      </c>
      <c r="AV834" s="9" t="b">
        <f t="shared" si="117"/>
        <v>0</v>
      </c>
      <c r="AW834" s="9" t="b">
        <f t="shared" si="118"/>
        <v>0</v>
      </c>
      <c r="AX834" s="9" t="str">
        <f t="shared" si="119"/>
        <v>Yes</v>
      </c>
      <c r="AY834" s="9" t="str">
        <f t="shared" si="121"/>
        <v/>
      </c>
      <c r="AZ834" s="9" t="str">
        <f>IF(OR(G834="Missing date",G834="Invalid date",G834="Ship date before order date",NOT(ISNUMBER(AP834)),AP834&lt;0,AP834&gt;0.5,AV834=TRUE,AW834=TRUE),"Invalid",IF(OR(O834="Unknown",Z834="Unknown",AC834="",AH834&lt;&gt;"Paid",AJ834&lt;&gt;"Completed",AO834&lt;&gt;""),"Warning","Clean"))</f>
        <v>Clean</v>
      </c>
    </row>
    <row r="835" spans="1:52" ht="15.75" customHeight="1">
      <c r="A835" s="6" t="s">
        <v>3923</v>
      </c>
      <c r="B835" s="7" t="s">
        <v>3924</v>
      </c>
      <c r="C835" s="7" t="str">
        <f t="shared" si="122"/>
        <v>2024-06</v>
      </c>
      <c r="D835" s="7" cm="1">
        <f t="array" ref="D835">_xlfn.LET(_xlpm.x,B835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45447</v>
      </c>
      <c r="E835" s="7" t="s">
        <v>3925</v>
      </c>
      <c r="F835" s="7" cm="1">
        <f t="array" ref="F835">_xlfn.LET(_xlpm.x,E835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45447</v>
      </c>
      <c r="G835" s="8" t="str">
        <f t="shared" si="96"/>
        <v>OK</v>
      </c>
      <c r="H835" s="6">
        <f t="shared" si="97"/>
        <v>0</v>
      </c>
      <c r="I835" s="6" t="s">
        <v>3926</v>
      </c>
      <c r="J835" s="6" t="s">
        <v>226</v>
      </c>
      <c r="K835" s="6" t="str">
        <f t="shared" si="98"/>
        <v>Rahul Verma</v>
      </c>
      <c r="L835" s="6" t="s">
        <v>44</v>
      </c>
      <c r="M835" s="8" t="str">
        <f t="shared" si="99"/>
        <v>Home Office</v>
      </c>
      <c r="N835" s="6" t="s">
        <v>8</v>
      </c>
      <c r="O835" s="6" t="str">
        <f t="shared" si="100"/>
        <v>East</v>
      </c>
      <c r="P835" s="6" t="s">
        <v>201</v>
      </c>
      <c r="Q835" s="6" t="str">
        <f t="shared" si="101"/>
        <v>West Bengal</v>
      </c>
      <c r="R835" s="6" t="s">
        <v>202</v>
      </c>
      <c r="S835" s="6" t="str">
        <f t="shared" si="102"/>
        <v>Kolkata</v>
      </c>
      <c r="T835" s="6" t="s">
        <v>14</v>
      </c>
      <c r="U835" s="8" t="str">
        <f t="shared" si="103"/>
        <v>Furniture</v>
      </c>
      <c r="V835" s="6" t="s">
        <v>15</v>
      </c>
      <c r="W835" s="6" t="str">
        <f t="shared" si="104"/>
        <v>Bookcases</v>
      </c>
      <c r="X835" s="6" t="s">
        <v>3927</v>
      </c>
      <c r="Y835" s="6" t="s">
        <v>35</v>
      </c>
      <c r="Z835" s="6" t="str">
        <f t="shared" si="105"/>
        <v>First Class</v>
      </c>
      <c r="AA835" s="6">
        <v>6</v>
      </c>
      <c r="AB835" s="6">
        <v>3949.4</v>
      </c>
      <c r="AC835" s="6">
        <v>0</v>
      </c>
      <c r="AD835" s="6">
        <v>23696.400000000001</v>
      </c>
      <c r="AE835" s="6">
        <v>18109.77</v>
      </c>
      <c r="AF835" s="6">
        <v>5586.63</v>
      </c>
      <c r="AG835" s="6" t="s">
        <v>52</v>
      </c>
      <c r="AH835" s="6" t="str">
        <f t="shared" si="106"/>
        <v>Paid</v>
      </c>
      <c r="AI835" s="6" t="s">
        <v>134</v>
      </c>
      <c r="AJ835" s="6" t="str">
        <f t="shared" si="107"/>
        <v>Completed</v>
      </c>
      <c r="AK835" s="9" t="str">
        <f>_xlfn.TEXTJOIN("|",FALSE,A835,TEXT(B835,"mm-dd-yyyy"),TEXT(E835,"mm-dd-yyyy"),I835,J835,L835,N835,P835,R835,T835,V835,X835,Y835,AA835,AB835,AC835,AD835,AE835,AF835,AG835,AI835)</f>
        <v>ORD-2024-10834|06-04-2024|06-04-2024|CUST-2689|Rahul Verma|Home Office|East|West Bengal|Kolkata|Furniture|Bookcases|Basic Bookcases 499|First Class|6|3949.4|0|23696.4|18109.77|5586.63|Paid|Completed</v>
      </c>
      <c r="AL835" s="27" t="str">
        <f>IF(COUNTIF($AK$2:AK835,AK835)&gt;1,"Remove exact duplicate copy","Keep")</f>
        <v>Keep</v>
      </c>
      <c r="AM835" s="9">
        <f t="shared" si="108"/>
        <v>1</v>
      </c>
      <c r="AN835" s="9" t="str">
        <f t="shared" si="109"/>
        <v>Unique</v>
      </c>
      <c r="AO835" s="9" t="str">
        <f t="shared" si="110"/>
        <v/>
      </c>
      <c r="AP835" s="9">
        <f t="shared" si="111"/>
        <v>0</v>
      </c>
      <c r="AQ835" s="10">
        <f t="shared" si="112"/>
        <v>23696.400000000001</v>
      </c>
      <c r="AR835" s="10">
        <f t="shared" si="113"/>
        <v>5586.630000000001</v>
      </c>
      <c r="AS835" s="11">
        <f t="shared" si="114"/>
        <v>0.23575859624246723</v>
      </c>
      <c r="AT835" s="9">
        <f t="shared" si="115"/>
        <v>6</v>
      </c>
      <c r="AU835" s="9">
        <f t="shared" si="116"/>
        <v>2024</v>
      </c>
      <c r="AV835" s="9" t="b">
        <f t="shared" si="117"/>
        <v>0</v>
      </c>
      <c r="AW835" s="9" t="b">
        <f t="shared" si="118"/>
        <v>0</v>
      </c>
      <c r="AX835" s="9" t="str">
        <f t="shared" si="119"/>
        <v>Yes</v>
      </c>
      <c r="AY835" s="9" t="str">
        <f t="shared" ref="AY835:AY898" si="123">_xlfn.TEXTJOIN("; ",TRUE,IF(O835="Unknown","Missing region filled as Unknown",""),IF(Z835="Unknown","Missing ship mode filled as Unknown",""),IF(AND(AC835="",AP835=0),"Missing discount treated as 0",""),IF(AP835&lt;0,"Negative discount",""),IF(AP835&gt;0.5,"Discount above 50%",""),IF(G835="Ship date before order date","Ship date before order date",""),IF(AH835="Failed","Failed payment excluded",""),IF(AH835="Refunded","Refunded order summarized separately",""),IF(AJ835="Cancelled","Cancelled order excluded",""),IF(AJ835="Returned","Returned order excluded",""),IF(AO835&lt;&gt;"","Duplicate order ID conflict",""),IF(AV835=TRUE,"Sales mismatch",""),IF(AW835=TRUE,"Profit mismatch",""))</f>
        <v/>
      </c>
      <c r="AZ835" s="9" t="str">
        <f>IF(OR(G835="Missing date",G835="Invalid date",G835="Ship date before order date",NOT(ISNUMBER(AP835)),AP835&lt;0,AP835&gt;0.5,AV835=TRUE,AW835=TRUE),"Invalid",IF(OR(O835="Unknown",Z835="Unknown",AC835="",AH835&lt;&gt;"Paid",AJ835&lt;&gt;"Completed",AO835&lt;&gt;""),"Warning","Clean"))</f>
        <v>Clean</v>
      </c>
    </row>
    <row r="836" spans="1:52" ht="15.75" customHeight="1">
      <c r="A836" s="6" t="s">
        <v>3928</v>
      </c>
      <c r="B836" s="7" t="s">
        <v>307</v>
      </c>
      <c r="C836" s="7" t="str">
        <f t="shared" si="122"/>
        <v>2024-10</v>
      </c>
      <c r="D836" s="7" cm="1">
        <f t="array" ref="D836">_xlfn.LET(_xlpm.x,B836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45583</v>
      </c>
      <c r="E836" s="7" t="s">
        <v>3929</v>
      </c>
      <c r="F836" s="7" cm="1">
        <f t="array" ref="F836">_xlfn.LET(_xlpm.x,E836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45587</v>
      </c>
      <c r="G836" s="8" t="str">
        <f t="shared" si="96"/>
        <v>OK</v>
      </c>
      <c r="H836" s="6">
        <f t="shared" si="97"/>
        <v>4</v>
      </c>
      <c r="I836" s="6" t="s">
        <v>3930</v>
      </c>
      <c r="J836" s="6" t="s">
        <v>239</v>
      </c>
      <c r="K836" s="6" t="str">
        <f t="shared" si="98"/>
        <v>Aarav Sharma</v>
      </c>
      <c r="L836" s="6" t="s">
        <v>44</v>
      </c>
      <c r="M836" s="8" t="str">
        <f t="shared" si="99"/>
        <v>Home Office</v>
      </c>
      <c r="N836" s="6" t="s">
        <v>10</v>
      </c>
      <c r="O836" s="6" t="str">
        <f t="shared" si="100"/>
        <v>South</v>
      </c>
      <c r="P836" s="6" t="s">
        <v>154</v>
      </c>
      <c r="Q836" s="6" t="str">
        <f t="shared" si="101"/>
        <v>Telangana</v>
      </c>
      <c r="R836" s="6" t="s">
        <v>155</v>
      </c>
      <c r="S836" s="6" t="str">
        <f t="shared" si="102"/>
        <v>Hyderabad</v>
      </c>
      <c r="T836" s="6" t="s">
        <v>20</v>
      </c>
      <c r="U836" s="8" t="str">
        <f t="shared" si="103"/>
        <v>Office Supplies</v>
      </c>
      <c r="V836" s="6" t="s">
        <v>21</v>
      </c>
      <c r="W836" s="6" t="str">
        <f t="shared" si="104"/>
        <v>Art</v>
      </c>
      <c r="X836" s="6" t="s">
        <v>3931</v>
      </c>
      <c r="Y836" s="6" t="s">
        <v>35</v>
      </c>
      <c r="Z836" s="6" t="str">
        <f t="shared" si="105"/>
        <v>First Class</v>
      </c>
      <c r="AA836" s="6">
        <v>6</v>
      </c>
      <c r="AB836" s="6">
        <v>674.61</v>
      </c>
      <c r="AC836" s="6">
        <v>0</v>
      </c>
      <c r="AD836" s="6">
        <v>4047.66</v>
      </c>
      <c r="AE836" s="6">
        <v>3078.93</v>
      </c>
      <c r="AF836" s="6">
        <v>1279.79</v>
      </c>
      <c r="AG836" s="6" t="s">
        <v>52</v>
      </c>
      <c r="AH836" s="6" t="str">
        <f t="shared" si="106"/>
        <v>Paid</v>
      </c>
      <c r="AI836" s="6" t="s">
        <v>134</v>
      </c>
      <c r="AJ836" s="6" t="str">
        <f t="shared" si="107"/>
        <v>Completed</v>
      </c>
      <c r="AK836" s="9" t="str">
        <f>_xlfn.TEXTJOIN("|",FALSE,A836,TEXT(B836,"mm-dd-yyyy"),TEXT(E836,"mm-dd-yyyy"),I836,J836,L836,N836,P836,R836,T836,V836,X836,Y836,AA836,AB836,AC836,AD836,AE836,AF836,AG836,AI836)</f>
        <v>ORD-2024-10835|18-10-2024|10-22-2024|CUST-2879|Aarav Sharma|Home Office|South|Telangana|Hyderabad|Office Supplies|Art|Basic Art 143|First Class|6|674.61|0|4047.66|3078.93|1279.79|Paid|Completed</v>
      </c>
      <c r="AL836" s="27" t="str">
        <f>IF(COUNTIF($AK$2:AK836,AK836)&gt;1,"Remove exact duplicate copy","Keep")</f>
        <v>Keep</v>
      </c>
      <c r="AM836" s="9">
        <f t="shared" si="108"/>
        <v>1</v>
      </c>
      <c r="AN836" s="9" t="str">
        <f t="shared" si="109"/>
        <v>Unique</v>
      </c>
      <c r="AO836" s="9" t="str">
        <f t="shared" si="110"/>
        <v/>
      </c>
      <c r="AP836" s="9">
        <f t="shared" si="111"/>
        <v>0</v>
      </c>
      <c r="AQ836" s="10">
        <f t="shared" si="112"/>
        <v>4047.66</v>
      </c>
      <c r="AR836" s="10">
        <f t="shared" si="113"/>
        <v>968.73</v>
      </c>
      <c r="AS836" s="11">
        <f t="shared" si="114"/>
        <v>0.23933087265234729</v>
      </c>
      <c r="AT836" s="9">
        <f t="shared" si="115"/>
        <v>10</v>
      </c>
      <c r="AU836" s="9">
        <f t="shared" si="116"/>
        <v>2024</v>
      </c>
      <c r="AV836" s="9" t="b">
        <f t="shared" si="117"/>
        <v>0</v>
      </c>
      <c r="AW836" s="9" t="b">
        <f t="shared" si="118"/>
        <v>1</v>
      </c>
      <c r="AX836" s="9" t="str">
        <f t="shared" si="119"/>
        <v>No</v>
      </c>
      <c r="AY836" s="9" t="str">
        <f t="shared" si="123"/>
        <v>Profit mismatch</v>
      </c>
      <c r="AZ836" s="9" t="str">
        <f>IF(OR(G836="Missing date",G836="Invalid date",G836="Ship date before order date",NOT(ISNUMBER(AP836)),AP836&lt;0,AP836&gt;0.5,AV836=TRUE,AW836=TRUE),"Invalid",IF(OR(O836="Unknown",Z836="Unknown",AC836="",AH836&lt;&gt;"Paid",AJ836&lt;&gt;"Completed",AO836&lt;&gt;""),"Warning","Clean"))</f>
        <v>Invalid</v>
      </c>
    </row>
    <row r="837" spans="1:52" ht="15.75" customHeight="1">
      <c r="A837" s="6" t="s">
        <v>3932</v>
      </c>
      <c r="B837" s="7" t="s">
        <v>2844</v>
      </c>
      <c r="C837" s="7" t="str">
        <f t="shared" si="122"/>
        <v>2025-09</v>
      </c>
      <c r="D837" s="7" cm="1">
        <f t="array" ref="D837">_xlfn.LET(_xlpm.x,B837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45926</v>
      </c>
      <c r="E837" s="7" t="s">
        <v>1037</v>
      </c>
      <c r="F837" s="7" cm="1">
        <f t="array" ref="F837">_xlfn.LET(_xlpm.x,E837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45934</v>
      </c>
      <c r="G837" s="8" t="str">
        <f t="shared" si="96"/>
        <v>OK</v>
      </c>
      <c r="H837" s="6">
        <f t="shared" si="97"/>
        <v>8</v>
      </c>
      <c r="I837" s="6" t="s">
        <v>3933</v>
      </c>
      <c r="J837" s="6" t="s">
        <v>220</v>
      </c>
      <c r="K837" s="6" t="str">
        <f t="shared" si="98"/>
        <v>Priya Menon</v>
      </c>
      <c r="L837" s="6" t="s">
        <v>46</v>
      </c>
      <c r="M837" s="8" t="str">
        <f t="shared" si="99"/>
        <v>Small Business</v>
      </c>
      <c r="N837" s="6" t="s">
        <v>8</v>
      </c>
      <c r="O837" s="6" t="str">
        <f t="shared" si="100"/>
        <v>East</v>
      </c>
      <c r="P837" s="6" t="s">
        <v>290</v>
      </c>
      <c r="Q837" s="6" t="str">
        <f t="shared" si="101"/>
        <v>Assam</v>
      </c>
      <c r="R837" s="6" t="s">
        <v>291</v>
      </c>
      <c r="S837" s="6" t="str">
        <f t="shared" si="102"/>
        <v>Guwahati</v>
      </c>
      <c r="T837" s="6" t="s">
        <v>27</v>
      </c>
      <c r="U837" s="8" t="str">
        <f t="shared" si="103"/>
        <v>Technology</v>
      </c>
      <c r="V837" s="6" t="s">
        <v>31</v>
      </c>
      <c r="W837" s="6" t="str">
        <f t="shared" si="104"/>
        <v>Phones</v>
      </c>
      <c r="X837" s="6" t="s">
        <v>3934</v>
      </c>
      <c r="Y837" s="6" t="s">
        <v>36</v>
      </c>
      <c r="Z837" s="6" t="str">
        <f t="shared" si="105"/>
        <v>Second Class</v>
      </c>
      <c r="AA837" s="6">
        <v>7</v>
      </c>
      <c r="AB837" s="6">
        <v>1509.59</v>
      </c>
      <c r="AC837" s="6">
        <v>0.05</v>
      </c>
      <c r="AD837" s="6">
        <v>10038.77</v>
      </c>
      <c r="AE837" s="6">
        <v>5673.1</v>
      </c>
      <c r="AF837" s="6">
        <v>4365.67</v>
      </c>
      <c r="AG837" s="6" t="s">
        <v>52</v>
      </c>
      <c r="AH837" s="6" t="str">
        <f t="shared" si="106"/>
        <v>Paid</v>
      </c>
      <c r="AI837" s="6" t="s">
        <v>134</v>
      </c>
      <c r="AJ837" s="6" t="str">
        <f t="shared" si="107"/>
        <v>Completed</v>
      </c>
      <c r="AK837" s="9" t="str">
        <f>_xlfn.TEXTJOIN("|",FALSE,A837,TEXT(B837,"mm-dd-yyyy"),TEXT(E837,"mm-dd-yyyy"),I837,J837,L837,N837,P837,R837,T837,V837,X837,Y837,AA837,AB837,AC837,AD837,AE837,AF837,AG837,AI837)</f>
        <v>ORD-2025-10836|09-26-2025|04-10-2025|CUST-5150|Priya Menon|Small Business|East|Assam|Guwahati|Technology|Phones|Prime Phones 338|Second Class|7|1509.59|0.05|10038.77|5673.1|4365.67|Paid|Completed</v>
      </c>
      <c r="AL837" s="27" t="str">
        <f>IF(COUNTIF($AK$2:AK837,AK837)&gt;1,"Remove exact duplicate copy","Keep")</f>
        <v>Keep</v>
      </c>
      <c r="AM837" s="9">
        <f t="shared" si="108"/>
        <v>1</v>
      </c>
      <c r="AN837" s="9" t="str">
        <f t="shared" si="109"/>
        <v>Unique</v>
      </c>
      <c r="AO837" s="9" t="str">
        <f t="shared" si="110"/>
        <v/>
      </c>
      <c r="AP837" s="9">
        <f t="shared" si="111"/>
        <v>0.05</v>
      </c>
      <c r="AQ837" s="10">
        <f t="shared" si="112"/>
        <v>10038.773499999999</v>
      </c>
      <c r="AR837" s="10">
        <f t="shared" si="113"/>
        <v>4365.673499999999</v>
      </c>
      <c r="AS837" s="11">
        <f t="shared" si="114"/>
        <v>0.43488116352062323</v>
      </c>
      <c r="AT837" s="9">
        <f t="shared" si="115"/>
        <v>9</v>
      </c>
      <c r="AU837" s="9">
        <f t="shared" si="116"/>
        <v>2025</v>
      </c>
      <c r="AV837" s="9" t="b">
        <f t="shared" si="117"/>
        <v>0</v>
      </c>
      <c r="AW837" s="9" t="b">
        <f t="shared" si="118"/>
        <v>0</v>
      </c>
      <c r="AX837" s="9" t="str">
        <f t="shared" si="119"/>
        <v>Yes</v>
      </c>
      <c r="AY837" s="9" t="str">
        <f t="shared" si="123"/>
        <v/>
      </c>
      <c r="AZ837" s="9" t="str">
        <f>IF(OR(G837="Missing date",G837="Invalid date",G837="Ship date before order date",NOT(ISNUMBER(AP837)),AP837&lt;0,AP837&gt;0.5,AV837=TRUE,AW837=TRUE),"Invalid",IF(OR(O837="Unknown",Z837="Unknown",AC837="",AH837&lt;&gt;"Paid",AJ837&lt;&gt;"Completed",AO837&lt;&gt;""),"Warning","Clean"))</f>
        <v>Clean</v>
      </c>
    </row>
    <row r="838" spans="1:52" ht="15.75" customHeight="1">
      <c r="A838" s="6" t="s">
        <v>3935</v>
      </c>
      <c r="B838" s="7" t="s">
        <v>2554</v>
      </c>
      <c r="C838" s="7" t="str">
        <f t="shared" si="122"/>
        <v>2024-12</v>
      </c>
      <c r="D838" s="7" cm="1">
        <f t="array" ref="D838">_xlfn.LET(_xlpm.x,B838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45641</v>
      </c>
      <c r="E838" s="7" t="s">
        <v>3936</v>
      </c>
      <c r="F838" s="7" cm="1">
        <f t="array" ref="F838">_xlfn.LET(_xlpm.x,E838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45644</v>
      </c>
      <c r="G838" s="8" t="str">
        <f t="shared" si="96"/>
        <v>OK</v>
      </c>
      <c r="H838" s="6">
        <f t="shared" si="97"/>
        <v>3</v>
      </c>
      <c r="I838" s="6" t="s">
        <v>3937</v>
      </c>
      <c r="J838" s="6" t="s">
        <v>147</v>
      </c>
      <c r="K838" s="6" t="str">
        <f t="shared" si="98"/>
        <v>Isha Nair</v>
      </c>
      <c r="L838" s="6" t="s">
        <v>46</v>
      </c>
      <c r="M838" s="8" t="str">
        <f t="shared" si="99"/>
        <v>Small Business</v>
      </c>
      <c r="N838" s="6" t="s">
        <v>7</v>
      </c>
      <c r="O838" s="6" t="str">
        <f t="shared" si="100"/>
        <v>North</v>
      </c>
      <c r="P838" s="6" t="s">
        <v>131</v>
      </c>
      <c r="Q838" s="6" t="str">
        <f t="shared" si="101"/>
        <v>Rajasthan</v>
      </c>
      <c r="R838" s="6" t="s">
        <v>132</v>
      </c>
      <c r="S838" s="6" t="str">
        <f t="shared" si="102"/>
        <v>Jaipur</v>
      </c>
      <c r="T838" s="6" t="s">
        <v>20</v>
      </c>
      <c r="U838" s="8" t="str">
        <f t="shared" si="103"/>
        <v>Office Supplies</v>
      </c>
      <c r="V838" s="6" t="s">
        <v>23</v>
      </c>
      <c r="W838" s="6" t="str">
        <f t="shared" si="104"/>
        <v>Labels</v>
      </c>
      <c r="X838" s="6" t="s">
        <v>3938</v>
      </c>
      <c r="Y838" s="6" t="s">
        <v>36</v>
      </c>
      <c r="Z838" s="6" t="str">
        <f t="shared" si="105"/>
        <v>Second Class</v>
      </c>
      <c r="AA838" s="6">
        <v>2</v>
      </c>
      <c r="AB838" s="6">
        <v>537.11</v>
      </c>
      <c r="AC838" s="6">
        <v>0</v>
      </c>
      <c r="AD838" s="6">
        <v>1074.22</v>
      </c>
      <c r="AE838" s="6">
        <v>850.86</v>
      </c>
      <c r="AF838" s="6">
        <v>223.36</v>
      </c>
      <c r="AG838" s="6" t="s">
        <v>52</v>
      </c>
      <c r="AH838" s="6" t="str">
        <f t="shared" si="106"/>
        <v>Paid</v>
      </c>
      <c r="AI838" s="6" t="s">
        <v>134</v>
      </c>
      <c r="AJ838" s="6" t="str">
        <f t="shared" si="107"/>
        <v>Completed</v>
      </c>
      <c r="AK838" s="9" t="str">
        <f>_xlfn.TEXTJOIN("|",FALSE,A838,TEXT(B838,"mm-dd-yyyy"),TEXT(E838,"mm-dd-yyyy"),I838,J838,L838,N838,P838,R838,T838,V838,X838,Y838,AA838,AB838,AC838,AD838,AE838,AF838,AG838,AI838)</f>
        <v>ORD-2024-10837|12-15-2024|12-18-2024|CUST-9776|Isha Nair|Small Business|North|Rajasthan|Jaipur|Office Supplies|Labels|Smart Labels 814|Second Class|2|537.11|0|1074.22|850.86|223.36|Paid|Completed</v>
      </c>
      <c r="AL838" s="27" t="str">
        <f>IF(COUNTIF($AK$2:AK838,AK838)&gt;1,"Remove exact duplicate copy","Keep")</f>
        <v>Keep</v>
      </c>
      <c r="AM838" s="9">
        <f t="shared" si="108"/>
        <v>1</v>
      </c>
      <c r="AN838" s="9" t="str">
        <f t="shared" si="109"/>
        <v>Unique</v>
      </c>
      <c r="AO838" s="9" t="str">
        <f t="shared" si="110"/>
        <v/>
      </c>
      <c r="AP838" s="9">
        <f t="shared" si="111"/>
        <v>0</v>
      </c>
      <c r="AQ838" s="10">
        <f t="shared" si="112"/>
        <v>1074.22</v>
      </c>
      <c r="AR838" s="10">
        <f t="shared" si="113"/>
        <v>223.36</v>
      </c>
      <c r="AS838" s="11">
        <f t="shared" si="114"/>
        <v>0.20792761259332354</v>
      </c>
      <c r="AT838" s="9">
        <f t="shared" si="115"/>
        <v>12</v>
      </c>
      <c r="AU838" s="9">
        <f t="shared" si="116"/>
        <v>2024</v>
      </c>
      <c r="AV838" s="9" t="b">
        <f t="shared" si="117"/>
        <v>0</v>
      </c>
      <c r="AW838" s="9" t="b">
        <f t="shared" si="118"/>
        <v>0</v>
      </c>
      <c r="AX838" s="9" t="str">
        <f t="shared" si="119"/>
        <v>Yes</v>
      </c>
      <c r="AY838" s="9" t="str">
        <f t="shared" si="123"/>
        <v/>
      </c>
      <c r="AZ838" s="9" t="str">
        <f>IF(OR(G838="Missing date",G838="Invalid date",G838="Ship date before order date",NOT(ISNUMBER(AP838)),AP838&lt;0,AP838&gt;0.5,AV838=TRUE,AW838=TRUE),"Invalid",IF(OR(O838="Unknown",Z838="Unknown",AC838="",AH838&lt;&gt;"Paid",AJ838&lt;&gt;"Completed",AO838&lt;&gt;""),"Warning","Clean"))</f>
        <v>Clean</v>
      </c>
    </row>
    <row r="839" spans="1:52" ht="15.75" customHeight="1">
      <c r="A839" s="6" t="s">
        <v>3939</v>
      </c>
      <c r="B839" s="7" t="s">
        <v>574</v>
      </c>
      <c r="C839" s="7" t="str">
        <f t="shared" si="122"/>
        <v>2025-09</v>
      </c>
      <c r="D839" s="7" cm="1">
        <f t="array" ref="D839">_xlfn.LET(_xlpm.x,B839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45927</v>
      </c>
      <c r="E839" s="7" t="s">
        <v>3940</v>
      </c>
      <c r="F839" s="7" cm="1">
        <f t="array" ref="F839">_xlfn.LET(_xlpm.x,E839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45928</v>
      </c>
      <c r="G839" s="8" t="str">
        <f t="shared" si="96"/>
        <v>OK</v>
      </c>
      <c r="H839" s="6">
        <f t="shared" si="97"/>
        <v>1</v>
      </c>
      <c r="I839" s="6" t="s">
        <v>3941</v>
      </c>
      <c r="J839" s="6" t="s">
        <v>129</v>
      </c>
      <c r="K839" s="6" t="str">
        <f t="shared" si="98"/>
        <v>Karan Malhotra</v>
      </c>
      <c r="L839" s="6" t="s">
        <v>44</v>
      </c>
      <c r="M839" s="8" t="str">
        <f t="shared" si="99"/>
        <v>Home Office</v>
      </c>
      <c r="N839" s="6" t="s">
        <v>9</v>
      </c>
      <c r="O839" s="6" t="str">
        <f t="shared" si="100"/>
        <v>West</v>
      </c>
      <c r="P839" s="6" t="s">
        <v>162</v>
      </c>
      <c r="Q839" s="6" t="str">
        <f t="shared" si="101"/>
        <v>Maharashtra</v>
      </c>
      <c r="R839" s="6" t="s">
        <v>163</v>
      </c>
      <c r="S839" s="6" t="str">
        <f t="shared" si="102"/>
        <v>Mumbai</v>
      </c>
      <c r="T839" s="6" t="s">
        <v>20</v>
      </c>
      <c r="U839" s="8" t="str">
        <f t="shared" si="103"/>
        <v>Office Supplies</v>
      </c>
      <c r="V839" s="6" t="s">
        <v>24</v>
      </c>
      <c r="W839" s="6" t="str">
        <f t="shared" si="104"/>
        <v>Paper</v>
      </c>
      <c r="X839" s="6" t="s">
        <v>3942</v>
      </c>
      <c r="Y839" s="6" t="s">
        <v>35</v>
      </c>
      <c r="Z839" s="6" t="str">
        <f t="shared" si="105"/>
        <v>First Class</v>
      </c>
      <c r="AA839" s="6">
        <v>3</v>
      </c>
      <c r="AB839" s="6">
        <v>4177.63</v>
      </c>
      <c r="AC839" s="6">
        <v>0.25</v>
      </c>
      <c r="AD839" s="6">
        <v>9399.67</v>
      </c>
      <c r="AE839" s="6">
        <v>6540.37</v>
      </c>
      <c r="AF839" s="6">
        <v>2859.3</v>
      </c>
      <c r="AG839" s="6" t="s">
        <v>52</v>
      </c>
      <c r="AH839" s="6" t="str">
        <f t="shared" si="106"/>
        <v>Paid</v>
      </c>
      <c r="AI839" s="6" t="s">
        <v>134</v>
      </c>
      <c r="AJ839" s="6" t="str">
        <f t="shared" si="107"/>
        <v>Completed</v>
      </c>
      <c r="AK839" s="9" t="str">
        <f>_xlfn.TEXTJOIN("|",FALSE,A839,TEXT(B839,"mm-dd-yyyy"),TEXT(E839,"mm-dd-yyyy"),I839,J839,L839,N839,P839,R839,T839,V839,X839,Y839,AA839,AB839,AC839,AD839,AE839,AF839,AG839,AI839)</f>
        <v>ORD-2025-10838|09-27-2025|09-28-2025|CUST-2551|Karan Malhotra|Home Office|West|Maharashtra|Mumbai|Office Supplies|Paper|Prime Paper 812|First Class|3|4177.63|0.25|9399.67|6540.37|2859.3|Paid|Completed</v>
      </c>
      <c r="AL839" s="27" t="str">
        <f>IF(COUNTIF($AK$2:AK839,AK839)&gt;1,"Remove exact duplicate copy","Keep")</f>
        <v>Keep</v>
      </c>
      <c r="AM839" s="9">
        <f t="shared" si="108"/>
        <v>1</v>
      </c>
      <c r="AN839" s="9" t="str">
        <f t="shared" si="109"/>
        <v>Unique</v>
      </c>
      <c r="AO839" s="9" t="str">
        <f t="shared" si="110"/>
        <v/>
      </c>
      <c r="AP839" s="9">
        <f t="shared" si="111"/>
        <v>0.25</v>
      </c>
      <c r="AQ839" s="10">
        <f t="shared" si="112"/>
        <v>9399.6674999999996</v>
      </c>
      <c r="AR839" s="10">
        <f t="shared" si="113"/>
        <v>2859.2974999999997</v>
      </c>
      <c r="AS839" s="11">
        <f t="shared" si="114"/>
        <v>0.30419134506619516</v>
      </c>
      <c r="AT839" s="9">
        <f t="shared" si="115"/>
        <v>9</v>
      </c>
      <c r="AU839" s="9">
        <f t="shared" si="116"/>
        <v>2025</v>
      </c>
      <c r="AV839" s="9" t="b">
        <f t="shared" si="117"/>
        <v>0</v>
      </c>
      <c r="AW839" s="9" t="b">
        <f t="shared" si="118"/>
        <v>0</v>
      </c>
      <c r="AX839" s="9" t="str">
        <f t="shared" si="119"/>
        <v>Yes</v>
      </c>
      <c r="AY839" s="9" t="str">
        <f t="shared" si="123"/>
        <v/>
      </c>
      <c r="AZ839" s="9" t="str">
        <f>IF(OR(G839="Missing date",G839="Invalid date",G839="Ship date before order date",NOT(ISNUMBER(AP839)),AP839&lt;0,AP839&gt;0.5,AV839=TRUE,AW839=TRUE),"Invalid",IF(OR(O839="Unknown",Z839="Unknown",AC839="",AH839&lt;&gt;"Paid",AJ839&lt;&gt;"Completed",AO839&lt;&gt;""),"Warning","Clean"))</f>
        <v>Clean</v>
      </c>
    </row>
    <row r="840" spans="1:52" ht="15.75" customHeight="1">
      <c r="A840" s="6" t="s">
        <v>3943</v>
      </c>
      <c r="B840" s="7" t="s">
        <v>545</v>
      </c>
      <c r="C840" s="7" t="str">
        <f t="shared" si="122"/>
        <v>2025-04</v>
      </c>
      <c r="D840" s="7" cm="1">
        <f t="array" ref="D840">_xlfn.LET(_xlpm.x,B840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45750</v>
      </c>
      <c r="E840" s="7" t="s">
        <v>3944</v>
      </c>
      <c r="F840" s="7" cm="1">
        <f t="array" ref="F840">_xlfn.LET(_xlpm.x,E840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45754</v>
      </c>
      <c r="G840" s="8" t="str">
        <f t="shared" si="96"/>
        <v>OK</v>
      </c>
      <c r="H840" s="6">
        <f t="shared" si="97"/>
        <v>4</v>
      </c>
      <c r="I840" s="6" t="s">
        <v>3945</v>
      </c>
      <c r="J840" s="6" t="s">
        <v>161</v>
      </c>
      <c r="K840" s="6" t="str">
        <f t="shared" si="98"/>
        <v>Ananya Rao</v>
      </c>
      <c r="L840" s="6" t="s">
        <v>46</v>
      </c>
      <c r="M840" s="8" t="str">
        <f t="shared" si="99"/>
        <v>Small Business</v>
      </c>
      <c r="N840" s="6" t="s">
        <v>9</v>
      </c>
      <c r="O840" s="6" t="str">
        <f t="shared" si="100"/>
        <v>West</v>
      </c>
      <c r="P840" s="6" t="s">
        <v>323</v>
      </c>
      <c r="Q840" s="6" t="str">
        <f t="shared" si="101"/>
        <v>Goa</v>
      </c>
      <c r="R840" s="6" t="s">
        <v>324</v>
      </c>
      <c r="S840" s="6" t="str">
        <f t="shared" si="102"/>
        <v>Panaji</v>
      </c>
      <c r="T840" s="6" t="s">
        <v>20</v>
      </c>
      <c r="U840" s="8" t="str">
        <f t="shared" si="103"/>
        <v>Office Supplies</v>
      </c>
      <c r="V840" s="6" t="s">
        <v>24</v>
      </c>
      <c r="W840" s="6" t="str">
        <f t="shared" si="104"/>
        <v>Paper</v>
      </c>
      <c r="X840" s="6" t="s">
        <v>3946</v>
      </c>
      <c r="Y840" s="6" t="s">
        <v>37</v>
      </c>
      <c r="Z840" s="6" t="str">
        <f t="shared" si="105"/>
        <v>Same Day</v>
      </c>
      <c r="AA840" s="6">
        <v>1</v>
      </c>
      <c r="AB840" s="6">
        <v>1470.57</v>
      </c>
      <c r="AC840" s="6">
        <v>0</v>
      </c>
      <c r="AD840" s="6">
        <v>1470.57</v>
      </c>
      <c r="AE840" s="6">
        <v>834.02</v>
      </c>
      <c r="AF840" s="6">
        <v>636.54999999999995</v>
      </c>
      <c r="AG840" s="6" t="s">
        <v>52</v>
      </c>
      <c r="AH840" s="6" t="str">
        <f t="shared" si="106"/>
        <v>Paid</v>
      </c>
      <c r="AI840" s="6" t="s">
        <v>59</v>
      </c>
      <c r="AJ840" s="6" t="str">
        <f t="shared" si="107"/>
        <v>Returned</v>
      </c>
      <c r="AK840" s="9" t="str">
        <f>_xlfn.TEXTJOIN("|",FALSE,A840,TEXT(B840,"mm-dd-yyyy"),TEXT(E840,"mm-dd-yyyy"),I840,J840,L840,N840,P840,R840,T840,V840,X840,Y840,AA840,AB840,AC840,AD840,AE840,AF840,AG840,AI840)</f>
        <v>ORD-2025-10839|04-03-2025|04-07-2025|CUST-4708|Ananya Rao|Small Business|West|Goa|Panaji|Office Supplies|Paper|Pro Paper 355|Same Day|1|1470.57|0|1470.57|834.02|636.55|Paid|Returned</v>
      </c>
      <c r="AL840" s="27" t="str">
        <f>IF(COUNTIF($AK$2:AK840,AK840)&gt;1,"Remove exact duplicate copy","Keep")</f>
        <v>Keep</v>
      </c>
      <c r="AM840" s="9">
        <f t="shared" si="108"/>
        <v>1</v>
      </c>
      <c r="AN840" s="9" t="str">
        <f t="shared" si="109"/>
        <v>Unique</v>
      </c>
      <c r="AO840" s="9" t="str">
        <f t="shared" si="110"/>
        <v/>
      </c>
      <c r="AP840" s="9">
        <f t="shared" si="111"/>
        <v>0</v>
      </c>
      <c r="AQ840" s="10">
        <f t="shared" si="112"/>
        <v>1470.57</v>
      </c>
      <c r="AR840" s="10">
        <f t="shared" si="113"/>
        <v>636.54999999999995</v>
      </c>
      <c r="AS840" s="11">
        <f t="shared" si="114"/>
        <v>0.43285936745615644</v>
      </c>
      <c r="AT840" s="9">
        <f t="shared" si="115"/>
        <v>4</v>
      </c>
      <c r="AU840" s="9">
        <f t="shared" si="116"/>
        <v>2025</v>
      </c>
      <c r="AV840" s="9" t="b">
        <f t="shared" si="117"/>
        <v>0</v>
      </c>
      <c r="AW840" s="9" t="b">
        <f t="shared" si="118"/>
        <v>0</v>
      </c>
      <c r="AX840" s="9" t="str">
        <f t="shared" si="119"/>
        <v>No</v>
      </c>
      <c r="AY840" s="9" t="str">
        <f t="shared" si="123"/>
        <v>Returned order excluded</v>
      </c>
      <c r="AZ840" s="9" t="str">
        <f>IF(OR(G840="Missing date",G840="Invalid date",G840="Ship date before order date",NOT(ISNUMBER(AP840)),AP840&lt;0,AP840&gt;0.5,AV840=TRUE,AW840=TRUE),"Invalid",IF(OR(O840="Unknown",Z840="Unknown",AC840="",AH840&lt;&gt;"Paid",AJ840&lt;&gt;"Completed",AO840&lt;&gt;""),"Warning","Clean"))</f>
        <v>Warning</v>
      </c>
    </row>
    <row r="841" spans="1:52" ht="15.75" customHeight="1">
      <c r="A841" s="6" t="s">
        <v>3947</v>
      </c>
      <c r="B841" s="7" t="s">
        <v>3948</v>
      </c>
      <c r="C841" s="7" t="str">
        <f t="shared" si="122"/>
        <v>2024-09</v>
      </c>
      <c r="D841" s="7" cm="1">
        <f t="array" ref="D841">_xlfn.LET(_xlpm.x,B841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45555</v>
      </c>
      <c r="E841" s="7" t="s">
        <v>3949</v>
      </c>
      <c r="F841" s="7" cm="1">
        <f t="array" ref="F841">_xlfn.LET(_xlpm.x,E841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45557</v>
      </c>
      <c r="G841" s="8" t="str">
        <f t="shared" si="96"/>
        <v>OK</v>
      </c>
      <c r="H841" s="6">
        <f t="shared" si="97"/>
        <v>2</v>
      </c>
      <c r="I841" s="6" t="s">
        <v>3950</v>
      </c>
      <c r="J841" s="6" t="s">
        <v>257</v>
      </c>
      <c r="K841" s="6" t="str">
        <f t="shared" si="98"/>
        <v>Rohan Mehta</v>
      </c>
      <c r="L841" s="6" t="s">
        <v>44</v>
      </c>
      <c r="M841" s="8" t="str">
        <f t="shared" si="99"/>
        <v>Home Office</v>
      </c>
      <c r="N841" s="6" t="s">
        <v>8</v>
      </c>
      <c r="O841" s="6" t="str">
        <f t="shared" si="100"/>
        <v>East</v>
      </c>
      <c r="P841" s="6" t="s">
        <v>140</v>
      </c>
      <c r="Q841" s="6" t="str">
        <f t="shared" si="101"/>
        <v>Odisha</v>
      </c>
      <c r="R841" s="6" t="s">
        <v>141</v>
      </c>
      <c r="S841" s="6" t="str">
        <f t="shared" si="102"/>
        <v>Bhubaneswar</v>
      </c>
      <c r="T841" s="6" t="s">
        <v>27</v>
      </c>
      <c r="U841" s="8" t="str">
        <f t="shared" si="103"/>
        <v>Technology</v>
      </c>
      <c r="V841" s="6" t="s">
        <v>31</v>
      </c>
      <c r="W841" s="6" t="str">
        <f t="shared" si="104"/>
        <v>Phones</v>
      </c>
      <c r="X841" s="6" t="s">
        <v>3951</v>
      </c>
      <c r="Y841" s="6" t="s">
        <v>34</v>
      </c>
      <c r="Z841" s="6" t="str">
        <f t="shared" si="105"/>
        <v>Standard Class</v>
      </c>
      <c r="AA841" s="6">
        <v>8</v>
      </c>
      <c r="AB841" s="6">
        <v>531.42999999999995</v>
      </c>
      <c r="AC841" s="6">
        <v>0.1</v>
      </c>
      <c r="AD841" s="6">
        <v>3826.3</v>
      </c>
      <c r="AE841" s="6">
        <v>2194.12</v>
      </c>
      <c r="AF841" s="6">
        <v>1632.18</v>
      </c>
      <c r="AG841" s="6" t="s">
        <v>52</v>
      </c>
      <c r="AH841" s="6" t="str">
        <f t="shared" si="106"/>
        <v>Paid</v>
      </c>
      <c r="AI841" s="6" t="s">
        <v>134</v>
      </c>
      <c r="AJ841" s="6" t="str">
        <f t="shared" si="107"/>
        <v>Completed</v>
      </c>
      <c r="AK841" s="9" t="str">
        <f>_xlfn.TEXTJOIN("|",FALSE,A841,TEXT(B841,"mm-dd-yyyy"),TEXT(E841,"mm-dd-yyyy"),I841,J841,L841,N841,P841,R841,T841,V841,X841,Y841,AA841,AB841,AC841,AD841,AE841,AF841,AG841,AI841)</f>
        <v>ORD-2024-10840|09-20-2024|22-09-2024|CUST-8206|Rohan Mehta|Home Office|East|Odisha|Bhubaneswar|Technology|Phones|Basic Phones 398|Standard Class|8|531.43|0.1|3826.3|2194.12|1632.18|Paid|Completed</v>
      </c>
      <c r="AL841" s="27" t="str">
        <f>IF(COUNTIF($AK$2:AK841,AK841)&gt;1,"Remove exact duplicate copy","Keep")</f>
        <v>Keep</v>
      </c>
      <c r="AM841" s="9">
        <f t="shared" si="108"/>
        <v>1</v>
      </c>
      <c r="AN841" s="9" t="str">
        <f t="shared" si="109"/>
        <v>Unique</v>
      </c>
      <c r="AO841" s="9" t="str">
        <f t="shared" si="110"/>
        <v/>
      </c>
      <c r="AP841" s="9">
        <f t="shared" si="111"/>
        <v>0.1</v>
      </c>
      <c r="AQ841" s="10">
        <f t="shared" si="112"/>
        <v>3826.2959999999998</v>
      </c>
      <c r="AR841" s="10">
        <f t="shared" si="113"/>
        <v>1632.1759999999999</v>
      </c>
      <c r="AS841" s="11">
        <f t="shared" si="114"/>
        <v>0.42656814841298218</v>
      </c>
      <c r="AT841" s="9">
        <f t="shared" si="115"/>
        <v>9</v>
      </c>
      <c r="AU841" s="9">
        <f t="shared" si="116"/>
        <v>2024</v>
      </c>
      <c r="AV841" s="9" t="b">
        <f t="shared" si="117"/>
        <v>0</v>
      </c>
      <c r="AW841" s="9" t="b">
        <f t="shared" si="118"/>
        <v>0</v>
      </c>
      <c r="AX841" s="9" t="str">
        <f t="shared" si="119"/>
        <v>Yes</v>
      </c>
      <c r="AY841" s="9" t="str">
        <f t="shared" si="123"/>
        <v/>
      </c>
      <c r="AZ841" s="9" t="str">
        <f>IF(OR(G841="Missing date",G841="Invalid date",G841="Ship date before order date",NOT(ISNUMBER(AP841)),AP841&lt;0,AP841&gt;0.5,AV841=TRUE,AW841=TRUE),"Invalid",IF(OR(O841="Unknown",Z841="Unknown",AC841="",AH841&lt;&gt;"Paid",AJ841&lt;&gt;"Completed",AO841&lt;&gt;""),"Warning","Clean"))</f>
        <v>Clean</v>
      </c>
    </row>
    <row r="842" spans="1:52" ht="15.75" customHeight="1">
      <c r="A842" s="6" t="s">
        <v>3952</v>
      </c>
      <c r="B842" s="7" t="s">
        <v>1985</v>
      </c>
      <c r="C842" s="7" t="str">
        <f t="shared" si="122"/>
        <v>2025-09</v>
      </c>
      <c r="D842" s="7" cm="1">
        <f t="array" ref="D842">_xlfn.LET(_xlpm.x,B842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45919</v>
      </c>
      <c r="E842" s="7" t="s">
        <v>2287</v>
      </c>
      <c r="F842" s="7" cm="1">
        <f t="array" ref="F842">_xlfn.LET(_xlpm.x,E842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45919</v>
      </c>
      <c r="G842" s="8" t="str">
        <f t="shared" si="96"/>
        <v>OK</v>
      </c>
      <c r="H842" s="6">
        <f t="shared" si="97"/>
        <v>0</v>
      </c>
      <c r="I842" s="6" t="s">
        <v>3953</v>
      </c>
      <c r="J842" s="6" t="s">
        <v>177</v>
      </c>
      <c r="K842" s="6" t="str">
        <f t="shared" si="98"/>
        <v>Neha Gupta</v>
      </c>
      <c r="L842" s="6" t="s">
        <v>44</v>
      </c>
      <c r="M842" s="8" t="str">
        <f t="shared" si="99"/>
        <v>Home Office</v>
      </c>
      <c r="N842" s="6" t="s">
        <v>7</v>
      </c>
      <c r="O842" s="6" t="str">
        <f t="shared" si="100"/>
        <v>North</v>
      </c>
      <c r="P842" s="6" t="s">
        <v>583</v>
      </c>
      <c r="Q842" s="6" t="str">
        <f t="shared" si="101"/>
        <v>Delhi</v>
      </c>
      <c r="R842" s="6" t="s">
        <v>584</v>
      </c>
      <c r="S842" s="6" t="str">
        <f t="shared" si="102"/>
        <v>New Delhi</v>
      </c>
      <c r="T842" s="6" t="s">
        <v>14</v>
      </c>
      <c r="U842" s="8" t="str">
        <f t="shared" si="103"/>
        <v>Furniture</v>
      </c>
      <c r="V842" s="6" t="s">
        <v>16</v>
      </c>
      <c r="W842" s="6" t="str">
        <f t="shared" si="104"/>
        <v>Chairs</v>
      </c>
      <c r="X842" s="6" t="s">
        <v>3954</v>
      </c>
      <c r="Y842" s="6" t="s">
        <v>37</v>
      </c>
      <c r="Z842" s="6" t="str">
        <f t="shared" si="105"/>
        <v>Same Day</v>
      </c>
      <c r="AA842" s="6">
        <v>4</v>
      </c>
      <c r="AB842" s="6">
        <v>1584.11</v>
      </c>
      <c r="AC842" s="6">
        <v>0</v>
      </c>
      <c r="AD842" s="6">
        <v>6336.44</v>
      </c>
      <c r="AE842" s="6">
        <v>4680.68</v>
      </c>
      <c r="AF842" s="6">
        <v>1655.76</v>
      </c>
      <c r="AG842" s="6" t="s">
        <v>52</v>
      </c>
      <c r="AH842" s="6" t="str">
        <f t="shared" si="106"/>
        <v>Paid</v>
      </c>
      <c r="AI842" s="6" t="s">
        <v>134</v>
      </c>
      <c r="AJ842" s="6" t="str">
        <f t="shared" si="107"/>
        <v>Completed</v>
      </c>
      <c r="AK842" s="9" t="str">
        <f>_xlfn.TEXTJOIN("|",FALSE,A842,TEXT(B842,"mm-dd-yyyy"),TEXT(E842,"mm-dd-yyyy"),I842,J842,L842,N842,P842,R842,T842,V842,X842,Y842,AA842,AB842,AC842,AD842,AE842,AF842,AG842,AI842)</f>
        <v>ORD-2025-10841|09-19-2025|19-09-2025|CUST-1297|Neha Gupta|Home Office|North|Delhi|New Delhi|Furniture|Chairs|Classic Chairs 204|Same Day|4|1584.11|0|6336.44|4680.68|1655.76|Paid|Completed</v>
      </c>
      <c r="AL842" s="27" t="str">
        <f>IF(COUNTIF($AK$2:AK842,AK842)&gt;1,"Remove exact duplicate copy","Keep")</f>
        <v>Keep</v>
      </c>
      <c r="AM842" s="9">
        <f t="shared" si="108"/>
        <v>1</v>
      </c>
      <c r="AN842" s="9" t="str">
        <f t="shared" si="109"/>
        <v>Unique</v>
      </c>
      <c r="AO842" s="9" t="str">
        <f t="shared" si="110"/>
        <v/>
      </c>
      <c r="AP842" s="9">
        <f t="shared" si="111"/>
        <v>0</v>
      </c>
      <c r="AQ842" s="10">
        <f t="shared" si="112"/>
        <v>6336.44</v>
      </c>
      <c r="AR842" s="10">
        <f t="shared" si="113"/>
        <v>1655.7599999999993</v>
      </c>
      <c r="AS842" s="11">
        <f t="shared" si="114"/>
        <v>0.26130761121386764</v>
      </c>
      <c r="AT842" s="9">
        <f t="shared" si="115"/>
        <v>9</v>
      </c>
      <c r="AU842" s="9">
        <f t="shared" si="116"/>
        <v>2025</v>
      </c>
      <c r="AV842" s="9" t="b">
        <f t="shared" si="117"/>
        <v>0</v>
      </c>
      <c r="AW842" s="9" t="b">
        <f t="shared" si="118"/>
        <v>0</v>
      </c>
      <c r="AX842" s="9" t="str">
        <f t="shared" si="119"/>
        <v>Yes</v>
      </c>
      <c r="AY842" s="9" t="str">
        <f t="shared" si="123"/>
        <v/>
      </c>
      <c r="AZ842" s="9" t="str">
        <f>IF(OR(G842="Missing date",G842="Invalid date",G842="Ship date before order date",NOT(ISNUMBER(AP842)),AP842&lt;0,AP842&gt;0.5,AV842=TRUE,AW842=TRUE),"Invalid",IF(OR(O842="Unknown",Z842="Unknown",AC842="",AH842&lt;&gt;"Paid",AJ842&lt;&gt;"Completed",AO842&lt;&gt;""),"Warning","Clean"))</f>
        <v>Clean</v>
      </c>
    </row>
    <row r="843" spans="1:52" ht="15.75" customHeight="1">
      <c r="A843" s="6" t="s">
        <v>3955</v>
      </c>
      <c r="B843" s="7" t="s">
        <v>3956</v>
      </c>
      <c r="C843" s="7" t="str">
        <f t="shared" si="122"/>
        <v>2025-02</v>
      </c>
      <c r="D843" s="7" cm="1">
        <f t="array" ref="D843">_xlfn.LET(_xlpm.x,B843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45694</v>
      </c>
      <c r="E843" s="7" t="s">
        <v>3957</v>
      </c>
      <c r="F843" s="7" cm="1">
        <f t="array" ref="F843">_xlfn.LET(_xlpm.x,E843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45700</v>
      </c>
      <c r="G843" s="8" t="str">
        <f t="shared" si="96"/>
        <v>OK</v>
      </c>
      <c r="H843" s="6">
        <f t="shared" si="97"/>
        <v>6</v>
      </c>
      <c r="I843" s="6" t="s">
        <v>3958</v>
      </c>
      <c r="J843" s="6" t="s">
        <v>161</v>
      </c>
      <c r="K843" s="6" t="str">
        <f t="shared" si="98"/>
        <v>Ananya Rao</v>
      </c>
      <c r="L843" s="6" t="s">
        <v>46</v>
      </c>
      <c r="M843" s="8" t="str">
        <f t="shared" si="99"/>
        <v>Small Business</v>
      </c>
      <c r="N843" s="6" t="s">
        <v>8</v>
      </c>
      <c r="O843" s="6" t="str">
        <f t="shared" si="100"/>
        <v>East</v>
      </c>
      <c r="P843" s="6" t="s">
        <v>263</v>
      </c>
      <c r="Q843" s="6" t="str">
        <f t="shared" si="101"/>
        <v>Bihar</v>
      </c>
      <c r="R843" s="6" t="s">
        <v>264</v>
      </c>
      <c r="S843" s="6" t="str">
        <f t="shared" si="102"/>
        <v>Patna</v>
      </c>
      <c r="T843" s="6" t="s">
        <v>20</v>
      </c>
      <c r="U843" s="8" t="str">
        <f t="shared" si="103"/>
        <v>Office Supplies</v>
      </c>
      <c r="V843" s="6" t="s">
        <v>21</v>
      </c>
      <c r="W843" s="6" t="str">
        <f t="shared" si="104"/>
        <v>Art</v>
      </c>
      <c r="X843" s="6" t="s">
        <v>3959</v>
      </c>
      <c r="Y843" s="6" t="s">
        <v>34</v>
      </c>
      <c r="Z843" s="6" t="str">
        <f t="shared" si="105"/>
        <v>Standard Class</v>
      </c>
      <c r="AA843" s="6">
        <v>9</v>
      </c>
      <c r="AB843" s="6">
        <v>3237.16</v>
      </c>
      <c r="AC843" s="6">
        <v>0.25</v>
      </c>
      <c r="AD843" s="6">
        <v>21850.83</v>
      </c>
      <c r="AE843" s="6">
        <v>16600.13</v>
      </c>
      <c r="AF843" s="6">
        <v>5250.7</v>
      </c>
      <c r="AG843" s="6" t="s">
        <v>52</v>
      </c>
      <c r="AH843" s="6" t="str">
        <f t="shared" si="106"/>
        <v>Paid</v>
      </c>
      <c r="AI843" s="6" t="s">
        <v>134</v>
      </c>
      <c r="AJ843" s="6" t="str">
        <f t="shared" si="107"/>
        <v>Completed</v>
      </c>
      <c r="AK843" s="9" t="str">
        <f>_xlfn.TEXTJOIN("|",FALSE,A843,TEXT(B843,"mm-dd-yyyy"),TEXT(E843,"mm-dd-yyyy"),I843,J843,L843,N843,P843,R843,T843,V843,X843,Y843,AA843,AB843,AC843,AD843,AE843,AF843,AG843,AI843)</f>
        <v>ORD-2025-10842|02-06-2025|02-12-2025|CUST-7558|Ananya Rao|Small Business|East|Bihar|Patna|Office Supplies|Art|Max Art 339|Standard Class|9|3237.16|0.25|21850.83|16600.13|5250.7|Paid|Completed</v>
      </c>
      <c r="AL843" s="27" t="str">
        <f>IF(COUNTIF($AK$2:AK843,AK843)&gt;1,"Remove exact duplicate copy","Keep")</f>
        <v>Keep</v>
      </c>
      <c r="AM843" s="9">
        <f t="shared" si="108"/>
        <v>1</v>
      </c>
      <c r="AN843" s="9" t="str">
        <f t="shared" si="109"/>
        <v>Unique</v>
      </c>
      <c r="AO843" s="9" t="str">
        <f t="shared" si="110"/>
        <v/>
      </c>
      <c r="AP843" s="9">
        <f t="shared" si="111"/>
        <v>0.25</v>
      </c>
      <c r="AQ843" s="10">
        <f t="shared" si="112"/>
        <v>21850.829999999998</v>
      </c>
      <c r="AR843" s="10">
        <f t="shared" si="113"/>
        <v>5250.6999999999971</v>
      </c>
      <c r="AS843" s="11">
        <f t="shared" si="114"/>
        <v>0.2402975081495759</v>
      </c>
      <c r="AT843" s="9">
        <f t="shared" si="115"/>
        <v>2</v>
      </c>
      <c r="AU843" s="9">
        <f t="shared" si="116"/>
        <v>2025</v>
      </c>
      <c r="AV843" s="9" t="b">
        <f t="shared" si="117"/>
        <v>0</v>
      </c>
      <c r="AW843" s="9" t="b">
        <f t="shared" si="118"/>
        <v>0</v>
      </c>
      <c r="AX843" s="9" t="str">
        <f t="shared" si="119"/>
        <v>Yes</v>
      </c>
      <c r="AY843" s="9" t="str">
        <f t="shared" si="123"/>
        <v/>
      </c>
      <c r="AZ843" s="9" t="str">
        <f>IF(OR(G843="Missing date",G843="Invalid date",G843="Ship date before order date",NOT(ISNUMBER(AP843)),AP843&lt;0,AP843&gt;0.5,AV843=TRUE,AW843=TRUE),"Invalid",IF(OR(O843="Unknown",Z843="Unknown",AC843="",AH843&lt;&gt;"Paid",AJ843&lt;&gt;"Completed",AO843&lt;&gt;""),"Warning","Clean"))</f>
        <v>Clean</v>
      </c>
    </row>
    <row r="844" spans="1:52" ht="15.75" customHeight="1">
      <c r="A844" s="6" t="s">
        <v>3960</v>
      </c>
      <c r="B844" s="7" t="s">
        <v>3961</v>
      </c>
      <c r="C844" s="7" t="str">
        <f t="shared" si="122"/>
        <v>2024-03</v>
      </c>
      <c r="D844" s="7" cm="1">
        <f t="array" ref="D844">_xlfn.LET(_xlpm.x,B844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45382</v>
      </c>
      <c r="E844" s="7" t="s">
        <v>3962</v>
      </c>
      <c r="F844" s="7" cm="1">
        <f t="array" ref="F844">_xlfn.LET(_xlpm.x,E844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45381</v>
      </c>
      <c r="G844" s="8" t="str">
        <f t="shared" si="96"/>
        <v>Ship date before order date</v>
      </c>
      <c r="H844" s="6">
        <f t="shared" si="97"/>
        <v>-1</v>
      </c>
      <c r="I844" s="6" t="s">
        <v>3963</v>
      </c>
      <c r="J844" s="6" t="s">
        <v>3964</v>
      </c>
      <c r="K844" s="6" t="str">
        <f t="shared" si="98"/>
        <v>Kabir Singh</v>
      </c>
      <c r="L844" s="6" t="s">
        <v>43</v>
      </c>
      <c r="M844" s="8" t="str">
        <f t="shared" si="99"/>
        <v>Consumer</v>
      </c>
      <c r="N844" s="6" t="s">
        <v>7</v>
      </c>
      <c r="O844" s="6" t="str">
        <f t="shared" si="100"/>
        <v>North</v>
      </c>
      <c r="P844" s="6" t="s">
        <v>397</v>
      </c>
      <c r="Q844" s="6" t="str">
        <f t="shared" si="101"/>
        <v>Haryana</v>
      </c>
      <c r="R844" s="6" t="s">
        <v>398</v>
      </c>
      <c r="S844" s="6" t="str">
        <f t="shared" si="102"/>
        <v>Gurugram</v>
      </c>
      <c r="T844" s="6" t="s">
        <v>27</v>
      </c>
      <c r="U844" s="8" t="str">
        <f t="shared" si="103"/>
        <v>Technology</v>
      </c>
      <c r="V844" s="6" t="s">
        <v>30</v>
      </c>
      <c r="W844" s="6" t="str">
        <f t="shared" si="104"/>
        <v>Machines</v>
      </c>
      <c r="X844" s="6" t="s">
        <v>3965</v>
      </c>
      <c r="Y844" s="6" t="s">
        <v>35</v>
      </c>
      <c r="Z844" s="6" t="str">
        <f t="shared" si="105"/>
        <v>First Class</v>
      </c>
      <c r="AA844" s="6">
        <v>4</v>
      </c>
      <c r="AB844" s="6">
        <v>2192.08</v>
      </c>
      <c r="AC844" s="6">
        <v>0.15</v>
      </c>
      <c r="AD844" s="6">
        <v>7453.07</v>
      </c>
      <c r="AE844" s="6">
        <v>5133.78</v>
      </c>
      <c r="AF844" s="6">
        <v>2319.29</v>
      </c>
      <c r="AG844" s="6" t="s">
        <v>52</v>
      </c>
      <c r="AH844" s="6" t="str">
        <f t="shared" si="106"/>
        <v>Paid</v>
      </c>
      <c r="AI844" s="6" t="s">
        <v>59</v>
      </c>
      <c r="AJ844" s="6" t="str">
        <f t="shared" si="107"/>
        <v>Returned</v>
      </c>
      <c r="AK844" s="9" t="str">
        <f>_xlfn.TEXTJOIN("|",FALSE,A844,TEXT(B844,"mm-dd-yyyy"),TEXT(E844,"mm-dd-yyyy"),I844,J844,L844,N844,P844,R844,T844,V844,X844,Y844,AA844,AB844,AC844,AD844,AE844,AF844,AG844,AI844)</f>
        <v>ORD-2024-10843|31-03-2024|03-30-2024|CUST-1798|kabir singh|Consumer|North|Haryana|Gurugram|Technology|Machines|Smart Machines 581|First Class|4|2192.08|0.15|7453.07|5133.78|2319.29|Paid|Returned</v>
      </c>
      <c r="AL844" s="27" t="str">
        <f>IF(COUNTIF($AK$2:AK844,AK844)&gt;1,"Remove exact duplicate copy","Keep")</f>
        <v>Keep</v>
      </c>
      <c r="AM844" s="9">
        <f t="shared" si="108"/>
        <v>1</v>
      </c>
      <c r="AN844" s="9" t="str">
        <f t="shared" si="109"/>
        <v>Unique</v>
      </c>
      <c r="AO844" s="9" t="str">
        <f t="shared" si="110"/>
        <v/>
      </c>
      <c r="AP844" s="9">
        <f t="shared" si="111"/>
        <v>0.15</v>
      </c>
      <c r="AQ844" s="10">
        <f t="shared" si="112"/>
        <v>7453.0719999999992</v>
      </c>
      <c r="AR844" s="10">
        <f t="shared" si="113"/>
        <v>2319.2919999999995</v>
      </c>
      <c r="AS844" s="11">
        <f t="shared" si="114"/>
        <v>0.31118604516365866</v>
      </c>
      <c r="AT844" s="9">
        <f t="shared" si="115"/>
        <v>3</v>
      </c>
      <c r="AU844" s="9">
        <f t="shared" si="116"/>
        <v>2024</v>
      </c>
      <c r="AV844" s="9" t="b">
        <f t="shared" si="117"/>
        <v>0</v>
      </c>
      <c r="AW844" s="9" t="b">
        <f t="shared" si="118"/>
        <v>0</v>
      </c>
      <c r="AX844" s="9" t="str">
        <f t="shared" si="119"/>
        <v>No</v>
      </c>
      <c r="AY844" s="9" t="str">
        <f t="shared" si="123"/>
        <v>Ship date before order date; Returned order excluded</v>
      </c>
      <c r="AZ844" s="9" t="str">
        <f>IF(OR(G844="Missing date",G844="Invalid date",G844="Ship date before order date",NOT(ISNUMBER(AP844)),AP844&lt;0,AP844&gt;0.5,AV844=TRUE,AW844=TRUE),"Invalid",IF(OR(O844="Unknown",Z844="Unknown",AC844="",AH844&lt;&gt;"Paid",AJ844&lt;&gt;"Completed",AO844&lt;&gt;""),"Warning","Clean"))</f>
        <v>Invalid</v>
      </c>
    </row>
    <row r="845" spans="1:52" ht="15.75" customHeight="1">
      <c r="A845" s="6" t="s">
        <v>3966</v>
      </c>
      <c r="B845" s="7" t="s">
        <v>2793</v>
      </c>
      <c r="C845" s="7" t="str">
        <f t="shared" si="122"/>
        <v>2025-07</v>
      </c>
      <c r="D845" s="7" cm="1">
        <f t="array" ref="D845">_xlfn.LET(_xlpm.x,B845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45856</v>
      </c>
      <c r="E845" s="7" t="s">
        <v>3967</v>
      </c>
      <c r="F845" s="7" cm="1">
        <f t="array" ref="F845">_xlfn.LET(_xlpm.x,E845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45863</v>
      </c>
      <c r="G845" s="8" t="str">
        <f t="shared" si="96"/>
        <v>OK</v>
      </c>
      <c r="H845" s="6">
        <f t="shared" si="97"/>
        <v>7</v>
      </c>
      <c r="I845" s="6" t="s">
        <v>3968</v>
      </c>
      <c r="J845" s="6" t="s">
        <v>220</v>
      </c>
      <c r="K845" s="6" t="str">
        <f t="shared" si="98"/>
        <v>Priya Menon</v>
      </c>
      <c r="L845" s="6" t="s">
        <v>46</v>
      </c>
      <c r="M845" s="8" t="str">
        <f t="shared" si="99"/>
        <v>Small Business</v>
      </c>
      <c r="N845" s="6" t="s">
        <v>7</v>
      </c>
      <c r="O845" s="6" t="str">
        <f t="shared" si="100"/>
        <v>North</v>
      </c>
      <c r="P845" s="6" t="s">
        <v>251</v>
      </c>
      <c r="Q845" s="6" t="str">
        <f t="shared" si="101"/>
        <v>Uttar Pradesh</v>
      </c>
      <c r="R845" s="6" t="s">
        <v>252</v>
      </c>
      <c r="S845" s="6" t="str">
        <f t="shared" si="102"/>
        <v>Noida</v>
      </c>
      <c r="T845" s="6" t="s">
        <v>27</v>
      </c>
      <c r="U845" s="8" t="str">
        <f t="shared" si="103"/>
        <v>Technology</v>
      </c>
      <c r="V845" s="6" t="s">
        <v>31</v>
      </c>
      <c r="W845" s="6" t="str">
        <f t="shared" si="104"/>
        <v>Phones</v>
      </c>
      <c r="X845" s="6" t="s">
        <v>3969</v>
      </c>
      <c r="Y845" s="6" t="s">
        <v>35</v>
      </c>
      <c r="Z845" s="6" t="str">
        <f t="shared" si="105"/>
        <v>First Class</v>
      </c>
      <c r="AA845" s="6">
        <v>9</v>
      </c>
      <c r="AB845" s="6">
        <v>3989.52</v>
      </c>
      <c r="AC845" s="6">
        <v>-0.02</v>
      </c>
      <c r="AD845" s="6">
        <v>35905.68</v>
      </c>
      <c r="AE845" s="6">
        <v>23916.1</v>
      </c>
      <c r="AF845" s="6">
        <v>11989.58</v>
      </c>
      <c r="AG845" s="6" t="s">
        <v>52</v>
      </c>
      <c r="AH845" s="6" t="str">
        <f t="shared" si="106"/>
        <v>Paid</v>
      </c>
      <c r="AI845" s="6" t="s">
        <v>134</v>
      </c>
      <c r="AJ845" s="6" t="str">
        <f t="shared" si="107"/>
        <v>Completed</v>
      </c>
      <c r="AK845" s="9" t="str">
        <f>_xlfn.TEXTJOIN("|",FALSE,A845,TEXT(B845,"mm-dd-yyyy"),TEXT(E845,"mm-dd-yyyy"),I845,J845,L845,N845,P845,R845,T845,V845,X845,Y845,AA845,AB845,AC845,AD845,AE845,AF845,AG845,AI845)</f>
        <v>ORD-2025-10844|07-18-2025|07-25-2025|CUST-7333|Priya Menon|Small Business|North|Uttar Pradesh|Noida|Technology|Phones|Prime Phones 482|First Class|9|3989.52|-0.02|35905.68|23916.1|11989.58|Paid|Completed</v>
      </c>
      <c r="AL845" s="27" t="str">
        <f>IF(COUNTIF($AK$2:AK845,AK845)&gt;1,"Remove exact duplicate copy","Keep")</f>
        <v>Keep</v>
      </c>
      <c r="AM845" s="9">
        <f t="shared" si="108"/>
        <v>1</v>
      </c>
      <c r="AN845" s="9" t="str">
        <f t="shared" si="109"/>
        <v>Unique</v>
      </c>
      <c r="AO845" s="9" t="str">
        <f t="shared" si="110"/>
        <v/>
      </c>
      <c r="AP845" s="9">
        <f t="shared" si="111"/>
        <v>-0.02</v>
      </c>
      <c r="AQ845" s="10">
        <f t="shared" si="112"/>
        <v>36623.793600000005</v>
      </c>
      <c r="AR845" s="10">
        <f t="shared" si="113"/>
        <v>12707.693600000006</v>
      </c>
      <c r="AS845" s="11">
        <f t="shared" si="114"/>
        <v>0.34697917257812433</v>
      </c>
      <c r="AT845" s="9">
        <f t="shared" si="115"/>
        <v>7</v>
      </c>
      <c r="AU845" s="9">
        <f t="shared" si="116"/>
        <v>2025</v>
      </c>
      <c r="AV845" s="9" t="b">
        <f t="shared" si="117"/>
        <v>1</v>
      </c>
      <c r="AW845" s="9" t="b">
        <f t="shared" si="118"/>
        <v>1</v>
      </c>
      <c r="AX845" s="9" t="str">
        <f t="shared" si="119"/>
        <v>No</v>
      </c>
      <c r="AY845" s="9" t="str">
        <f t="shared" si="123"/>
        <v>Negative discount; Sales mismatch; Profit mismatch</v>
      </c>
      <c r="AZ845" s="9" t="str">
        <f>IF(OR(G845="Missing date",G845="Invalid date",G845="Ship date before order date",NOT(ISNUMBER(AP845)),AP845&lt;0,AP845&gt;0.5,AV845=TRUE,AW845=TRUE),"Invalid",IF(OR(O845="Unknown",Z845="Unknown",AC845="",AH845&lt;&gt;"Paid",AJ845&lt;&gt;"Completed",AO845&lt;&gt;""),"Warning","Clean"))</f>
        <v>Invalid</v>
      </c>
    </row>
    <row r="846" spans="1:52" ht="15.75" customHeight="1">
      <c r="A846" s="6" t="s">
        <v>3970</v>
      </c>
      <c r="B846" s="7" t="s">
        <v>3971</v>
      </c>
      <c r="C846" s="7" t="str">
        <f t="shared" si="122"/>
        <v>2025-01</v>
      </c>
      <c r="D846" s="7" cm="1">
        <f t="array" ref="D846">_xlfn.LET(_xlpm.x,B846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45677</v>
      </c>
      <c r="E846" s="7" t="s">
        <v>3972</v>
      </c>
      <c r="F846" s="7" cm="1">
        <f t="array" ref="F846">_xlfn.LET(_xlpm.x,E846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45682</v>
      </c>
      <c r="G846" s="8" t="str">
        <f t="shared" si="96"/>
        <v>OK</v>
      </c>
      <c r="H846" s="6">
        <f t="shared" si="97"/>
        <v>5</v>
      </c>
      <c r="I846" s="6" t="s">
        <v>3973</v>
      </c>
      <c r="J846" s="6" t="s">
        <v>190</v>
      </c>
      <c r="K846" s="6" t="str">
        <f t="shared" si="98"/>
        <v>Aditi Sen</v>
      </c>
      <c r="L846" s="6" t="s">
        <v>44</v>
      </c>
      <c r="M846" s="8" t="str">
        <f t="shared" si="99"/>
        <v>Home Office</v>
      </c>
      <c r="N846" s="6" t="s">
        <v>9</v>
      </c>
      <c r="O846" s="6" t="str">
        <f t="shared" si="100"/>
        <v>West</v>
      </c>
      <c r="P846" s="6" t="s">
        <v>323</v>
      </c>
      <c r="Q846" s="6" t="str">
        <f t="shared" si="101"/>
        <v>Goa</v>
      </c>
      <c r="R846" s="6" t="s">
        <v>324</v>
      </c>
      <c r="S846" s="6" t="str">
        <f t="shared" si="102"/>
        <v>Panaji</v>
      </c>
      <c r="T846" s="6" t="s">
        <v>20</v>
      </c>
      <c r="U846" s="8" t="str">
        <f t="shared" si="103"/>
        <v>Office Supplies</v>
      </c>
      <c r="V846" s="6" t="s">
        <v>21</v>
      </c>
      <c r="W846" s="6" t="str">
        <f t="shared" si="104"/>
        <v>Art</v>
      </c>
      <c r="X846" s="6" t="s">
        <v>3974</v>
      </c>
      <c r="Y846" s="6" t="s">
        <v>35</v>
      </c>
      <c r="Z846" s="6" t="str">
        <f t="shared" si="105"/>
        <v>First Class</v>
      </c>
      <c r="AA846" s="6">
        <v>1</v>
      </c>
      <c r="AB846" s="6">
        <v>3515.15</v>
      </c>
      <c r="AC846" s="6">
        <v>0</v>
      </c>
      <c r="AD846" s="6">
        <v>3515.15</v>
      </c>
      <c r="AE846" s="6">
        <v>2216.34</v>
      </c>
      <c r="AF846" s="6">
        <v>1298.81</v>
      </c>
      <c r="AG846" s="6" t="s">
        <v>52</v>
      </c>
      <c r="AH846" s="6" t="str">
        <f t="shared" si="106"/>
        <v>Paid</v>
      </c>
      <c r="AI846" s="6" t="s">
        <v>134</v>
      </c>
      <c r="AJ846" s="6" t="str">
        <f t="shared" si="107"/>
        <v>Completed</v>
      </c>
      <c r="AK846" s="9" t="str">
        <f>_xlfn.TEXTJOIN("|",FALSE,A846,TEXT(B846,"mm-dd-yyyy"),TEXT(E846,"mm-dd-yyyy"),I846,J846,L846,N846,P846,R846,T846,V846,X846,Y846,AA846,AB846,AC846,AD846,AE846,AF846,AG846,AI846)</f>
        <v>ORD-2025-10845|20-01-2025|25-01-2025|CUST-2086|Aditi Sen|Home Office|West|Goa|Panaji|Office Supplies|Art|Pro Art 588|First Class|1|3515.15|0|3515.15|2216.34|1298.81|Paid|Completed</v>
      </c>
      <c r="AL846" s="27" t="str">
        <f>IF(COUNTIF($AK$2:AK846,AK846)&gt;1,"Remove exact duplicate copy","Keep")</f>
        <v>Keep</v>
      </c>
      <c r="AM846" s="9">
        <f t="shared" si="108"/>
        <v>1</v>
      </c>
      <c r="AN846" s="9" t="str">
        <f t="shared" si="109"/>
        <v>Unique</v>
      </c>
      <c r="AO846" s="9" t="str">
        <f t="shared" si="110"/>
        <v/>
      </c>
      <c r="AP846" s="9">
        <f t="shared" si="111"/>
        <v>0</v>
      </c>
      <c r="AQ846" s="10">
        <f t="shared" si="112"/>
        <v>3515.15</v>
      </c>
      <c r="AR846" s="10">
        <f t="shared" si="113"/>
        <v>1298.81</v>
      </c>
      <c r="AS846" s="11">
        <f t="shared" si="114"/>
        <v>0.36948921098672882</v>
      </c>
      <c r="AT846" s="9">
        <f t="shared" si="115"/>
        <v>1</v>
      </c>
      <c r="AU846" s="9">
        <f t="shared" si="116"/>
        <v>2025</v>
      </c>
      <c r="AV846" s="9" t="b">
        <f t="shared" si="117"/>
        <v>0</v>
      </c>
      <c r="AW846" s="9" t="b">
        <f t="shared" si="118"/>
        <v>0</v>
      </c>
      <c r="AX846" s="9" t="str">
        <f t="shared" si="119"/>
        <v>Yes</v>
      </c>
      <c r="AY846" s="9" t="str">
        <f t="shared" si="123"/>
        <v/>
      </c>
      <c r="AZ846" s="9" t="str">
        <f>IF(OR(G846="Missing date",G846="Invalid date",G846="Ship date before order date",NOT(ISNUMBER(AP846)),AP846&lt;0,AP846&gt;0.5,AV846=TRUE,AW846=TRUE),"Invalid",IF(OR(O846="Unknown",Z846="Unknown",AC846="",AH846&lt;&gt;"Paid",AJ846&lt;&gt;"Completed",AO846&lt;&gt;""),"Warning","Clean"))</f>
        <v>Clean</v>
      </c>
    </row>
    <row r="847" spans="1:52" ht="15.75" customHeight="1">
      <c r="A847" s="6" t="s">
        <v>3975</v>
      </c>
      <c r="B847" s="7" t="s">
        <v>2866</v>
      </c>
      <c r="C847" s="7" t="str">
        <f t="shared" si="122"/>
        <v>2024-02</v>
      </c>
      <c r="D847" s="7" cm="1">
        <f t="array" ref="D847">_xlfn.LET(_xlpm.x,B847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45345</v>
      </c>
      <c r="E847" s="7" t="s">
        <v>3976</v>
      </c>
      <c r="F847" s="7" cm="1">
        <f t="array" ref="F847">_xlfn.LET(_xlpm.x,E847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45349</v>
      </c>
      <c r="G847" s="8" t="str">
        <f t="shared" si="96"/>
        <v>OK</v>
      </c>
      <c r="H847" s="6">
        <f t="shared" si="97"/>
        <v>4</v>
      </c>
      <c r="I847" s="6" t="s">
        <v>976</v>
      </c>
      <c r="J847" s="6" t="s">
        <v>129</v>
      </c>
      <c r="K847" s="6" t="str">
        <f t="shared" si="98"/>
        <v>Karan Malhotra</v>
      </c>
      <c r="L847" s="6" t="s">
        <v>43</v>
      </c>
      <c r="M847" s="8" t="str">
        <f t="shared" si="99"/>
        <v>Consumer</v>
      </c>
      <c r="N847" s="6" t="s">
        <v>8</v>
      </c>
      <c r="O847" s="6" t="str">
        <f t="shared" si="100"/>
        <v>East</v>
      </c>
      <c r="P847" s="6" t="s">
        <v>140</v>
      </c>
      <c r="Q847" s="6" t="str">
        <f t="shared" si="101"/>
        <v>Odisha</v>
      </c>
      <c r="R847" s="6" t="s">
        <v>141</v>
      </c>
      <c r="S847" s="6" t="str">
        <f t="shared" si="102"/>
        <v>Bhubaneswar</v>
      </c>
      <c r="T847" s="6" t="s">
        <v>14</v>
      </c>
      <c r="U847" s="8" t="str">
        <f t="shared" si="103"/>
        <v>Furniture</v>
      </c>
      <c r="V847" s="6" t="s">
        <v>18</v>
      </c>
      <c r="W847" s="6" t="str">
        <f t="shared" si="104"/>
        <v>Tables</v>
      </c>
      <c r="X847" s="6" t="s">
        <v>3977</v>
      </c>
      <c r="Y847" s="6" t="s">
        <v>35</v>
      </c>
      <c r="Z847" s="6" t="str">
        <f t="shared" si="105"/>
        <v>First Class</v>
      </c>
      <c r="AA847" s="6">
        <v>9</v>
      </c>
      <c r="AB847" s="6">
        <v>3616.23</v>
      </c>
      <c r="AC847" s="6">
        <v>0.25</v>
      </c>
      <c r="AD847" s="6">
        <v>24409.55</v>
      </c>
      <c r="AE847" s="6">
        <v>17157.580000000002</v>
      </c>
      <c r="AF847" s="6">
        <v>7251.97</v>
      </c>
      <c r="AG847" s="6" t="s">
        <v>54</v>
      </c>
      <c r="AH847" s="6" t="str">
        <f t="shared" si="106"/>
        <v>Pending</v>
      </c>
      <c r="AI847" s="6" t="s">
        <v>59</v>
      </c>
      <c r="AJ847" s="6" t="str">
        <f t="shared" si="107"/>
        <v>Returned</v>
      </c>
      <c r="AK847" s="9" t="str">
        <f>_xlfn.TEXTJOIN("|",FALSE,A847,TEXT(B847,"mm-dd-yyyy"),TEXT(E847,"mm-dd-yyyy"),I847,J847,L847,N847,P847,R847,T847,V847,X847,Y847,AA847,AB847,AC847,AD847,AE847,AF847,AG847,AI847)</f>
        <v>ORD-2024-10846|23-02-2024|02-27-2024|CUST-2367|Karan Malhotra|Consumer|East|Odisha|Bhubaneswar|Furniture|Tables|Eco Tables 792|First Class|9|3616.23|0.25|24409.55|17157.58|7251.97|Pending|Returned</v>
      </c>
      <c r="AL847" s="27" t="str">
        <f>IF(COUNTIF($AK$2:AK847,AK847)&gt;1,"Remove exact duplicate copy","Keep")</f>
        <v>Keep</v>
      </c>
      <c r="AM847" s="9">
        <f t="shared" si="108"/>
        <v>1</v>
      </c>
      <c r="AN847" s="9" t="str">
        <f t="shared" si="109"/>
        <v>Unique</v>
      </c>
      <c r="AO847" s="9" t="str">
        <f t="shared" si="110"/>
        <v/>
      </c>
      <c r="AP847" s="9">
        <f t="shared" si="111"/>
        <v>0.25</v>
      </c>
      <c r="AQ847" s="10">
        <f t="shared" si="112"/>
        <v>24409.552499999998</v>
      </c>
      <c r="AR847" s="10">
        <f t="shared" si="113"/>
        <v>7251.9724999999962</v>
      </c>
      <c r="AS847" s="11">
        <f t="shared" si="114"/>
        <v>0.29709567596538267</v>
      </c>
      <c r="AT847" s="9">
        <f t="shared" si="115"/>
        <v>2</v>
      </c>
      <c r="AU847" s="9">
        <f t="shared" si="116"/>
        <v>2024</v>
      </c>
      <c r="AV847" s="9" t="b">
        <f t="shared" si="117"/>
        <v>0</v>
      </c>
      <c r="AW847" s="9" t="b">
        <f t="shared" si="118"/>
        <v>0</v>
      </c>
      <c r="AX847" s="9" t="str">
        <f t="shared" si="119"/>
        <v>No</v>
      </c>
      <c r="AY847" s="9" t="str">
        <f t="shared" si="123"/>
        <v>Returned order excluded</v>
      </c>
      <c r="AZ847" s="9" t="str">
        <f>IF(OR(G847="Missing date",G847="Invalid date",G847="Ship date before order date",NOT(ISNUMBER(AP847)),AP847&lt;0,AP847&gt;0.5,AV847=TRUE,AW847=TRUE),"Invalid",IF(OR(O847="Unknown",Z847="Unknown",AC847="",AH847&lt;&gt;"Paid",AJ847&lt;&gt;"Completed",AO847&lt;&gt;""),"Warning","Clean"))</f>
        <v>Warning</v>
      </c>
    </row>
    <row r="848" spans="1:52" ht="15.75" customHeight="1">
      <c r="A848" s="6" t="s">
        <v>3978</v>
      </c>
      <c r="B848" s="7" t="s">
        <v>3979</v>
      </c>
      <c r="C848" s="7" t="str">
        <f t="shared" si="122"/>
        <v>2024-04</v>
      </c>
      <c r="D848" s="7" cm="1">
        <f t="array" ref="D848">_xlfn.LET(_xlpm.x,B848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45396</v>
      </c>
      <c r="E848" s="7" t="s">
        <v>3980</v>
      </c>
      <c r="F848" s="7" cm="1">
        <f t="array" ref="F848">_xlfn.LET(_xlpm.x,E848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45404</v>
      </c>
      <c r="G848" s="8" t="str">
        <f t="shared" si="96"/>
        <v>OK</v>
      </c>
      <c r="H848" s="6">
        <f t="shared" si="97"/>
        <v>8</v>
      </c>
      <c r="I848" s="6" t="s">
        <v>3981</v>
      </c>
      <c r="J848" s="6" t="s">
        <v>220</v>
      </c>
      <c r="K848" s="6" t="str">
        <f t="shared" si="98"/>
        <v>Priya Menon</v>
      </c>
      <c r="L848" s="6" t="s">
        <v>46</v>
      </c>
      <c r="M848" s="8" t="str">
        <f t="shared" si="99"/>
        <v>Small Business</v>
      </c>
      <c r="N848" s="6" t="s">
        <v>9</v>
      </c>
      <c r="O848" s="6" t="str">
        <f t="shared" si="100"/>
        <v>West</v>
      </c>
      <c r="P848" s="6" t="s">
        <v>309</v>
      </c>
      <c r="Q848" s="6" t="str">
        <f t="shared" si="101"/>
        <v>Gujarat</v>
      </c>
      <c r="R848" s="6" t="s">
        <v>310</v>
      </c>
      <c r="S848" s="6" t="str">
        <f t="shared" si="102"/>
        <v>Ahmedabad</v>
      </c>
      <c r="T848" s="6" t="s">
        <v>14</v>
      </c>
      <c r="U848" s="8" t="str">
        <f t="shared" si="103"/>
        <v>Furniture</v>
      </c>
      <c r="V848" s="6" t="s">
        <v>15</v>
      </c>
      <c r="W848" s="6" t="str">
        <f t="shared" si="104"/>
        <v>Bookcases</v>
      </c>
      <c r="X848" s="6" t="s">
        <v>3982</v>
      </c>
      <c r="Y848" s="6" t="s">
        <v>34</v>
      </c>
      <c r="Z848" s="6" t="str">
        <f t="shared" si="105"/>
        <v>Standard Class</v>
      </c>
      <c r="AA848" s="6">
        <v>2</v>
      </c>
      <c r="AB848" s="6">
        <v>3977.52</v>
      </c>
      <c r="AC848" s="6">
        <v>0</v>
      </c>
      <c r="AD848" s="6">
        <v>7955.04</v>
      </c>
      <c r="AE848" s="6">
        <v>5580.68</v>
      </c>
      <c r="AF848" s="6">
        <v>2374.36</v>
      </c>
      <c r="AG848" s="6" t="s">
        <v>54</v>
      </c>
      <c r="AH848" s="6" t="str">
        <f t="shared" si="106"/>
        <v>Pending</v>
      </c>
      <c r="AI848" s="6" t="s">
        <v>59</v>
      </c>
      <c r="AJ848" s="6" t="str">
        <f t="shared" si="107"/>
        <v>Returned</v>
      </c>
      <c r="AK848" s="9" t="str">
        <f>_xlfn.TEXTJOIN("|",FALSE,A848,TEXT(B848,"mm-dd-yyyy"),TEXT(E848,"mm-dd-yyyy"),I848,J848,L848,N848,P848,R848,T848,V848,X848,Y848,AA848,AB848,AC848,AD848,AE848,AF848,AG848,AI848)</f>
        <v>ORD-2024-10847|04-14-2024|04-22-2024|CUST-6522|Priya Menon|Small Business|West|Gujarat|Ahmedabad|Furniture|Bookcases|Prime Bookcases 177|Standard Class|2|3977.52|0|7955.04|5580.68|2374.36|Pending|Returned</v>
      </c>
      <c r="AL848" s="27" t="str">
        <f>IF(COUNTIF($AK$2:AK848,AK848)&gt;1,"Remove exact duplicate copy","Keep")</f>
        <v>Keep</v>
      </c>
      <c r="AM848" s="9">
        <f t="shared" si="108"/>
        <v>1</v>
      </c>
      <c r="AN848" s="9" t="str">
        <f t="shared" si="109"/>
        <v>Unique</v>
      </c>
      <c r="AO848" s="9" t="str">
        <f t="shared" si="110"/>
        <v/>
      </c>
      <c r="AP848" s="9">
        <f t="shared" si="111"/>
        <v>0</v>
      </c>
      <c r="AQ848" s="10">
        <f t="shared" si="112"/>
        <v>7955.04</v>
      </c>
      <c r="AR848" s="10">
        <f t="shared" si="113"/>
        <v>2374.3599999999997</v>
      </c>
      <c r="AS848" s="11">
        <f t="shared" si="114"/>
        <v>0.29847241497214339</v>
      </c>
      <c r="AT848" s="9">
        <f t="shared" si="115"/>
        <v>4</v>
      </c>
      <c r="AU848" s="9">
        <f t="shared" si="116"/>
        <v>2024</v>
      </c>
      <c r="AV848" s="9" t="b">
        <f t="shared" si="117"/>
        <v>0</v>
      </c>
      <c r="AW848" s="9" t="b">
        <f t="shared" si="118"/>
        <v>0</v>
      </c>
      <c r="AX848" s="9" t="str">
        <f t="shared" si="119"/>
        <v>No</v>
      </c>
      <c r="AY848" s="9" t="str">
        <f t="shared" si="123"/>
        <v>Returned order excluded</v>
      </c>
      <c r="AZ848" s="9" t="str">
        <f>IF(OR(G848="Missing date",G848="Invalid date",G848="Ship date before order date",NOT(ISNUMBER(AP848)),AP848&lt;0,AP848&gt;0.5,AV848=TRUE,AW848=TRUE),"Invalid",IF(OR(O848="Unknown",Z848="Unknown",AC848="",AH848&lt;&gt;"Paid",AJ848&lt;&gt;"Completed",AO848&lt;&gt;""),"Warning","Clean"))</f>
        <v>Warning</v>
      </c>
    </row>
    <row r="849" spans="1:52" ht="15.75" customHeight="1">
      <c r="A849" s="6" t="s">
        <v>3983</v>
      </c>
      <c r="B849" s="7" t="s">
        <v>3984</v>
      </c>
      <c r="C849" s="7" t="str">
        <f t="shared" si="122"/>
        <v>2025-05</v>
      </c>
      <c r="D849" s="7" cm="1">
        <f t="array" ref="D849">_xlfn.LET(_xlpm.x,B849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45797</v>
      </c>
      <c r="E849" s="7" t="s">
        <v>3985</v>
      </c>
      <c r="F849" s="7" cm="1">
        <f t="array" ref="F849">_xlfn.LET(_xlpm.x,E849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45799</v>
      </c>
      <c r="G849" s="8" t="str">
        <f t="shared" si="96"/>
        <v>OK</v>
      </c>
      <c r="H849" s="6">
        <f t="shared" si="97"/>
        <v>2</v>
      </c>
      <c r="I849" s="6" t="s">
        <v>3986</v>
      </c>
      <c r="J849" s="6" t="s">
        <v>284</v>
      </c>
      <c r="K849" s="6" t="str">
        <f t="shared" si="98"/>
        <v>Diya Patel</v>
      </c>
      <c r="L849" s="6" t="s">
        <v>44</v>
      </c>
      <c r="M849" s="8" t="str">
        <f t="shared" si="99"/>
        <v>Home Office</v>
      </c>
      <c r="N849" s="6" t="s">
        <v>8</v>
      </c>
      <c r="O849" s="6" t="str">
        <f t="shared" si="100"/>
        <v>East</v>
      </c>
      <c r="P849" s="6" t="s">
        <v>140</v>
      </c>
      <c r="Q849" s="6" t="str">
        <f t="shared" si="101"/>
        <v>Odisha</v>
      </c>
      <c r="R849" s="6" t="s">
        <v>141</v>
      </c>
      <c r="S849" s="6" t="str">
        <f t="shared" si="102"/>
        <v>Bhubaneswar</v>
      </c>
      <c r="T849" s="6" t="s">
        <v>14</v>
      </c>
      <c r="U849" s="8" t="str">
        <f t="shared" si="103"/>
        <v>Furniture</v>
      </c>
      <c r="V849" s="6" t="s">
        <v>18</v>
      </c>
      <c r="W849" s="6" t="str">
        <f t="shared" si="104"/>
        <v>Tables</v>
      </c>
      <c r="X849" s="6" t="s">
        <v>3987</v>
      </c>
      <c r="Y849" s="6" t="s">
        <v>36</v>
      </c>
      <c r="Z849" s="6" t="str">
        <f t="shared" si="105"/>
        <v>Second Class</v>
      </c>
      <c r="AA849" s="6">
        <v>2</v>
      </c>
      <c r="AB849" s="6">
        <v>210.08</v>
      </c>
      <c r="AC849" s="6">
        <v>0.2</v>
      </c>
      <c r="AD849" s="6">
        <v>336.13</v>
      </c>
      <c r="AE849" s="6">
        <v>242.19</v>
      </c>
      <c r="AF849" s="6">
        <v>93.94</v>
      </c>
      <c r="AG849" s="6" t="s">
        <v>52</v>
      </c>
      <c r="AH849" s="6" t="str">
        <f t="shared" si="106"/>
        <v>Paid</v>
      </c>
      <c r="AI849" s="6" t="s">
        <v>134</v>
      </c>
      <c r="AJ849" s="6" t="str">
        <f t="shared" si="107"/>
        <v>Completed</v>
      </c>
      <c r="AK849" s="9" t="str">
        <f>_xlfn.TEXTJOIN("|",FALSE,A849,TEXT(B849,"mm-dd-yyyy"),TEXT(E849,"mm-dd-yyyy"),I849,J849,L849,N849,P849,R849,T849,V849,X849,Y849,AA849,AB849,AC849,AD849,AE849,AF849,AG849,AI849)</f>
        <v>ORD-2025-10848|05-20-2025|05-22-2025|CUST-8329|Diya Patel|Home Office|East|Odisha|Bhubaneswar|Furniture|Tables|Pro Tables 828|Second Class|2|210.08|0.2|336.13|242.19|93.94|Paid|Completed</v>
      </c>
      <c r="AL849" s="27" t="str">
        <f>IF(COUNTIF($AK$2:AK849,AK849)&gt;1,"Remove exact duplicate copy","Keep")</f>
        <v>Keep</v>
      </c>
      <c r="AM849" s="9">
        <f t="shared" si="108"/>
        <v>1</v>
      </c>
      <c r="AN849" s="9" t="str">
        <f t="shared" si="109"/>
        <v>Unique</v>
      </c>
      <c r="AO849" s="9" t="str">
        <f t="shared" si="110"/>
        <v/>
      </c>
      <c r="AP849" s="9">
        <f t="shared" si="111"/>
        <v>0.2</v>
      </c>
      <c r="AQ849" s="10">
        <f t="shared" si="112"/>
        <v>336.12800000000004</v>
      </c>
      <c r="AR849" s="10">
        <f t="shared" si="113"/>
        <v>93.938000000000045</v>
      </c>
      <c r="AS849" s="11">
        <f t="shared" si="114"/>
        <v>0.27947091584158423</v>
      </c>
      <c r="AT849" s="9">
        <f t="shared" si="115"/>
        <v>5</v>
      </c>
      <c r="AU849" s="9">
        <f t="shared" si="116"/>
        <v>2025</v>
      </c>
      <c r="AV849" s="9" t="b">
        <f t="shared" si="117"/>
        <v>0</v>
      </c>
      <c r="AW849" s="9" t="b">
        <f t="shared" si="118"/>
        <v>0</v>
      </c>
      <c r="AX849" s="9" t="str">
        <f t="shared" si="119"/>
        <v>Yes</v>
      </c>
      <c r="AY849" s="9" t="str">
        <f t="shared" si="123"/>
        <v/>
      </c>
      <c r="AZ849" s="9" t="str">
        <f>IF(OR(G849="Missing date",G849="Invalid date",G849="Ship date before order date",NOT(ISNUMBER(AP849)),AP849&lt;0,AP849&gt;0.5,AV849=TRUE,AW849=TRUE),"Invalid",IF(OR(O849="Unknown",Z849="Unknown",AC849="",AH849&lt;&gt;"Paid",AJ849&lt;&gt;"Completed",AO849&lt;&gt;""),"Warning","Clean"))</f>
        <v>Clean</v>
      </c>
    </row>
    <row r="850" spans="1:52" ht="15.75" customHeight="1">
      <c r="A850" s="6" t="s">
        <v>3988</v>
      </c>
      <c r="B850" s="7" t="s">
        <v>3242</v>
      </c>
      <c r="C850" s="7" t="str">
        <f t="shared" si="122"/>
        <v>2025-05</v>
      </c>
      <c r="D850" s="7" cm="1">
        <f t="array" ref="D850">_xlfn.LET(_xlpm.x,B850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45804</v>
      </c>
      <c r="E850" s="7" t="s">
        <v>3989</v>
      </c>
      <c r="F850" s="7" cm="1">
        <f t="array" ref="F850">_xlfn.LET(_xlpm.x,E850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45806</v>
      </c>
      <c r="G850" s="8" t="str">
        <f t="shared" si="96"/>
        <v>OK</v>
      </c>
      <c r="H850" s="6">
        <f t="shared" si="97"/>
        <v>2</v>
      </c>
      <c r="I850" s="6" t="s">
        <v>3990</v>
      </c>
      <c r="J850" s="6" t="s">
        <v>226</v>
      </c>
      <c r="K850" s="6" t="str">
        <f t="shared" si="98"/>
        <v>Rahul Verma</v>
      </c>
      <c r="L850" s="6" t="s">
        <v>44</v>
      </c>
      <c r="M850" s="8" t="str">
        <f t="shared" si="99"/>
        <v>Home Office</v>
      </c>
      <c r="N850" s="6" t="s">
        <v>10</v>
      </c>
      <c r="O850" s="6" t="str">
        <f t="shared" si="100"/>
        <v>South</v>
      </c>
      <c r="P850" s="6" t="s">
        <v>413</v>
      </c>
      <c r="Q850" s="6" t="str">
        <f t="shared" si="101"/>
        <v>Tamil Nadu</v>
      </c>
      <c r="R850" s="6" t="s">
        <v>414</v>
      </c>
      <c r="S850" s="6" t="str">
        <f t="shared" si="102"/>
        <v>Chennai</v>
      </c>
      <c r="T850" s="6" t="s">
        <v>14</v>
      </c>
      <c r="U850" s="8" t="str">
        <f t="shared" si="103"/>
        <v>Furniture</v>
      </c>
      <c r="V850" s="6" t="s">
        <v>17</v>
      </c>
      <c r="W850" s="6" t="str">
        <f t="shared" si="104"/>
        <v>Furnishings</v>
      </c>
      <c r="X850" s="6" t="s">
        <v>3991</v>
      </c>
      <c r="Y850" s="6" t="s">
        <v>36</v>
      </c>
      <c r="Z850" s="6" t="str">
        <f t="shared" si="105"/>
        <v>Second Class</v>
      </c>
      <c r="AA850" s="6">
        <v>1</v>
      </c>
      <c r="AB850" s="6">
        <v>1744.35</v>
      </c>
      <c r="AC850" s="6">
        <v>0.25</v>
      </c>
      <c r="AD850" s="6">
        <v>1308.26</v>
      </c>
      <c r="AE850" s="6">
        <v>1083.56</v>
      </c>
      <c r="AF850" s="6">
        <v>224.7</v>
      </c>
      <c r="AG850" s="6" t="s">
        <v>52</v>
      </c>
      <c r="AH850" s="6" t="str">
        <f t="shared" si="106"/>
        <v>Paid</v>
      </c>
      <c r="AI850" s="6" t="s">
        <v>134</v>
      </c>
      <c r="AJ850" s="6" t="str">
        <f t="shared" si="107"/>
        <v>Completed</v>
      </c>
      <c r="AK850" s="9" t="str">
        <f>_xlfn.TEXTJOIN("|",FALSE,A850,TEXT(B850,"mm-dd-yyyy"),TEXT(E850,"mm-dd-yyyy"),I850,J850,L850,N850,P850,R850,T850,V850,X850,Y850,AA850,AB850,AC850,AD850,AE850,AF850,AG850,AI850)</f>
        <v>ORD-2025-10849|27-05-2025|05-29-2025|CUST-4426|Rahul Verma|Home Office|South|Tamil Nadu|Chennai|Furniture|Furnishings|Elite Furnishings 480|Second Class|1|1744.35|0.25|1308.26|1083.56|224.7|Paid|Completed</v>
      </c>
      <c r="AL850" s="27" t="str">
        <f>IF(COUNTIF($AK$2:AK850,AK850)&gt;1,"Remove exact duplicate copy","Keep")</f>
        <v>Keep</v>
      </c>
      <c r="AM850" s="9">
        <f t="shared" si="108"/>
        <v>1</v>
      </c>
      <c r="AN850" s="9" t="str">
        <f t="shared" si="109"/>
        <v>Unique</v>
      </c>
      <c r="AO850" s="9" t="str">
        <f t="shared" si="110"/>
        <v/>
      </c>
      <c r="AP850" s="9">
        <f t="shared" si="111"/>
        <v>0.25</v>
      </c>
      <c r="AQ850" s="10">
        <f t="shared" si="112"/>
        <v>1308.2624999999998</v>
      </c>
      <c r="AR850" s="10">
        <f t="shared" si="113"/>
        <v>224.70249999999987</v>
      </c>
      <c r="AS850" s="11">
        <f t="shared" si="114"/>
        <v>0.17175643267310645</v>
      </c>
      <c r="AT850" s="9">
        <f t="shared" si="115"/>
        <v>5</v>
      </c>
      <c r="AU850" s="9">
        <f t="shared" si="116"/>
        <v>2025</v>
      </c>
      <c r="AV850" s="9" t="b">
        <f t="shared" si="117"/>
        <v>0</v>
      </c>
      <c r="AW850" s="9" t="b">
        <f t="shared" si="118"/>
        <v>0</v>
      </c>
      <c r="AX850" s="9" t="str">
        <f t="shared" si="119"/>
        <v>Yes</v>
      </c>
      <c r="AY850" s="9" t="str">
        <f t="shared" si="123"/>
        <v/>
      </c>
      <c r="AZ850" s="9" t="str">
        <f>IF(OR(G850="Missing date",G850="Invalid date",G850="Ship date before order date",NOT(ISNUMBER(AP850)),AP850&lt;0,AP850&gt;0.5,AV850=TRUE,AW850=TRUE),"Invalid",IF(OR(O850="Unknown",Z850="Unknown",AC850="",AH850&lt;&gt;"Paid",AJ850&lt;&gt;"Completed",AO850&lt;&gt;""),"Warning","Clean"))</f>
        <v>Clean</v>
      </c>
    </row>
    <row r="851" spans="1:52" ht="15.75" customHeight="1">
      <c r="A851" s="6" t="s">
        <v>3992</v>
      </c>
      <c r="B851" s="7" t="s">
        <v>3993</v>
      </c>
      <c r="C851" s="7" t="str">
        <f t="shared" si="122"/>
        <v>2024-03</v>
      </c>
      <c r="D851" s="7" cm="1">
        <f t="array" ref="D851">_xlfn.LET(_xlpm.x,B851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45357</v>
      </c>
      <c r="E851" s="7" t="s">
        <v>1154</v>
      </c>
      <c r="F851" s="7" cm="1">
        <f t="array" ref="F851">_xlfn.LET(_xlpm.x,E851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45363</v>
      </c>
      <c r="G851" s="8" t="str">
        <f t="shared" si="96"/>
        <v>OK</v>
      </c>
      <c r="H851" s="6">
        <f t="shared" si="97"/>
        <v>6</v>
      </c>
      <c r="I851" s="6" t="s">
        <v>3994</v>
      </c>
      <c r="J851" s="6" t="s">
        <v>147</v>
      </c>
      <c r="K851" s="6" t="str">
        <f t="shared" si="98"/>
        <v>Isha Nair</v>
      </c>
      <c r="L851" s="6" t="s">
        <v>44</v>
      </c>
      <c r="M851" s="8" t="str">
        <f t="shared" si="99"/>
        <v>Home Office</v>
      </c>
      <c r="N851" s="6" t="s">
        <v>9</v>
      </c>
      <c r="O851" s="6" t="str">
        <f t="shared" si="100"/>
        <v>West</v>
      </c>
      <c r="P851" s="6" t="s">
        <v>309</v>
      </c>
      <c r="Q851" s="6" t="str">
        <f t="shared" si="101"/>
        <v>Gujarat</v>
      </c>
      <c r="R851" s="6" t="s">
        <v>310</v>
      </c>
      <c r="S851" s="6" t="str">
        <f t="shared" si="102"/>
        <v>Ahmedabad</v>
      </c>
      <c r="T851" s="6" t="s">
        <v>14</v>
      </c>
      <c r="U851" s="8" t="str">
        <f t="shared" si="103"/>
        <v>Furniture</v>
      </c>
      <c r="V851" s="6" t="s">
        <v>15</v>
      </c>
      <c r="W851" s="6" t="str">
        <f t="shared" si="104"/>
        <v>Bookcases</v>
      </c>
      <c r="X851" s="6" t="s">
        <v>3995</v>
      </c>
      <c r="Y851" s="6" t="s">
        <v>34</v>
      </c>
      <c r="Z851" s="6" t="str">
        <f t="shared" si="105"/>
        <v>Standard Class</v>
      </c>
      <c r="AA851" s="6">
        <v>3</v>
      </c>
      <c r="AB851" s="6">
        <v>679.63</v>
      </c>
      <c r="AC851" s="6">
        <v>0.2</v>
      </c>
      <c r="AD851" s="6">
        <v>1631.11</v>
      </c>
      <c r="AE851" s="6">
        <v>898.73</v>
      </c>
      <c r="AF851" s="6">
        <v>396.58</v>
      </c>
      <c r="AG851" s="6" t="s">
        <v>52</v>
      </c>
      <c r="AH851" s="6" t="str">
        <f t="shared" si="106"/>
        <v>Paid</v>
      </c>
      <c r="AI851" s="6" t="s">
        <v>799</v>
      </c>
      <c r="AJ851" s="6" t="str">
        <f t="shared" si="107"/>
        <v>Completed</v>
      </c>
      <c r="AK851" s="9" t="str">
        <f>_xlfn.TEXTJOIN("|",FALSE,A851,TEXT(B851,"mm-dd-yyyy"),TEXT(E851,"mm-dd-yyyy"),I851,J851,L851,N851,P851,R851,T851,V851,X851,Y851,AA851,AB851,AC851,AD851,AE851,AF851,AG851,AI851)</f>
        <v xml:space="preserve">ORD-2024-10850|03-06-2024|12-03-2024|CUST-3360|Isha Nair|Home Office|West|Gujarat|Ahmedabad|Furniture|Bookcases|Prime Bookcases 755|Standard Class|3|679.63|0.2|1631.11|898.73|396.58|Paid|Completed </v>
      </c>
      <c r="AL851" s="27" t="str">
        <f>IF(COUNTIF($AK$2:AK851,AK851)&gt;1,"Remove exact duplicate copy","Keep")</f>
        <v>Keep</v>
      </c>
      <c r="AM851" s="9">
        <f t="shared" si="108"/>
        <v>1</v>
      </c>
      <c r="AN851" s="9" t="str">
        <f t="shared" si="109"/>
        <v>Unique</v>
      </c>
      <c r="AO851" s="9" t="str">
        <f t="shared" si="110"/>
        <v/>
      </c>
      <c r="AP851" s="9">
        <f t="shared" si="111"/>
        <v>0.2</v>
      </c>
      <c r="AQ851" s="10">
        <f t="shared" si="112"/>
        <v>1631.1120000000001</v>
      </c>
      <c r="AR851" s="10">
        <f t="shared" si="113"/>
        <v>732.38200000000006</v>
      </c>
      <c r="AS851" s="11">
        <f t="shared" si="114"/>
        <v>0.44900779345624336</v>
      </c>
      <c r="AT851" s="9">
        <f t="shared" si="115"/>
        <v>3</v>
      </c>
      <c r="AU851" s="9">
        <f t="shared" si="116"/>
        <v>2024</v>
      </c>
      <c r="AV851" s="9" t="b">
        <f t="shared" si="117"/>
        <v>0</v>
      </c>
      <c r="AW851" s="9" t="b">
        <f t="shared" si="118"/>
        <v>1</v>
      </c>
      <c r="AX851" s="9" t="str">
        <f t="shared" si="119"/>
        <v>No</v>
      </c>
      <c r="AY851" s="9" t="str">
        <f t="shared" si="123"/>
        <v>Profit mismatch</v>
      </c>
      <c r="AZ851" s="9" t="str">
        <f>IF(OR(G851="Missing date",G851="Invalid date",G851="Ship date before order date",NOT(ISNUMBER(AP851)),AP851&lt;0,AP851&gt;0.5,AV851=TRUE,AW851=TRUE),"Invalid",IF(OR(O851="Unknown",Z851="Unknown",AC851="",AH851&lt;&gt;"Paid",AJ851&lt;&gt;"Completed",AO851&lt;&gt;""),"Warning","Clean"))</f>
        <v>Invalid</v>
      </c>
    </row>
    <row r="852" spans="1:52" ht="15.75" customHeight="1">
      <c r="A852" s="6" t="s">
        <v>3996</v>
      </c>
      <c r="B852" s="7" t="s">
        <v>2192</v>
      </c>
      <c r="C852" s="7" t="str">
        <f t="shared" si="122"/>
        <v>2024-06</v>
      </c>
      <c r="D852" s="7" cm="1">
        <f t="array" ref="D852">_xlfn.LET(_xlpm.x,B852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45473</v>
      </c>
      <c r="E852" s="7" t="s">
        <v>3872</v>
      </c>
      <c r="F852" s="7" cm="1">
        <f t="array" ref="F852">_xlfn.LET(_xlpm.x,E852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45476</v>
      </c>
      <c r="G852" s="8" t="str">
        <f t="shared" si="96"/>
        <v>OK</v>
      </c>
      <c r="H852" s="6">
        <f t="shared" si="97"/>
        <v>3</v>
      </c>
      <c r="I852" s="6" t="s">
        <v>3997</v>
      </c>
      <c r="J852" s="6" t="s">
        <v>220</v>
      </c>
      <c r="K852" s="6" t="str">
        <f t="shared" si="98"/>
        <v>Priya Menon</v>
      </c>
      <c r="L852" s="6" t="s">
        <v>44</v>
      </c>
      <c r="M852" s="8" t="str">
        <f t="shared" si="99"/>
        <v>Home Office</v>
      </c>
      <c r="N852" s="6" t="s">
        <v>8</v>
      </c>
      <c r="O852" s="6" t="str">
        <f t="shared" si="100"/>
        <v>East</v>
      </c>
      <c r="P852" s="6" t="s">
        <v>201</v>
      </c>
      <c r="Q852" s="6" t="str">
        <f t="shared" si="101"/>
        <v>West Bengal</v>
      </c>
      <c r="R852" s="6" t="s">
        <v>202</v>
      </c>
      <c r="S852" s="6" t="str">
        <f t="shared" si="102"/>
        <v>Kolkata</v>
      </c>
      <c r="T852" s="6" t="s">
        <v>20</v>
      </c>
      <c r="U852" s="8" t="str">
        <f t="shared" si="103"/>
        <v>Office Supplies</v>
      </c>
      <c r="V852" s="6" t="s">
        <v>24</v>
      </c>
      <c r="W852" s="6" t="str">
        <f t="shared" si="104"/>
        <v>Paper</v>
      </c>
      <c r="X852" s="6" t="s">
        <v>3998</v>
      </c>
      <c r="Y852" s="6" t="s">
        <v>35</v>
      </c>
      <c r="Z852" s="6" t="str">
        <f t="shared" si="105"/>
        <v>First Class</v>
      </c>
      <c r="AA852" s="6">
        <v>6</v>
      </c>
      <c r="AB852" s="6">
        <v>1211.01</v>
      </c>
      <c r="AC852" s="6">
        <v>0</v>
      </c>
      <c r="AD852" s="6">
        <v>7266.06</v>
      </c>
      <c r="AE852" s="6">
        <v>6216.89</v>
      </c>
      <c r="AF852" s="6">
        <v>1049.17</v>
      </c>
      <c r="AG852" s="6" t="s">
        <v>52</v>
      </c>
      <c r="AH852" s="6" t="str">
        <f t="shared" si="106"/>
        <v>Paid</v>
      </c>
      <c r="AI852" s="6" t="s">
        <v>134</v>
      </c>
      <c r="AJ852" s="6" t="str">
        <f t="shared" si="107"/>
        <v>Completed</v>
      </c>
      <c r="AK852" s="9" t="str">
        <f>_xlfn.TEXTJOIN("|",FALSE,A852,TEXT(B852,"mm-dd-yyyy"),TEXT(E852,"mm-dd-yyyy"),I852,J852,L852,N852,P852,R852,T852,V852,X852,Y852,AA852,AB852,AC852,AD852,AE852,AF852,AG852,AI852)</f>
        <v>ORD-2024-10851|30-06-2024|07-03-2024|CUST-2623|Priya Menon|Home Office|East|West Bengal|Kolkata|Office Supplies|Paper|Prime Paper 317|First Class|6|1211.01|0|7266.06|6216.89|1049.17|Paid|Completed</v>
      </c>
      <c r="AL852" s="27" t="str">
        <f>IF(COUNTIF($AK$2:AK852,AK852)&gt;1,"Remove exact duplicate copy","Keep")</f>
        <v>Keep</v>
      </c>
      <c r="AM852" s="9">
        <f t="shared" si="108"/>
        <v>1</v>
      </c>
      <c r="AN852" s="9" t="str">
        <f t="shared" si="109"/>
        <v>Unique</v>
      </c>
      <c r="AO852" s="9" t="str">
        <f t="shared" si="110"/>
        <v/>
      </c>
      <c r="AP852" s="9">
        <f t="shared" si="111"/>
        <v>0</v>
      </c>
      <c r="AQ852" s="10">
        <f t="shared" si="112"/>
        <v>7266.0599999999995</v>
      </c>
      <c r="AR852" s="10">
        <f t="shared" si="113"/>
        <v>1049.1699999999992</v>
      </c>
      <c r="AS852" s="11">
        <f t="shared" si="114"/>
        <v>0.14439324750965438</v>
      </c>
      <c r="AT852" s="9">
        <f t="shared" si="115"/>
        <v>6</v>
      </c>
      <c r="AU852" s="9">
        <f t="shared" si="116"/>
        <v>2024</v>
      </c>
      <c r="AV852" s="9" t="b">
        <f t="shared" si="117"/>
        <v>0</v>
      </c>
      <c r="AW852" s="9" t="b">
        <f t="shared" si="118"/>
        <v>0</v>
      </c>
      <c r="AX852" s="9" t="str">
        <f t="shared" si="119"/>
        <v>Yes</v>
      </c>
      <c r="AY852" s="9" t="str">
        <f t="shared" si="123"/>
        <v/>
      </c>
      <c r="AZ852" s="9" t="str">
        <f>IF(OR(G852="Missing date",G852="Invalid date",G852="Ship date before order date",NOT(ISNUMBER(AP852)),AP852&lt;0,AP852&gt;0.5,AV852=TRUE,AW852=TRUE),"Invalid",IF(OR(O852="Unknown",Z852="Unknown",AC852="",AH852&lt;&gt;"Paid",AJ852&lt;&gt;"Completed",AO852&lt;&gt;""),"Warning","Clean"))</f>
        <v>Clean</v>
      </c>
    </row>
    <row r="853" spans="1:52" ht="15.75" customHeight="1">
      <c r="A853" s="6" t="s">
        <v>3999</v>
      </c>
      <c r="B853" s="7" t="s">
        <v>889</v>
      </c>
      <c r="C853" s="7" t="str">
        <f t="shared" si="122"/>
        <v>2024-03</v>
      </c>
      <c r="D853" s="7" cm="1">
        <f t="array" ref="D853">_xlfn.LET(_xlpm.x,B853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45377</v>
      </c>
      <c r="E853" s="7" t="s">
        <v>3251</v>
      </c>
      <c r="F853" s="7" cm="1">
        <f t="array" ref="F853">_xlfn.LET(_xlpm.x,E853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45383</v>
      </c>
      <c r="G853" s="8" t="str">
        <f t="shared" si="96"/>
        <v>OK</v>
      </c>
      <c r="H853" s="6">
        <f t="shared" si="97"/>
        <v>6</v>
      </c>
      <c r="I853" s="6" t="s">
        <v>4000</v>
      </c>
      <c r="J853" s="6" t="s">
        <v>129</v>
      </c>
      <c r="K853" s="6" t="str">
        <f t="shared" si="98"/>
        <v>Karan Malhotra</v>
      </c>
      <c r="L853" s="6" t="s">
        <v>46</v>
      </c>
      <c r="M853" s="8" t="str">
        <f t="shared" si="99"/>
        <v>Small Business</v>
      </c>
      <c r="N853" s="6" t="s">
        <v>9</v>
      </c>
      <c r="O853" s="6" t="str">
        <f t="shared" si="100"/>
        <v>West</v>
      </c>
      <c r="P853" s="6" t="s">
        <v>309</v>
      </c>
      <c r="Q853" s="6" t="str">
        <f t="shared" si="101"/>
        <v>Gujarat</v>
      </c>
      <c r="R853" s="6" t="s">
        <v>310</v>
      </c>
      <c r="S853" s="6" t="str">
        <f t="shared" si="102"/>
        <v>Ahmedabad</v>
      </c>
      <c r="T853" s="6" t="s">
        <v>27</v>
      </c>
      <c r="U853" s="8" t="str">
        <f t="shared" si="103"/>
        <v>Technology</v>
      </c>
      <c r="V853" s="6" t="s">
        <v>28</v>
      </c>
      <c r="W853" s="6" t="str">
        <f t="shared" si="104"/>
        <v>Accessories</v>
      </c>
      <c r="X853" s="6" t="s">
        <v>4001</v>
      </c>
      <c r="Y853" s="6" t="s">
        <v>35</v>
      </c>
      <c r="Z853" s="6" t="str">
        <f t="shared" si="105"/>
        <v>First Class</v>
      </c>
      <c r="AA853" s="6">
        <v>2</v>
      </c>
      <c r="AB853" s="6">
        <v>1161.3</v>
      </c>
      <c r="AC853" s="6">
        <v>0.2</v>
      </c>
      <c r="AD853" s="6">
        <v>1858.08</v>
      </c>
      <c r="AE853" s="6">
        <v>1590.75</v>
      </c>
      <c r="AF853" s="6">
        <v>267.33</v>
      </c>
      <c r="AG853" s="6" t="s">
        <v>52</v>
      </c>
      <c r="AH853" s="6" t="str">
        <f t="shared" si="106"/>
        <v>Paid</v>
      </c>
      <c r="AI853" s="6" t="s">
        <v>134</v>
      </c>
      <c r="AJ853" s="6" t="str">
        <f t="shared" si="107"/>
        <v>Completed</v>
      </c>
      <c r="AK853" s="9" t="str">
        <f>_xlfn.TEXTJOIN("|",FALSE,A853,TEXT(B853,"mm-dd-yyyy"),TEXT(E853,"mm-dd-yyyy"),I853,J853,L853,N853,P853,R853,T853,V853,X853,Y853,AA853,AB853,AC853,AD853,AE853,AF853,AG853,AI853)</f>
        <v>ORD-2024-10852|03-26-2024|04-01-2024|CUST-3175|Karan Malhotra|Small Business|West|Gujarat|Ahmedabad|Technology|Accessories|Classic Accessories 933|First Class|2|1161.3|0.2|1858.08|1590.75|267.33|Paid|Completed</v>
      </c>
      <c r="AL853" s="27" t="str">
        <f>IF(COUNTIF($AK$2:AK853,AK853)&gt;1,"Remove exact duplicate copy","Keep")</f>
        <v>Keep</v>
      </c>
      <c r="AM853" s="9">
        <f t="shared" si="108"/>
        <v>1</v>
      </c>
      <c r="AN853" s="9" t="str">
        <f t="shared" si="109"/>
        <v>Unique</v>
      </c>
      <c r="AO853" s="9" t="str">
        <f t="shared" si="110"/>
        <v/>
      </c>
      <c r="AP853" s="9">
        <f t="shared" si="111"/>
        <v>0.2</v>
      </c>
      <c r="AQ853" s="10">
        <f t="shared" si="112"/>
        <v>1858.08</v>
      </c>
      <c r="AR853" s="10">
        <f t="shared" si="113"/>
        <v>267.32999999999993</v>
      </c>
      <c r="AS853" s="11">
        <f t="shared" si="114"/>
        <v>0.14387432188065097</v>
      </c>
      <c r="AT853" s="9">
        <f t="shared" si="115"/>
        <v>3</v>
      </c>
      <c r="AU853" s="9">
        <f t="shared" si="116"/>
        <v>2024</v>
      </c>
      <c r="AV853" s="9" t="b">
        <f t="shared" si="117"/>
        <v>0</v>
      </c>
      <c r="AW853" s="9" t="b">
        <f t="shared" si="118"/>
        <v>0</v>
      </c>
      <c r="AX853" s="9" t="str">
        <f t="shared" si="119"/>
        <v>Yes</v>
      </c>
      <c r="AY853" s="9" t="str">
        <f t="shared" si="123"/>
        <v/>
      </c>
      <c r="AZ853" s="9" t="str">
        <f>IF(OR(G853="Missing date",G853="Invalid date",G853="Ship date before order date",NOT(ISNUMBER(AP853)),AP853&lt;0,AP853&gt;0.5,AV853=TRUE,AW853=TRUE),"Invalid",IF(OR(O853="Unknown",Z853="Unknown",AC853="",AH853&lt;&gt;"Paid",AJ853&lt;&gt;"Completed",AO853&lt;&gt;""),"Warning","Clean"))</f>
        <v>Clean</v>
      </c>
    </row>
    <row r="854" spans="1:52" ht="15.75" customHeight="1">
      <c r="A854" s="6" t="s">
        <v>4002</v>
      </c>
      <c r="B854" s="7" t="s">
        <v>4003</v>
      </c>
      <c r="C854" s="7" t="str">
        <f t="shared" si="122"/>
        <v>2024-04</v>
      </c>
      <c r="D854" s="7" cm="1">
        <f t="array" ref="D854">_xlfn.LET(_xlpm.x,B854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45383</v>
      </c>
      <c r="E854" s="7" t="s">
        <v>3825</v>
      </c>
      <c r="F854" s="7" cm="1">
        <f t="array" ref="F854">_xlfn.LET(_xlpm.x,E854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45390</v>
      </c>
      <c r="G854" s="8" t="str">
        <f t="shared" si="96"/>
        <v>OK</v>
      </c>
      <c r="H854" s="6">
        <f t="shared" si="97"/>
        <v>7</v>
      </c>
      <c r="I854" s="6" t="s">
        <v>4004</v>
      </c>
      <c r="J854" s="6" t="s">
        <v>161</v>
      </c>
      <c r="K854" s="6" t="str">
        <f t="shared" si="98"/>
        <v>Ananya Rao</v>
      </c>
      <c r="L854" s="6" t="s">
        <v>43</v>
      </c>
      <c r="M854" s="8" t="str">
        <f t="shared" si="99"/>
        <v>Consumer</v>
      </c>
      <c r="N854" s="6" t="s">
        <v>8</v>
      </c>
      <c r="O854" s="6" t="str">
        <f t="shared" si="100"/>
        <v>East</v>
      </c>
      <c r="P854" s="6" t="s">
        <v>290</v>
      </c>
      <c r="Q854" s="6" t="str">
        <f t="shared" si="101"/>
        <v>Assam</v>
      </c>
      <c r="R854" s="6" t="s">
        <v>291</v>
      </c>
      <c r="S854" s="6" t="str">
        <f t="shared" si="102"/>
        <v>Guwahati</v>
      </c>
      <c r="T854" s="6" t="s">
        <v>14</v>
      </c>
      <c r="U854" s="8" t="str">
        <f t="shared" si="103"/>
        <v>Furniture</v>
      </c>
      <c r="V854" s="6" t="s">
        <v>18</v>
      </c>
      <c r="W854" s="6" t="str">
        <f t="shared" si="104"/>
        <v>Tables</v>
      </c>
      <c r="X854" s="6" t="s">
        <v>4005</v>
      </c>
      <c r="Y854" s="6" t="s">
        <v>36</v>
      </c>
      <c r="Z854" s="6" t="str">
        <f t="shared" si="105"/>
        <v>Second Class</v>
      </c>
      <c r="AA854" s="6">
        <v>7</v>
      </c>
      <c r="AB854" s="6">
        <v>4205.3500000000004</v>
      </c>
      <c r="AC854" s="6">
        <v>0.15</v>
      </c>
      <c r="AD854" s="6">
        <v>25021.83</v>
      </c>
      <c r="AE854" s="6">
        <v>15544.44</v>
      </c>
      <c r="AF854" s="6">
        <v>9477.39</v>
      </c>
      <c r="AG854" s="6" t="s">
        <v>54</v>
      </c>
      <c r="AH854" s="6" t="str">
        <f t="shared" si="106"/>
        <v>Pending</v>
      </c>
      <c r="AI854" s="6" t="s">
        <v>58</v>
      </c>
      <c r="AJ854" s="6" t="str">
        <f t="shared" si="107"/>
        <v>Cancelled</v>
      </c>
      <c r="AK854" s="9" t="str">
        <f>_xlfn.TEXTJOIN("|",FALSE,A854,TEXT(B854,"mm-dd-yyyy"),TEXT(E854,"mm-dd-yyyy"),I854,J854,L854,N854,P854,R854,T854,V854,X854,Y854,AA854,AB854,AC854,AD854,AE854,AF854,AG854,AI854)</f>
        <v>ORD-2024-10853|01-04-2024|08-04-2024|CUST-9630|Ananya Rao|Consumer|East|Assam|Guwahati|Furniture|Tables|Smart Tables 513|Second Class|7|4205.35|0.15|25021.83|15544.44|9477.39|Pending|Cancelled</v>
      </c>
      <c r="AL854" s="27" t="str">
        <f>IF(COUNTIF($AK$2:AK854,AK854)&gt;1,"Remove exact duplicate copy","Keep")</f>
        <v>Keep</v>
      </c>
      <c r="AM854" s="9">
        <f t="shared" si="108"/>
        <v>1</v>
      </c>
      <c r="AN854" s="9" t="str">
        <f t="shared" si="109"/>
        <v>Unique</v>
      </c>
      <c r="AO854" s="9" t="str">
        <f t="shared" si="110"/>
        <v/>
      </c>
      <c r="AP854" s="9">
        <f t="shared" si="111"/>
        <v>0.15</v>
      </c>
      <c r="AQ854" s="10">
        <f t="shared" si="112"/>
        <v>25021.832500000004</v>
      </c>
      <c r="AR854" s="10">
        <f t="shared" si="113"/>
        <v>9477.3925000000036</v>
      </c>
      <c r="AS854" s="11">
        <f t="shared" si="114"/>
        <v>0.37876492459135447</v>
      </c>
      <c r="AT854" s="9">
        <f t="shared" si="115"/>
        <v>4</v>
      </c>
      <c r="AU854" s="9">
        <f t="shared" si="116"/>
        <v>2024</v>
      </c>
      <c r="AV854" s="9" t="b">
        <f t="shared" si="117"/>
        <v>0</v>
      </c>
      <c r="AW854" s="9" t="b">
        <f t="shared" si="118"/>
        <v>0</v>
      </c>
      <c r="AX854" s="9" t="str">
        <f t="shared" si="119"/>
        <v>No</v>
      </c>
      <c r="AY854" s="9" t="str">
        <f t="shared" si="123"/>
        <v>Cancelled order excluded</v>
      </c>
      <c r="AZ854" s="9" t="str">
        <f>IF(OR(G854="Missing date",G854="Invalid date",G854="Ship date before order date",NOT(ISNUMBER(AP854)),AP854&lt;0,AP854&gt;0.5,AV854=TRUE,AW854=TRUE),"Invalid",IF(OR(O854="Unknown",Z854="Unknown",AC854="",AH854&lt;&gt;"Paid",AJ854&lt;&gt;"Completed",AO854&lt;&gt;""),"Warning","Clean"))</f>
        <v>Warning</v>
      </c>
    </row>
    <row r="855" spans="1:52" ht="15.75" customHeight="1">
      <c r="A855" s="6" t="s">
        <v>4006</v>
      </c>
      <c r="B855" s="7" t="s">
        <v>4007</v>
      </c>
      <c r="C855" s="7" t="str">
        <f t="shared" si="122"/>
        <v>2025-05</v>
      </c>
      <c r="D855" s="7" cm="1">
        <f t="array" ref="D855">_xlfn.LET(_xlpm.x,B855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45793</v>
      </c>
      <c r="E855" s="7" t="s">
        <v>3985</v>
      </c>
      <c r="F855" s="7" cm="1">
        <f t="array" ref="F855">_xlfn.LET(_xlpm.x,E855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45799</v>
      </c>
      <c r="G855" s="8" t="str">
        <f t="shared" si="96"/>
        <v>OK</v>
      </c>
      <c r="H855" s="6">
        <f t="shared" si="97"/>
        <v>6</v>
      </c>
      <c r="I855" s="6" t="s">
        <v>4008</v>
      </c>
      <c r="J855" s="6" t="s">
        <v>153</v>
      </c>
      <c r="K855" s="6" t="str">
        <f t="shared" si="98"/>
        <v>Arjun Bose</v>
      </c>
      <c r="L855" s="6" t="s">
        <v>45</v>
      </c>
      <c r="M855" s="8" t="str">
        <f t="shared" si="99"/>
        <v>Corporate</v>
      </c>
      <c r="N855" s="6" t="s">
        <v>10</v>
      </c>
      <c r="O855" s="6" t="str">
        <f t="shared" si="100"/>
        <v>South</v>
      </c>
      <c r="P855" s="6" t="s">
        <v>413</v>
      </c>
      <c r="Q855" s="6" t="str">
        <f t="shared" si="101"/>
        <v>Tamil Nadu</v>
      </c>
      <c r="R855" s="6" t="s">
        <v>414</v>
      </c>
      <c r="S855" s="6" t="str">
        <f t="shared" si="102"/>
        <v>Chennai</v>
      </c>
      <c r="T855" s="6" t="s">
        <v>27</v>
      </c>
      <c r="U855" s="8" t="str">
        <f t="shared" si="103"/>
        <v>Technology</v>
      </c>
      <c r="V855" s="6" t="s">
        <v>28</v>
      </c>
      <c r="W855" s="6" t="str">
        <f t="shared" si="104"/>
        <v>Accessories</v>
      </c>
      <c r="X855" s="6" t="s">
        <v>4009</v>
      </c>
      <c r="Y855" s="6" t="s">
        <v>37</v>
      </c>
      <c r="Z855" s="6" t="str">
        <f t="shared" si="105"/>
        <v>Same Day</v>
      </c>
      <c r="AA855" s="6">
        <v>8</v>
      </c>
      <c r="AB855" s="6">
        <v>579.79999999999995</v>
      </c>
      <c r="AC855" s="6">
        <v>0.2</v>
      </c>
      <c r="AD855" s="6">
        <v>3710.72</v>
      </c>
      <c r="AE855" s="6">
        <v>3115.29</v>
      </c>
      <c r="AF855" s="6">
        <v>595.42999999999995</v>
      </c>
      <c r="AG855" s="6" t="s">
        <v>52</v>
      </c>
      <c r="AH855" s="6" t="str">
        <f t="shared" si="106"/>
        <v>Paid</v>
      </c>
      <c r="AI855" s="6" t="s">
        <v>134</v>
      </c>
      <c r="AJ855" s="6" t="str">
        <f t="shared" si="107"/>
        <v>Completed</v>
      </c>
      <c r="AK855" s="9" t="str">
        <f>_xlfn.TEXTJOIN("|",FALSE,A855,TEXT(B855,"mm-dd-yyyy"),TEXT(E855,"mm-dd-yyyy"),I855,J855,L855,N855,P855,R855,T855,V855,X855,Y855,AA855,AB855,AC855,AD855,AE855,AF855,AG855,AI855)</f>
        <v>ORD-2025-10854|05-16-2025|05-22-2025|CUST-8274|Arjun Bose|Corporate|South|Tamil Nadu|Chennai|Technology|Accessories|Elite Accessories 708|Same Day|8|579.8|0.2|3710.72|3115.29|595.43|Paid|Completed</v>
      </c>
      <c r="AL855" s="27" t="str">
        <f>IF(COUNTIF($AK$2:AK855,AK855)&gt;1,"Remove exact duplicate copy","Keep")</f>
        <v>Keep</v>
      </c>
      <c r="AM855" s="9">
        <f t="shared" si="108"/>
        <v>1</v>
      </c>
      <c r="AN855" s="9" t="str">
        <f t="shared" si="109"/>
        <v>Unique</v>
      </c>
      <c r="AO855" s="9" t="str">
        <f t="shared" si="110"/>
        <v/>
      </c>
      <c r="AP855" s="9">
        <f t="shared" si="111"/>
        <v>0.2</v>
      </c>
      <c r="AQ855" s="10">
        <f t="shared" si="112"/>
        <v>3710.72</v>
      </c>
      <c r="AR855" s="10">
        <f t="shared" si="113"/>
        <v>595.42999999999984</v>
      </c>
      <c r="AS855" s="11">
        <f t="shared" si="114"/>
        <v>0.16046212055881334</v>
      </c>
      <c r="AT855" s="9">
        <f t="shared" si="115"/>
        <v>5</v>
      </c>
      <c r="AU855" s="9">
        <f t="shared" si="116"/>
        <v>2025</v>
      </c>
      <c r="AV855" s="9" t="b">
        <f t="shared" si="117"/>
        <v>0</v>
      </c>
      <c r="AW855" s="9" t="b">
        <f t="shared" si="118"/>
        <v>0</v>
      </c>
      <c r="AX855" s="9" t="str">
        <f t="shared" si="119"/>
        <v>Yes</v>
      </c>
      <c r="AY855" s="9" t="str">
        <f t="shared" si="123"/>
        <v/>
      </c>
      <c r="AZ855" s="9" t="str">
        <f>IF(OR(G855="Missing date",G855="Invalid date",G855="Ship date before order date",NOT(ISNUMBER(AP855)),AP855&lt;0,AP855&gt;0.5,AV855=TRUE,AW855=TRUE),"Invalid",IF(OR(O855="Unknown",Z855="Unknown",AC855="",AH855&lt;&gt;"Paid",AJ855&lt;&gt;"Completed",AO855&lt;&gt;""),"Warning","Clean"))</f>
        <v>Clean</v>
      </c>
    </row>
    <row r="856" spans="1:52" ht="15.75" customHeight="1">
      <c r="A856" s="6" t="s">
        <v>4010</v>
      </c>
      <c r="B856" s="7" t="s">
        <v>4011</v>
      </c>
      <c r="C856" s="7" t="str">
        <f t="shared" si="122"/>
        <v>2025-03</v>
      </c>
      <c r="D856" s="7" cm="1">
        <f t="array" ref="D856">_xlfn.LET(_xlpm.x,B856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45741</v>
      </c>
      <c r="E856" s="7" t="s">
        <v>4012</v>
      </c>
      <c r="F856" s="7" cm="1">
        <f t="array" ref="F856">_xlfn.LET(_xlpm.x,E856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45749</v>
      </c>
      <c r="G856" s="8" t="str">
        <f t="shared" si="96"/>
        <v>OK</v>
      </c>
      <c r="H856" s="6">
        <f t="shared" si="97"/>
        <v>8</v>
      </c>
      <c r="I856" s="6" t="s">
        <v>4013</v>
      </c>
      <c r="J856" s="6" t="s">
        <v>220</v>
      </c>
      <c r="K856" s="6" t="str">
        <f t="shared" si="98"/>
        <v>Priya Menon</v>
      </c>
      <c r="L856" s="6" t="s">
        <v>43</v>
      </c>
      <c r="M856" s="8" t="str">
        <f t="shared" si="99"/>
        <v>Consumer</v>
      </c>
      <c r="N856" s="6" t="s">
        <v>10</v>
      </c>
      <c r="O856" s="6" t="str">
        <f t="shared" si="100"/>
        <v>South</v>
      </c>
      <c r="P856" s="6" t="s">
        <v>303</v>
      </c>
      <c r="Q856" s="6" t="str">
        <f t="shared" si="101"/>
        <v>Karnataka</v>
      </c>
      <c r="R856" s="6" t="s">
        <v>304</v>
      </c>
      <c r="S856" s="6" t="str">
        <f t="shared" si="102"/>
        <v>Bengaluru</v>
      </c>
      <c r="T856" s="6" t="s">
        <v>14</v>
      </c>
      <c r="U856" s="8" t="str">
        <f t="shared" si="103"/>
        <v>Furniture</v>
      </c>
      <c r="V856" s="6" t="s">
        <v>15</v>
      </c>
      <c r="W856" s="6" t="str">
        <f t="shared" si="104"/>
        <v>Bookcases</v>
      </c>
      <c r="X856" s="6" t="s">
        <v>4014</v>
      </c>
      <c r="Y856" s="6" t="s">
        <v>36</v>
      </c>
      <c r="Z856" s="6" t="str">
        <f t="shared" si="105"/>
        <v>Second Class</v>
      </c>
      <c r="AA856" s="6">
        <v>4</v>
      </c>
      <c r="AB856" s="6">
        <v>2233.64</v>
      </c>
      <c r="AC856" s="6">
        <v>0.05</v>
      </c>
      <c r="AD856" s="6">
        <v>8487.83</v>
      </c>
      <c r="AE856" s="6">
        <v>5245.72</v>
      </c>
      <c r="AF856" s="6">
        <v>3242.11</v>
      </c>
      <c r="AG856" s="6" t="s">
        <v>52</v>
      </c>
      <c r="AH856" s="6" t="str">
        <f t="shared" si="106"/>
        <v>Paid</v>
      </c>
      <c r="AI856" s="6" t="s">
        <v>134</v>
      </c>
      <c r="AJ856" s="6" t="str">
        <f t="shared" si="107"/>
        <v>Completed</v>
      </c>
      <c r="AK856" s="9" t="str">
        <f>_xlfn.TEXTJOIN("|",FALSE,A856,TEXT(B856,"mm-dd-yyyy"),TEXT(E856,"mm-dd-yyyy"),I856,J856,L856,N856,P856,R856,T856,V856,X856,Y856,AA856,AB856,AC856,AD856,AE856,AF856,AG856,AI856)</f>
        <v>ORD-2025-10855|03-25-2025|04-02-2025|CUST-2514|Priya Menon|Consumer|South|Karnataka|Bengaluru|Furniture|Bookcases|Max Bookcases 381|Second Class|4|2233.64|0.05|8487.83|5245.72|3242.11|Paid|Completed</v>
      </c>
      <c r="AL856" s="27" t="str">
        <f>IF(COUNTIF($AK$2:AK856,AK856)&gt;1,"Remove exact duplicate copy","Keep")</f>
        <v>Keep</v>
      </c>
      <c r="AM856" s="9">
        <f t="shared" si="108"/>
        <v>1</v>
      </c>
      <c r="AN856" s="9" t="str">
        <f t="shared" si="109"/>
        <v>Unique</v>
      </c>
      <c r="AO856" s="9" t="str">
        <f t="shared" si="110"/>
        <v/>
      </c>
      <c r="AP856" s="9">
        <f t="shared" si="111"/>
        <v>0.05</v>
      </c>
      <c r="AQ856" s="10">
        <f t="shared" si="112"/>
        <v>8487.8319999999985</v>
      </c>
      <c r="AR856" s="10">
        <f t="shared" si="113"/>
        <v>3242.1119999999983</v>
      </c>
      <c r="AS856" s="11">
        <f t="shared" si="114"/>
        <v>0.38197174496384928</v>
      </c>
      <c r="AT856" s="9">
        <f t="shared" si="115"/>
        <v>3</v>
      </c>
      <c r="AU856" s="9">
        <f t="shared" si="116"/>
        <v>2025</v>
      </c>
      <c r="AV856" s="9" t="b">
        <f t="shared" si="117"/>
        <v>0</v>
      </c>
      <c r="AW856" s="9" t="b">
        <f t="shared" si="118"/>
        <v>0</v>
      </c>
      <c r="AX856" s="9" t="str">
        <f t="shared" si="119"/>
        <v>Yes</v>
      </c>
      <c r="AY856" s="9" t="str">
        <f t="shared" si="123"/>
        <v/>
      </c>
      <c r="AZ856" s="9" t="str">
        <f>IF(OR(G856="Missing date",G856="Invalid date",G856="Ship date before order date",NOT(ISNUMBER(AP856)),AP856&lt;0,AP856&gt;0.5,AV856=TRUE,AW856=TRUE),"Invalid",IF(OR(O856="Unknown",Z856="Unknown",AC856="",AH856&lt;&gt;"Paid",AJ856&lt;&gt;"Completed",AO856&lt;&gt;""),"Warning","Clean"))</f>
        <v>Clean</v>
      </c>
    </row>
    <row r="857" spans="1:52" ht="15.75" customHeight="1">
      <c r="A857" s="6" t="s">
        <v>4015</v>
      </c>
      <c r="B857" s="7" t="s">
        <v>820</v>
      </c>
      <c r="C857" s="7" t="str">
        <f t="shared" si="122"/>
        <v>2024-07</v>
      </c>
      <c r="D857" s="7" cm="1">
        <f t="array" ref="D857">_xlfn.LET(_xlpm.x,B857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45498</v>
      </c>
      <c r="E857" s="7" t="s">
        <v>4016</v>
      </c>
      <c r="F857" s="7" cm="1">
        <f t="array" ref="F857">_xlfn.LET(_xlpm.x,E857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45506</v>
      </c>
      <c r="G857" s="8" t="str">
        <f t="shared" si="96"/>
        <v>OK</v>
      </c>
      <c r="H857" s="6">
        <f t="shared" si="97"/>
        <v>8</v>
      </c>
      <c r="I857" s="6" t="s">
        <v>1803</v>
      </c>
      <c r="J857" s="6" t="s">
        <v>226</v>
      </c>
      <c r="K857" s="6" t="str">
        <f t="shared" si="98"/>
        <v>Rahul Verma</v>
      </c>
      <c r="L857" s="6" t="s">
        <v>43</v>
      </c>
      <c r="M857" s="8" t="str">
        <f t="shared" si="99"/>
        <v>Consumer</v>
      </c>
      <c r="N857" s="6" t="s">
        <v>7</v>
      </c>
      <c r="O857" s="6" t="str">
        <f t="shared" si="100"/>
        <v>North</v>
      </c>
      <c r="P857" s="6" t="s">
        <v>131</v>
      </c>
      <c r="Q857" s="6" t="str">
        <f t="shared" si="101"/>
        <v>Rajasthan</v>
      </c>
      <c r="R857" s="6" t="s">
        <v>132</v>
      </c>
      <c r="S857" s="6" t="str">
        <f t="shared" si="102"/>
        <v>Jaipur</v>
      </c>
      <c r="T857" s="6" t="s">
        <v>20</v>
      </c>
      <c r="U857" s="8" t="str">
        <f t="shared" si="103"/>
        <v>Office Supplies</v>
      </c>
      <c r="V857" s="6" t="s">
        <v>4017</v>
      </c>
      <c r="W857" s="6" t="str">
        <f t="shared" si="104"/>
        <v>Labels</v>
      </c>
      <c r="X857" s="6" t="s">
        <v>4018</v>
      </c>
      <c r="Y857" s="6" t="s">
        <v>36</v>
      </c>
      <c r="Z857" s="6" t="str">
        <f t="shared" si="105"/>
        <v>Second Class</v>
      </c>
      <c r="AA857" s="6">
        <v>2</v>
      </c>
      <c r="AB857" s="6">
        <v>2073.5300000000002</v>
      </c>
      <c r="AC857" s="6">
        <v>0.25</v>
      </c>
      <c r="AD857" s="6">
        <v>3110.3</v>
      </c>
      <c r="AE857" s="6">
        <v>2101.0300000000002</v>
      </c>
      <c r="AF857" s="6">
        <v>1009.27</v>
      </c>
      <c r="AG857" s="6" t="s">
        <v>52</v>
      </c>
      <c r="AH857" s="6" t="str">
        <f t="shared" si="106"/>
        <v>Paid</v>
      </c>
      <c r="AI857" s="6" t="s">
        <v>134</v>
      </c>
      <c r="AJ857" s="6" t="str">
        <f t="shared" si="107"/>
        <v>Completed</v>
      </c>
      <c r="AK857" s="9" t="str">
        <f>_xlfn.TEXTJOIN("|",FALSE,A857,TEXT(B857,"mm-dd-yyyy"),TEXT(E857,"mm-dd-yyyy"),I857,J857,L857,N857,P857,R857,T857,V857,X857,Y857,AA857,AB857,AC857,AD857,AE857,AF857,AG857,AI857)</f>
        <v>ORD-2024-10856|25-07-2024|08-02-2024|CUST-2752|Rahul Verma|Consumer|North|Rajasthan|Jaipur|Office Supplies|LABELS|Classic Labels 215|Second Class|2|2073.53|0.25|3110.3|2101.03|1009.27|Paid|Completed</v>
      </c>
      <c r="AL857" s="27" t="str">
        <f>IF(COUNTIF($AK$2:AK857,AK857)&gt;1,"Remove exact duplicate copy","Keep")</f>
        <v>Keep</v>
      </c>
      <c r="AM857" s="9">
        <f t="shared" si="108"/>
        <v>1</v>
      </c>
      <c r="AN857" s="9" t="str">
        <f t="shared" si="109"/>
        <v>Unique</v>
      </c>
      <c r="AO857" s="9" t="str">
        <f t="shared" si="110"/>
        <v/>
      </c>
      <c r="AP857" s="9">
        <f t="shared" si="111"/>
        <v>0.25</v>
      </c>
      <c r="AQ857" s="10">
        <f t="shared" si="112"/>
        <v>3110.2950000000001</v>
      </c>
      <c r="AR857" s="10">
        <f t="shared" si="113"/>
        <v>1009.2649999999999</v>
      </c>
      <c r="AS857" s="11">
        <f t="shared" si="114"/>
        <v>0.32449172827657824</v>
      </c>
      <c r="AT857" s="9">
        <f t="shared" si="115"/>
        <v>7</v>
      </c>
      <c r="AU857" s="9">
        <f t="shared" si="116"/>
        <v>2024</v>
      </c>
      <c r="AV857" s="9" t="b">
        <f t="shared" si="117"/>
        <v>0</v>
      </c>
      <c r="AW857" s="9" t="b">
        <f t="shared" si="118"/>
        <v>0</v>
      </c>
      <c r="AX857" s="9" t="str">
        <f t="shared" si="119"/>
        <v>Yes</v>
      </c>
      <c r="AY857" s="9" t="str">
        <f t="shared" si="123"/>
        <v/>
      </c>
      <c r="AZ857" s="9" t="str">
        <f>IF(OR(G857="Missing date",G857="Invalid date",G857="Ship date before order date",NOT(ISNUMBER(AP857)),AP857&lt;0,AP857&gt;0.5,AV857=TRUE,AW857=TRUE),"Invalid",IF(OR(O857="Unknown",Z857="Unknown",AC857="",AH857&lt;&gt;"Paid",AJ857&lt;&gt;"Completed",AO857&lt;&gt;""),"Warning","Clean"))</f>
        <v>Clean</v>
      </c>
    </row>
    <row r="858" spans="1:52" ht="15.75" customHeight="1">
      <c r="A858" s="6" t="s">
        <v>4019</v>
      </c>
      <c r="B858" s="7" t="s">
        <v>4020</v>
      </c>
      <c r="C858" s="7" t="str">
        <f t="shared" si="122"/>
        <v>2024-06</v>
      </c>
      <c r="D858" s="7" cm="1">
        <f t="array" ref="D858">_xlfn.LET(_xlpm.x,B858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45455</v>
      </c>
      <c r="E858" s="7" t="s">
        <v>770</v>
      </c>
      <c r="F858" s="7" cm="1">
        <f t="array" ref="F858">_xlfn.LET(_xlpm.x,E858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45462</v>
      </c>
      <c r="G858" s="8" t="str">
        <f t="shared" si="96"/>
        <v>OK</v>
      </c>
      <c r="H858" s="6">
        <f t="shared" si="97"/>
        <v>7</v>
      </c>
      <c r="I858" s="6" t="s">
        <v>2067</v>
      </c>
      <c r="J858" s="6" t="s">
        <v>257</v>
      </c>
      <c r="K858" s="6" t="str">
        <f t="shared" si="98"/>
        <v>Rohan Mehta</v>
      </c>
      <c r="L858" s="6" t="s">
        <v>44</v>
      </c>
      <c r="M858" s="8" t="str">
        <f t="shared" si="99"/>
        <v>Home Office</v>
      </c>
      <c r="N858" s="6" t="s">
        <v>10</v>
      </c>
      <c r="O858" s="6" t="str">
        <f t="shared" si="100"/>
        <v>South</v>
      </c>
      <c r="P858" s="6" t="s">
        <v>413</v>
      </c>
      <c r="Q858" s="6" t="str">
        <f t="shared" si="101"/>
        <v>Tamil Nadu</v>
      </c>
      <c r="R858" s="6" t="s">
        <v>414</v>
      </c>
      <c r="S858" s="6" t="str">
        <f t="shared" si="102"/>
        <v>Chennai</v>
      </c>
      <c r="T858" s="6" t="s">
        <v>20</v>
      </c>
      <c r="U858" s="8" t="str">
        <f t="shared" si="103"/>
        <v>Office Supplies</v>
      </c>
      <c r="V858" s="6" t="s">
        <v>25</v>
      </c>
      <c r="W858" s="6" t="str">
        <f t="shared" si="104"/>
        <v>Storage</v>
      </c>
      <c r="X858" s="6" t="s">
        <v>4021</v>
      </c>
      <c r="Y858" s="6" t="s">
        <v>34</v>
      </c>
      <c r="Z858" s="6" t="str">
        <f t="shared" si="105"/>
        <v>Standard Class</v>
      </c>
      <c r="AA858" s="6">
        <v>4</v>
      </c>
      <c r="AB858" s="6">
        <v>395.1</v>
      </c>
      <c r="AC858" s="6">
        <v>-0.16</v>
      </c>
      <c r="AD858" s="6">
        <v>1185.3</v>
      </c>
      <c r="AE858" s="6">
        <v>966.55</v>
      </c>
      <c r="AF858" s="6">
        <v>218.75</v>
      </c>
      <c r="AG858" s="6" t="s">
        <v>50</v>
      </c>
      <c r="AH858" s="6" t="str">
        <f t="shared" si="106"/>
        <v>Failed</v>
      </c>
      <c r="AI858" s="6" t="s">
        <v>58</v>
      </c>
      <c r="AJ858" s="6" t="str">
        <f t="shared" si="107"/>
        <v>Cancelled</v>
      </c>
      <c r="AK858" s="9" t="str">
        <f>_xlfn.TEXTJOIN("|",FALSE,A858,TEXT(B858,"mm-dd-yyyy"),TEXT(E858,"mm-dd-yyyy"),I858,J858,L858,N858,P858,R858,T858,V858,X858,Y858,AA858,AB858,AC858,AD858,AE858,AF858,AG858,AI858)</f>
        <v>ORD-2024-10857|06-12-2024|06-19-2024|CUST-5647|Rohan Mehta|Home Office|South|Tamil Nadu|Chennai|Office Supplies|Storage|Classic Storage 918|Standard Class|4|395.1|-0.16|1185.3|966.55|218.75|Failed|Cancelled</v>
      </c>
      <c r="AL858" s="27" t="str">
        <f>IF(COUNTIF($AK$2:AK858,AK858)&gt;1,"Remove exact duplicate copy","Keep")</f>
        <v>Keep</v>
      </c>
      <c r="AM858" s="9">
        <f t="shared" si="108"/>
        <v>1</v>
      </c>
      <c r="AN858" s="9" t="str">
        <f t="shared" si="109"/>
        <v>Unique</v>
      </c>
      <c r="AO858" s="9" t="str">
        <f t="shared" si="110"/>
        <v/>
      </c>
      <c r="AP858" s="9">
        <f t="shared" si="111"/>
        <v>-0.16</v>
      </c>
      <c r="AQ858" s="10">
        <f t="shared" si="112"/>
        <v>1833.2639999999999</v>
      </c>
      <c r="AR858" s="10">
        <f t="shared" si="113"/>
        <v>866.71399999999994</v>
      </c>
      <c r="AS858" s="11">
        <f t="shared" si="114"/>
        <v>0.47277097024760206</v>
      </c>
      <c r="AT858" s="9">
        <f t="shared" si="115"/>
        <v>6</v>
      </c>
      <c r="AU858" s="9">
        <f t="shared" si="116"/>
        <v>2024</v>
      </c>
      <c r="AV858" s="9" t="b">
        <f t="shared" si="117"/>
        <v>1</v>
      </c>
      <c r="AW858" s="9" t="b">
        <f t="shared" si="118"/>
        <v>1</v>
      </c>
      <c r="AX858" s="9" t="str">
        <f t="shared" si="119"/>
        <v>No</v>
      </c>
      <c r="AY858" s="9" t="str">
        <f t="shared" si="123"/>
        <v>Negative discount; Failed payment excluded; Cancelled order excluded; Sales mismatch; Profit mismatch</v>
      </c>
      <c r="AZ858" s="9" t="str">
        <f>IF(OR(G858="Missing date",G858="Invalid date",G858="Ship date before order date",NOT(ISNUMBER(AP858)),AP858&lt;0,AP858&gt;0.5,AV858=TRUE,AW858=TRUE),"Invalid",IF(OR(O858="Unknown",Z858="Unknown",AC858="",AH858&lt;&gt;"Paid",AJ858&lt;&gt;"Completed",AO858&lt;&gt;""),"Warning","Clean"))</f>
        <v>Invalid</v>
      </c>
    </row>
    <row r="859" spans="1:52" ht="15.75" customHeight="1">
      <c r="A859" s="6" t="s">
        <v>4022</v>
      </c>
      <c r="B859" s="7" t="s">
        <v>4023</v>
      </c>
      <c r="C859" s="7" t="str">
        <f t="shared" si="122"/>
        <v>2024-06</v>
      </c>
      <c r="D859" s="7" cm="1">
        <f t="array" ref="D859">_xlfn.LET(_xlpm.x,B859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45447</v>
      </c>
      <c r="E859" s="7" t="s">
        <v>4024</v>
      </c>
      <c r="F859" s="7" cm="1">
        <f t="array" ref="F859">_xlfn.LET(_xlpm.x,E859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45447</v>
      </c>
      <c r="G859" s="8" t="str">
        <f t="shared" si="96"/>
        <v>OK</v>
      </c>
      <c r="H859" s="6">
        <f t="shared" si="97"/>
        <v>0</v>
      </c>
      <c r="I859" s="6" t="s">
        <v>3332</v>
      </c>
      <c r="J859" s="6" t="s">
        <v>245</v>
      </c>
      <c r="K859" s="6" t="str">
        <f t="shared" si="98"/>
        <v>Sneha Kapoor</v>
      </c>
      <c r="L859" s="6" t="s">
        <v>44</v>
      </c>
      <c r="M859" s="8" t="str">
        <f t="shared" si="99"/>
        <v>Home Office</v>
      </c>
      <c r="N859" s="6" t="s">
        <v>10</v>
      </c>
      <c r="O859" s="6" t="str">
        <f t="shared" si="100"/>
        <v>South</v>
      </c>
      <c r="P859" s="6" t="s">
        <v>316</v>
      </c>
      <c r="Q859" s="6" t="str">
        <f t="shared" si="101"/>
        <v>Kerala</v>
      </c>
      <c r="R859" s="6" t="s">
        <v>317</v>
      </c>
      <c r="S859" s="6" t="str">
        <f t="shared" si="102"/>
        <v>Kochi</v>
      </c>
      <c r="T859" s="6" t="s">
        <v>20</v>
      </c>
      <c r="U859" s="8" t="str">
        <f t="shared" si="103"/>
        <v>Office Supplies</v>
      </c>
      <c r="V859" s="6" t="s">
        <v>25</v>
      </c>
      <c r="W859" s="6" t="str">
        <f t="shared" si="104"/>
        <v>Storage</v>
      </c>
      <c r="X859" s="6" t="s">
        <v>4025</v>
      </c>
      <c r="Y859" s="6" t="s">
        <v>35</v>
      </c>
      <c r="Z859" s="6" t="str">
        <f t="shared" si="105"/>
        <v>First Class</v>
      </c>
      <c r="AA859" s="6">
        <v>6</v>
      </c>
      <c r="AB859" s="6">
        <v>2708.97</v>
      </c>
      <c r="AC859" s="6">
        <v>0.25</v>
      </c>
      <c r="AD859" s="6">
        <v>12190.36</v>
      </c>
      <c r="AE859" s="6">
        <v>10176.99</v>
      </c>
      <c r="AF859" s="6">
        <v>2013.37</v>
      </c>
      <c r="AG859" s="6" t="s">
        <v>52</v>
      </c>
      <c r="AH859" s="6" t="str">
        <f t="shared" si="106"/>
        <v>Paid</v>
      </c>
      <c r="AI859" s="6" t="s">
        <v>134</v>
      </c>
      <c r="AJ859" s="6" t="str">
        <f t="shared" si="107"/>
        <v>Completed</v>
      </c>
      <c r="AK859" s="9" t="str">
        <f>_xlfn.TEXTJOIN("|",FALSE,A859,TEXT(B859,"mm-dd-yyyy"),TEXT(E859,"mm-dd-yyyy"),I859,J859,L859,N859,P859,R859,T859,V859,X859,Y859,AA859,AB859,AC859,AD859,AE859,AF859,AG859,AI859)</f>
        <v>ORD-2024-10858|06-04-2024|04-06-2024|CUST-8575|Sneha Kapoor|Home Office|South|Kerala|Kochi|Office Supplies|Storage|Max Storage 223|First Class|6|2708.97|0.25|12190.36|10176.99|2013.37|Paid|Completed</v>
      </c>
      <c r="AL859" s="27" t="str">
        <f>IF(COUNTIF($AK$2:AK859,AK859)&gt;1,"Remove exact duplicate copy","Keep")</f>
        <v>Keep</v>
      </c>
      <c r="AM859" s="9">
        <f t="shared" si="108"/>
        <v>1</v>
      </c>
      <c r="AN859" s="9" t="str">
        <f t="shared" si="109"/>
        <v>Unique</v>
      </c>
      <c r="AO859" s="9" t="str">
        <f t="shared" si="110"/>
        <v/>
      </c>
      <c r="AP859" s="9">
        <f t="shared" si="111"/>
        <v>0.25</v>
      </c>
      <c r="AQ859" s="10">
        <f t="shared" si="112"/>
        <v>12190.365</v>
      </c>
      <c r="AR859" s="10">
        <f t="shared" si="113"/>
        <v>2013.375</v>
      </c>
      <c r="AS859" s="11">
        <f t="shared" si="114"/>
        <v>0.16516117441930575</v>
      </c>
      <c r="AT859" s="9">
        <f t="shared" si="115"/>
        <v>6</v>
      </c>
      <c r="AU859" s="9">
        <f t="shared" si="116"/>
        <v>2024</v>
      </c>
      <c r="AV859" s="9" t="b">
        <f t="shared" si="117"/>
        <v>0</v>
      </c>
      <c r="AW859" s="9" t="b">
        <f t="shared" si="118"/>
        <v>0</v>
      </c>
      <c r="AX859" s="9" t="str">
        <f t="shared" si="119"/>
        <v>Yes</v>
      </c>
      <c r="AY859" s="9" t="str">
        <f t="shared" si="123"/>
        <v/>
      </c>
      <c r="AZ859" s="9" t="str">
        <f>IF(OR(G859="Missing date",G859="Invalid date",G859="Ship date before order date",NOT(ISNUMBER(AP859)),AP859&lt;0,AP859&gt;0.5,AV859=TRUE,AW859=TRUE),"Invalid",IF(OR(O859="Unknown",Z859="Unknown",AC859="",AH859&lt;&gt;"Paid",AJ859&lt;&gt;"Completed",AO859&lt;&gt;""),"Warning","Clean"))</f>
        <v>Clean</v>
      </c>
    </row>
    <row r="860" spans="1:52" ht="15.75" customHeight="1">
      <c r="A860" s="6" t="s">
        <v>4026</v>
      </c>
      <c r="B860" s="7" t="s">
        <v>1310</v>
      </c>
      <c r="C860" s="7" t="str">
        <f t="shared" si="122"/>
        <v>2024-05</v>
      </c>
      <c r="D860" s="7" cm="1">
        <f t="array" ref="D860">_xlfn.LET(_xlpm.x,B860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45414</v>
      </c>
      <c r="E860" s="7" t="s">
        <v>1379</v>
      </c>
      <c r="F860" s="7" cm="1">
        <f t="array" ref="F860">_xlfn.LET(_xlpm.x,E860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45421</v>
      </c>
      <c r="G860" s="8" t="str">
        <f t="shared" si="96"/>
        <v>OK</v>
      </c>
      <c r="H860" s="6">
        <f t="shared" si="97"/>
        <v>7</v>
      </c>
      <c r="I860" s="6" t="s">
        <v>4027</v>
      </c>
      <c r="J860" s="6" t="s">
        <v>153</v>
      </c>
      <c r="K860" s="6" t="str">
        <f t="shared" si="98"/>
        <v>Arjun Bose</v>
      </c>
      <c r="L860" s="6" t="s">
        <v>43</v>
      </c>
      <c r="M860" s="8" t="str">
        <f t="shared" si="99"/>
        <v>Consumer</v>
      </c>
      <c r="N860" s="6" t="s">
        <v>8</v>
      </c>
      <c r="O860" s="6" t="str">
        <f t="shared" si="100"/>
        <v>East</v>
      </c>
      <c r="P860" s="6" t="s">
        <v>140</v>
      </c>
      <c r="Q860" s="6" t="str">
        <f t="shared" si="101"/>
        <v>Odisha</v>
      </c>
      <c r="R860" s="6" t="s">
        <v>141</v>
      </c>
      <c r="S860" s="6" t="str">
        <f t="shared" si="102"/>
        <v>Bhubaneswar</v>
      </c>
      <c r="T860" s="6" t="s">
        <v>27</v>
      </c>
      <c r="U860" s="8" t="str">
        <f t="shared" si="103"/>
        <v>Technology</v>
      </c>
      <c r="V860" s="6" t="s">
        <v>28</v>
      </c>
      <c r="W860" s="6" t="str">
        <f t="shared" si="104"/>
        <v>Accessories</v>
      </c>
      <c r="X860" s="6" t="s">
        <v>4028</v>
      </c>
      <c r="Y860" s="6" t="s">
        <v>36</v>
      </c>
      <c r="Z860" s="6" t="str">
        <f t="shared" si="105"/>
        <v>Second Class</v>
      </c>
      <c r="AA860" s="6">
        <v>4</v>
      </c>
      <c r="AB860" s="6">
        <v>2904.86</v>
      </c>
      <c r="AC860" s="6">
        <v>0</v>
      </c>
      <c r="AD860" s="6">
        <v>11619.44</v>
      </c>
      <c r="AE860" s="6">
        <v>7184.32</v>
      </c>
      <c r="AF860" s="6">
        <v>4494.6400000000003</v>
      </c>
      <c r="AG860" s="6" t="s">
        <v>52</v>
      </c>
      <c r="AH860" s="6" t="str">
        <f t="shared" si="106"/>
        <v>Paid</v>
      </c>
      <c r="AI860" s="6" t="s">
        <v>134</v>
      </c>
      <c r="AJ860" s="6" t="str">
        <f t="shared" si="107"/>
        <v>Completed</v>
      </c>
      <c r="AK860" s="9" t="str">
        <f>_xlfn.TEXTJOIN("|",FALSE,A860,TEXT(B860,"mm-dd-yyyy"),TEXT(E860,"mm-dd-yyyy"),I860,J860,L860,N860,P860,R860,T860,V860,X860,Y860,AA860,AB860,AC860,AD860,AE860,AF860,AG860,AI860)</f>
        <v>ORD-2024-10859|05-02-2024|05-09-2024|CUST-9576|Arjun Bose|Consumer|East|Odisha|Bhubaneswar|Technology|Accessories|Basic Accessories 602|Second Class|4|2904.86|0|11619.44|7184.32|4494.64|Paid|Completed</v>
      </c>
      <c r="AL860" s="27" t="str">
        <f>IF(COUNTIF($AK$2:AK860,AK860)&gt;1,"Remove exact duplicate copy","Keep")</f>
        <v>Keep</v>
      </c>
      <c r="AM860" s="9">
        <f t="shared" si="108"/>
        <v>1</v>
      </c>
      <c r="AN860" s="9" t="str">
        <f t="shared" si="109"/>
        <v>Unique</v>
      </c>
      <c r="AO860" s="9" t="str">
        <f t="shared" si="110"/>
        <v/>
      </c>
      <c r="AP860" s="9">
        <f t="shared" si="111"/>
        <v>0</v>
      </c>
      <c r="AQ860" s="10">
        <f t="shared" si="112"/>
        <v>11619.44</v>
      </c>
      <c r="AR860" s="10">
        <f t="shared" si="113"/>
        <v>4435.1200000000008</v>
      </c>
      <c r="AS860" s="11">
        <f t="shared" si="114"/>
        <v>0.3816982574031107</v>
      </c>
      <c r="AT860" s="9">
        <f t="shared" si="115"/>
        <v>5</v>
      </c>
      <c r="AU860" s="9">
        <f t="shared" si="116"/>
        <v>2024</v>
      </c>
      <c r="AV860" s="9" t="b">
        <f t="shared" si="117"/>
        <v>0</v>
      </c>
      <c r="AW860" s="9" t="b">
        <f t="shared" si="118"/>
        <v>1</v>
      </c>
      <c r="AX860" s="9" t="str">
        <f t="shared" si="119"/>
        <v>No</v>
      </c>
      <c r="AY860" s="9" t="str">
        <f t="shared" si="123"/>
        <v>Profit mismatch</v>
      </c>
      <c r="AZ860" s="9" t="str">
        <f>IF(OR(G860="Missing date",G860="Invalid date",G860="Ship date before order date",NOT(ISNUMBER(AP860)),AP860&lt;0,AP860&gt;0.5,AV860=TRUE,AW860=TRUE),"Invalid",IF(OR(O860="Unknown",Z860="Unknown",AC860="",AH860&lt;&gt;"Paid",AJ860&lt;&gt;"Completed",AO860&lt;&gt;""),"Warning","Clean"))</f>
        <v>Invalid</v>
      </c>
    </row>
    <row r="861" spans="1:52" ht="15.75" customHeight="1">
      <c r="A861" s="6" t="s">
        <v>4029</v>
      </c>
      <c r="B861" s="7" t="s">
        <v>3605</v>
      </c>
      <c r="C861" s="7" t="str">
        <f t="shared" si="122"/>
        <v>2024-10</v>
      </c>
      <c r="D861" s="7" cm="1">
        <f t="array" ref="D861">_xlfn.LET(_xlpm.x,B861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45592</v>
      </c>
      <c r="E861" s="7" t="s">
        <v>4030</v>
      </c>
      <c r="F861" s="7" cm="1">
        <f t="array" ref="F861">_xlfn.LET(_xlpm.x,E861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45597</v>
      </c>
      <c r="G861" s="8" t="str">
        <f t="shared" si="96"/>
        <v>OK</v>
      </c>
      <c r="H861" s="6">
        <f t="shared" si="97"/>
        <v>5</v>
      </c>
      <c r="I861" s="6" t="s">
        <v>4031</v>
      </c>
      <c r="J861" s="6" t="s">
        <v>190</v>
      </c>
      <c r="K861" s="6" t="str">
        <f t="shared" si="98"/>
        <v>Aditi Sen</v>
      </c>
      <c r="L861" s="6" t="s">
        <v>45</v>
      </c>
      <c r="M861" s="8" t="str">
        <f t="shared" si="99"/>
        <v>Corporate</v>
      </c>
      <c r="N861" s="6" t="s">
        <v>10</v>
      </c>
      <c r="O861" s="6" t="str">
        <f t="shared" si="100"/>
        <v>South</v>
      </c>
      <c r="P861" s="6" t="s">
        <v>413</v>
      </c>
      <c r="Q861" s="6" t="str">
        <f t="shared" si="101"/>
        <v>Tamil Nadu</v>
      </c>
      <c r="R861" s="6" t="s">
        <v>414</v>
      </c>
      <c r="S861" s="6" t="str">
        <f t="shared" si="102"/>
        <v>Chennai</v>
      </c>
      <c r="T861" s="6" t="s">
        <v>27</v>
      </c>
      <c r="U861" s="8" t="str">
        <f t="shared" si="103"/>
        <v>Technology</v>
      </c>
      <c r="V861" s="6" t="s">
        <v>31</v>
      </c>
      <c r="W861" s="6" t="str">
        <f t="shared" si="104"/>
        <v>Phones</v>
      </c>
      <c r="X861" s="6" t="s">
        <v>4032</v>
      </c>
      <c r="Y861" s="6" t="s">
        <v>34</v>
      </c>
      <c r="Z861" s="6" t="str">
        <f t="shared" si="105"/>
        <v>Standard Class</v>
      </c>
      <c r="AA861" s="6">
        <v>6</v>
      </c>
      <c r="AB861" s="6">
        <v>4399.2</v>
      </c>
      <c r="AC861" s="6">
        <v>0.05</v>
      </c>
      <c r="AD861" s="6">
        <v>25075.439999999999</v>
      </c>
      <c r="AE861" s="6">
        <v>16282.74</v>
      </c>
      <c r="AF861" s="6">
        <v>8792.7000000000007</v>
      </c>
      <c r="AG861" s="6" t="s">
        <v>52</v>
      </c>
      <c r="AH861" s="6" t="str">
        <f t="shared" si="106"/>
        <v>Paid</v>
      </c>
      <c r="AI861" s="6" t="s">
        <v>134</v>
      </c>
      <c r="AJ861" s="6" t="str">
        <f t="shared" si="107"/>
        <v>Completed</v>
      </c>
      <c r="AK861" s="9" t="str">
        <f>_xlfn.TEXTJOIN("|",FALSE,A861,TEXT(B861,"mm-dd-yyyy"),TEXT(E861,"mm-dd-yyyy"),I861,J861,L861,N861,P861,R861,T861,V861,X861,Y861,AA861,AB861,AC861,AD861,AE861,AF861,AG861,AI861)</f>
        <v>ORD-2024-10860|10-27-2024|11-01-2024|CUST-2395|Aditi Sen|Corporate|South|Tamil Nadu|Chennai|Technology|Phones|Elite Phones 394|Standard Class|6|4399.2|0.05|25075.44|16282.74|8792.7|Paid|Completed</v>
      </c>
      <c r="AL861" s="27" t="str">
        <f>IF(COUNTIF($AK$2:AK861,AK861)&gt;1,"Remove exact duplicate copy","Keep")</f>
        <v>Keep</v>
      </c>
      <c r="AM861" s="9">
        <f t="shared" si="108"/>
        <v>1</v>
      </c>
      <c r="AN861" s="9" t="str">
        <f t="shared" si="109"/>
        <v>Unique</v>
      </c>
      <c r="AO861" s="9" t="str">
        <f t="shared" si="110"/>
        <v/>
      </c>
      <c r="AP861" s="9">
        <f t="shared" si="111"/>
        <v>0.05</v>
      </c>
      <c r="AQ861" s="10">
        <f t="shared" si="112"/>
        <v>25075.439999999995</v>
      </c>
      <c r="AR861" s="10">
        <f t="shared" si="113"/>
        <v>8792.6999999999953</v>
      </c>
      <c r="AS861" s="11">
        <f t="shared" si="114"/>
        <v>0.35064987892535471</v>
      </c>
      <c r="AT861" s="9">
        <f t="shared" si="115"/>
        <v>10</v>
      </c>
      <c r="AU861" s="9">
        <f t="shared" si="116"/>
        <v>2024</v>
      </c>
      <c r="AV861" s="9" t="b">
        <f t="shared" si="117"/>
        <v>0</v>
      </c>
      <c r="AW861" s="9" t="b">
        <f t="shared" si="118"/>
        <v>0</v>
      </c>
      <c r="AX861" s="9" t="str">
        <f t="shared" si="119"/>
        <v>Yes</v>
      </c>
      <c r="AY861" s="9" t="str">
        <f t="shared" si="123"/>
        <v/>
      </c>
      <c r="AZ861" s="9" t="str">
        <f>IF(OR(G861="Missing date",G861="Invalid date",G861="Ship date before order date",NOT(ISNUMBER(AP861)),AP861&lt;0,AP861&gt;0.5,AV861=TRUE,AW861=TRUE),"Invalid",IF(OR(O861="Unknown",Z861="Unknown",AC861="",AH861&lt;&gt;"Paid",AJ861&lt;&gt;"Completed",AO861&lt;&gt;""),"Warning","Clean"))</f>
        <v>Clean</v>
      </c>
    </row>
    <row r="862" spans="1:52" ht="15.75" customHeight="1">
      <c r="A862" s="6" t="s">
        <v>4033</v>
      </c>
      <c r="B862" s="7" t="s">
        <v>825</v>
      </c>
      <c r="C862" s="7" t="str">
        <f t="shared" si="122"/>
        <v>2024-02</v>
      </c>
      <c r="D862" s="7" cm="1">
        <f t="array" ref="D862">_xlfn.LET(_xlpm.x,B862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45324</v>
      </c>
      <c r="E862" s="7" t="s">
        <v>4034</v>
      </c>
      <c r="F862" s="7" cm="1">
        <f t="array" ref="F862">_xlfn.LET(_xlpm.x,E862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45326</v>
      </c>
      <c r="G862" s="8" t="str">
        <f t="shared" si="96"/>
        <v>OK</v>
      </c>
      <c r="H862" s="6">
        <f t="shared" si="97"/>
        <v>2</v>
      </c>
      <c r="I862" s="6" t="s">
        <v>4035</v>
      </c>
      <c r="J862" s="6" t="s">
        <v>169</v>
      </c>
      <c r="K862" s="6" t="str">
        <f t="shared" si="98"/>
        <v>Vikram Iyer</v>
      </c>
      <c r="L862" s="6" t="s">
        <v>44</v>
      </c>
      <c r="M862" s="8" t="str">
        <f t="shared" si="99"/>
        <v>Home Office</v>
      </c>
      <c r="N862" s="6" t="s">
        <v>7</v>
      </c>
      <c r="O862" s="6" t="str">
        <f t="shared" si="100"/>
        <v>North</v>
      </c>
      <c r="P862" s="6" t="s">
        <v>251</v>
      </c>
      <c r="Q862" s="6" t="str">
        <f t="shared" si="101"/>
        <v>Uttar Pradesh</v>
      </c>
      <c r="R862" s="6" t="s">
        <v>252</v>
      </c>
      <c r="S862" s="6" t="str">
        <f t="shared" si="102"/>
        <v>Noida</v>
      </c>
      <c r="T862" s="6" t="s">
        <v>20</v>
      </c>
      <c r="U862" s="8" t="str">
        <f t="shared" si="103"/>
        <v>Office Supplies</v>
      </c>
      <c r="V862" s="6" t="s">
        <v>25</v>
      </c>
      <c r="W862" s="6" t="str">
        <f t="shared" si="104"/>
        <v>Storage</v>
      </c>
      <c r="X862" s="6" t="s">
        <v>4036</v>
      </c>
      <c r="Y862" s="6" t="s">
        <v>36</v>
      </c>
      <c r="Z862" s="6" t="str">
        <f t="shared" si="105"/>
        <v>Second Class</v>
      </c>
      <c r="AA862" s="6">
        <v>1</v>
      </c>
      <c r="AB862" s="6">
        <v>4397.32</v>
      </c>
      <c r="AC862" s="6">
        <v>0.05</v>
      </c>
      <c r="AD862" s="6">
        <v>4177.45</v>
      </c>
      <c r="AE862" s="6">
        <v>2299.5</v>
      </c>
      <c r="AF862" s="6">
        <v>1877.95</v>
      </c>
      <c r="AG862" s="6" t="s">
        <v>52</v>
      </c>
      <c r="AH862" s="6" t="str">
        <f t="shared" si="106"/>
        <v>Paid</v>
      </c>
      <c r="AI862" s="6" t="s">
        <v>134</v>
      </c>
      <c r="AJ862" s="6" t="str">
        <f t="shared" si="107"/>
        <v>Completed</v>
      </c>
      <c r="AK862" s="9" t="str">
        <f>_xlfn.TEXTJOIN("|",FALSE,A862,TEXT(B862,"mm-dd-yyyy"),TEXT(E862,"mm-dd-yyyy"),I862,J862,L862,N862,P862,R862,T862,V862,X862,Y862,AA862,AB862,AC862,AD862,AE862,AF862,AG862,AI862)</f>
        <v>ORD-2024-10861|02-02-2024|02-04-2024|CUST-8941|Vikram Iyer|Home Office|North|Uttar Pradesh|Noida|Office Supplies|Storage|Classic Storage 194|Second Class|1|4397.32|0.05|4177.45|2299.5|1877.95|Paid|Completed</v>
      </c>
      <c r="AL862" s="27" t="str">
        <f>IF(COUNTIF($AK$2:AK862,AK862)&gt;1,"Remove exact duplicate copy","Keep")</f>
        <v>Keep</v>
      </c>
      <c r="AM862" s="9">
        <f t="shared" si="108"/>
        <v>1</v>
      </c>
      <c r="AN862" s="9" t="str">
        <f t="shared" si="109"/>
        <v>Unique</v>
      </c>
      <c r="AO862" s="9" t="str">
        <f t="shared" si="110"/>
        <v/>
      </c>
      <c r="AP862" s="9">
        <f t="shared" si="111"/>
        <v>0.05</v>
      </c>
      <c r="AQ862" s="10">
        <f t="shared" si="112"/>
        <v>4177.4539999999997</v>
      </c>
      <c r="AR862" s="10">
        <f t="shared" si="113"/>
        <v>1877.9539999999997</v>
      </c>
      <c r="AS862" s="11">
        <f t="shared" si="114"/>
        <v>0.44954510570313877</v>
      </c>
      <c r="AT862" s="9">
        <f t="shared" si="115"/>
        <v>2</v>
      </c>
      <c r="AU862" s="9">
        <f t="shared" si="116"/>
        <v>2024</v>
      </c>
      <c r="AV862" s="9" t="b">
        <f t="shared" si="117"/>
        <v>0</v>
      </c>
      <c r="AW862" s="9" t="b">
        <f t="shared" si="118"/>
        <v>0</v>
      </c>
      <c r="AX862" s="9" t="str">
        <f t="shared" si="119"/>
        <v>Yes</v>
      </c>
      <c r="AY862" s="9" t="str">
        <f t="shared" si="123"/>
        <v/>
      </c>
      <c r="AZ862" s="9" t="str">
        <f>IF(OR(G862="Missing date",G862="Invalid date",G862="Ship date before order date",NOT(ISNUMBER(AP862)),AP862&lt;0,AP862&gt;0.5,AV862=TRUE,AW862=TRUE),"Invalid",IF(OR(O862="Unknown",Z862="Unknown",AC862="",AH862&lt;&gt;"Paid",AJ862&lt;&gt;"Completed",AO862&lt;&gt;""),"Warning","Clean"))</f>
        <v>Clean</v>
      </c>
    </row>
    <row r="863" spans="1:52" ht="15.75" customHeight="1">
      <c r="A863" s="6" t="s">
        <v>4037</v>
      </c>
      <c r="B863" s="7" t="s">
        <v>4038</v>
      </c>
      <c r="C863" s="7" t="str">
        <f t="shared" si="122"/>
        <v>2025-03</v>
      </c>
      <c r="D863" s="7" cm="1">
        <f t="array" ref="D863">_xlfn.LET(_xlpm.x,B863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45724</v>
      </c>
      <c r="E863" s="7" t="s">
        <v>4039</v>
      </c>
      <c r="F863" s="7" cm="1">
        <f t="array" ref="F863">_xlfn.LET(_xlpm.x,E863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45725</v>
      </c>
      <c r="G863" s="8" t="str">
        <f t="shared" si="96"/>
        <v>OK</v>
      </c>
      <c r="H863" s="6">
        <f t="shared" si="97"/>
        <v>1</v>
      </c>
      <c r="I863" s="6" t="s">
        <v>4040</v>
      </c>
      <c r="J863" s="6" t="s">
        <v>220</v>
      </c>
      <c r="K863" s="6" t="str">
        <f t="shared" si="98"/>
        <v>Priya Menon</v>
      </c>
      <c r="L863" s="6" t="s">
        <v>44</v>
      </c>
      <c r="M863" s="8" t="str">
        <f t="shared" si="99"/>
        <v>Home Office</v>
      </c>
      <c r="N863" s="6" t="s">
        <v>7</v>
      </c>
      <c r="O863" s="6" t="str">
        <f t="shared" si="100"/>
        <v>North</v>
      </c>
      <c r="P863" s="6" t="s">
        <v>583</v>
      </c>
      <c r="Q863" s="6" t="str">
        <f t="shared" si="101"/>
        <v>Delhi</v>
      </c>
      <c r="R863" s="6" t="s">
        <v>584</v>
      </c>
      <c r="S863" s="6" t="str">
        <f t="shared" si="102"/>
        <v>New Delhi</v>
      </c>
      <c r="T863" s="6" t="s">
        <v>14</v>
      </c>
      <c r="U863" s="8" t="str">
        <f t="shared" si="103"/>
        <v>Furniture</v>
      </c>
      <c r="V863" s="6" t="s">
        <v>17</v>
      </c>
      <c r="W863" s="6" t="str">
        <f t="shared" si="104"/>
        <v>Furnishings</v>
      </c>
      <c r="X863" s="6" t="s">
        <v>4041</v>
      </c>
      <c r="Y863" s="6" t="s">
        <v>37</v>
      </c>
      <c r="Z863" s="6" t="str">
        <f t="shared" si="105"/>
        <v>Same Day</v>
      </c>
      <c r="AA863" s="6">
        <v>4</v>
      </c>
      <c r="AB863" s="6">
        <v>3405.68</v>
      </c>
      <c r="AC863" s="6">
        <v>0.2</v>
      </c>
      <c r="AD863" s="6">
        <v>10898.18</v>
      </c>
      <c r="AE863" s="6">
        <v>6231.41</v>
      </c>
      <c r="AF863" s="6">
        <v>4666.7700000000004</v>
      </c>
      <c r="AG863" s="6" t="s">
        <v>52</v>
      </c>
      <c r="AH863" s="6" t="str">
        <f t="shared" si="106"/>
        <v>Paid</v>
      </c>
      <c r="AI863" s="6" t="s">
        <v>134</v>
      </c>
      <c r="AJ863" s="6" t="str">
        <f t="shared" si="107"/>
        <v>Completed</v>
      </c>
      <c r="AK863" s="9" t="str">
        <f>_xlfn.TEXTJOIN("|",FALSE,A863,TEXT(B863,"mm-dd-yyyy"),TEXT(E863,"mm-dd-yyyy"),I863,J863,L863,N863,P863,R863,T863,V863,X863,Y863,AA863,AB863,AC863,AD863,AE863,AF863,AG863,AI863)</f>
        <v>ORD-2025-10862|03-08-2025|03-09-2025|CUST-9448|Priya Menon|Home Office|North|Delhi|New Delhi|Furniture|Furnishings|Smart Furnishings 892|Same Day|4|3405.68|0.2|10898.18|6231.41|4666.77|Paid|Completed</v>
      </c>
      <c r="AL863" s="27" t="str">
        <f>IF(COUNTIF($AK$2:AK863,AK863)&gt;1,"Remove exact duplicate copy","Keep")</f>
        <v>Keep</v>
      </c>
      <c r="AM863" s="9">
        <f t="shared" si="108"/>
        <v>1</v>
      </c>
      <c r="AN863" s="9" t="str">
        <f t="shared" si="109"/>
        <v>Unique</v>
      </c>
      <c r="AO863" s="9" t="str">
        <f t="shared" si="110"/>
        <v/>
      </c>
      <c r="AP863" s="9">
        <f t="shared" si="111"/>
        <v>0.2</v>
      </c>
      <c r="AQ863" s="10">
        <f t="shared" si="112"/>
        <v>10898.175999999999</v>
      </c>
      <c r="AR863" s="10">
        <f t="shared" si="113"/>
        <v>4666.7659999999996</v>
      </c>
      <c r="AS863" s="11">
        <f t="shared" si="114"/>
        <v>0.42821532704188298</v>
      </c>
      <c r="AT863" s="9">
        <f t="shared" si="115"/>
        <v>3</v>
      </c>
      <c r="AU863" s="9">
        <f t="shared" si="116"/>
        <v>2025</v>
      </c>
      <c r="AV863" s="9" t="b">
        <f t="shared" si="117"/>
        <v>0</v>
      </c>
      <c r="AW863" s="9" t="b">
        <f t="shared" si="118"/>
        <v>0</v>
      </c>
      <c r="AX863" s="9" t="str">
        <f t="shared" si="119"/>
        <v>Yes</v>
      </c>
      <c r="AY863" s="9" t="str">
        <f t="shared" si="123"/>
        <v/>
      </c>
      <c r="AZ863" s="9" t="str">
        <f>IF(OR(G863="Missing date",G863="Invalid date",G863="Ship date before order date",NOT(ISNUMBER(AP863)),AP863&lt;0,AP863&gt;0.5,AV863=TRUE,AW863=TRUE),"Invalid",IF(OR(O863="Unknown",Z863="Unknown",AC863="",AH863&lt;&gt;"Paid",AJ863&lt;&gt;"Completed",AO863&lt;&gt;""),"Warning","Clean"))</f>
        <v>Clean</v>
      </c>
    </row>
    <row r="864" spans="1:52" ht="15.75" customHeight="1">
      <c r="A864" s="6" t="s">
        <v>4042</v>
      </c>
      <c r="B864" s="7" t="s">
        <v>3413</v>
      </c>
      <c r="C864" s="7" t="str">
        <f t="shared" si="122"/>
        <v>2025-03</v>
      </c>
      <c r="D864" s="7" cm="1">
        <f t="array" ref="D864">_xlfn.LET(_xlpm.x,B864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45742</v>
      </c>
      <c r="E864" s="7" t="s">
        <v>4043</v>
      </c>
      <c r="F864" s="7" cm="1">
        <f t="array" ref="F864">_xlfn.LET(_xlpm.x,E864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45747</v>
      </c>
      <c r="G864" s="8" t="str">
        <f t="shared" si="96"/>
        <v>OK</v>
      </c>
      <c r="H864" s="6">
        <f t="shared" si="97"/>
        <v>5</v>
      </c>
      <c r="I864" s="6" t="s">
        <v>4044</v>
      </c>
      <c r="J864" s="6" t="s">
        <v>220</v>
      </c>
      <c r="K864" s="6" t="str">
        <f t="shared" si="98"/>
        <v>Priya Menon</v>
      </c>
      <c r="L864" s="6" t="s">
        <v>46</v>
      </c>
      <c r="M864" s="8" t="str">
        <f t="shared" si="99"/>
        <v>Small Business</v>
      </c>
      <c r="N864" s="6" t="s">
        <v>8</v>
      </c>
      <c r="O864" s="6" t="str">
        <f t="shared" si="100"/>
        <v>East</v>
      </c>
      <c r="P864" s="6" t="s">
        <v>385</v>
      </c>
      <c r="Q864" s="6" t="str">
        <f t="shared" si="101"/>
        <v>Jharkhand</v>
      </c>
      <c r="R864" s="6" t="s">
        <v>386</v>
      </c>
      <c r="S864" s="6" t="str">
        <f t="shared" si="102"/>
        <v>Ranchi</v>
      </c>
      <c r="T864" s="6" t="s">
        <v>20</v>
      </c>
      <c r="U864" s="8" t="str">
        <f t="shared" si="103"/>
        <v>Office Supplies</v>
      </c>
      <c r="V864" s="6" t="s">
        <v>22</v>
      </c>
      <c r="W864" s="6" t="str">
        <f t="shared" si="104"/>
        <v>Binders</v>
      </c>
      <c r="X864" s="6" t="s">
        <v>4045</v>
      </c>
      <c r="Y864" s="6" t="s">
        <v>35</v>
      </c>
      <c r="Z864" s="6" t="str">
        <f t="shared" si="105"/>
        <v>First Class</v>
      </c>
      <c r="AA864" s="6">
        <v>5</v>
      </c>
      <c r="AB864" s="6">
        <v>1395.14</v>
      </c>
      <c r="AC864" s="6">
        <v>0</v>
      </c>
      <c r="AD864" s="6">
        <v>6975.7</v>
      </c>
      <c r="AE864" s="6">
        <v>4797.88</v>
      </c>
      <c r="AF864" s="6">
        <v>2177.8200000000002</v>
      </c>
      <c r="AG864" s="6" t="s">
        <v>52</v>
      </c>
      <c r="AH864" s="6" t="str">
        <f t="shared" si="106"/>
        <v>Paid</v>
      </c>
      <c r="AI864" s="6" t="s">
        <v>58</v>
      </c>
      <c r="AJ864" s="6" t="str">
        <f t="shared" si="107"/>
        <v>Cancelled</v>
      </c>
      <c r="AK864" s="9" t="str">
        <f>_xlfn.TEXTJOIN("|",FALSE,A864,TEXT(B864,"mm-dd-yyyy"),TEXT(E864,"mm-dd-yyyy"),I864,J864,L864,N864,P864,R864,T864,V864,X864,Y864,AA864,AB864,AC864,AD864,AE864,AF864,AG864,AI864)</f>
        <v>ORD-2025-10863|03-26-2025|31-03-2025|CUST-8354|Priya Menon|Small Business|East|Jharkhand|Ranchi|Office Supplies|Binders|Pro Binders 488|First Class|5|1395.14|0|6975.7|4797.88|2177.82|Paid|Cancelled</v>
      </c>
      <c r="AL864" s="27" t="str">
        <f>IF(COUNTIF($AK$2:AK864,AK864)&gt;1,"Remove exact duplicate copy","Keep")</f>
        <v>Keep</v>
      </c>
      <c r="AM864" s="9">
        <f t="shared" si="108"/>
        <v>1</v>
      </c>
      <c r="AN864" s="9" t="str">
        <f t="shared" si="109"/>
        <v>Unique</v>
      </c>
      <c r="AO864" s="9" t="str">
        <f t="shared" si="110"/>
        <v/>
      </c>
      <c r="AP864" s="9">
        <f t="shared" si="111"/>
        <v>0</v>
      </c>
      <c r="AQ864" s="10">
        <f t="shared" si="112"/>
        <v>6975.7000000000007</v>
      </c>
      <c r="AR864" s="10">
        <f t="shared" si="113"/>
        <v>2177.8200000000006</v>
      </c>
      <c r="AS864" s="11">
        <f t="shared" si="114"/>
        <v>0.3122009260719355</v>
      </c>
      <c r="AT864" s="9">
        <f t="shared" si="115"/>
        <v>3</v>
      </c>
      <c r="AU864" s="9">
        <f t="shared" si="116"/>
        <v>2025</v>
      </c>
      <c r="AV864" s="9" t="b">
        <f t="shared" si="117"/>
        <v>0</v>
      </c>
      <c r="AW864" s="9" t="b">
        <f t="shared" si="118"/>
        <v>0</v>
      </c>
      <c r="AX864" s="9" t="str">
        <f t="shared" si="119"/>
        <v>No</v>
      </c>
      <c r="AY864" s="9" t="str">
        <f t="shared" si="123"/>
        <v>Cancelled order excluded</v>
      </c>
      <c r="AZ864" s="9" t="str">
        <f>IF(OR(G864="Missing date",G864="Invalid date",G864="Ship date before order date",NOT(ISNUMBER(AP864)),AP864&lt;0,AP864&gt;0.5,AV864=TRUE,AW864=TRUE),"Invalid",IF(OR(O864="Unknown",Z864="Unknown",AC864="",AH864&lt;&gt;"Paid",AJ864&lt;&gt;"Completed",AO864&lt;&gt;""),"Warning","Clean"))</f>
        <v>Warning</v>
      </c>
    </row>
    <row r="865" spans="1:52" ht="15.75" customHeight="1">
      <c r="A865" s="6" t="s">
        <v>4046</v>
      </c>
      <c r="B865" s="7" t="s">
        <v>4047</v>
      </c>
      <c r="C865" s="7" t="str">
        <f t="shared" si="122"/>
        <v>2025-09</v>
      </c>
      <c r="D865" s="7" cm="1">
        <f t="array" ref="D865">_xlfn.LET(_xlpm.x,B865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45906</v>
      </c>
      <c r="E865" s="7" t="s">
        <v>2825</v>
      </c>
      <c r="F865" s="7" cm="1">
        <f t="array" ref="F865">_xlfn.LET(_xlpm.x,E865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45908</v>
      </c>
      <c r="G865" s="8" t="str">
        <f t="shared" si="96"/>
        <v>OK</v>
      </c>
      <c r="H865" s="6">
        <f t="shared" si="97"/>
        <v>2</v>
      </c>
      <c r="I865" s="6" t="s">
        <v>4048</v>
      </c>
      <c r="J865" s="6" t="s">
        <v>239</v>
      </c>
      <c r="K865" s="6" t="str">
        <f t="shared" si="98"/>
        <v>Aarav Sharma</v>
      </c>
      <c r="L865" s="6" t="s">
        <v>44</v>
      </c>
      <c r="M865" s="8" t="str">
        <f t="shared" si="99"/>
        <v>Home Office</v>
      </c>
      <c r="N865" s="6" t="s">
        <v>9</v>
      </c>
      <c r="O865" s="6" t="str">
        <f t="shared" si="100"/>
        <v>West</v>
      </c>
      <c r="P865" s="6" t="s">
        <v>170</v>
      </c>
      <c r="Q865" s="6" t="str">
        <f t="shared" si="101"/>
        <v>Madhya Pradesh</v>
      </c>
      <c r="R865" s="6" t="s">
        <v>171</v>
      </c>
      <c r="S865" s="6" t="str">
        <f t="shared" si="102"/>
        <v>Indore</v>
      </c>
      <c r="T865" s="6" t="s">
        <v>14</v>
      </c>
      <c r="U865" s="8" t="str">
        <f t="shared" si="103"/>
        <v>Furniture</v>
      </c>
      <c r="V865" s="6" t="s">
        <v>17</v>
      </c>
      <c r="W865" s="6" t="str">
        <f t="shared" si="104"/>
        <v>Furnishings</v>
      </c>
      <c r="X865" s="6" t="s">
        <v>4049</v>
      </c>
      <c r="Y865" s="6" t="s">
        <v>37</v>
      </c>
      <c r="Z865" s="6" t="str">
        <f t="shared" si="105"/>
        <v>Same Day</v>
      </c>
      <c r="AA865" s="6">
        <v>3</v>
      </c>
      <c r="AB865" s="6">
        <v>2937.23</v>
      </c>
      <c r="AC865" s="6">
        <v>0</v>
      </c>
      <c r="AD865" s="6">
        <v>8811.69</v>
      </c>
      <c r="AE865" s="6">
        <v>6765.91</v>
      </c>
      <c r="AF865" s="6">
        <v>2045.78</v>
      </c>
      <c r="AG865" s="6" t="s">
        <v>52</v>
      </c>
      <c r="AH865" s="6" t="str">
        <f t="shared" si="106"/>
        <v>Paid</v>
      </c>
      <c r="AI865" s="6" t="s">
        <v>134</v>
      </c>
      <c r="AJ865" s="6" t="str">
        <f t="shared" si="107"/>
        <v>Completed</v>
      </c>
      <c r="AK865" s="9" t="str">
        <f>_xlfn.TEXTJOIN("|",FALSE,A865,TEXT(B865,"mm-dd-yyyy"),TEXT(E865,"mm-dd-yyyy"),I865,J865,L865,N865,P865,R865,T865,V865,X865,Y865,AA865,AB865,AC865,AD865,AE865,AF865,AG865,AI865)</f>
        <v>ORD-2025-10864|09-06-2025|09-08-2025|CUST-2200|Aarav Sharma|Home Office|West|Madhya Pradesh|Indore|Furniture|Furnishings|Prime Furnishings 679|Same Day|3|2937.23|0|8811.69|6765.91|2045.78|Paid|Completed</v>
      </c>
      <c r="AL865" s="27" t="str">
        <f>IF(COUNTIF($AK$2:AK865,AK865)&gt;1,"Remove exact duplicate copy","Keep")</f>
        <v>Keep</v>
      </c>
      <c r="AM865" s="9">
        <f t="shared" si="108"/>
        <v>1</v>
      </c>
      <c r="AN865" s="9" t="str">
        <f t="shared" si="109"/>
        <v>Unique</v>
      </c>
      <c r="AO865" s="9" t="str">
        <f t="shared" si="110"/>
        <v/>
      </c>
      <c r="AP865" s="9">
        <f t="shared" si="111"/>
        <v>0</v>
      </c>
      <c r="AQ865" s="10">
        <f t="shared" si="112"/>
        <v>8811.69</v>
      </c>
      <c r="AR865" s="10">
        <f t="shared" si="113"/>
        <v>2045.7800000000007</v>
      </c>
      <c r="AS865" s="11">
        <f t="shared" si="114"/>
        <v>0.23216658779416893</v>
      </c>
      <c r="AT865" s="9">
        <f t="shared" si="115"/>
        <v>9</v>
      </c>
      <c r="AU865" s="9">
        <f t="shared" si="116"/>
        <v>2025</v>
      </c>
      <c r="AV865" s="9" t="b">
        <f t="shared" si="117"/>
        <v>0</v>
      </c>
      <c r="AW865" s="9" t="b">
        <f t="shared" si="118"/>
        <v>0</v>
      </c>
      <c r="AX865" s="9" t="str">
        <f t="shared" si="119"/>
        <v>Yes</v>
      </c>
      <c r="AY865" s="9" t="str">
        <f t="shared" si="123"/>
        <v/>
      </c>
      <c r="AZ865" s="9" t="str">
        <f>IF(OR(G865="Missing date",G865="Invalid date",G865="Ship date before order date",NOT(ISNUMBER(AP865)),AP865&lt;0,AP865&gt;0.5,AV865=TRUE,AW865=TRUE),"Invalid",IF(OR(O865="Unknown",Z865="Unknown",AC865="",AH865&lt;&gt;"Paid",AJ865&lt;&gt;"Completed",AO865&lt;&gt;""),"Warning","Clean"))</f>
        <v>Clean</v>
      </c>
    </row>
    <row r="866" spans="1:52" ht="15.75" customHeight="1">
      <c r="A866" s="6" t="s">
        <v>4050</v>
      </c>
      <c r="B866" s="7" t="s">
        <v>4051</v>
      </c>
      <c r="C866" s="7" t="str">
        <f t="shared" si="122"/>
        <v>2025-09</v>
      </c>
      <c r="D866" s="7" cm="1">
        <f t="array" ref="D866">_xlfn.LET(_xlpm.x,B866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45902</v>
      </c>
      <c r="E866" s="7" t="s">
        <v>650</v>
      </c>
      <c r="F866" s="7" cm="1">
        <f t="array" ref="F866">_xlfn.LET(_xlpm.x,E866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45905</v>
      </c>
      <c r="G866" s="8" t="str">
        <f t="shared" si="96"/>
        <v>OK</v>
      </c>
      <c r="H866" s="6">
        <f t="shared" si="97"/>
        <v>3</v>
      </c>
      <c r="I866" s="6" t="s">
        <v>4052</v>
      </c>
      <c r="J866" s="6" t="s">
        <v>169</v>
      </c>
      <c r="K866" s="6" t="str">
        <f t="shared" si="98"/>
        <v>Vikram Iyer</v>
      </c>
      <c r="L866" s="6" t="s">
        <v>43</v>
      </c>
      <c r="M866" s="8" t="str">
        <f t="shared" si="99"/>
        <v>Consumer</v>
      </c>
      <c r="N866" s="6" t="s">
        <v>10</v>
      </c>
      <c r="O866" s="6" t="str">
        <f t="shared" si="100"/>
        <v>South</v>
      </c>
      <c r="P866" s="6" t="s">
        <v>413</v>
      </c>
      <c r="Q866" s="6" t="str">
        <f t="shared" si="101"/>
        <v>Tamil Nadu</v>
      </c>
      <c r="R866" s="6" t="s">
        <v>414</v>
      </c>
      <c r="S866" s="6" t="str">
        <f t="shared" si="102"/>
        <v>Chennai</v>
      </c>
      <c r="T866" s="6" t="s">
        <v>27</v>
      </c>
      <c r="U866" s="8" t="str">
        <f t="shared" si="103"/>
        <v>Technology</v>
      </c>
      <c r="V866" s="6" t="s">
        <v>31</v>
      </c>
      <c r="W866" s="6" t="str">
        <f t="shared" si="104"/>
        <v>Phones</v>
      </c>
      <c r="X866" s="6" t="s">
        <v>4053</v>
      </c>
      <c r="Y866" s="6" t="s">
        <v>35</v>
      </c>
      <c r="Z866" s="6" t="str">
        <f t="shared" si="105"/>
        <v>First Class</v>
      </c>
      <c r="AA866" s="6">
        <v>5</v>
      </c>
      <c r="AB866" s="6">
        <v>3406.87</v>
      </c>
      <c r="AC866" s="6">
        <v>0</v>
      </c>
      <c r="AD866" s="6">
        <v>17034.349999999999</v>
      </c>
      <c r="AE866" s="6">
        <v>14631.36</v>
      </c>
      <c r="AF866" s="6">
        <v>2402.9899999999998</v>
      </c>
      <c r="AG866" s="6" t="s">
        <v>52</v>
      </c>
      <c r="AH866" s="6" t="str">
        <f t="shared" si="106"/>
        <v>Paid</v>
      </c>
      <c r="AI866" s="6" t="s">
        <v>134</v>
      </c>
      <c r="AJ866" s="6" t="str">
        <f t="shared" si="107"/>
        <v>Completed</v>
      </c>
      <c r="AK866" s="9" t="str">
        <f>_xlfn.TEXTJOIN("|",FALSE,A866,TEXT(B866,"mm-dd-yyyy"),TEXT(E866,"mm-dd-yyyy"),I866,J866,L866,N866,P866,R866,T866,V866,X866,Y866,AA866,AB866,AC866,AD866,AE866,AF866,AG866,AI866)</f>
        <v>ORD-2025-10865|09-02-2025|05-09-2025|CUST-1178|Vikram Iyer|Consumer|South|Tamil Nadu|Chennai|Technology|Phones|Smart Phones 158|First Class|5|3406.87|0|17034.35|14631.36|2402.99|Paid|Completed</v>
      </c>
      <c r="AL866" s="27" t="str">
        <f>IF(COUNTIF($AK$2:AK866,AK866)&gt;1,"Remove exact duplicate copy","Keep")</f>
        <v>Keep</v>
      </c>
      <c r="AM866" s="9">
        <f t="shared" si="108"/>
        <v>1</v>
      </c>
      <c r="AN866" s="9" t="str">
        <f t="shared" si="109"/>
        <v>Unique</v>
      </c>
      <c r="AO866" s="9" t="str">
        <f t="shared" si="110"/>
        <v/>
      </c>
      <c r="AP866" s="9">
        <f t="shared" si="111"/>
        <v>0</v>
      </c>
      <c r="AQ866" s="10">
        <f t="shared" si="112"/>
        <v>17034.349999999999</v>
      </c>
      <c r="AR866" s="10">
        <f t="shared" si="113"/>
        <v>2402.989999999998</v>
      </c>
      <c r="AS866" s="11">
        <f t="shared" si="114"/>
        <v>0.14106731398615141</v>
      </c>
      <c r="AT866" s="9">
        <f t="shared" si="115"/>
        <v>9</v>
      </c>
      <c r="AU866" s="9">
        <f t="shared" si="116"/>
        <v>2025</v>
      </c>
      <c r="AV866" s="9" t="b">
        <f t="shared" si="117"/>
        <v>0</v>
      </c>
      <c r="AW866" s="9" t="b">
        <f t="shared" si="118"/>
        <v>0</v>
      </c>
      <c r="AX866" s="9" t="str">
        <f t="shared" si="119"/>
        <v>Yes</v>
      </c>
      <c r="AY866" s="9" t="str">
        <f t="shared" si="123"/>
        <v/>
      </c>
      <c r="AZ866" s="9" t="str">
        <f>IF(OR(G866="Missing date",G866="Invalid date",G866="Ship date before order date",NOT(ISNUMBER(AP866)),AP866&lt;0,AP866&gt;0.5,AV866=TRUE,AW866=TRUE),"Invalid",IF(OR(O866="Unknown",Z866="Unknown",AC866="",AH866&lt;&gt;"Paid",AJ866&lt;&gt;"Completed",AO866&lt;&gt;""),"Warning","Clean"))</f>
        <v>Clean</v>
      </c>
    </row>
    <row r="867" spans="1:52" ht="15.75" customHeight="1">
      <c r="A867" s="6" t="s">
        <v>4054</v>
      </c>
      <c r="B867" s="7" t="s">
        <v>3867</v>
      </c>
      <c r="C867" s="7" t="str">
        <f t="shared" si="122"/>
        <v>2025-02</v>
      </c>
      <c r="D867" s="7" cm="1">
        <f t="array" ref="D867">_xlfn.LET(_xlpm.x,B867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45694</v>
      </c>
      <c r="E867" s="7" t="s">
        <v>2007</v>
      </c>
      <c r="F867" s="7" cm="1">
        <f t="array" ref="F867">_xlfn.LET(_xlpm.x,E867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45702</v>
      </c>
      <c r="G867" s="8" t="str">
        <f t="shared" si="96"/>
        <v>OK</v>
      </c>
      <c r="H867" s="6">
        <f t="shared" si="97"/>
        <v>8</v>
      </c>
      <c r="I867" s="6" t="s">
        <v>4055</v>
      </c>
      <c r="J867" s="6" t="s">
        <v>442</v>
      </c>
      <c r="K867" s="6" t="str">
        <f t="shared" si="98"/>
        <v>Kabir Singh</v>
      </c>
      <c r="L867" s="6" t="s">
        <v>43</v>
      </c>
      <c r="M867" s="8" t="str">
        <f t="shared" si="99"/>
        <v>Consumer</v>
      </c>
      <c r="N867" s="6" t="s">
        <v>9</v>
      </c>
      <c r="O867" s="6" t="str">
        <f t="shared" si="100"/>
        <v>West</v>
      </c>
      <c r="P867" s="6" t="s">
        <v>162</v>
      </c>
      <c r="Q867" s="6" t="str">
        <f t="shared" si="101"/>
        <v>Maharashtra</v>
      </c>
      <c r="R867" s="6" t="s">
        <v>163</v>
      </c>
      <c r="S867" s="6" t="str">
        <f t="shared" si="102"/>
        <v>Mumbai</v>
      </c>
      <c r="T867" s="6" t="s">
        <v>20</v>
      </c>
      <c r="U867" s="8" t="str">
        <f t="shared" si="103"/>
        <v>Office Supplies</v>
      </c>
      <c r="V867" s="6" t="s">
        <v>23</v>
      </c>
      <c r="W867" s="6" t="str">
        <f t="shared" si="104"/>
        <v>Labels</v>
      </c>
      <c r="X867" s="6" t="s">
        <v>4056</v>
      </c>
      <c r="Y867" s="6" t="s">
        <v>36</v>
      </c>
      <c r="Z867" s="6" t="str">
        <f t="shared" si="105"/>
        <v>Second Class</v>
      </c>
      <c r="AA867" s="6">
        <v>2</v>
      </c>
      <c r="AB867" s="6">
        <v>3992.04</v>
      </c>
      <c r="AC867" s="6">
        <v>0</v>
      </c>
      <c r="AD867" s="6">
        <v>7984.08</v>
      </c>
      <c r="AE867" s="6">
        <v>5658.05</v>
      </c>
      <c r="AF867" s="6">
        <v>2326.0300000000002</v>
      </c>
      <c r="AG867" s="6" t="s">
        <v>52</v>
      </c>
      <c r="AH867" s="6" t="str">
        <f t="shared" si="106"/>
        <v>Paid</v>
      </c>
      <c r="AI867" s="6" t="s">
        <v>134</v>
      </c>
      <c r="AJ867" s="6" t="str">
        <f t="shared" si="107"/>
        <v>Completed</v>
      </c>
      <c r="AK867" s="9" t="str">
        <f>_xlfn.TEXTJOIN("|",FALSE,A867,TEXT(B867,"mm-dd-yyyy"),TEXT(E867,"mm-dd-yyyy"),I867,J867,L867,N867,P867,R867,T867,V867,X867,Y867,AA867,AB867,AC867,AD867,AE867,AF867,AG867,AI867)</f>
        <v>ORD-2025-10866|06-02-2025|14-02-2025|CUST-8099|Kabir Singh|Consumer|West|Maharashtra|Mumbai|Office Supplies|Labels|Classic Labels 218|Second Class|2|3992.04|0|7984.08|5658.05|2326.03|Paid|Completed</v>
      </c>
      <c r="AL867" s="27" t="str">
        <f>IF(COUNTIF($AK$2:AK867,AK867)&gt;1,"Remove exact duplicate copy","Keep")</f>
        <v>Keep</v>
      </c>
      <c r="AM867" s="9">
        <f t="shared" si="108"/>
        <v>1</v>
      </c>
      <c r="AN867" s="9" t="str">
        <f t="shared" si="109"/>
        <v>Unique</v>
      </c>
      <c r="AO867" s="9" t="str">
        <f t="shared" si="110"/>
        <v/>
      </c>
      <c r="AP867" s="9">
        <f t="shared" si="111"/>
        <v>0</v>
      </c>
      <c r="AQ867" s="10">
        <f t="shared" si="112"/>
        <v>7984.08</v>
      </c>
      <c r="AR867" s="10">
        <f t="shared" si="113"/>
        <v>2326.0299999999997</v>
      </c>
      <c r="AS867" s="11">
        <f t="shared" si="114"/>
        <v>0.29133350367230787</v>
      </c>
      <c r="AT867" s="9">
        <f t="shared" si="115"/>
        <v>2</v>
      </c>
      <c r="AU867" s="9">
        <f t="shared" si="116"/>
        <v>2025</v>
      </c>
      <c r="AV867" s="9" t="b">
        <f t="shared" si="117"/>
        <v>0</v>
      </c>
      <c r="AW867" s="9" t="b">
        <f t="shared" si="118"/>
        <v>0</v>
      </c>
      <c r="AX867" s="9" t="str">
        <f t="shared" si="119"/>
        <v>Yes</v>
      </c>
      <c r="AY867" s="9" t="str">
        <f t="shared" si="123"/>
        <v/>
      </c>
      <c r="AZ867" s="9" t="str">
        <f>IF(OR(G867="Missing date",G867="Invalid date",G867="Ship date before order date",NOT(ISNUMBER(AP867)),AP867&lt;0,AP867&gt;0.5,AV867=TRUE,AW867=TRUE),"Invalid",IF(OR(O867="Unknown",Z867="Unknown",AC867="",AH867&lt;&gt;"Paid",AJ867&lt;&gt;"Completed",AO867&lt;&gt;""),"Warning","Clean"))</f>
        <v>Clean</v>
      </c>
    </row>
    <row r="868" spans="1:52" ht="15.75" customHeight="1">
      <c r="A868" s="6" t="s">
        <v>4057</v>
      </c>
      <c r="B868" s="7" t="s">
        <v>1271</v>
      </c>
      <c r="C868" s="7" t="str">
        <f t="shared" si="122"/>
        <v>2025-02</v>
      </c>
      <c r="D868" s="7" cm="1">
        <f t="array" ref="D868">_xlfn.LET(_xlpm.x,B868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45714</v>
      </c>
      <c r="E868" s="7" t="s">
        <v>4058</v>
      </c>
      <c r="F868" s="7" cm="1">
        <f t="array" ref="F868">_xlfn.LET(_xlpm.x,E868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45722</v>
      </c>
      <c r="G868" s="8" t="str">
        <f t="shared" si="96"/>
        <v>OK</v>
      </c>
      <c r="H868" s="6">
        <f t="shared" si="97"/>
        <v>8</v>
      </c>
      <c r="I868" s="6" t="s">
        <v>4059</v>
      </c>
      <c r="J868" s="6" t="s">
        <v>220</v>
      </c>
      <c r="K868" s="6" t="str">
        <f t="shared" si="98"/>
        <v>Priya Menon</v>
      </c>
      <c r="L868" s="6" t="s">
        <v>43</v>
      </c>
      <c r="M868" s="8" t="str">
        <f t="shared" si="99"/>
        <v>Consumer</v>
      </c>
      <c r="N868" s="6" t="s">
        <v>8</v>
      </c>
      <c r="O868" s="6" t="str">
        <f t="shared" si="100"/>
        <v>East</v>
      </c>
      <c r="P868" s="6" t="s">
        <v>263</v>
      </c>
      <c r="Q868" s="6" t="str">
        <f t="shared" si="101"/>
        <v>Bihar</v>
      </c>
      <c r="R868" s="6" t="s">
        <v>264</v>
      </c>
      <c r="S868" s="6" t="str">
        <f t="shared" si="102"/>
        <v>Patna</v>
      </c>
      <c r="T868" s="6" t="s">
        <v>14</v>
      </c>
      <c r="U868" s="8" t="str">
        <f t="shared" si="103"/>
        <v>Furniture</v>
      </c>
      <c r="V868" s="6" t="s">
        <v>15</v>
      </c>
      <c r="W868" s="6" t="str">
        <f t="shared" si="104"/>
        <v>Bookcases</v>
      </c>
      <c r="X868" s="6" t="s">
        <v>4060</v>
      </c>
      <c r="Y868" s="6" t="s">
        <v>35</v>
      </c>
      <c r="Z868" s="6" t="str">
        <f t="shared" si="105"/>
        <v>First Class</v>
      </c>
      <c r="AA868" s="6">
        <v>9</v>
      </c>
      <c r="AB868" s="6">
        <v>3043.37</v>
      </c>
      <c r="AC868" s="6">
        <v>0.2</v>
      </c>
      <c r="AD868" s="6">
        <v>21912.26</v>
      </c>
      <c r="AE868" s="6">
        <v>16367.78</v>
      </c>
      <c r="AF868" s="6">
        <v>5544.48</v>
      </c>
      <c r="AG868" s="6" t="s">
        <v>54</v>
      </c>
      <c r="AH868" s="6" t="str">
        <f t="shared" si="106"/>
        <v>Pending</v>
      </c>
      <c r="AI868" s="6" t="s">
        <v>58</v>
      </c>
      <c r="AJ868" s="6" t="str">
        <f t="shared" si="107"/>
        <v>Cancelled</v>
      </c>
      <c r="AK868" s="9" t="str">
        <f>_xlfn.TEXTJOIN("|",FALSE,A868,TEXT(B868,"mm-dd-yyyy"),TEXT(E868,"mm-dd-yyyy"),I868,J868,L868,N868,P868,R868,T868,V868,X868,Y868,AA868,AB868,AC868,AD868,AE868,AF868,AG868,AI868)</f>
        <v>ORD-2025-10867|02-26-2025|03-06-2025|CUST-7596|Priya Menon|Consumer|East|Bihar|Patna|Furniture|Bookcases|Smart Bookcases 552|First Class|9|3043.37|0.2|21912.26|16367.78|5544.48|Pending|Cancelled</v>
      </c>
      <c r="AL868" s="27" t="str">
        <f>IF(COUNTIF($AK$2:AK868,AK868)&gt;1,"Remove exact duplicate copy","Keep")</f>
        <v>Keep</v>
      </c>
      <c r="AM868" s="9">
        <f t="shared" si="108"/>
        <v>1</v>
      </c>
      <c r="AN868" s="9" t="str">
        <f t="shared" si="109"/>
        <v>Unique</v>
      </c>
      <c r="AO868" s="9" t="str">
        <f t="shared" si="110"/>
        <v/>
      </c>
      <c r="AP868" s="9">
        <f t="shared" si="111"/>
        <v>0.2</v>
      </c>
      <c r="AQ868" s="10">
        <f t="shared" si="112"/>
        <v>21912.263999999999</v>
      </c>
      <c r="AR868" s="10">
        <f t="shared" si="113"/>
        <v>5544.4839999999986</v>
      </c>
      <c r="AS868" s="11">
        <f t="shared" si="114"/>
        <v>0.25303108797885965</v>
      </c>
      <c r="AT868" s="9">
        <f t="shared" si="115"/>
        <v>2</v>
      </c>
      <c r="AU868" s="9">
        <f t="shared" si="116"/>
        <v>2025</v>
      </c>
      <c r="AV868" s="9" t="b">
        <f t="shared" si="117"/>
        <v>0</v>
      </c>
      <c r="AW868" s="9" t="b">
        <f t="shared" si="118"/>
        <v>0</v>
      </c>
      <c r="AX868" s="9" t="str">
        <f t="shared" si="119"/>
        <v>No</v>
      </c>
      <c r="AY868" s="9" t="str">
        <f t="shared" si="123"/>
        <v>Cancelled order excluded</v>
      </c>
      <c r="AZ868" s="9" t="str">
        <f>IF(OR(G868="Missing date",G868="Invalid date",G868="Ship date before order date",NOT(ISNUMBER(AP868)),AP868&lt;0,AP868&gt;0.5,AV868=TRUE,AW868=TRUE),"Invalid",IF(OR(O868="Unknown",Z868="Unknown",AC868="",AH868&lt;&gt;"Paid",AJ868&lt;&gt;"Completed",AO868&lt;&gt;""),"Warning","Clean"))</f>
        <v>Warning</v>
      </c>
    </row>
    <row r="869" spans="1:52" ht="15.75" customHeight="1">
      <c r="A869" s="6" t="s">
        <v>4061</v>
      </c>
      <c r="B869" s="7" t="s">
        <v>4062</v>
      </c>
      <c r="C869" s="7" t="str">
        <f t="shared" si="122"/>
        <v>2024-11</v>
      </c>
      <c r="D869" s="7" cm="1">
        <f t="array" ref="D869">_xlfn.LET(_xlpm.x,B869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45617</v>
      </c>
      <c r="E869" s="7" t="s">
        <v>4063</v>
      </c>
      <c r="F869" s="7" cm="1">
        <f t="array" ref="F869">_xlfn.LET(_xlpm.x,E869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45618</v>
      </c>
      <c r="G869" s="8" t="str">
        <f t="shared" si="96"/>
        <v>OK</v>
      </c>
      <c r="H869" s="6">
        <f t="shared" si="97"/>
        <v>1</v>
      </c>
      <c r="I869" s="6" t="s">
        <v>4064</v>
      </c>
      <c r="J869" s="6" t="s">
        <v>226</v>
      </c>
      <c r="K869" s="6" t="str">
        <f t="shared" si="98"/>
        <v>Rahul Verma</v>
      </c>
      <c r="L869" s="6" t="s">
        <v>44</v>
      </c>
      <c r="M869" s="8" t="str">
        <f t="shared" si="99"/>
        <v>Home Office</v>
      </c>
      <c r="N869" s="6" t="s">
        <v>10</v>
      </c>
      <c r="O869" s="6" t="str">
        <f t="shared" si="100"/>
        <v>South</v>
      </c>
      <c r="P869" s="6" t="s">
        <v>183</v>
      </c>
      <c r="Q869" s="6" t="str">
        <f t="shared" si="101"/>
        <v>Andhra Pradesh</v>
      </c>
      <c r="R869" s="6" t="s">
        <v>184</v>
      </c>
      <c r="S869" s="6" t="str">
        <f t="shared" si="102"/>
        <v>Vijayawada</v>
      </c>
      <c r="T869" s="6" t="s">
        <v>27</v>
      </c>
      <c r="U869" s="8" t="str">
        <f t="shared" si="103"/>
        <v>Technology</v>
      </c>
      <c r="V869" s="6" t="s">
        <v>28</v>
      </c>
      <c r="W869" s="6" t="str">
        <f t="shared" si="104"/>
        <v>Accessories</v>
      </c>
      <c r="X869" s="6" t="s">
        <v>4065</v>
      </c>
      <c r="Y869" s="6" t="s">
        <v>37</v>
      </c>
      <c r="Z869" s="6" t="str">
        <f t="shared" si="105"/>
        <v>Same Day</v>
      </c>
      <c r="AA869" s="6">
        <v>6</v>
      </c>
      <c r="AB869" s="6">
        <v>1043.49</v>
      </c>
      <c r="AC869" s="6">
        <v>0.25</v>
      </c>
      <c r="AD869" s="6">
        <v>4695.7</v>
      </c>
      <c r="AE869" s="6">
        <v>3871.69</v>
      </c>
      <c r="AF869" s="6">
        <v>824.01</v>
      </c>
      <c r="AG869" s="6" t="s">
        <v>50</v>
      </c>
      <c r="AH869" s="6" t="str">
        <f t="shared" si="106"/>
        <v>Failed</v>
      </c>
      <c r="AI869" s="6" t="s">
        <v>58</v>
      </c>
      <c r="AJ869" s="6" t="str">
        <f t="shared" si="107"/>
        <v>Cancelled</v>
      </c>
      <c r="AK869" s="9" t="str">
        <f>_xlfn.TEXTJOIN("|",FALSE,A869,TEXT(B869,"mm-dd-yyyy"),TEXT(E869,"mm-dd-yyyy"),I869,J869,L869,N869,P869,R869,T869,V869,X869,Y869,AA869,AB869,AC869,AD869,AE869,AF869,AG869,AI869)</f>
        <v>ORD-2024-10868|11-21-2024|11-22-2024|CUST-2328|Rahul Verma|Home Office|South|Andhra Pradesh|Vijayawada|Technology|Accessories|Eco Accessories 389|Same Day|6|1043.49|0.25|4695.7|3871.69|824.01|Failed|Cancelled</v>
      </c>
      <c r="AL869" s="27" t="str">
        <f>IF(COUNTIF($AK$2:AK869,AK869)&gt;1,"Remove exact duplicate copy","Keep")</f>
        <v>Keep</v>
      </c>
      <c r="AM869" s="9">
        <f t="shared" si="108"/>
        <v>1</v>
      </c>
      <c r="AN869" s="9" t="str">
        <f t="shared" si="109"/>
        <v>Unique</v>
      </c>
      <c r="AO869" s="9" t="str">
        <f t="shared" si="110"/>
        <v/>
      </c>
      <c r="AP869" s="9">
        <f t="shared" si="111"/>
        <v>0.25</v>
      </c>
      <c r="AQ869" s="10">
        <f t="shared" si="112"/>
        <v>4695.7049999999999</v>
      </c>
      <c r="AR869" s="10">
        <f t="shared" si="113"/>
        <v>824.01499999999987</v>
      </c>
      <c r="AS869" s="11">
        <f t="shared" si="114"/>
        <v>0.17548270174553127</v>
      </c>
      <c r="AT869" s="9">
        <f t="shared" si="115"/>
        <v>11</v>
      </c>
      <c r="AU869" s="9">
        <f t="shared" si="116"/>
        <v>2024</v>
      </c>
      <c r="AV869" s="9" t="b">
        <f t="shared" si="117"/>
        <v>0</v>
      </c>
      <c r="AW869" s="9" t="b">
        <f t="shared" si="118"/>
        <v>0</v>
      </c>
      <c r="AX869" s="9" t="str">
        <f t="shared" si="119"/>
        <v>No</v>
      </c>
      <c r="AY869" s="9" t="str">
        <f t="shared" si="123"/>
        <v>Failed payment excluded; Cancelled order excluded</v>
      </c>
      <c r="AZ869" s="9" t="str">
        <f>IF(OR(G869="Missing date",G869="Invalid date",G869="Ship date before order date",NOT(ISNUMBER(AP869)),AP869&lt;0,AP869&gt;0.5,AV869=TRUE,AW869=TRUE),"Invalid",IF(OR(O869="Unknown",Z869="Unknown",AC869="",AH869&lt;&gt;"Paid",AJ869&lt;&gt;"Completed",AO869&lt;&gt;""),"Warning","Clean"))</f>
        <v>Warning</v>
      </c>
    </row>
    <row r="870" spans="1:52" ht="15.75" customHeight="1">
      <c r="A870" s="6" t="s">
        <v>4066</v>
      </c>
      <c r="B870" s="7" t="s">
        <v>897</v>
      </c>
      <c r="C870" s="7" t="str">
        <f t="shared" si="122"/>
        <v>2025-04</v>
      </c>
      <c r="D870" s="7" cm="1">
        <f t="array" ref="D870">_xlfn.LET(_xlpm.x,B870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45758</v>
      </c>
      <c r="E870" s="7" t="s">
        <v>2232</v>
      </c>
      <c r="F870" s="7" cm="1">
        <f t="array" ref="F870">_xlfn.LET(_xlpm.x,E870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45762</v>
      </c>
      <c r="G870" s="8" t="str">
        <f t="shared" si="96"/>
        <v>OK</v>
      </c>
      <c r="H870" s="6">
        <f t="shared" si="97"/>
        <v>4</v>
      </c>
      <c r="I870" s="6" t="s">
        <v>4067</v>
      </c>
      <c r="J870" s="6" t="s">
        <v>169</v>
      </c>
      <c r="K870" s="6" t="str">
        <f t="shared" si="98"/>
        <v>Vikram Iyer</v>
      </c>
      <c r="L870" s="6" t="s">
        <v>44</v>
      </c>
      <c r="M870" s="8" t="str">
        <f t="shared" si="99"/>
        <v>Home Office</v>
      </c>
      <c r="N870" s="6" t="s">
        <v>10</v>
      </c>
      <c r="O870" s="6" t="str">
        <f t="shared" si="100"/>
        <v>South</v>
      </c>
      <c r="P870" s="6" t="s">
        <v>303</v>
      </c>
      <c r="Q870" s="6" t="str">
        <f t="shared" si="101"/>
        <v>Karnataka</v>
      </c>
      <c r="R870" s="6" t="s">
        <v>304</v>
      </c>
      <c r="S870" s="6" t="str">
        <f t="shared" si="102"/>
        <v>Bengaluru</v>
      </c>
      <c r="T870" s="6" t="s">
        <v>20</v>
      </c>
      <c r="U870" s="8" t="str">
        <f t="shared" si="103"/>
        <v>Office Supplies</v>
      </c>
      <c r="V870" s="6" t="s">
        <v>25</v>
      </c>
      <c r="W870" s="6" t="str">
        <f t="shared" si="104"/>
        <v>Storage</v>
      </c>
      <c r="X870" s="6" t="s">
        <v>4068</v>
      </c>
      <c r="Y870" s="6" t="s">
        <v>37</v>
      </c>
      <c r="Z870" s="6" t="str">
        <f t="shared" si="105"/>
        <v>Same Day</v>
      </c>
      <c r="AA870" s="6">
        <v>9</v>
      </c>
      <c r="AB870" s="6">
        <v>224.94</v>
      </c>
      <c r="AC870" s="6">
        <v>0.05</v>
      </c>
      <c r="AD870" s="6">
        <v>1923.24</v>
      </c>
      <c r="AE870" s="6">
        <v>1093.6600000000001</v>
      </c>
      <c r="AF870" s="6">
        <v>829.58</v>
      </c>
      <c r="AG870" s="6" t="s">
        <v>52</v>
      </c>
      <c r="AH870" s="6" t="str">
        <f t="shared" si="106"/>
        <v>Paid</v>
      </c>
      <c r="AI870" s="6" t="s">
        <v>134</v>
      </c>
      <c r="AJ870" s="6" t="str">
        <f t="shared" si="107"/>
        <v>Completed</v>
      </c>
      <c r="AK870" s="9" t="str">
        <f>_xlfn.TEXTJOIN("|",FALSE,A870,TEXT(B870,"mm-dd-yyyy"),TEXT(E870,"mm-dd-yyyy"),I870,J870,L870,N870,P870,R870,T870,V870,X870,Y870,AA870,AB870,AC870,AD870,AE870,AF870,AG870,AI870)</f>
        <v>ORD-2025-10869|11-04-2025|04-15-2025|CUST-8483|Vikram Iyer|Home Office|South|Karnataka|Bengaluru|Office Supplies|Storage|Elite Storage 187|Same Day|9|224.94|0.05|1923.24|1093.66|829.58|Paid|Completed</v>
      </c>
      <c r="AL870" s="27" t="str">
        <f>IF(COUNTIF($AK$2:AK870,AK870)&gt;1,"Remove exact duplicate copy","Keep")</f>
        <v>Keep</v>
      </c>
      <c r="AM870" s="9">
        <f t="shared" si="108"/>
        <v>1</v>
      </c>
      <c r="AN870" s="9" t="str">
        <f t="shared" si="109"/>
        <v>Unique</v>
      </c>
      <c r="AO870" s="9" t="str">
        <f t="shared" si="110"/>
        <v/>
      </c>
      <c r="AP870" s="9">
        <f t="shared" si="111"/>
        <v>0.05</v>
      </c>
      <c r="AQ870" s="10">
        <f t="shared" si="112"/>
        <v>1923.2369999999999</v>
      </c>
      <c r="AR870" s="10">
        <f t="shared" si="113"/>
        <v>829.57699999999977</v>
      </c>
      <c r="AS870" s="11">
        <f t="shared" si="114"/>
        <v>0.43134413491420964</v>
      </c>
      <c r="AT870" s="9">
        <f t="shared" si="115"/>
        <v>4</v>
      </c>
      <c r="AU870" s="9">
        <f t="shared" si="116"/>
        <v>2025</v>
      </c>
      <c r="AV870" s="9" t="b">
        <f t="shared" si="117"/>
        <v>0</v>
      </c>
      <c r="AW870" s="9" t="b">
        <f t="shared" si="118"/>
        <v>0</v>
      </c>
      <c r="AX870" s="9" t="str">
        <f t="shared" si="119"/>
        <v>Yes</v>
      </c>
      <c r="AY870" s="9" t="str">
        <f t="shared" si="123"/>
        <v/>
      </c>
      <c r="AZ870" s="9" t="str">
        <f>IF(OR(G870="Missing date",G870="Invalid date",G870="Ship date before order date",NOT(ISNUMBER(AP870)),AP870&lt;0,AP870&gt;0.5,AV870=TRUE,AW870=TRUE),"Invalid",IF(OR(O870="Unknown",Z870="Unknown",AC870="",AH870&lt;&gt;"Paid",AJ870&lt;&gt;"Completed",AO870&lt;&gt;""),"Warning","Clean"))</f>
        <v>Clean</v>
      </c>
    </row>
    <row r="871" spans="1:52" ht="15.75" customHeight="1">
      <c r="A871" s="6" t="s">
        <v>4069</v>
      </c>
      <c r="B871" s="7" t="s">
        <v>4070</v>
      </c>
      <c r="C871" s="7" t="str">
        <f t="shared" si="122"/>
        <v>2025-03</v>
      </c>
      <c r="D871" s="7" cm="1">
        <f t="array" ref="D871">_xlfn.LET(_xlpm.x,B871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45722</v>
      </c>
      <c r="E871" s="7" t="s">
        <v>870</v>
      </c>
      <c r="F871" s="7" cm="1">
        <f t="array" ref="F871">_xlfn.LET(_xlpm.x,E871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45723</v>
      </c>
      <c r="G871" s="8" t="str">
        <f t="shared" si="96"/>
        <v>OK</v>
      </c>
      <c r="H871" s="6">
        <f t="shared" si="97"/>
        <v>1</v>
      </c>
      <c r="I871" s="6" t="s">
        <v>4071</v>
      </c>
      <c r="J871" s="6" t="s">
        <v>257</v>
      </c>
      <c r="K871" s="6" t="str">
        <f t="shared" si="98"/>
        <v>Rohan Mehta</v>
      </c>
      <c r="L871" s="6" t="s">
        <v>44</v>
      </c>
      <c r="M871" s="8" t="str">
        <f t="shared" si="99"/>
        <v>Home Office</v>
      </c>
      <c r="N871" s="6"/>
      <c r="O871" s="6" t="str">
        <f t="shared" si="100"/>
        <v>Unknown</v>
      </c>
      <c r="P871" s="6" t="s">
        <v>583</v>
      </c>
      <c r="Q871" s="6" t="str">
        <f t="shared" si="101"/>
        <v>Delhi</v>
      </c>
      <c r="R871" s="6" t="s">
        <v>584</v>
      </c>
      <c r="S871" s="6" t="str">
        <f t="shared" si="102"/>
        <v>New Delhi</v>
      </c>
      <c r="T871" s="6" t="s">
        <v>14</v>
      </c>
      <c r="U871" s="8" t="str">
        <f t="shared" si="103"/>
        <v>Furniture</v>
      </c>
      <c r="V871" s="6" t="s">
        <v>16</v>
      </c>
      <c r="W871" s="6" t="str">
        <f t="shared" si="104"/>
        <v>Chairs</v>
      </c>
      <c r="X871" s="6" t="s">
        <v>1839</v>
      </c>
      <c r="Y871" s="6" t="s">
        <v>37</v>
      </c>
      <c r="Z871" s="6" t="str">
        <f t="shared" si="105"/>
        <v>Same Day</v>
      </c>
      <c r="AA871" s="6">
        <v>6</v>
      </c>
      <c r="AB871" s="6">
        <v>796.65</v>
      </c>
      <c r="AC871" s="6">
        <v>0.1</v>
      </c>
      <c r="AD871" s="6">
        <v>4301.91</v>
      </c>
      <c r="AE871" s="6">
        <v>2374.4</v>
      </c>
      <c r="AF871" s="6">
        <v>1927.51</v>
      </c>
      <c r="AG871" s="6" t="s">
        <v>52</v>
      </c>
      <c r="AH871" s="6" t="str">
        <f t="shared" si="106"/>
        <v>Paid</v>
      </c>
      <c r="AI871" s="6" t="s">
        <v>134</v>
      </c>
      <c r="AJ871" s="6" t="str">
        <f t="shared" si="107"/>
        <v>Completed</v>
      </c>
      <c r="AK871" s="9" t="str">
        <f>_xlfn.TEXTJOIN("|",FALSE,A871,TEXT(B871,"mm-dd-yyyy"),TEXT(E871,"mm-dd-yyyy"),I871,J871,L871,N871,P871,R871,T871,V871,X871,Y871,AA871,AB871,AC871,AD871,AE871,AF871,AG871,AI871)</f>
        <v>ORD-2025-10870|03-06-2025|07-03-2025|CUST-2388|Rohan Mehta|Home Office||Delhi|New Delhi|Furniture|Chairs|Max Chairs 487|Same Day|6|796.65|0.1|4301.91|2374.4|1927.51|Paid|Completed</v>
      </c>
      <c r="AL871" s="27" t="str">
        <f>IF(COUNTIF($AK$2:AK871,AK871)&gt;1,"Remove exact duplicate copy","Keep")</f>
        <v>Keep</v>
      </c>
      <c r="AM871" s="9">
        <f t="shared" si="108"/>
        <v>1</v>
      </c>
      <c r="AN871" s="9" t="str">
        <f t="shared" si="109"/>
        <v>Unique</v>
      </c>
      <c r="AO871" s="9" t="str">
        <f t="shared" si="110"/>
        <v/>
      </c>
      <c r="AP871" s="9">
        <f t="shared" si="111"/>
        <v>0.1</v>
      </c>
      <c r="AQ871" s="10">
        <f t="shared" si="112"/>
        <v>4301.91</v>
      </c>
      <c r="AR871" s="10">
        <f t="shared" si="113"/>
        <v>1927.5099999999998</v>
      </c>
      <c r="AS871" s="11">
        <f t="shared" si="114"/>
        <v>0.44805911792668834</v>
      </c>
      <c r="AT871" s="9">
        <f t="shared" si="115"/>
        <v>3</v>
      </c>
      <c r="AU871" s="9">
        <f t="shared" si="116"/>
        <v>2025</v>
      </c>
      <c r="AV871" s="9" t="b">
        <f t="shared" si="117"/>
        <v>0</v>
      </c>
      <c r="AW871" s="9" t="b">
        <f t="shared" si="118"/>
        <v>0</v>
      </c>
      <c r="AX871" s="9" t="str">
        <f t="shared" si="119"/>
        <v>Yes</v>
      </c>
      <c r="AY871" s="9" t="str">
        <f t="shared" si="123"/>
        <v>Missing region filled as Unknown</v>
      </c>
      <c r="AZ871" s="9" t="str">
        <f>IF(OR(G871="Missing date",G871="Invalid date",G871="Ship date before order date",NOT(ISNUMBER(AP871)),AP871&lt;0,AP871&gt;0.5,AV871=TRUE,AW871=TRUE),"Invalid",IF(OR(O871="Unknown",Z871="Unknown",AC871="",AH871&lt;&gt;"Paid",AJ871&lt;&gt;"Completed",AO871&lt;&gt;""),"Warning","Clean"))</f>
        <v>Warning</v>
      </c>
    </row>
    <row r="872" spans="1:52" ht="15.75" customHeight="1">
      <c r="A872" s="6" t="s">
        <v>4072</v>
      </c>
      <c r="B872" s="7" t="s">
        <v>4073</v>
      </c>
      <c r="C872" s="7" t="str">
        <f t="shared" si="122"/>
        <v>2025-06</v>
      </c>
      <c r="D872" s="7" cm="1">
        <f t="array" ref="D872">_xlfn.LET(_xlpm.x,B872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45814</v>
      </c>
      <c r="E872" s="7" t="s">
        <v>4074</v>
      </c>
      <c r="F872" s="7" cm="1">
        <f t="array" ref="F872">_xlfn.LET(_xlpm.x,E872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45815</v>
      </c>
      <c r="G872" s="8" t="str">
        <f t="shared" si="96"/>
        <v>OK</v>
      </c>
      <c r="H872" s="6">
        <f t="shared" si="97"/>
        <v>1</v>
      </c>
      <c r="I872" s="6" t="s">
        <v>4075</v>
      </c>
      <c r="J872" s="6" t="s">
        <v>169</v>
      </c>
      <c r="K872" s="6" t="str">
        <f t="shared" si="98"/>
        <v>Vikram Iyer</v>
      </c>
      <c r="L872" s="6" t="s">
        <v>45</v>
      </c>
      <c r="M872" s="8" t="str">
        <f t="shared" si="99"/>
        <v>Corporate</v>
      </c>
      <c r="N872" s="6" t="s">
        <v>9</v>
      </c>
      <c r="O872" s="6" t="str">
        <f t="shared" si="100"/>
        <v>West</v>
      </c>
      <c r="P872" s="6" t="s">
        <v>323</v>
      </c>
      <c r="Q872" s="6" t="str">
        <f t="shared" si="101"/>
        <v>Goa</v>
      </c>
      <c r="R872" s="6" t="s">
        <v>324</v>
      </c>
      <c r="S872" s="6" t="str">
        <f t="shared" si="102"/>
        <v>Panaji</v>
      </c>
      <c r="T872" s="6" t="s">
        <v>14</v>
      </c>
      <c r="U872" s="8" t="str">
        <f t="shared" si="103"/>
        <v>Furniture</v>
      </c>
      <c r="V872" s="6" t="s">
        <v>18</v>
      </c>
      <c r="W872" s="6" t="str">
        <f t="shared" si="104"/>
        <v>Tables</v>
      </c>
      <c r="X872" s="6" t="s">
        <v>4076</v>
      </c>
      <c r="Y872" s="6" t="s">
        <v>34</v>
      </c>
      <c r="Z872" s="6" t="str">
        <f t="shared" si="105"/>
        <v>Standard Class</v>
      </c>
      <c r="AA872" s="6">
        <v>9</v>
      </c>
      <c r="AB872" s="6">
        <v>2932.92</v>
      </c>
      <c r="AC872" s="6">
        <v>0.15</v>
      </c>
      <c r="AD872" s="6">
        <v>22436.84</v>
      </c>
      <c r="AE872" s="6">
        <v>17454.669999999998</v>
      </c>
      <c r="AF872" s="6">
        <v>4982.17</v>
      </c>
      <c r="AG872" s="6" t="s">
        <v>52</v>
      </c>
      <c r="AH872" s="6" t="str">
        <f t="shared" si="106"/>
        <v>Paid</v>
      </c>
      <c r="AI872" s="6" t="s">
        <v>58</v>
      </c>
      <c r="AJ872" s="6" t="str">
        <f t="shared" si="107"/>
        <v>Cancelled</v>
      </c>
      <c r="AK872" s="9" t="str">
        <f>_xlfn.TEXTJOIN("|",FALSE,A872,TEXT(B872,"mm-dd-yyyy"),TEXT(E872,"mm-dd-yyyy"),I872,J872,L872,N872,P872,R872,T872,V872,X872,Y872,AA872,AB872,AC872,AD872,AE872,AF872,AG872,AI872)</f>
        <v>ORD-2025-10871|06-06-2025|06-07-2025|CUST-7054|Vikram Iyer|Corporate|West|Goa|Panaji|Furniture|Tables|Max Tables 281|Standard Class|9|2932.92|0.15|22436.84|17454.67|4982.17|Paid|Cancelled</v>
      </c>
      <c r="AL872" s="27" t="str">
        <f>IF(COUNTIF($AK$2:AK872,AK872)&gt;1,"Remove exact duplicate copy","Keep")</f>
        <v>Keep</v>
      </c>
      <c r="AM872" s="9">
        <f t="shared" si="108"/>
        <v>1</v>
      </c>
      <c r="AN872" s="9" t="str">
        <f t="shared" si="109"/>
        <v>Unique</v>
      </c>
      <c r="AO872" s="9" t="str">
        <f t="shared" si="110"/>
        <v/>
      </c>
      <c r="AP872" s="9">
        <f t="shared" si="111"/>
        <v>0.15</v>
      </c>
      <c r="AQ872" s="10">
        <f t="shared" si="112"/>
        <v>22436.838</v>
      </c>
      <c r="AR872" s="10">
        <f t="shared" si="113"/>
        <v>4982.1680000000015</v>
      </c>
      <c r="AS872" s="11">
        <f t="shared" si="114"/>
        <v>0.22205303617203109</v>
      </c>
      <c r="AT872" s="9">
        <f t="shared" si="115"/>
        <v>6</v>
      </c>
      <c r="AU872" s="9">
        <f t="shared" si="116"/>
        <v>2025</v>
      </c>
      <c r="AV872" s="9" t="b">
        <f t="shared" si="117"/>
        <v>0</v>
      </c>
      <c r="AW872" s="9" t="b">
        <f t="shared" si="118"/>
        <v>0</v>
      </c>
      <c r="AX872" s="9" t="str">
        <f t="shared" si="119"/>
        <v>No</v>
      </c>
      <c r="AY872" s="9" t="str">
        <f t="shared" si="123"/>
        <v>Cancelled order excluded</v>
      </c>
      <c r="AZ872" s="9" t="str">
        <f>IF(OR(G872="Missing date",G872="Invalid date",G872="Ship date before order date",NOT(ISNUMBER(AP872)),AP872&lt;0,AP872&gt;0.5,AV872=TRUE,AW872=TRUE),"Invalid",IF(OR(O872="Unknown",Z872="Unknown",AC872="",AH872&lt;&gt;"Paid",AJ872&lt;&gt;"Completed",AO872&lt;&gt;""),"Warning","Clean"))</f>
        <v>Warning</v>
      </c>
    </row>
    <row r="873" spans="1:52" ht="15.75" customHeight="1">
      <c r="A873" s="6" t="s">
        <v>4077</v>
      </c>
      <c r="B873" s="7" t="s">
        <v>4078</v>
      </c>
      <c r="C873" s="7" t="str">
        <f t="shared" si="122"/>
        <v>2024-02</v>
      </c>
      <c r="D873" s="7" cm="1">
        <f t="array" ref="D873">_xlfn.LET(_xlpm.x,B873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45342</v>
      </c>
      <c r="E873" s="7" t="s">
        <v>2925</v>
      </c>
      <c r="F873" s="7" cm="1">
        <f t="array" ref="F873">_xlfn.LET(_xlpm.x,E873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45344</v>
      </c>
      <c r="G873" s="8" t="str">
        <f t="shared" si="96"/>
        <v>OK</v>
      </c>
      <c r="H873" s="6">
        <f t="shared" si="97"/>
        <v>2</v>
      </c>
      <c r="I873" s="6" t="s">
        <v>3896</v>
      </c>
      <c r="J873" s="6" t="s">
        <v>177</v>
      </c>
      <c r="K873" s="6" t="str">
        <f t="shared" si="98"/>
        <v>Neha Gupta</v>
      </c>
      <c r="L873" s="6" t="s">
        <v>46</v>
      </c>
      <c r="M873" s="8" t="str">
        <f t="shared" si="99"/>
        <v>Small Business</v>
      </c>
      <c r="N873" s="6" t="s">
        <v>10</v>
      </c>
      <c r="O873" s="6" t="str">
        <f t="shared" si="100"/>
        <v>South</v>
      </c>
      <c r="P873" s="6" t="s">
        <v>154</v>
      </c>
      <c r="Q873" s="6" t="str">
        <f t="shared" si="101"/>
        <v>Telangana</v>
      </c>
      <c r="R873" s="6" t="s">
        <v>155</v>
      </c>
      <c r="S873" s="6" t="str">
        <f t="shared" si="102"/>
        <v>Hyderabad</v>
      </c>
      <c r="T873" s="6" t="s">
        <v>27</v>
      </c>
      <c r="U873" s="8" t="str">
        <f t="shared" si="103"/>
        <v>Technology</v>
      </c>
      <c r="V873" s="6" t="s">
        <v>28</v>
      </c>
      <c r="W873" s="6" t="str">
        <f t="shared" si="104"/>
        <v>Accessories</v>
      </c>
      <c r="X873" s="6" t="s">
        <v>4079</v>
      </c>
      <c r="Y873" s="6" t="s">
        <v>35</v>
      </c>
      <c r="Z873" s="6" t="str">
        <f t="shared" si="105"/>
        <v>First Class</v>
      </c>
      <c r="AA873" s="6">
        <v>9</v>
      </c>
      <c r="AB873" s="6">
        <v>2186.23</v>
      </c>
      <c r="AC873" s="6">
        <v>0</v>
      </c>
      <c r="AD873" s="6">
        <v>19676.07</v>
      </c>
      <c r="AE873" s="6">
        <v>12458.62</v>
      </c>
      <c r="AF873" s="6">
        <v>7217.45</v>
      </c>
      <c r="AG873" s="6" t="s">
        <v>56</v>
      </c>
      <c r="AH873" s="6" t="str">
        <f t="shared" si="106"/>
        <v>Refunded</v>
      </c>
      <c r="AI873" s="6" t="s">
        <v>58</v>
      </c>
      <c r="AJ873" s="6" t="str">
        <f t="shared" si="107"/>
        <v>Cancelled</v>
      </c>
      <c r="AK873" s="9" t="str">
        <f>_xlfn.TEXTJOIN("|",FALSE,A873,TEXT(B873,"mm-dd-yyyy"),TEXT(E873,"mm-dd-yyyy"),I873,J873,L873,N873,P873,R873,T873,V873,X873,Y873,AA873,AB873,AC873,AD873,AE873,AF873,AG873,AI873)</f>
        <v>ORD-2024-10872|02-20-2024|02-22-2024|CUST-4375|Neha Gupta|Small Business|South|Telangana|Hyderabad|Technology|Accessories|Pro Accessories 325|First Class|9|2186.23|0|19676.07|12458.62|7217.45|Refunded|Cancelled</v>
      </c>
      <c r="AL873" s="27" t="str">
        <f>IF(COUNTIF($AK$2:AK873,AK873)&gt;1,"Remove exact duplicate copy","Keep")</f>
        <v>Keep</v>
      </c>
      <c r="AM873" s="9">
        <f t="shared" si="108"/>
        <v>1</v>
      </c>
      <c r="AN873" s="9" t="str">
        <f t="shared" si="109"/>
        <v>Unique</v>
      </c>
      <c r="AO873" s="9" t="str">
        <f t="shared" si="110"/>
        <v/>
      </c>
      <c r="AP873" s="9">
        <f t="shared" si="111"/>
        <v>0</v>
      </c>
      <c r="AQ873" s="10">
        <f t="shared" si="112"/>
        <v>19676.07</v>
      </c>
      <c r="AR873" s="10">
        <f t="shared" si="113"/>
        <v>7217.4499999999989</v>
      </c>
      <c r="AS873" s="11">
        <f t="shared" si="114"/>
        <v>0.36681359641432454</v>
      </c>
      <c r="AT873" s="9">
        <f t="shared" si="115"/>
        <v>2</v>
      </c>
      <c r="AU873" s="9">
        <f t="shared" si="116"/>
        <v>2024</v>
      </c>
      <c r="AV873" s="9" t="b">
        <f t="shared" si="117"/>
        <v>0</v>
      </c>
      <c r="AW873" s="9" t="b">
        <f t="shared" si="118"/>
        <v>0</v>
      </c>
      <c r="AX873" s="9" t="str">
        <f t="shared" si="119"/>
        <v>No</v>
      </c>
      <c r="AY873" s="9" t="str">
        <f t="shared" si="123"/>
        <v>Refunded order summarized separately; Cancelled order excluded</v>
      </c>
      <c r="AZ873" s="9" t="str">
        <f>IF(OR(G873="Missing date",G873="Invalid date",G873="Ship date before order date",NOT(ISNUMBER(AP873)),AP873&lt;0,AP873&gt;0.5,AV873=TRUE,AW873=TRUE),"Invalid",IF(OR(O873="Unknown",Z873="Unknown",AC873="",AH873&lt;&gt;"Paid",AJ873&lt;&gt;"Completed",AO873&lt;&gt;""),"Warning","Clean"))</f>
        <v>Warning</v>
      </c>
    </row>
    <row r="874" spans="1:52" ht="15.75" customHeight="1">
      <c r="A874" s="6" t="s">
        <v>4080</v>
      </c>
      <c r="B874" s="7" t="s">
        <v>3606</v>
      </c>
      <c r="C874" s="7" t="str">
        <f t="shared" si="122"/>
        <v>2024-11</v>
      </c>
      <c r="D874" s="7" cm="1">
        <f t="array" ref="D874">_xlfn.LET(_xlpm.x,B874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45597</v>
      </c>
      <c r="E874" s="7" t="s">
        <v>4081</v>
      </c>
      <c r="F874" s="7" cm="1">
        <f t="array" ref="F874">_xlfn.LET(_xlpm.x,E874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45598</v>
      </c>
      <c r="G874" s="8" t="str">
        <f t="shared" si="96"/>
        <v>OK</v>
      </c>
      <c r="H874" s="6">
        <f t="shared" si="97"/>
        <v>1</v>
      </c>
      <c r="I874" s="6" t="s">
        <v>3057</v>
      </c>
      <c r="J874" s="6" t="s">
        <v>129</v>
      </c>
      <c r="K874" s="6" t="str">
        <f t="shared" si="98"/>
        <v>Karan Malhotra</v>
      </c>
      <c r="L874" s="6" t="s">
        <v>45</v>
      </c>
      <c r="M874" s="8" t="str">
        <f t="shared" si="99"/>
        <v>Corporate</v>
      </c>
      <c r="N874" s="6" t="s">
        <v>8</v>
      </c>
      <c r="O874" s="6" t="str">
        <f t="shared" si="100"/>
        <v>East</v>
      </c>
      <c r="P874" s="6" t="s">
        <v>201</v>
      </c>
      <c r="Q874" s="6" t="str">
        <f t="shared" si="101"/>
        <v>West Bengal</v>
      </c>
      <c r="R874" s="6" t="s">
        <v>202</v>
      </c>
      <c r="S874" s="6" t="str">
        <f t="shared" si="102"/>
        <v>Kolkata</v>
      </c>
      <c r="T874" s="6" t="s">
        <v>14</v>
      </c>
      <c r="U874" s="8" t="str">
        <f t="shared" si="103"/>
        <v>Furniture</v>
      </c>
      <c r="V874" s="6" t="s">
        <v>17</v>
      </c>
      <c r="W874" s="6" t="str">
        <f t="shared" si="104"/>
        <v>Furnishings</v>
      </c>
      <c r="X874" s="6" t="s">
        <v>4082</v>
      </c>
      <c r="Y874" s="6" t="s">
        <v>34</v>
      </c>
      <c r="Z874" s="6" t="str">
        <f t="shared" si="105"/>
        <v>Standard Class</v>
      </c>
      <c r="AA874" s="6">
        <v>5</v>
      </c>
      <c r="AB874" s="6">
        <v>2212.02</v>
      </c>
      <c r="AC874" s="6">
        <v>0.2</v>
      </c>
      <c r="AD874" s="6">
        <v>8848.08</v>
      </c>
      <c r="AE874" s="6">
        <v>5691.56</v>
      </c>
      <c r="AF874" s="6">
        <v>3156.52</v>
      </c>
      <c r="AG874" s="6" t="s">
        <v>52</v>
      </c>
      <c r="AH874" s="6" t="str">
        <f t="shared" si="106"/>
        <v>Paid</v>
      </c>
      <c r="AI874" s="6" t="s">
        <v>134</v>
      </c>
      <c r="AJ874" s="6" t="str">
        <f t="shared" si="107"/>
        <v>Completed</v>
      </c>
      <c r="AK874" s="9" t="str">
        <f>_xlfn.TEXTJOIN("|",FALSE,A874,TEXT(B874,"mm-dd-yyyy"),TEXT(E874,"mm-dd-yyyy"),I874,J874,L874,N874,P874,R874,T874,V874,X874,Y874,AA874,AB874,AC874,AD874,AE874,AF874,AG874,AI874)</f>
        <v>ORD-2024-10873|11-01-2024|11-02-2024|CUST-6262|Karan Malhotra|Corporate|East|West Bengal|Kolkata|Furniture|Furnishings|Prime Furnishings 178|Standard Class|5|2212.02|0.2|8848.08|5691.56|3156.52|Paid|Completed</v>
      </c>
      <c r="AL874" s="27" t="str">
        <f>IF(COUNTIF($AK$2:AK874,AK874)&gt;1,"Remove exact duplicate copy","Keep")</f>
        <v>Keep</v>
      </c>
      <c r="AM874" s="9">
        <f t="shared" si="108"/>
        <v>1</v>
      </c>
      <c r="AN874" s="9" t="str">
        <f t="shared" si="109"/>
        <v>Unique</v>
      </c>
      <c r="AO874" s="9" t="str">
        <f t="shared" si="110"/>
        <v/>
      </c>
      <c r="AP874" s="9">
        <f t="shared" si="111"/>
        <v>0.2</v>
      </c>
      <c r="AQ874" s="10">
        <f t="shared" si="112"/>
        <v>8848.08</v>
      </c>
      <c r="AR874" s="10">
        <f t="shared" si="113"/>
        <v>3156.5199999999995</v>
      </c>
      <c r="AS874" s="11">
        <f t="shared" si="114"/>
        <v>0.35674632236598219</v>
      </c>
      <c r="AT874" s="9">
        <f t="shared" si="115"/>
        <v>11</v>
      </c>
      <c r="AU874" s="9">
        <f t="shared" si="116"/>
        <v>2024</v>
      </c>
      <c r="AV874" s="9" t="b">
        <f t="shared" si="117"/>
        <v>0</v>
      </c>
      <c r="AW874" s="9" t="b">
        <f t="shared" si="118"/>
        <v>0</v>
      </c>
      <c r="AX874" s="9" t="str">
        <f t="shared" si="119"/>
        <v>Yes</v>
      </c>
      <c r="AY874" s="9" t="str">
        <f t="shared" si="123"/>
        <v/>
      </c>
      <c r="AZ874" s="9" t="str">
        <f>IF(OR(G874="Missing date",G874="Invalid date",G874="Ship date before order date",NOT(ISNUMBER(AP874)),AP874&lt;0,AP874&gt;0.5,AV874=TRUE,AW874=TRUE),"Invalid",IF(OR(O874="Unknown",Z874="Unknown",AC874="",AH874&lt;&gt;"Paid",AJ874&lt;&gt;"Completed",AO874&lt;&gt;""),"Warning","Clean"))</f>
        <v>Clean</v>
      </c>
    </row>
    <row r="875" spans="1:52" ht="15.75" customHeight="1">
      <c r="A875" s="6" t="s">
        <v>4083</v>
      </c>
      <c r="B875" s="7" t="s">
        <v>4084</v>
      </c>
      <c r="C875" s="7" t="str">
        <f t="shared" si="122"/>
        <v>2025-02</v>
      </c>
      <c r="D875" s="7" cm="1">
        <f t="array" ref="D875">_xlfn.LET(_xlpm.x,B875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45689</v>
      </c>
      <c r="E875" s="7" t="s">
        <v>4085</v>
      </c>
      <c r="F875" s="7" cm="1">
        <f t="array" ref="F875">_xlfn.LET(_xlpm.x,E875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45696</v>
      </c>
      <c r="G875" s="8" t="str">
        <f t="shared" si="96"/>
        <v>OK</v>
      </c>
      <c r="H875" s="6">
        <f t="shared" si="97"/>
        <v>7</v>
      </c>
      <c r="I875" s="6" t="s">
        <v>4086</v>
      </c>
      <c r="J875" s="6" t="s">
        <v>190</v>
      </c>
      <c r="K875" s="6" t="str">
        <f t="shared" si="98"/>
        <v>Aditi Sen</v>
      </c>
      <c r="L875" s="6" t="s">
        <v>44</v>
      </c>
      <c r="M875" s="8" t="str">
        <f t="shared" si="99"/>
        <v>Home Office</v>
      </c>
      <c r="N875" s="6" t="s">
        <v>9</v>
      </c>
      <c r="O875" s="6" t="str">
        <f t="shared" si="100"/>
        <v>West</v>
      </c>
      <c r="P875" s="6" t="s">
        <v>309</v>
      </c>
      <c r="Q875" s="6" t="str">
        <f t="shared" si="101"/>
        <v>Gujarat</v>
      </c>
      <c r="R875" s="6" t="s">
        <v>310</v>
      </c>
      <c r="S875" s="6" t="str">
        <f t="shared" si="102"/>
        <v>Ahmedabad</v>
      </c>
      <c r="T875" s="6" t="s">
        <v>20</v>
      </c>
      <c r="U875" s="8" t="str">
        <f t="shared" si="103"/>
        <v>Office Supplies</v>
      </c>
      <c r="V875" s="6" t="s">
        <v>25</v>
      </c>
      <c r="W875" s="6" t="str">
        <f t="shared" si="104"/>
        <v>Storage</v>
      </c>
      <c r="X875" s="6" t="s">
        <v>4087</v>
      </c>
      <c r="Y875" s="6" t="s">
        <v>36</v>
      </c>
      <c r="Z875" s="6" t="str">
        <f t="shared" si="105"/>
        <v>Second Class</v>
      </c>
      <c r="AA875" s="6">
        <v>8</v>
      </c>
      <c r="AB875" s="6">
        <v>623.30999999999995</v>
      </c>
      <c r="AC875" s="6">
        <v>0.1</v>
      </c>
      <c r="AD875" s="6">
        <v>4487.83</v>
      </c>
      <c r="AE875" s="6">
        <v>2633.78</v>
      </c>
      <c r="AF875" s="6">
        <v>1854.05</v>
      </c>
      <c r="AG875" s="6" t="s">
        <v>52</v>
      </c>
      <c r="AH875" s="6" t="str">
        <f t="shared" si="106"/>
        <v>Paid</v>
      </c>
      <c r="AI875" s="6" t="s">
        <v>134</v>
      </c>
      <c r="AJ875" s="6" t="str">
        <f t="shared" si="107"/>
        <v>Completed</v>
      </c>
      <c r="AK875" s="9" t="str">
        <f>_xlfn.TEXTJOIN("|",FALSE,A875,TEXT(B875,"mm-dd-yyyy"),TEXT(E875,"mm-dd-yyyy"),I875,J875,L875,N875,P875,R875,T875,V875,X875,Y875,AA875,AB875,AC875,AD875,AE875,AF875,AG875,AI875)</f>
        <v>ORD-2025-10874|02-01-2025|08-02-2025|CUST-8160|Aditi Sen|Home Office|West|Gujarat|Ahmedabad|Office Supplies|Storage|Elite Storage 144|Second Class|8|623.31|0.1|4487.83|2633.78|1854.05|Paid|Completed</v>
      </c>
      <c r="AL875" s="27" t="str">
        <f>IF(COUNTIF($AK$2:AK875,AK875)&gt;1,"Remove exact duplicate copy","Keep")</f>
        <v>Keep</v>
      </c>
      <c r="AM875" s="9">
        <f t="shared" si="108"/>
        <v>1</v>
      </c>
      <c r="AN875" s="9" t="str">
        <f t="shared" si="109"/>
        <v>Unique</v>
      </c>
      <c r="AO875" s="9" t="str">
        <f t="shared" si="110"/>
        <v/>
      </c>
      <c r="AP875" s="9">
        <f t="shared" si="111"/>
        <v>0.1</v>
      </c>
      <c r="AQ875" s="10">
        <f t="shared" si="112"/>
        <v>4487.8319999999994</v>
      </c>
      <c r="AR875" s="10">
        <f t="shared" si="113"/>
        <v>1854.0519999999992</v>
      </c>
      <c r="AS875" s="11">
        <f t="shared" si="114"/>
        <v>0.41312865543986482</v>
      </c>
      <c r="AT875" s="9">
        <f t="shared" si="115"/>
        <v>2</v>
      </c>
      <c r="AU875" s="9">
        <f t="shared" si="116"/>
        <v>2025</v>
      </c>
      <c r="AV875" s="9" t="b">
        <f t="shared" si="117"/>
        <v>0</v>
      </c>
      <c r="AW875" s="9" t="b">
        <f t="shared" si="118"/>
        <v>0</v>
      </c>
      <c r="AX875" s="9" t="str">
        <f t="shared" si="119"/>
        <v>Yes</v>
      </c>
      <c r="AY875" s="9" t="str">
        <f t="shared" si="123"/>
        <v/>
      </c>
      <c r="AZ875" s="9" t="str">
        <f>IF(OR(G875="Missing date",G875="Invalid date",G875="Ship date before order date",NOT(ISNUMBER(AP875)),AP875&lt;0,AP875&gt;0.5,AV875=TRUE,AW875=TRUE),"Invalid",IF(OR(O875="Unknown",Z875="Unknown",AC875="",AH875&lt;&gt;"Paid",AJ875&lt;&gt;"Completed",AO875&lt;&gt;""),"Warning","Clean"))</f>
        <v>Clean</v>
      </c>
    </row>
    <row r="876" spans="1:52" ht="15.75" customHeight="1">
      <c r="A876" s="6" t="s">
        <v>4088</v>
      </c>
      <c r="B876" s="7" t="s">
        <v>3003</v>
      </c>
      <c r="C876" s="7" t="str">
        <f t="shared" si="122"/>
        <v>2025-07</v>
      </c>
      <c r="D876" s="7" cm="1">
        <f t="array" ref="D876">_xlfn.LET(_xlpm.x,B876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45853</v>
      </c>
      <c r="E876" s="7" t="s">
        <v>1598</v>
      </c>
      <c r="F876" s="7" cm="1">
        <f t="array" ref="F876">_xlfn.LET(_xlpm.x,E876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45854</v>
      </c>
      <c r="G876" s="8" t="str">
        <f t="shared" si="96"/>
        <v>OK</v>
      </c>
      <c r="H876" s="6">
        <f t="shared" si="97"/>
        <v>1</v>
      </c>
      <c r="I876" s="6" t="s">
        <v>4089</v>
      </c>
      <c r="J876" s="6" t="s">
        <v>169</v>
      </c>
      <c r="K876" s="6" t="str">
        <f t="shared" si="98"/>
        <v>Vikram Iyer</v>
      </c>
      <c r="L876" s="6" t="s">
        <v>46</v>
      </c>
      <c r="M876" s="8" t="str">
        <f t="shared" si="99"/>
        <v>Small Business</v>
      </c>
      <c r="N876" s="6" t="s">
        <v>9</v>
      </c>
      <c r="O876" s="6" t="str">
        <f t="shared" si="100"/>
        <v>West</v>
      </c>
      <c r="P876" s="6" t="s">
        <v>162</v>
      </c>
      <c r="Q876" s="6" t="str">
        <f t="shared" si="101"/>
        <v>Maharashtra</v>
      </c>
      <c r="R876" s="6" t="s">
        <v>163</v>
      </c>
      <c r="S876" s="6" t="str">
        <f t="shared" si="102"/>
        <v>Mumbai</v>
      </c>
      <c r="T876" s="6" t="s">
        <v>20</v>
      </c>
      <c r="U876" s="8" t="str">
        <f t="shared" si="103"/>
        <v>Office Supplies</v>
      </c>
      <c r="V876" s="6" t="s">
        <v>24</v>
      </c>
      <c r="W876" s="6" t="str">
        <f t="shared" si="104"/>
        <v>Paper</v>
      </c>
      <c r="X876" s="6" t="s">
        <v>4090</v>
      </c>
      <c r="Y876" s="6" t="s">
        <v>34</v>
      </c>
      <c r="Z876" s="6" t="str">
        <f t="shared" si="105"/>
        <v>Standard Class</v>
      </c>
      <c r="AA876" s="6">
        <v>8</v>
      </c>
      <c r="AB876" s="6">
        <v>3924.88</v>
      </c>
      <c r="AC876" s="6">
        <v>0.05</v>
      </c>
      <c r="AD876" s="6">
        <v>29829.09</v>
      </c>
      <c r="AE876" s="6">
        <v>20710.18</v>
      </c>
      <c r="AF876" s="6">
        <v>9118.91</v>
      </c>
      <c r="AG876" s="6" t="s">
        <v>52</v>
      </c>
      <c r="AH876" s="6" t="str">
        <f t="shared" si="106"/>
        <v>Paid</v>
      </c>
      <c r="AI876" s="6" t="s">
        <v>134</v>
      </c>
      <c r="AJ876" s="6" t="str">
        <f t="shared" si="107"/>
        <v>Completed</v>
      </c>
      <c r="AK876" s="9" t="str">
        <f>_xlfn.TEXTJOIN("|",FALSE,A876,TEXT(B876,"mm-dd-yyyy"),TEXT(E876,"mm-dd-yyyy"),I876,J876,L876,N876,P876,R876,T876,V876,X876,Y876,AA876,AB876,AC876,AD876,AE876,AF876,AG876,AI876)</f>
        <v>ORD-2025-10875|07-15-2025|07-16-2025|CUST-8770|Vikram Iyer|Small Business|West|Maharashtra|Mumbai|Office Supplies|Paper|Elite Paper 309|Standard Class|8|3924.88|0.05|29829.09|20710.18|9118.91|Paid|Completed</v>
      </c>
      <c r="AL876" s="27" t="str">
        <f>IF(COUNTIF($AK$2:AK876,AK876)&gt;1,"Remove exact duplicate copy","Keep")</f>
        <v>Keep</v>
      </c>
      <c r="AM876" s="9">
        <f t="shared" si="108"/>
        <v>1</v>
      </c>
      <c r="AN876" s="9" t="str">
        <f t="shared" si="109"/>
        <v>Unique</v>
      </c>
      <c r="AO876" s="9" t="str">
        <f t="shared" si="110"/>
        <v/>
      </c>
      <c r="AP876" s="9">
        <f t="shared" si="111"/>
        <v>0.05</v>
      </c>
      <c r="AQ876" s="10">
        <f t="shared" si="112"/>
        <v>29829.088</v>
      </c>
      <c r="AR876" s="10">
        <f t="shared" si="113"/>
        <v>9118.9079999999994</v>
      </c>
      <c r="AS876" s="11">
        <f t="shared" si="114"/>
        <v>0.30570522303598419</v>
      </c>
      <c r="AT876" s="9">
        <f t="shared" si="115"/>
        <v>7</v>
      </c>
      <c r="AU876" s="9">
        <f t="shared" si="116"/>
        <v>2025</v>
      </c>
      <c r="AV876" s="9" t="b">
        <f t="shared" si="117"/>
        <v>0</v>
      </c>
      <c r="AW876" s="9" t="b">
        <f t="shared" si="118"/>
        <v>0</v>
      </c>
      <c r="AX876" s="9" t="str">
        <f t="shared" si="119"/>
        <v>Yes</v>
      </c>
      <c r="AY876" s="9" t="str">
        <f t="shared" si="123"/>
        <v/>
      </c>
      <c r="AZ876" s="9" t="str">
        <f>IF(OR(G876="Missing date",G876="Invalid date",G876="Ship date before order date",NOT(ISNUMBER(AP876)),AP876&lt;0,AP876&gt;0.5,AV876=TRUE,AW876=TRUE),"Invalid",IF(OR(O876="Unknown",Z876="Unknown",AC876="",AH876&lt;&gt;"Paid",AJ876&lt;&gt;"Completed",AO876&lt;&gt;""),"Warning","Clean"))</f>
        <v>Clean</v>
      </c>
    </row>
    <row r="877" spans="1:52" ht="15.75" customHeight="1">
      <c r="A877" s="6" t="s">
        <v>4091</v>
      </c>
      <c r="B877" s="7" t="s">
        <v>4092</v>
      </c>
      <c r="C877" s="7" t="str">
        <f t="shared" si="122"/>
        <v>2024-08</v>
      </c>
      <c r="D877" s="7" cm="1">
        <f t="array" ref="D877">_xlfn.LET(_xlpm.x,B877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45514</v>
      </c>
      <c r="E877" s="7" t="s">
        <v>4093</v>
      </c>
      <c r="F877" s="7" cm="1">
        <f t="array" ref="F877">_xlfn.LET(_xlpm.x,E877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45515</v>
      </c>
      <c r="G877" s="8" t="str">
        <f t="shared" si="96"/>
        <v>OK</v>
      </c>
      <c r="H877" s="6">
        <f t="shared" si="97"/>
        <v>1</v>
      </c>
      <c r="I877" s="6" t="s">
        <v>4094</v>
      </c>
      <c r="J877" s="6" t="s">
        <v>139</v>
      </c>
      <c r="K877" s="6" t="str">
        <f t="shared" si="98"/>
        <v>Mira Das</v>
      </c>
      <c r="L877" s="6" t="s">
        <v>45</v>
      </c>
      <c r="M877" s="8" t="str">
        <f t="shared" si="99"/>
        <v>Corporate</v>
      </c>
      <c r="N877" s="6" t="s">
        <v>9</v>
      </c>
      <c r="O877" s="6" t="str">
        <f t="shared" si="100"/>
        <v>West</v>
      </c>
      <c r="P877" s="6" t="s">
        <v>162</v>
      </c>
      <c r="Q877" s="6" t="str">
        <f t="shared" si="101"/>
        <v>Maharashtra</v>
      </c>
      <c r="R877" s="6" t="s">
        <v>163</v>
      </c>
      <c r="S877" s="6" t="str">
        <f t="shared" si="102"/>
        <v>Mumbai</v>
      </c>
      <c r="T877" s="6" t="s">
        <v>27</v>
      </c>
      <c r="U877" s="8" t="str">
        <f t="shared" si="103"/>
        <v>Technology</v>
      </c>
      <c r="V877" s="6" t="s">
        <v>29</v>
      </c>
      <c r="W877" s="6" t="str">
        <f t="shared" si="104"/>
        <v>Copiers</v>
      </c>
      <c r="X877" s="6" t="s">
        <v>4095</v>
      </c>
      <c r="Y877" s="6" t="s">
        <v>35</v>
      </c>
      <c r="Z877" s="6" t="str">
        <f t="shared" si="105"/>
        <v>First Class</v>
      </c>
      <c r="AA877" s="6">
        <v>7</v>
      </c>
      <c r="AB877" s="6">
        <v>3852.62</v>
      </c>
      <c r="AC877" s="6">
        <v>0.2</v>
      </c>
      <c r="AD877" s="6">
        <v>21574.67</v>
      </c>
      <c r="AE877" s="6">
        <v>14672.83</v>
      </c>
      <c r="AF877" s="6">
        <v>6901.84</v>
      </c>
      <c r="AG877" s="6" t="s">
        <v>52</v>
      </c>
      <c r="AH877" s="6" t="str">
        <f t="shared" si="106"/>
        <v>Paid</v>
      </c>
      <c r="AI877" s="6" t="s">
        <v>134</v>
      </c>
      <c r="AJ877" s="6" t="str">
        <f t="shared" si="107"/>
        <v>Completed</v>
      </c>
      <c r="AK877" s="9" t="str">
        <f>_xlfn.TEXTJOIN("|",FALSE,A877,TEXT(B877,"mm-dd-yyyy"),TEXT(E877,"mm-dd-yyyy"),I877,J877,L877,N877,P877,R877,T877,V877,X877,Y877,AA877,AB877,AC877,AD877,AE877,AF877,AG877,AI877)</f>
        <v>ORD-2024-10876|08-10-2024|08-11-2024|CUST-6928|Mira Das|Corporate|West|Maharashtra|Mumbai|Technology|Copiers|Elite Copiers 752|First Class|7|3852.62|0.2|21574.67|14672.83|6901.84|Paid|Completed</v>
      </c>
      <c r="AL877" s="27" t="str">
        <f>IF(COUNTIF($AK$2:AK877,AK877)&gt;1,"Remove exact duplicate copy","Keep")</f>
        <v>Keep</v>
      </c>
      <c r="AM877" s="9">
        <f t="shared" si="108"/>
        <v>1</v>
      </c>
      <c r="AN877" s="9" t="str">
        <f t="shared" si="109"/>
        <v>Unique</v>
      </c>
      <c r="AO877" s="9" t="str">
        <f t="shared" si="110"/>
        <v/>
      </c>
      <c r="AP877" s="9">
        <f t="shared" si="111"/>
        <v>0.2</v>
      </c>
      <c r="AQ877" s="10">
        <f t="shared" si="112"/>
        <v>21574.672000000002</v>
      </c>
      <c r="AR877" s="10">
        <f t="shared" si="113"/>
        <v>6901.8420000000024</v>
      </c>
      <c r="AS877" s="11">
        <f t="shared" si="114"/>
        <v>0.31990484026825539</v>
      </c>
      <c r="AT877" s="9">
        <f t="shared" si="115"/>
        <v>8</v>
      </c>
      <c r="AU877" s="9">
        <f t="shared" si="116"/>
        <v>2024</v>
      </c>
      <c r="AV877" s="9" t="b">
        <f t="shared" si="117"/>
        <v>0</v>
      </c>
      <c r="AW877" s="9" t="b">
        <f t="shared" si="118"/>
        <v>0</v>
      </c>
      <c r="AX877" s="9" t="str">
        <f t="shared" si="119"/>
        <v>Yes</v>
      </c>
      <c r="AY877" s="9" t="str">
        <f t="shared" si="123"/>
        <v/>
      </c>
      <c r="AZ877" s="9" t="str">
        <f>IF(OR(G877="Missing date",G877="Invalid date",G877="Ship date before order date",NOT(ISNUMBER(AP877)),AP877&lt;0,AP877&gt;0.5,AV877=TRUE,AW877=TRUE),"Invalid",IF(OR(O877="Unknown",Z877="Unknown",AC877="",AH877&lt;&gt;"Paid",AJ877&lt;&gt;"Completed",AO877&lt;&gt;""),"Warning","Clean"))</f>
        <v>Clean</v>
      </c>
    </row>
    <row r="878" spans="1:52" ht="15.75" customHeight="1">
      <c r="A878" s="6" t="s">
        <v>4096</v>
      </c>
      <c r="B878" s="7" t="s">
        <v>4097</v>
      </c>
      <c r="C878" s="7" t="str">
        <f t="shared" si="122"/>
        <v>2024-11</v>
      </c>
      <c r="D878" s="7" cm="1">
        <f t="array" ref="D878">_xlfn.LET(_xlpm.x,B878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45614</v>
      </c>
      <c r="E878" s="7" t="s">
        <v>4098</v>
      </c>
      <c r="F878" s="7" cm="1">
        <f t="array" ref="F878">_xlfn.LET(_xlpm.x,E878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45616</v>
      </c>
      <c r="G878" s="8" t="str">
        <f t="shared" si="96"/>
        <v>OK</v>
      </c>
      <c r="H878" s="6">
        <f t="shared" si="97"/>
        <v>2</v>
      </c>
      <c r="I878" s="6" t="s">
        <v>4099</v>
      </c>
      <c r="J878" s="6" t="s">
        <v>220</v>
      </c>
      <c r="K878" s="6" t="str">
        <f t="shared" si="98"/>
        <v>Priya Menon</v>
      </c>
      <c r="L878" s="6" t="s">
        <v>43</v>
      </c>
      <c r="M878" s="8" t="str">
        <f t="shared" si="99"/>
        <v>Consumer</v>
      </c>
      <c r="N878" s="6" t="s">
        <v>9</v>
      </c>
      <c r="O878" s="6" t="str">
        <f t="shared" si="100"/>
        <v>West</v>
      </c>
      <c r="P878" s="6" t="s">
        <v>131</v>
      </c>
      <c r="Q878" s="6" t="str">
        <f t="shared" si="101"/>
        <v>Rajasthan</v>
      </c>
      <c r="R878" s="6" t="s">
        <v>214</v>
      </c>
      <c r="S878" s="6" t="str">
        <f t="shared" si="102"/>
        <v>Udaipur</v>
      </c>
      <c r="T878" s="6" t="s">
        <v>14</v>
      </c>
      <c r="U878" s="8" t="str">
        <f t="shared" si="103"/>
        <v>Furniture</v>
      </c>
      <c r="V878" s="6" t="s">
        <v>16</v>
      </c>
      <c r="W878" s="6" t="str">
        <f t="shared" si="104"/>
        <v>Chairs</v>
      </c>
      <c r="X878" s="6" t="s">
        <v>1376</v>
      </c>
      <c r="Y878" s="6" t="s">
        <v>35</v>
      </c>
      <c r="Z878" s="6" t="str">
        <f t="shared" si="105"/>
        <v>First Class</v>
      </c>
      <c r="AA878" s="6">
        <v>6</v>
      </c>
      <c r="AB878" s="6">
        <v>3790.22</v>
      </c>
      <c r="AC878" s="6">
        <v>0</v>
      </c>
      <c r="AD878" s="6">
        <v>22741.32</v>
      </c>
      <c r="AE878" s="6">
        <v>16388.57</v>
      </c>
      <c r="AF878" s="6">
        <v>6352.75</v>
      </c>
      <c r="AG878" s="6" t="s">
        <v>52</v>
      </c>
      <c r="AH878" s="6" t="str">
        <f t="shared" si="106"/>
        <v>Paid</v>
      </c>
      <c r="AI878" s="6" t="s">
        <v>134</v>
      </c>
      <c r="AJ878" s="6" t="str">
        <f t="shared" si="107"/>
        <v>Completed</v>
      </c>
      <c r="AK878" s="9" t="str">
        <f>_xlfn.TEXTJOIN("|",FALSE,A878,TEXT(B878,"mm-dd-yyyy"),TEXT(E878,"mm-dd-yyyy"),I878,J878,L878,N878,P878,R878,T878,V878,X878,Y878,AA878,AB878,AC878,AD878,AE878,AF878,AG878,AI878)</f>
        <v>ORD-2024-10877|11-18-2024|20-11-2024|CUST-9044|Priya Menon|Consumer|West|Rajasthan|Udaipur|Furniture|Chairs|Pro Chairs 316|First Class|6|3790.22|0|22741.32|16388.57|6352.75|Paid|Completed</v>
      </c>
      <c r="AL878" s="27" t="str">
        <f>IF(COUNTIF($AK$2:AK878,AK878)&gt;1,"Remove exact duplicate copy","Keep")</f>
        <v>Keep</v>
      </c>
      <c r="AM878" s="9">
        <f t="shared" si="108"/>
        <v>1</v>
      </c>
      <c r="AN878" s="9" t="str">
        <f t="shared" si="109"/>
        <v>Unique</v>
      </c>
      <c r="AO878" s="9" t="str">
        <f t="shared" si="110"/>
        <v/>
      </c>
      <c r="AP878" s="9">
        <f t="shared" si="111"/>
        <v>0</v>
      </c>
      <c r="AQ878" s="10">
        <f t="shared" si="112"/>
        <v>22741.32</v>
      </c>
      <c r="AR878" s="10">
        <f t="shared" si="113"/>
        <v>6352.75</v>
      </c>
      <c r="AS878" s="11">
        <f t="shared" si="114"/>
        <v>0.27934834037777928</v>
      </c>
      <c r="AT878" s="9">
        <f t="shared" si="115"/>
        <v>11</v>
      </c>
      <c r="AU878" s="9">
        <f t="shared" si="116"/>
        <v>2024</v>
      </c>
      <c r="AV878" s="9" t="b">
        <f t="shared" si="117"/>
        <v>0</v>
      </c>
      <c r="AW878" s="9" t="b">
        <f t="shared" si="118"/>
        <v>0</v>
      </c>
      <c r="AX878" s="9" t="str">
        <f t="shared" si="119"/>
        <v>Yes</v>
      </c>
      <c r="AY878" s="9" t="str">
        <f t="shared" si="123"/>
        <v/>
      </c>
      <c r="AZ878" s="9" t="str">
        <f>IF(OR(G878="Missing date",G878="Invalid date",G878="Ship date before order date",NOT(ISNUMBER(AP878)),AP878&lt;0,AP878&gt;0.5,AV878=TRUE,AW878=TRUE),"Invalid",IF(OR(O878="Unknown",Z878="Unknown",AC878="",AH878&lt;&gt;"Paid",AJ878&lt;&gt;"Completed",AO878&lt;&gt;""),"Warning","Clean"))</f>
        <v>Clean</v>
      </c>
    </row>
    <row r="879" spans="1:52" ht="15.75" customHeight="1">
      <c r="A879" s="6" t="s">
        <v>4100</v>
      </c>
      <c r="B879" s="7" t="s">
        <v>4101</v>
      </c>
      <c r="C879" s="7" t="str">
        <f t="shared" si="122"/>
        <v>2025-08</v>
      </c>
      <c r="D879" s="7" cm="1">
        <f t="array" ref="D879">_xlfn.LET(_xlpm.x,B879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45895</v>
      </c>
      <c r="E879" s="7" t="s">
        <v>2861</v>
      </c>
      <c r="F879" s="7" cm="1">
        <f t="array" ref="F879">_xlfn.LET(_xlpm.x,E879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45903</v>
      </c>
      <c r="G879" s="8" t="str">
        <f t="shared" si="96"/>
        <v>OK</v>
      </c>
      <c r="H879" s="6">
        <f t="shared" si="97"/>
        <v>8</v>
      </c>
      <c r="I879" s="6" t="s">
        <v>4102</v>
      </c>
      <c r="J879" s="6" t="s">
        <v>239</v>
      </c>
      <c r="K879" s="6" t="str">
        <f t="shared" si="98"/>
        <v>Aarav Sharma</v>
      </c>
      <c r="L879" s="6" t="s">
        <v>43</v>
      </c>
      <c r="M879" s="8" t="str">
        <f t="shared" si="99"/>
        <v>Consumer</v>
      </c>
      <c r="N879" s="6" t="s">
        <v>9</v>
      </c>
      <c r="O879" s="6" t="str">
        <f t="shared" si="100"/>
        <v>West</v>
      </c>
      <c r="P879" s="6" t="s">
        <v>131</v>
      </c>
      <c r="Q879" s="6" t="str">
        <f t="shared" si="101"/>
        <v>Rajasthan</v>
      </c>
      <c r="R879" s="6" t="s">
        <v>214</v>
      </c>
      <c r="S879" s="6" t="str">
        <f t="shared" si="102"/>
        <v>Udaipur</v>
      </c>
      <c r="T879" s="6" t="s">
        <v>20</v>
      </c>
      <c r="U879" s="8" t="str">
        <f t="shared" si="103"/>
        <v>Office Supplies</v>
      </c>
      <c r="V879" s="6" t="s">
        <v>25</v>
      </c>
      <c r="W879" s="6" t="str">
        <f t="shared" si="104"/>
        <v>Storage</v>
      </c>
      <c r="X879" s="6" t="s">
        <v>4103</v>
      </c>
      <c r="Y879" s="6" t="s">
        <v>36</v>
      </c>
      <c r="Z879" s="6" t="str">
        <f t="shared" si="105"/>
        <v>Second Class</v>
      </c>
      <c r="AA879" s="6">
        <v>6</v>
      </c>
      <c r="AB879" s="6">
        <v>674.36</v>
      </c>
      <c r="AC879" s="6">
        <v>0.1</v>
      </c>
      <c r="AD879" s="6">
        <v>3641.54</v>
      </c>
      <c r="AE879" s="6">
        <v>2690.37</v>
      </c>
      <c r="AF879" s="6">
        <v>951.17</v>
      </c>
      <c r="AG879" s="6" t="s">
        <v>52</v>
      </c>
      <c r="AH879" s="6" t="str">
        <f t="shared" si="106"/>
        <v>Paid</v>
      </c>
      <c r="AI879" s="6" t="s">
        <v>134</v>
      </c>
      <c r="AJ879" s="6" t="str">
        <f t="shared" si="107"/>
        <v>Completed</v>
      </c>
      <c r="AK879" s="9" t="str">
        <f>_xlfn.TEXTJOIN("|",FALSE,A879,TEXT(B879,"mm-dd-yyyy"),TEXT(E879,"mm-dd-yyyy"),I879,J879,L879,N879,P879,R879,T879,V879,X879,Y879,AA879,AB879,AC879,AD879,AE879,AF879,AG879,AI879)</f>
        <v>ORD-2025-10878|26-08-2025|09-03-2025|CUST-7146|Aarav Sharma|Consumer|West|Rajasthan|Udaipur|Office Supplies|Storage|Max Storage 438|Second Class|6|674.36|0.1|3641.54|2690.37|951.17|Paid|Completed</v>
      </c>
      <c r="AL879" s="27" t="str">
        <f>IF(COUNTIF($AK$2:AK879,AK879)&gt;1,"Remove exact duplicate copy","Keep")</f>
        <v>Keep</v>
      </c>
      <c r="AM879" s="9">
        <f t="shared" si="108"/>
        <v>1</v>
      </c>
      <c r="AN879" s="9" t="str">
        <f t="shared" si="109"/>
        <v>Unique</v>
      </c>
      <c r="AO879" s="9" t="str">
        <f t="shared" si="110"/>
        <v/>
      </c>
      <c r="AP879" s="9">
        <f t="shared" si="111"/>
        <v>0.1</v>
      </c>
      <c r="AQ879" s="10">
        <f t="shared" si="112"/>
        <v>3641.5439999999999</v>
      </c>
      <c r="AR879" s="10">
        <f t="shared" si="113"/>
        <v>951.17399999999998</v>
      </c>
      <c r="AS879" s="11">
        <f t="shared" si="114"/>
        <v>0.26120074342092253</v>
      </c>
      <c r="AT879" s="9">
        <f t="shared" si="115"/>
        <v>8</v>
      </c>
      <c r="AU879" s="9">
        <f t="shared" si="116"/>
        <v>2025</v>
      </c>
      <c r="AV879" s="9" t="b">
        <f t="shared" si="117"/>
        <v>0</v>
      </c>
      <c r="AW879" s="9" t="b">
        <f t="shared" si="118"/>
        <v>0</v>
      </c>
      <c r="AX879" s="9" t="str">
        <f t="shared" si="119"/>
        <v>Yes</v>
      </c>
      <c r="AY879" s="9" t="str">
        <f t="shared" si="123"/>
        <v/>
      </c>
      <c r="AZ879" s="9" t="str">
        <f>IF(OR(G879="Missing date",G879="Invalid date",G879="Ship date before order date",NOT(ISNUMBER(AP879)),AP879&lt;0,AP879&gt;0.5,AV879=TRUE,AW879=TRUE),"Invalid",IF(OR(O879="Unknown",Z879="Unknown",AC879="",AH879&lt;&gt;"Paid",AJ879&lt;&gt;"Completed",AO879&lt;&gt;""),"Warning","Clean"))</f>
        <v>Clean</v>
      </c>
    </row>
    <row r="880" spans="1:52" ht="15.75" customHeight="1">
      <c r="A880" s="6" t="s">
        <v>4104</v>
      </c>
      <c r="B880" s="7" t="s">
        <v>2126</v>
      </c>
      <c r="C880" s="7" t="str">
        <f t="shared" si="122"/>
        <v>2024-01</v>
      </c>
      <c r="D880" s="7" cm="1">
        <f t="array" ref="D880">_xlfn.LET(_xlpm.x,B880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45313</v>
      </c>
      <c r="E880" s="7" t="s">
        <v>2126</v>
      </c>
      <c r="F880" s="7" cm="1">
        <f t="array" ref="F880">_xlfn.LET(_xlpm.x,E880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45313</v>
      </c>
      <c r="G880" s="8" t="str">
        <f t="shared" si="96"/>
        <v>OK</v>
      </c>
      <c r="H880" s="6">
        <f t="shared" si="97"/>
        <v>0</v>
      </c>
      <c r="I880" s="6" t="s">
        <v>4105</v>
      </c>
      <c r="J880" s="6" t="s">
        <v>129</v>
      </c>
      <c r="K880" s="6" t="str">
        <f t="shared" si="98"/>
        <v>Karan Malhotra</v>
      </c>
      <c r="L880" s="6" t="s">
        <v>45</v>
      </c>
      <c r="M880" s="8" t="str">
        <f t="shared" si="99"/>
        <v>Corporate</v>
      </c>
      <c r="N880" s="6" t="s">
        <v>8</v>
      </c>
      <c r="O880" s="6" t="str">
        <f t="shared" si="100"/>
        <v>East</v>
      </c>
      <c r="P880" s="6" t="s">
        <v>201</v>
      </c>
      <c r="Q880" s="6" t="str">
        <f t="shared" si="101"/>
        <v>West Bengal</v>
      </c>
      <c r="R880" s="6" t="s">
        <v>202</v>
      </c>
      <c r="S880" s="6" t="str">
        <f t="shared" si="102"/>
        <v>Kolkata</v>
      </c>
      <c r="T880" s="6" t="s">
        <v>20</v>
      </c>
      <c r="U880" s="8" t="str">
        <f t="shared" si="103"/>
        <v>Office Supplies</v>
      </c>
      <c r="V880" s="6" t="s">
        <v>24</v>
      </c>
      <c r="W880" s="6" t="str">
        <f t="shared" si="104"/>
        <v>Paper</v>
      </c>
      <c r="X880" s="6" t="s">
        <v>4106</v>
      </c>
      <c r="Y880" s="6" t="s">
        <v>35</v>
      </c>
      <c r="Z880" s="6" t="str">
        <f t="shared" si="105"/>
        <v>First Class</v>
      </c>
      <c r="AA880" s="6">
        <v>8</v>
      </c>
      <c r="AB880" s="6">
        <v>1557.21</v>
      </c>
      <c r="AC880" s="6">
        <v>0.05</v>
      </c>
      <c r="AD880" s="6">
        <v>11834.8</v>
      </c>
      <c r="AE880" s="6">
        <v>9322.36</v>
      </c>
      <c r="AF880" s="6">
        <v>2512.44</v>
      </c>
      <c r="AG880" s="6" t="s">
        <v>52</v>
      </c>
      <c r="AH880" s="6" t="str">
        <f t="shared" si="106"/>
        <v>Paid</v>
      </c>
      <c r="AI880" s="6" t="s">
        <v>134</v>
      </c>
      <c r="AJ880" s="6" t="str">
        <f t="shared" si="107"/>
        <v>Completed</v>
      </c>
      <c r="AK880" s="9" t="str">
        <f>_xlfn.TEXTJOIN("|",FALSE,A880,TEXT(B880,"mm-dd-yyyy"),TEXT(E880,"mm-dd-yyyy"),I880,J880,L880,N880,P880,R880,T880,V880,X880,Y880,AA880,AB880,AC880,AD880,AE880,AF880,AG880,AI880)</f>
        <v>ORD-2024-10879|01-22-2024|01-22-2024|CUST-8534|Karan Malhotra|Corporate|East|West Bengal|Kolkata|Office Supplies|Paper|Basic Paper 904|First Class|8|1557.21|0.05|11834.8|9322.36|2512.44|Paid|Completed</v>
      </c>
      <c r="AL880" s="27" t="str">
        <f>IF(COUNTIF($AK$2:AK880,AK880)&gt;1,"Remove exact duplicate copy","Keep")</f>
        <v>Keep</v>
      </c>
      <c r="AM880" s="9">
        <f t="shared" si="108"/>
        <v>1</v>
      </c>
      <c r="AN880" s="9" t="str">
        <f t="shared" si="109"/>
        <v>Unique</v>
      </c>
      <c r="AO880" s="9" t="str">
        <f t="shared" si="110"/>
        <v/>
      </c>
      <c r="AP880" s="9">
        <f t="shared" si="111"/>
        <v>0.05</v>
      </c>
      <c r="AQ880" s="10">
        <f t="shared" si="112"/>
        <v>11834.796</v>
      </c>
      <c r="AR880" s="10">
        <f t="shared" si="113"/>
        <v>2512.4359999999997</v>
      </c>
      <c r="AS880" s="11">
        <f t="shared" si="114"/>
        <v>0.21229229468763125</v>
      </c>
      <c r="AT880" s="9">
        <f t="shared" si="115"/>
        <v>1</v>
      </c>
      <c r="AU880" s="9">
        <f t="shared" si="116"/>
        <v>2024</v>
      </c>
      <c r="AV880" s="9" t="b">
        <f t="shared" si="117"/>
        <v>0</v>
      </c>
      <c r="AW880" s="9" t="b">
        <f t="shared" si="118"/>
        <v>0</v>
      </c>
      <c r="AX880" s="9" t="str">
        <f t="shared" si="119"/>
        <v>Yes</v>
      </c>
      <c r="AY880" s="9" t="str">
        <f t="shared" si="123"/>
        <v/>
      </c>
      <c r="AZ880" s="9" t="str">
        <f>IF(OR(G880="Missing date",G880="Invalid date",G880="Ship date before order date",NOT(ISNUMBER(AP880)),AP880&lt;0,AP880&gt;0.5,AV880=TRUE,AW880=TRUE),"Invalid",IF(OR(O880="Unknown",Z880="Unknown",AC880="",AH880&lt;&gt;"Paid",AJ880&lt;&gt;"Completed",AO880&lt;&gt;""),"Warning","Clean"))</f>
        <v>Clean</v>
      </c>
    </row>
    <row r="881" spans="1:52" ht="15.75" customHeight="1">
      <c r="A881" s="6" t="s">
        <v>4107</v>
      </c>
      <c r="B881" s="7" t="s">
        <v>4108</v>
      </c>
      <c r="C881" s="7" t="str">
        <f t="shared" si="122"/>
        <v>2025-08</v>
      </c>
      <c r="D881" s="7" cm="1">
        <f t="array" ref="D881">_xlfn.LET(_xlpm.x,B881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45896</v>
      </c>
      <c r="E881" s="7" t="s">
        <v>510</v>
      </c>
      <c r="F881" s="7" cm="1">
        <f t="array" ref="F881">_xlfn.LET(_xlpm.x,E881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45897</v>
      </c>
      <c r="G881" s="8" t="str">
        <f t="shared" si="96"/>
        <v>OK</v>
      </c>
      <c r="H881" s="6">
        <f t="shared" si="97"/>
        <v>1</v>
      </c>
      <c r="I881" s="6" t="s">
        <v>4109</v>
      </c>
      <c r="J881" s="6" t="s">
        <v>161</v>
      </c>
      <c r="K881" s="6" t="str">
        <f t="shared" si="98"/>
        <v>Ananya Rao</v>
      </c>
      <c r="L881" s="6" t="s">
        <v>44</v>
      </c>
      <c r="M881" s="8" t="str">
        <f t="shared" si="99"/>
        <v>Home Office</v>
      </c>
      <c r="N881" s="6" t="s">
        <v>7</v>
      </c>
      <c r="O881" s="6" t="str">
        <f t="shared" si="100"/>
        <v>North</v>
      </c>
      <c r="P881" s="6" t="s">
        <v>251</v>
      </c>
      <c r="Q881" s="6" t="str">
        <f t="shared" si="101"/>
        <v>Uttar Pradesh</v>
      </c>
      <c r="R881" s="6" t="s">
        <v>252</v>
      </c>
      <c r="S881" s="6" t="str">
        <f t="shared" si="102"/>
        <v>Noida</v>
      </c>
      <c r="T881" s="6" t="s">
        <v>20</v>
      </c>
      <c r="U881" s="8" t="str">
        <f t="shared" si="103"/>
        <v>Office Supplies</v>
      </c>
      <c r="V881" s="6" t="s">
        <v>21</v>
      </c>
      <c r="W881" s="6" t="str">
        <f t="shared" si="104"/>
        <v>Art</v>
      </c>
      <c r="X881" s="6" t="s">
        <v>4110</v>
      </c>
      <c r="Y881" s="6" t="s">
        <v>34</v>
      </c>
      <c r="Z881" s="6" t="str">
        <f t="shared" si="105"/>
        <v>Standard Class</v>
      </c>
      <c r="AA881" s="6">
        <v>6</v>
      </c>
      <c r="AB881" s="6">
        <v>1182.03</v>
      </c>
      <c r="AC881" s="6">
        <v>0.15</v>
      </c>
      <c r="AD881" s="6">
        <v>6028.35</v>
      </c>
      <c r="AE881" s="6">
        <v>4433.63</v>
      </c>
      <c r="AF881" s="6">
        <v>1594.72</v>
      </c>
      <c r="AG881" s="6" t="s">
        <v>52</v>
      </c>
      <c r="AH881" s="6" t="str">
        <f t="shared" si="106"/>
        <v>Paid</v>
      </c>
      <c r="AI881" s="6" t="s">
        <v>134</v>
      </c>
      <c r="AJ881" s="6" t="str">
        <f t="shared" si="107"/>
        <v>Completed</v>
      </c>
      <c r="AK881" s="9" t="str">
        <f>_xlfn.TEXTJOIN("|",FALSE,A881,TEXT(B881,"mm-dd-yyyy"),TEXT(E881,"mm-dd-yyyy"),I881,J881,L881,N881,P881,R881,T881,V881,X881,Y881,AA881,AB881,AC881,AD881,AE881,AF881,AG881,AI881)</f>
        <v>ORD-2025-10880|08-27-2025|08-28-2025|CUST-4486|Ananya Rao|Home Office|North|Uttar Pradesh|Noida|Office Supplies|Art|Smart Art 990|Standard Class|6|1182.03|0.15|6028.35|4433.63|1594.72|Paid|Completed</v>
      </c>
      <c r="AL881" s="27" t="str">
        <f>IF(COUNTIF($AK$2:AK881,AK881)&gt;1,"Remove exact duplicate copy","Keep")</f>
        <v>Keep</v>
      </c>
      <c r="AM881" s="9">
        <f t="shared" si="108"/>
        <v>1</v>
      </c>
      <c r="AN881" s="9" t="str">
        <f t="shared" si="109"/>
        <v>Unique</v>
      </c>
      <c r="AO881" s="9" t="str">
        <f t="shared" si="110"/>
        <v/>
      </c>
      <c r="AP881" s="9">
        <f t="shared" si="111"/>
        <v>0.15</v>
      </c>
      <c r="AQ881" s="10">
        <f t="shared" si="112"/>
        <v>6028.3530000000001</v>
      </c>
      <c r="AR881" s="10">
        <f t="shared" si="113"/>
        <v>1594.723</v>
      </c>
      <c r="AS881" s="11">
        <f t="shared" si="114"/>
        <v>0.26453709661660491</v>
      </c>
      <c r="AT881" s="9">
        <f t="shared" si="115"/>
        <v>8</v>
      </c>
      <c r="AU881" s="9">
        <f t="shared" si="116"/>
        <v>2025</v>
      </c>
      <c r="AV881" s="9" t="b">
        <f t="shared" si="117"/>
        <v>0</v>
      </c>
      <c r="AW881" s="9" t="b">
        <f t="shared" si="118"/>
        <v>0</v>
      </c>
      <c r="AX881" s="9" t="str">
        <f t="shared" si="119"/>
        <v>Yes</v>
      </c>
      <c r="AY881" s="9" t="str">
        <f t="shared" si="123"/>
        <v/>
      </c>
      <c r="AZ881" s="9" t="str">
        <f>IF(OR(G881="Missing date",G881="Invalid date",G881="Ship date before order date",NOT(ISNUMBER(AP881)),AP881&lt;0,AP881&gt;0.5,AV881=TRUE,AW881=TRUE),"Invalid",IF(OR(O881="Unknown",Z881="Unknown",AC881="",AH881&lt;&gt;"Paid",AJ881&lt;&gt;"Completed",AO881&lt;&gt;""),"Warning","Clean"))</f>
        <v>Clean</v>
      </c>
    </row>
    <row r="882" spans="1:52" ht="15.75" customHeight="1">
      <c r="A882" s="6" t="s">
        <v>4111</v>
      </c>
      <c r="B882" s="7" t="s">
        <v>4112</v>
      </c>
      <c r="C882" s="7" t="str">
        <f t="shared" si="122"/>
        <v>2024-03</v>
      </c>
      <c r="D882" s="7" cm="1">
        <f t="array" ref="D882">_xlfn.LET(_xlpm.x,B882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45359</v>
      </c>
      <c r="E882" s="7" t="s">
        <v>1206</v>
      </c>
      <c r="F882" s="7" cm="1">
        <f t="array" ref="F882">_xlfn.LET(_xlpm.x,E882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45366</v>
      </c>
      <c r="G882" s="8" t="str">
        <f t="shared" si="96"/>
        <v>OK</v>
      </c>
      <c r="H882" s="6">
        <f t="shared" si="97"/>
        <v>7</v>
      </c>
      <c r="I882" s="6" t="s">
        <v>4113</v>
      </c>
      <c r="J882" s="6" t="s">
        <v>239</v>
      </c>
      <c r="K882" s="6" t="str">
        <f t="shared" si="98"/>
        <v>Aarav Sharma</v>
      </c>
      <c r="L882" s="6" t="s">
        <v>46</v>
      </c>
      <c r="M882" s="8" t="str">
        <f t="shared" si="99"/>
        <v>Small Business</v>
      </c>
      <c r="N882" s="6"/>
      <c r="O882" s="6" t="str">
        <f t="shared" si="100"/>
        <v>Unknown</v>
      </c>
      <c r="P882" s="6" t="s">
        <v>232</v>
      </c>
      <c r="Q882" s="6" t="str">
        <f t="shared" si="101"/>
        <v>Punjab</v>
      </c>
      <c r="R882" s="6" t="s">
        <v>233</v>
      </c>
      <c r="S882" s="6" t="str">
        <f t="shared" si="102"/>
        <v>Ludhiana</v>
      </c>
      <c r="T882" s="6" t="s">
        <v>14</v>
      </c>
      <c r="U882" s="8" t="str">
        <f t="shared" si="103"/>
        <v>Furniture</v>
      </c>
      <c r="V882" s="6" t="s">
        <v>16</v>
      </c>
      <c r="W882" s="6" t="str">
        <f t="shared" si="104"/>
        <v>Chairs</v>
      </c>
      <c r="X882" s="6" t="s">
        <v>4114</v>
      </c>
      <c r="Y882" s="6" t="s">
        <v>35</v>
      </c>
      <c r="Z882" s="6" t="str">
        <f t="shared" si="105"/>
        <v>First Class</v>
      </c>
      <c r="AA882" s="6">
        <v>5</v>
      </c>
      <c r="AB882" s="6">
        <v>3234.77</v>
      </c>
      <c r="AC882" s="6">
        <v>0</v>
      </c>
      <c r="AD882" s="6">
        <v>16173.85</v>
      </c>
      <c r="AE882" s="6">
        <v>13636.34</v>
      </c>
      <c r="AF882" s="6">
        <v>2537.5100000000002</v>
      </c>
      <c r="AG882" s="6" t="s">
        <v>52</v>
      </c>
      <c r="AH882" s="6" t="str">
        <f t="shared" si="106"/>
        <v>Paid</v>
      </c>
      <c r="AI882" s="6" t="s">
        <v>134</v>
      </c>
      <c r="AJ882" s="6" t="str">
        <f t="shared" si="107"/>
        <v>Completed</v>
      </c>
      <c r="AK882" s="9" t="str">
        <f>_xlfn.TEXTJOIN("|",FALSE,A882,TEXT(B882,"mm-dd-yyyy"),TEXT(E882,"mm-dd-yyyy"),I882,J882,L882,N882,P882,R882,T882,V882,X882,Y882,AA882,AB882,AC882,AD882,AE882,AF882,AG882,AI882)</f>
        <v>ORD-2024-10881|08-03-2024|03-15-2024|CUST-5287|Aarav Sharma|Small Business||Punjab|Ludhiana|Furniture|Chairs|Basic Chairs 327|First Class|5|3234.77|0|16173.85|13636.34|2537.51|Paid|Completed</v>
      </c>
      <c r="AL882" s="27" t="str">
        <f>IF(COUNTIF($AK$2:AK882,AK882)&gt;1,"Remove exact duplicate copy","Keep")</f>
        <v>Keep</v>
      </c>
      <c r="AM882" s="9">
        <f t="shared" si="108"/>
        <v>1</v>
      </c>
      <c r="AN882" s="9" t="str">
        <f t="shared" si="109"/>
        <v>Unique</v>
      </c>
      <c r="AO882" s="9" t="str">
        <f t="shared" si="110"/>
        <v/>
      </c>
      <c r="AP882" s="9">
        <f t="shared" si="111"/>
        <v>0</v>
      </c>
      <c r="AQ882" s="10">
        <f t="shared" si="112"/>
        <v>16173.85</v>
      </c>
      <c r="AR882" s="10">
        <f t="shared" si="113"/>
        <v>2537.5100000000002</v>
      </c>
      <c r="AS882" s="11">
        <f t="shared" si="114"/>
        <v>0.15688967067210344</v>
      </c>
      <c r="AT882" s="9">
        <f t="shared" si="115"/>
        <v>3</v>
      </c>
      <c r="AU882" s="9">
        <f t="shared" si="116"/>
        <v>2024</v>
      </c>
      <c r="AV882" s="9" t="b">
        <f t="shared" si="117"/>
        <v>0</v>
      </c>
      <c r="AW882" s="9" t="b">
        <f t="shared" si="118"/>
        <v>0</v>
      </c>
      <c r="AX882" s="9" t="str">
        <f t="shared" si="119"/>
        <v>Yes</v>
      </c>
      <c r="AY882" s="9" t="str">
        <f t="shared" si="123"/>
        <v>Missing region filled as Unknown</v>
      </c>
      <c r="AZ882" s="9" t="str">
        <f>IF(OR(G882="Missing date",G882="Invalid date",G882="Ship date before order date",NOT(ISNUMBER(AP882)),AP882&lt;0,AP882&gt;0.5,AV882=TRUE,AW882=TRUE),"Invalid",IF(OR(O882="Unknown",Z882="Unknown",AC882="",AH882&lt;&gt;"Paid",AJ882&lt;&gt;"Completed",AO882&lt;&gt;""),"Warning","Clean"))</f>
        <v>Warning</v>
      </c>
    </row>
    <row r="883" spans="1:52" ht="15.75" customHeight="1">
      <c r="A883" s="6" t="s">
        <v>4115</v>
      </c>
      <c r="B883" s="7" t="s">
        <v>2631</v>
      </c>
      <c r="C883" s="7" t="str">
        <f t="shared" si="122"/>
        <v>2024-12</v>
      </c>
      <c r="D883" s="7" cm="1">
        <f t="array" ref="D883">_xlfn.LET(_xlpm.x,B883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45627</v>
      </c>
      <c r="E883" s="7" t="s">
        <v>4116</v>
      </c>
      <c r="F883" s="7" cm="1">
        <f t="array" ref="F883">_xlfn.LET(_xlpm.x,E883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45631</v>
      </c>
      <c r="G883" s="8" t="str">
        <f t="shared" si="96"/>
        <v>OK</v>
      </c>
      <c r="H883" s="6">
        <f t="shared" si="97"/>
        <v>4</v>
      </c>
      <c r="I883" s="6" t="s">
        <v>4117</v>
      </c>
      <c r="J883" s="6" t="s">
        <v>161</v>
      </c>
      <c r="K883" s="6" t="str">
        <f t="shared" si="98"/>
        <v>Ananya Rao</v>
      </c>
      <c r="L883" s="6" t="s">
        <v>46</v>
      </c>
      <c r="M883" s="8" t="str">
        <f t="shared" si="99"/>
        <v>Small Business</v>
      </c>
      <c r="N883" s="6" t="s">
        <v>10</v>
      </c>
      <c r="O883" s="6" t="str">
        <f t="shared" si="100"/>
        <v>South</v>
      </c>
      <c r="P883" s="6" t="s">
        <v>183</v>
      </c>
      <c r="Q883" s="6" t="str">
        <f t="shared" si="101"/>
        <v>Andhra Pradesh</v>
      </c>
      <c r="R883" s="6" t="s">
        <v>184</v>
      </c>
      <c r="S883" s="6" t="str">
        <f t="shared" si="102"/>
        <v>Vijayawada</v>
      </c>
      <c r="T883" s="6" t="s">
        <v>27</v>
      </c>
      <c r="U883" s="8" t="str">
        <f t="shared" si="103"/>
        <v>Technology</v>
      </c>
      <c r="V883" s="6" t="s">
        <v>29</v>
      </c>
      <c r="W883" s="6" t="str">
        <f t="shared" si="104"/>
        <v>Copiers</v>
      </c>
      <c r="X883" s="6" t="s">
        <v>4118</v>
      </c>
      <c r="Y883" s="6" t="s">
        <v>36</v>
      </c>
      <c r="Z883" s="6" t="str">
        <f t="shared" si="105"/>
        <v>Second Class</v>
      </c>
      <c r="AA883" s="6">
        <v>9</v>
      </c>
      <c r="AB883" s="6">
        <v>3726.75</v>
      </c>
      <c r="AC883" s="6">
        <v>0.25</v>
      </c>
      <c r="AD883" s="6">
        <v>25155.56</v>
      </c>
      <c r="AE883" s="6">
        <v>17592.689999999999</v>
      </c>
      <c r="AF883" s="6">
        <v>7562.87</v>
      </c>
      <c r="AG883" s="6" t="s">
        <v>52</v>
      </c>
      <c r="AH883" s="6" t="str">
        <f t="shared" si="106"/>
        <v>Paid</v>
      </c>
      <c r="AI883" s="6" t="s">
        <v>134</v>
      </c>
      <c r="AJ883" s="6" t="str">
        <f t="shared" si="107"/>
        <v>Completed</v>
      </c>
      <c r="AK883" s="9" t="str">
        <f>_xlfn.TEXTJOIN("|",FALSE,A883,TEXT(B883,"mm-dd-yyyy"),TEXT(E883,"mm-dd-yyyy"),I883,J883,L883,N883,P883,R883,T883,V883,X883,Y883,AA883,AB883,AC883,AD883,AE883,AF883,AG883,AI883)</f>
        <v>ORD-2024-10882|12-01-2024|05-12-2024|CUST-3445|Ananya Rao|Small Business|South|Andhra Pradesh|Vijayawada|Technology|Copiers|Eco Copiers 987|Second Class|9|3726.75|0.25|25155.56|17592.69|7562.87|Paid|Completed</v>
      </c>
      <c r="AL883" s="27" t="str">
        <f>IF(COUNTIF($AK$2:AK883,AK883)&gt;1,"Remove exact duplicate copy","Keep")</f>
        <v>Keep</v>
      </c>
      <c r="AM883" s="9">
        <f t="shared" si="108"/>
        <v>1</v>
      </c>
      <c r="AN883" s="9" t="str">
        <f t="shared" si="109"/>
        <v>Unique</v>
      </c>
      <c r="AO883" s="9" t="str">
        <f t="shared" si="110"/>
        <v/>
      </c>
      <c r="AP883" s="9">
        <f t="shared" si="111"/>
        <v>0.25</v>
      </c>
      <c r="AQ883" s="10">
        <f t="shared" si="112"/>
        <v>25155.5625</v>
      </c>
      <c r="AR883" s="10">
        <f t="shared" si="113"/>
        <v>7562.8725000000013</v>
      </c>
      <c r="AS883" s="11">
        <f t="shared" si="114"/>
        <v>0.30064414182747856</v>
      </c>
      <c r="AT883" s="9">
        <f t="shared" si="115"/>
        <v>12</v>
      </c>
      <c r="AU883" s="9">
        <f t="shared" si="116"/>
        <v>2024</v>
      </c>
      <c r="AV883" s="9" t="b">
        <f t="shared" si="117"/>
        <v>0</v>
      </c>
      <c r="AW883" s="9" t="b">
        <f t="shared" si="118"/>
        <v>0</v>
      </c>
      <c r="AX883" s="9" t="str">
        <f t="shared" si="119"/>
        <v>Yes</v>
      </c>
      <c r="AY883" s="9" t="str">
        <f t="shared" si="123"/>
        <v/>
      </c>
      <c r="AZ883" s="9" t="str">
        <f>IF(OR(G883="Missing date",G883="Invalid date",G883="Ship date before order date",NOT(ISNUMBER(AP883)),AP883&lt;0,AP883&gt;0.5,AV883=TRUE,AW883=TRUE),"Invalid",IF(OR(O883="Unknown",Z883="Unknown",AC883="",AH883&lt;&gt;"Paid",AJ883&lt;&gt;"Completed",AO883&lt;&gt;""),"Warning","Clean"))</f>
        <v>Clean</v>
      </c>
    </row>
    <row r="884" spans="1:52" ht="15.75" customHeight="1">
      <c r="A884" s="6" t="s">
        <v>4119</v>
      </c>
      <c r="B884" s="7" t="s">
        <v>4120</v>
      </c>
      <c r="C884" s="7" t="str">
        <f t="shared" si="122"/>
        <v>2025-02</v>
      </c>
      <c r="D884" s="7" cm="1">
        <f t="array" ref="D884">_xlfn.LET(_xlpm.x,B884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45690</v>
      </c>
      <c r="E884" s="7" t="s">
        <v>1420</v>
      </c>
      <c r="F884" s="7" cm="1">
        <f t="array" ref="F884">_xlfn.LET(_xlpm.x,E884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45698</v>
      </c>
      <c r="G884" s="8" t="str">
        <f t="shared" si="96"/>
        <v>OK</v>
      </c>
      <c r="H884" s="6">
        <f t="shared" si="97"/>
        <v>8</v>
      </c>
      <c r="I884" s="6" t="s">
        <v>4121</v>
      </c>
      <c r="J884" s="6" t="s">
        <v>245</v>
      </c>
      <c r="K884" s="6" t="str">
        <f t="shared" si="98"/>
        <v>Sneha Kapoor</v>
      </c>
      <c r="L884" s="6" t="s">
        <v>45</v>
      </c>
      <c r="M884" s="8" t="str">
        <f t="shared" si="99"/>
        <v>Corporate</v>
      </c>
      <c r="N884" s="6" t="s">
        <v>8</v>
      </c>
      <c r="O884" s="6" t="str">
        <f t="shared" si="100"/>
        <v>East</v>
      </c>
      <c r="P884" s="6" t="s">
        <v>263</v>
      </c>
      <c r="Q884" s="6" t="str">
        <f t="shared" si="101"/>
        <v>Bihar</v>
      </c>
      <c r="R884" s="6" t="s">
        <v>264</v>
      </c>
      <c r="S884" s="6" t="str">
        <f t="shared" si="102"/>
        <v>Patna</v>
      </c>
      <c r="T884" s="6" t="s">
        <v>27</v>
      </c>
      <c r="U884" s="8" t="str">
        <f t="shared" si="103"/>
        <v>Technology</v>
      </c>
      <c r="V884" s="6" t="s">
        <v>28</v>
      </c>
      <c r="W884" s="6" t="str">
        <f t="shared" si="104"/>
        <v>Accessories</v>
      </c>
      <c r="X884" s="6" t="s">
        <v>4122</v>
      </c>
      <c r="Y884" s="6" t="s">
        <v>34</v>
      </c>
      <c r="Z884" s="6" t="str">
        <f t="shared" si="105"/>
        <v>Standard Class</v>
      </c>
      <c r="AA884" s="6">
        <v>4</v>
      </c>
      <c r="AB884" s="6">
        <v>1912.45</v>
      </c>
      <c r="AC884" s="6">
        <v>0</v>
      </c>
      <c r="AD884" s="6">
        <v>7649.8</v>
      </c>
      <c r="AE884" s="6">
        <v>4894.53</v>
      </c>
      <c r="AF884" s="6">
        <v>2755.27</v>
      </c>
      <c r="AG884" s="6" t="s">
        <v>54</v>
      </c>
      <c r="AH884" s="6" t="str">
        <f t="shared" si="106"/>
        <v>Pending</v>
      </c>
      <c r="AI884" s="6" t="s">
        <v>59</v>
      </c>
      <c r="AJ884" s="6" t="str">
        <f t="shared" si="107"/>
        <v>Returned</v>
      </c>
      <c r="AK884" s="9" t="str">
        <f>_xlfn.TEXTJOIN("|",FALSE,A884,TEXT(B884,"mm-dd-yyyy"),TEXT(E884,"mm-dd-yyyy"),I884,J884,L884,N884,P884,R884,T884,V884,X884,Y884,AA884,AB884,AC884,AD884,AE884,AF884,AG884,AI884)</f>
        <v>ORD-2025-10883|02-02-2025|02-10-2025|CUST-4983|Sneha Kapoor|Corporate|East|Bihar|Patna|Technology|Accessories|Basic Accessories 607|Standard Class|4|1912.45|0|7649.8|4894.53|2755.27|Pending|Returned</v>
      </c>
      <c r="AL884" s="27" t="str">
        <f>IF(COUNTIF($AK$2:AK884,AK884)&gt;1,"Remove exact duplicate copy","Keep")</f>
        <v>Keep</v>
      </c>
      <c r="AM884" s="9">
        <f t="shared" si="108"/>
        <v>1</v>
      </c>
      <c r="AN884" s="9" t="str">
        <f t="shared" si="109"/>
        <v>Unique</v>
      </c>
      <c r="AO884" s="9" t="str">
        <f t="shared" si="110"/>
        <v/>
      </c>
      <c r="AP884" s="9">
        <f t="shared" si="111"/>
        <v>0</v>
      </c>
      <c r="AQ884" s="10">
        <f t="shared" si="112"/>
        <v>7649.8</v>
      </c>
      <c r="AR884" s="10">
        <f t="shared" si="113"/>
        <v>2755.2700000000004</v>
      </c>
      <c r="AS884" s="11">
        <f t="shared" si="114"/>
        <v>0.36017542942299152</v>
      </c>
      <c r="AT884" s="9">
        <f t="shared" si="115"/>
        <v>2</v>
      </c>
      <c r="AU884" s="9">
        <f t="shared" si="116"/>
        <v>2025</v>
      </c>
      <c r="AV884" s="9" t="b">
        <f t="shared" si="117"/>
        <v>0</v>
      </c>
      <c r="AW884" s="9" t="b">
        <f t="shared" si="118"/>
        <v>0</v>
      </c>
      <c r="AX884" s="9" t="str">
        <f t="shared" si="119"/>
        <v>No</v>
      </c>
      <c r="AY884" s="9" t="str">
        <f t="shared" si="123"/>
        <v>Returned order excluded</v>
      </c>
      <c r="AZ884" s="9" t="str">
        <f>IF(OR(G884="Missing date",G884="Invalid date",G884="Ship date before order date",NOT(ISNUMBER(AP884)),AP884&lt;0,AP884&gt;0.5,AV884=TRUE,AW884=TRUE),"Invalid",IF(OR(O884="Unknown",Z884="Unknown",AC884="",AH884&lt;&gt;"Paid",AJ884&lt;&gt;"Completed",AO884&lt;&gt;""),"Warning","Clean"))</f>
        <v>Warning</v>
      </c>
    </row>
    <row r="885" spans="1:52" ht="15.75" customHeight="1">
      <c r="A885" s="6" t="s">
        <v>4123</v>
      </c>
      <c r="B885" s="7" t="s">
        <v>4124</v>
      </c>
      <c r="C885" s="7" t="str">
        <f t="shared" si="122"/>
        <v>2025-04</v>
      </c>
      <c r="D885" s="7" cm="1">
        <f t="array" ref="D885">_xlfn.LET(_xlpm.x,B885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45775</v>
      </c>
      <c r="E885" s="7" t="s">
        <v>4125</v>
      </c>
      <c r="F885" s="7" cm="1">
        <f t="array" ref="F885">_xlfn.LET(_xlpm.x,E885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45778</v>
      </c>
      <c r="G885" s="8" t="str">
        <f t="shared" si="96"/>
        <v>OK</v>
      </c>
      <c r="H885" s="6">
        <f t="shared" si="97"/>
        <v>3</v>
      </c>
      <c r="I885" s="6" t="s">
        <v>4126</v>
      </c>
      <c r="J885" s="6" t="s">
        <v>239</v>
      </c>
      <c r="K885" s="6" t="str">
        <f t="shared" si="98"/>
        <v>Aarav Sharma</v>
      </c>
      <c r="L885" s="6" t="s">
        <v>46</v>
      </c>
      <c r="M885" s="8" t="str">
        <f t="shared" si="99"/>
        <v>Small Business</v>
      </c>
      <c r="N885" s="6" t="s">
        <v>9</v>
      </c>
      <c r="O885" s="6" t="str">
        <f t="shared" si="100"/>
        <v>West</v>
      </c>
      <c r="P885" s="6" t="s">
        <v>323</v>
      </c>
      <c r="Q885" s="6" t="str">
        <f t="shared" si="101"/>
        <v>Goa</v>
      </c>
      <c r="R885" s="6" t="s">
        <v>324</v>
      </c>
      <c r="S885" s="6" t="str">
        <f t="shared" si="102"/>
        <v>Panaji</v>
      </c>
      <c r="T885" s="6" t="s">
        <v>20</v>
      </c>
      <c r="U885" s="8" t="str">
        <f t="shared" si="103"/>
        <v>Office Supplies</v>
      </c>
      <c r="V885" s="6" t="s">
        <v>25</v>
      </c>
      <c r="W885" s="6" t="str">
        <f t="shared" si="104"/>
        <v>Storage</v>
      </c>
      <c r="X885" s="6" t="s">
        <v>4127</v>
      </c>
      <c r="Y885" s="6" t="s">
        <v>37</v>
      </c>
      <c r="Z885" s="6" t="str">
        <f t="shared" si="105"/>
        <v>Same Day</v>
      </c>
      <c r="AA885" s="6">
        <v>1</v>
      </c>
      <c r="AB885" s="6">
        <v>1620.87</v>
      </c>
      <c r="AC885" s="6">
        <v>0</v>
      </c>
      <c r="AD885" s="6">
        <v>1620.87</v>
      </c>
      <c r="AE885" s="6">
        <v>1103.6099999999999</v>
      </c>
      <c r="AF885" s="6">
        <v>517.26</v>
      </c>
      <c r="AG885" s="6" t="s">
        <v>52</v>
      </c>
      <c r="AH885" s="6" t="str">
        <f t="shared" si="106"/>
        <v>Paid</v>
      </c>
      <c r="AI885" s="6" t="s">
        <v>134</v>
      </c>
      <c r="AJ885" s="6" t="str">
        <f t="shared" si="107"/>
        <v>Completed</v>
      </c>
      <c r="AK885" s="9" t="str">
        <f>_xlfn.TEXTJOIN("|",FALSE,A885,TEXT(B885,"mm-dd-yyyy"),TEXT(E885,"mm-dd-yyyy"),I885,J885,L885,N885,P885,R885,T885,V885,X885,Y885,AA885,AB885,AC885,AD885,AE885,AF885,AG885,AI885)</f>
        <v>ORD-2025-10884|04-28-2025|05-01-2025|CUST-2597|Aarav Sharma|Small Business|West|Goa|Panaji|Office Supplies|Storage|Classic Storage 211|Same Day|1|1620.87|0|1620.87|1103.61|517.26|Paid|Completed</v>
      </c>
      <c r="AL885" s="27" t="str">
        <f>IF(COUNTIF($AK$2:AK885,AK885)&gt;1,"Remove exact duplicate copy","Keep")</f>
        <v>Keep</v>
      </c>
      <c r="AM885" s="9">
        <f t="shared" si="108"/>
        <v>1</v>
      </c>
      <c r="AN885" s="9" t="str">
        <f t="shared" si="109"/>
        <v>Unique</v>
      </c>
      <c r="AO885" s="9" t="str">
        <f t="shared" si="110"/>
        <v/>
      </c>
      <c r="AP885" s="9">
        <f t="shared" si="111"/>
        <v>0</v>
      </c>
      <c r="AQ885" s="10">
        <f t="shared" si="112"/>
        <v>1620.87</v>
      </c>
      <c r="AR885" s="10">
        <f t="shared" si="113"/>
        <v>517.26</v>
      </c>
      <c r="AS885" s="11">
        <f t="shared" si="114"/>
        <v>0.31912491439782342</v>
      </c>
      <c r="AT885" s="9">
        <f t="shared" si="115"/>
        <v>4</v>
      </c>
      <c r="AU885" s="9">
        <f t="shared" si="116"/>
        <v>2025</v>
      </c>
      <c r="AV885" s="9" t="b">
        <f t="shared" si="117"/>
        <v>0</v>
      </c>
      <c r="AW885" s="9" t="b">
        <f t="shared" si="118"/>
        <v>0</v>
      </c>
      <c r="AX885" s="9" t="str">
        <f t="shared" si="119"/>
        <v>Yes</v>
      </c>
      <c r="AY885" s="9" t="str">
        <f t="shared" si="123"/>
        <v/>
      </c>
      <c r="AZ885" s="9" t="str">
        <f>IF(OR(G885="Missing date",G885="Invalid date",G885="Ship date before order date",NOT(ISNUMBER(AP885)),AP885&lt;0,AP885&gt;0.5,AV885=TRUE,AW885=TRUE),"Invalid",IF(OR(O885="Unknown",Z885="Unknown",AC885="",AH885&lt;&gt;"Paid",AJ885&lt;&gt;"Completed",AO885&lt;&gt;""),"Warning","Clean"))</f>
        <v>Clean</v>
      </c>
    </row>
    <row r="886" spans="1:52" ht="15.75" customHeight="1">
      <c r="A886" s="6" t="s">
        <v>4128</v>
      </c>
      <c r="B886" s="7" t="s">
        <v>4129</v>
      </c>
      <c r="C886" s="7" t="str">
        <f t="shared" si="122"/>
        <v>2025-01</v>
      </c>
      <c r="D886" s="7" cm="1">
        <f t="array" ref="D886">_xlfn.LET(_xlpm.x,B886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45675</v>
      </c>
      <c r="E886" s="7" t="s">
        <v>4130</v>
      </c>
      <c r="F886" s="7" cm="1">
        <f t="array" ref="F886">_xlfn.LET(_xlpm.x,E886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45682</v>
      </c>
      <c r="G886" s="8" t="str">
        <f t="shared" si="96"/>
        <v>OK</v>
      </c>
      <c r="H886" s="6">
        <f t="shared" si="97"/>
        <v>7</v>
      </c>
      <c r="I886" s="6" t="s">
        <v>4131</v>
      </c>
      <c r="J886" s="6" t="s">
        <v>177</v>
      </c>
      <c r="K886" s="6" t="str">
        <f t="shared" si="98"/>
        <v>Neha Gupta</v>
      </c>
      <c r="L886" s="6" t="s">
        <v>44</v>
      </c>
      <c r="M886" s="8" t="str">
        <f t="shared" si="99"/>
        <v>Home Office</v>
      </c>
      <c r="N886" s="6" t="s">
        <v>10</v>
      </c>
      <c r="O886" s="6" t="str">
        <f t="shared" si="100"/>
        <v>South</v>
      </c>
      <c r="P886" s="6" t="s">
        <v>303</v>
      </c>
      <c r="Q886" s="6" t="str">
        <f t="shared" si="101"/>
        <v>Karnataka</v>
      </c>
      <c r="R886" s="6" t="s">
        <v>304</v>
      </c>
      <c r="S886" s="6" t="str">
        <f t="shared" si="102"/>
        <v>Bengaluru</v>
      </c>
      <c r="T886" s="6" t="s">
        <v>20</v>
      </c>
      <c r="U886" s="8" t="str">
        <f t="shared" si="103"/>
        <v>Office Supplies</v>
      </c>
      <c r="V886" s="6" t="s">
        <v>25</v>
      </c>
      <c r="W886" s="6" t="str">
        <f t="shared" si="104"/>
        <v>Storage</v>
      </c>
      <c r="X886" s="6" t="s">
        <v>4132</v>
      </c>
      <c r="Y886" s="6" t="s">
        <v>37</v>
      </c>
      <c r="Z886" s="6" t="str">
        <f t="shared" si="105"/>
        <v>Same Day</v>
      </c>
      <c r="AA886" s="6">
        <v>2</v>
      </c>
      <c r="AB886" s="6">
        <v>2098.54</v>
      </c>
      <c r="AC886" s="6">
        <v>0.15</v>
      </c>
      <c r="AD886" s="6">
        <v>3567.52</v>
      </c>
      <c r="AE886" s="6">
        <v>2411.8000000000002</v>
      </c>
      <c r="AF886" s="6">
        <v>1155.72</v>
      </c>
      <c r="AG886" s="6" t="s">
        <v>52</v>
      </c>
      <c r="AH886" s="6" t="str">
        <f t="shared" si="106"/>
        <v>Paid</v>
      </c>
      <c r="AI886" s="6" t="s">
        <v>134</v>
      </c>
      <c r="AJ886" s="6" t="str">
        <f t="shared" si="107"/>
        <v>Completed</v>
      </c>
      <c r="AK886" s="9" t="str">
        <f>_xlfn.TEXTJOIN("|",FALSE,A886,TEXT(B886,"mm-dd-yyyy"),TEXT(E886,"mm-dd-yyyy"),I886,J886,L886,N886,P886,R886,T886,V886,X886,Y886,AA886,AB886,AC886,AD886,AE886,AF886,AG886,AI886)</f>
        <v>ORD-2025-10885|18-01-2025|01-25-2025|CUST-7505|Neha Gupta|Home Office|South|Karnataka|Bengaluru|Office Supplies|Storage|Eco Storage 783|Same Day|2|2098.54|0.15|3567.52|2411.8|1155.72|Paid|Completed</v>
      </c>
      <c r="AL886" s="27" t="str">
        <f>IF(COUNTIF($AK$2:AK886,AK886)&gt;1,"Remove exact duplicate copy","Keep")</f>
        <v>Keep</v>
      </c>
      <c r="AM886" s="9">
        <f t="shared" si="108"/>
        <v>1</v>
      </c>
      <c r="AN886" s="9" t="str">
        <f t="shared" si="109"/>
        <v>Unique</v>
      </c>
      <c r="AO886" s="9" t="str">
        <f t="shared" si="110"/>
        <v/>
      </c>
      <c r="AP886" s="9">
        <f t="shared" si="111"/>
        <v>0.15</v>
      </c>
      <c r="AQ886" s="10">
        <f t="shared" si="112"/>
        <v>3567.518</v>
      </c>
      <c r="AR886" s="10">
        <f t="shared" si="113"/>
        <v>1155.7179999999998</v>
      </c>
      <c r="AS886" s="11">
        <f t="shared" si="114"/>
        <v>0.32395575859743381</v>
      </c>
      <c r="AT886" s="9">
        <f t="shared" si="115"/>
        <v>1</v>
      </c>
      <c r="AU886" s="9">
        <f t="shared" si="116"/>
        <v>2025</v>
      </c>
      <c r="AV886" s="9" t="b">
        <f t="shared" si="117"/>
        <v>0</v>
      </c>
      <c r="AW886" s="9" t="b">
        <f t="shared" si="118"/>
        <v>0</v>
      </c>
      <c r="AX886" s="9" t="str">
        <f t="shared" si="119"/>
        <v>Yes</v>
      </c>
      <c r="AY886" s="9" t="str">
        <f t="shared" si="123"/>
        <v/>
      </c>
      <c r="AZ886" s="9" t="str">
        <f>IF(OR(G886="Missing date",G886="Invalid date",G886="Ship date before order date",NOT(ISNUMBER(AP886)),AP886&lt;0,AP886&gt;0.5,AV886=TRUE,AW886=TRUE),"Invalid",IF(OR(O886="Unknown",Z886="Unknown",AC886="",AH886&lt;&gt;"Paid",AJ886&lt;&gt;"Completed",AO886&lt;&gt;""),"Warning","Clean"))</f>
        <v>Clean</v>
      </c>
    </row>
    <row r="887" spans="1:52" ht="15.75" customHeight="1">
      <c r="A887" s="6" t="s">
        <v>4133</v>
      </c>
      <c r="B887" s="7" t="s">
        <v>4134</v>
      </c>
      <c r="C887" s="7" t="str">
        <f t="shared" si="122"/>
        <v>2024-01</v>
      </c>
      <c r="D887" s="7" cm="1">
        <f t="array" ref="D887">_xlfn.LET(_xlpm.x,B887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45296</v>
      </c>
      <c r="E887" s="7" t="s">
        <v>4134</v>
      </c>
      <c r="F887" s="7" cm="1">
        <f t="array" ref="F887">_xlfn.LET(_xlpm.x,E887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45296</v>
      </c>
      <c r="G887" s="8" t="str">
        <f t="shared" si="96"/>
        <v>OK</v>
      </c>
      <c r="H887" s="6">
        <f t="shared" si="97"/>
        <v>0</v>
      </c>
      <c r="I887" s="6" t="s">
        <v>4135</v>
      </c>
      <c r="J887" s="6" t="s">
        <v>284</v>
      </c>
      <c r="K887" s="6" t="str">
        <f t="shared" si="98"/>
        <v>Diya Patel</v>
      </c>
      <c r="L887" s="6" t="s">
        <v>43</v>
      </c>
      <c r="M887" s="8" t="str">
        <f t="shared" si="99"/>
        <v>Consumer</v>
      </c>
      <c r="N887" s="6" t="s">
        <v>7</v>
      </c>
      <c r="O887" s="6" t="str">
        <f t="shared" si="100"/>
        <v>North</v>
      </c>
      <c r="P887" s="6" t="s">
        <v>131</v>
      </c>
      <c r="Q887" s="6" t="str">
        <f t="shared" si="101"/>
        <v>Rajasthan</v>
      </c>
      <c r="R887" s="6" t="s">
        <v>132</v>
      </c>
      <c r="S887" s="6" t="str">
        <f t="shared" si="102"/>
        <v>Jaipur</v>
      </c>
      <c r="T887" s="6" t="s">
        <v>14</v>
      </c>
      <c r="U887" s="8" t="str">
        <f t="shared" si="103"/>
        <v>Furniture</v>
      </c>
      <c r="V887" s="6" t="s">
        <v>18</v>
      </c>
      <c r="W887" s="6" t="str">
        <f t="shared" si="104"/>
        <v>Tables</v>
      </c>
      <c r="X887" s="6" t="s">
        <v>4136</v>
      </c>
      <c r="Y887" s="6" t="s">
        <v>34</v>
      </c>
      <c r="Z887" s="6" t="str">
        <f t="shared" si="105"/>
        <v>Standard Class</v>
      </c>
      <c r="AA887" s="6">
        <v>1</v>
      </c>
      <c r="AB887" s="6">
        <v>2167.08</v>
      </c>
      <c r="AC887" s="6">
        <v>0.25</v>
      </c>
      <c r="AD887" s="6">
        <v>1625.31</v>
      </c>
      <c r="AE887" s="6">
        <v>1157.8900000000001</v>
      </c>
      <c r="AF887" s="6">
        <v>467.42</v>
      </c>
      <c r="AG887" s="6" t="s">
        <v>52</v>
      </c>
      <c r="AH887" s="6" t="str">
        <f t="shared" si="106"/>
        <v>Paid</v>
      </c>
      <c r="AI887" s="6" t="s">
        <v>134</v>
      </c>
      <c r="AJ887" s="6" t="str">
        <f t="shared" si="107"/>
        <v>Completed</v>
      </c>
      <c r="AK887" s="9" t="str">
        <f>_xlfn.TEXTJOIN("|",FALSE,A887,TEXT(B887,"mm-dd-yyyy"),TEXT(E887,"mm-dd-yyyy"),I887,J887,L887,N887,P887,R887,T887,V887,X887,Y887,AA887,AB887,AC887,AD887,AE887,AF887,AG887,AI887)</f>
        <v>ORD-2024-10886|01-05-2024|01-05-2024|CUST-3446|Diya Patel|Consumer|North|Rajasthan|Jaipur|Furniture|Tables|Pro Tables 866|Standard Class|1|2167.08|0.25|1625.31|1157.89|467.42|Paid|Completed</v>
      </c>
      <c r="AL887" s="27" t="str">
        <f>IF(COUNTIF($AK$2:AK887,AK887)&gt;1,"Remove exact duplicate copy","Keep")</f>
        <v>Keep</v>
      </c>
      <c r="AM887" s="9">
        <f t="shared" si="108"/>
        <v>1</v>
      </c>
      <c r="AN887" s="9" t="str">
        <f t="shared" si="109"/>
        <v>Unique</v>
      </c>
      <c r="AO887" s="9" t="str">
        <f t="shared" si="110"/>
        <v/>
      </c>
      <c r="AP887" s="9">
        <f t="shared" si="111"/>
        <v>0.25</v>
      </c>
      <c r="AQ887" s="10">
        <f t="shared" si="112"/>
        <v>1625.31</v>
      </c>
      <c r="AR887" s="10">
        <f t="shared" si="113"/>
        <v>467.41999999999985</v>
      </c>
      <c r="AS887" s="11">
        <f t="shared" si="114"/>
        <v>0.28758821394072509</v>
      </c>
      <c r="AT887" s="9">
        <f t="shared" si="115"/>
        <v>1</v>
      </c>
      <c r="AU887" s="9">
        <f t="shared" si="116"/>
        <v>2024</v>
      </c>
      <c r="AV887" s="9" t="b">
        <f t="shared" si="117"/>
        <v>0</v>
      </c>
      <c r="AW887" s="9" t="b">
        <f t="shared" si="118"/>
        <v>0</v>
      </c>
      <c r="AX887" s="9" t="str">
        <f t="shared" si="119"/>
        <v>Yes</v>
      </c>
      <c r="AY887" s="9" t="str">
        <f t="shared" si="123"/>
        <v/>
      </c>
      <c r="AZ887" s="9" t="str">
        <f>IF(OR(G887="Missing date",G887="Invalid date",G887="Ship date before order date",NOT(ISNUMBER(AP887)),AP887&lt;0,AP887&gt;0.5,AV887=TRUE,AW887=TRUE),"Invalid",IF(OR(O887="Unknown",Z887="Unknown",AC887="",AH887&lt;&gt;"Paid",AJ887&lt;&gt;"Completed",AO887&lt;&gt;""),"Warning","Clean"))</f>
        <v>Clean</v>
      </c>
    </row>
    <row r="888" spans="1:52" ht="15.75" customHeight="1">
      <c r="A888" s="6" t="s">
        <v>4137</v>
      </c>
      <c r="B888" s="7" t="s">
        <v>4138</v>
      </c>
      <c r="C888" s="7" t="str">
        <f t="shared" si="122"/>
        <v>2025-04</v>
      </c>
      <c r="D888" s="7" cm="1">
        <f t="array" ref="D888">_xlfn.LET(_xlpm.x,B888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45773</v>
      </c>
      <c r="E888" s="7" t="s">
        <v>4139</v>
      </c>
      <c r="F888" s="7" cm="1">
        <f t="array" ref="F888">_xlfn.LET(_xlpm.x,E888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45780</v>
      </c>
      <c r="G888" s="8" t="str">
        <f t="shared" si="96"/>
        <v>OK</v>
      </c>
      <c r="H888" s="6">
        <f t="shared" si="97"/>
        <v>7</v>
      </c>
      <c r="I888" s="6" t="s">
        <v>4140</v>
      </c>
      <c r="J888" s="6" t="s">
        <v>153</v>
      </c>
      <c r="K888" s="6" t="str">
        <f t="shared" si="98"/>
        <v>Arjun Bose</v>
      </c>
      <c r="L888" s="6" t="s">
        <v>44</v>
      </c>
      <c r="M888" s="8" t="str">
        <f t="shared" si="99"/>
        <v>Home Office</v>
      </c>
      <c r="N888" s="6" t="s">
        <v>10</v>
      </c>
      <c r="O888" s="6" t="str">
        <f t="shared" si="100"/>
        <v>South</v>
      </c>
      <c r="P888" s="6" t="s">
        <v>413</v>
      </c>
      <c r="Q888" s="6" t="str">
        <f t="shared" si="101"/>
        <v>Tamil Nadu</v>
      </c>
      <c r="R888" s="6" t="s">
        <v>414</v>
      </c>
      <c r="S888" s="6" t="str">
        <f t="shared" si="102"/>
        <v>Chennai</v>
      </c>
      <c r="T888" s="6" t="s">
        <v>27</v>
      </c>
      <c r="U888" s="8" t="str">
        <f t="shared" si="103"/>
        <v>Technology</v>
      </c>
      <c r="V888" s="6" t="s">
        <v>28</v>
      </c>
      <c r="W888" s="6" t="str">
        <f t="shared" si="104"/>
        <v>Accessories</v>
      </c>
      <c r="X888" s="6" t="s">
        <v>4141</v>
      </c>
      <c r="Y888" s="6" t="s">
        <v>35</v>
      </c>
      <c r="Z888" s="6" t="str">
        <f t="shared" si="105"/>
        <v>First Class</v>
      </c>
      <c r="AA888" s="6">
        <v>7</v>
      </c>
      <c r="AB888" s="6">
        <v>3989.9</v>
      </c>
      <c r="AC888" s="6">
        <v>0.15</v>
      </c>
      <c r="AD888" s="6">
        <v>23739.9</v>
      </c>
      <c r="AE888" s="6">
        <v>17716.52</v>
      </c>
      <c r="AF888" s="6">
        <v>6023.38</v>
      </c>
      <c r="AG888" s="6" t="s">
        <v>52</v>
      </c>
      <c r="AH888" s="6" t="str">
        <f t="shared" si="106"/>
        <v>Paid</v>
      </c>
      <c r="AI888" s="6" t="s">
        <v>58</v>
      </c>
      <c r="AJ888" s="6" t="str">
        <f t="shared" si="107"/>
        <v>Cancelled</v>
      </c>
      <c r="AK888" s="9" t="str">
        <f>_xlfn.TEXTJOIN("|",FALSE,A888,TEXT(B888,"mm-dd-yyyy"),TEXT(E888,"mm-dd-yyyy"),I888,J888,L888,N888,P888,R888,T888,V888,X888,Y888,AA888,AB888,AC888,AD888,AE888,AF888,AG888,AI888)</f>
        <v>ORD-2025-10887|26-04-2025|03-05-2025|CUST-3549|Arjun Bose|Home Office|South|Tamil Nadu|Chennai|Technology|Accessories|Max Accessories 541|First Class|7|3989.9|0.15|23739.9|17716.52|6023.38|Paid|Cancelled</v>
      </c>
      <c r="AL888" s="27" t="str">
        <f>IF(COUNTIF($AK$2:AK888,AK888)&gt;1,"Remove exact duplicate copy","Keep")</f>
        <v>Keep</v>
      </c>
      <c r="AM888" s="9">
        <f t="shared" si="108"/>
        <v>1</v>
      </c>
      <c r="AN888" s="9" t="str">
        <f t="shared" si="109"/>
        <v>Unique</v>
      </c>
      <c r="AO888" s="9" t="str">
        <f t="shared" si="110"/>
        <v/>
      </c>
      <c r="AP888" s="9">
        <f t="shared" si="111"/>
        <v>0.15</v>
      </c>
      <c r="AQ888" s="10">
        <f t="shared" si="112"/>
        <v>23739.904999999999</v>
      </c>
      <c r="AR888" s="10">
        <f t="shared" si="113"/>
        <v>6023.3849999999984</v>
      </c>
      <c r="AS888" s="11">
        <f t="shared" si="114"/>
        <v>0.25372405660427028</v>
      </c>
      <c r="AT888" s="9">
        <f t="shared" si="115"/>
        <v>4</v>
      </c>
      <c r="AU888" s="9">
        <f t="shared" si="116"/>
        <v>2025</v>
      </c>
      <c r="AV888" s="9" t="b">
        <f t="shared" si="117"/>
        <v>0</v>
      </c>
      <c r="AW888" s="9" t="b">
        <f t="shared" si="118"/>
        <v>0</v>
      </c>
      <c r="AX888" s="9" t="str">
        <f t="shared" si="119"/>
        <v>No</v>
      </c>
      <c r="AY888" s="9" t="str">
        <f t="shared" si="123"/>
        <v>Cancelled order excluded</v>
      </c>
      <c r="AZ888" s="9" t="str">
        <f>IF(OR(G888="Missing date",G888="Invalid date",G888="Ship date before order date",NOT(ISNUMBER(AP888)),AP888&lt;0,AP888&gt;0.5,AV888=TRUE,AW888=TRUE),"Invalid",IF(OR(O888="Unknown",Z888="Unknown",AC888="",AH888&lt;&gt;"Paid",AJ888&lt;&gt;"Completed",AO888&lt;&gt;""),"Warning","Clean"))</f>
        <v>Warning</v>
      </c>
    </row>
    <row r="889" spans="1:52" ht="15.75" customHeight="1">
      <c r="A889" s="6" t="s">
        <v>4142</v>
      </c>
      <c r="B889" s="7" t="s">
        <v>4020</v>
      </c>
      <c r="C889" s="7" t="str">
        <f t="shared" si="122"/>
        <v>2024-06</v>
      </c>
      <c r="D889" s="7" cm="1">
        <f t="array" ref="D889">_xlfn.LET(_xlpm.x,B889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45455</v>
      </c>
      <c r="E889" s="7" t="s">
        <v>764</v>
      </c>
      <c r="F889" s="7" cm="1">
        <f t="array" ref="F889">_xlfn.LET(_xlpm.x,E889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45461</v>
      </c>
      <c r="G889" s="8" t="str">
        <f t="shared" si="96"/>
        <v>OK</v>
      </c>
      <c r="H889" s="6">
        <f t="shared" si="97"/>
        <v>6</v>
      </c>
      <c r="I889" s="6" t="s">
        <v>4143</v>
      </c>
      <c r="J889" s="6" t="s">
        <v>239</v>
      </c>
      <c r="K889" s="6" t="str">
        <f t="shared" si="98"/>
        <v>Aarav Sharma</v>
      </c>
      <c r="L889" s="6" t="s">
        <v>46</v>
      </c>
      <c r="M889" s="8" t="str">
        <f t="shared" si="99"/>
        <v>Small Business</v>
      </c>
      <c r="N889" s="6" t="s">
        <v>10</v>
      </c>
      <c r="O889" s="6" t="str">
        <f t="shared" si="100"/>
        <v>South</v>
      </c>
      <c r="P889" s="6" t="s">
        <v>183</v>
      </c>
      <c r="Q889" s="6" t="str">
        <f t="shared" si="101"/>
        <v>Andhra Pradesh</v>
      </c>
      <c r="R889" s="6" t="s">
        <v>184</v>
      </c>
      <c r="S889" s="6" t="str">
        <f t="shared" si="102"/>
        <v>Vijayawada</v>
      </c>
      <c r="T889" s="6" t="s">
        <v>20</v>
      </c>
      <c r="U889" s="8" t="str">
        <f t="shared" si="103"/>
        <v>Office Supplies</v>
      </c>
      <c r="V889" s="6" t="s">
        <v>21</v>
      </c>
      <c r="W889" s="6" t="str">
        <f t="shared" si="104"/>
        <v>Art</v>
      </c>
      <c r="X889" s="6" t="s">
        <v>4144</v>
      </c>
      <c r="Y889" s="6" t="s">
        <v>34</v>
      </c>
      <c r="Z889" s="6" t="str">
        <f t="shared" si="105"/>
        <v>Standard Class</v>
      </c>
      <c r="AA889" s="6">
        <v>4</v>
      </c>
      <c r="AB889" s="6">
        <v>4176.13</v>
      </c>
      <c r="AC889" s="6">
        <v>0</v>
      </c>
      <c r="AD889" s="6">
        <v>16704.52</v>
      </c>
      <c r="AE889" s="6">
        <v>10158.280000000001</v>
      </c>
      <c r="AF889" s="6">
        <v>6546.24</v>
      </c>
      <c r="AG889" s="6" t="s">
        <v>52</v>
      </c>
      <c r="AH889" s="6" t="str">
        <f t="shared" si="106"/>
        <v>Paid</v>
      </c>
      <c r="AI889" s="6" t="s">
        <v>134</v>
      </c>
      <c r="AJ889" s="6" t="str">
        <f t="shared" si="107"/>
        <v>Completed</v>
      </c>
      <c r="AK889" s="9" t="str">
        <f>_xlfn.TEXTJOIN("|",FALSE,A889,TEXT(B889,"mm-dd-yyyy"),TEXT(E889,"mm-dd-yyyy"),I889,J889,L889,N889,P889,R889,T889,V889,X889,Y889,AA889,AB889,AC889,AD889,AE889,AF889,AG889,AI889)</f>
        <v>ORD-2024-10888|06-12-2024|06-18-2024|CUST-2795|Aarav Sharma|Small Business|South|Andhra Pradesh|Vijayawada|Office Supplies|Art|Prime Art 596|Standard Class|4|4176.13|0|16704.52|10158.28|6546.24|Paid|Completed</v>
      </c>
      <c r="AL889" s="27" t="str">
        <f>IF(COUNTIF($AK$2:AK889,AK889)&gt;1,"Remove exact duplicate copy","Keep")</f>
        <v>Keep</v>
      </c>
      <c r="AM889" s="9">
        <f t="shared" si="108"/>
        <v>1</v>
      </c>
      <c r="AN889" s="9" t="str">
        <f t="shared" si="109"/>
        <v>Unique</v>
      </c>
      <c r="AO889" s="9" t="str">
        <f t="shared" si="110"/>
        <v/>
      </c>
      <c r="AP889" s="9">
        <f t="shared" si="111"/>
        <v>0</v>
      </c>
      <c r="AQ889" s="10">
        <f t="shared" si="112"/>
        <v>16704.52</v>
      </c>
      <c r="AR889" s="10">
        <f t="shared" si="113"/>
        <v>6546.24</v>
      </c>
      <c r="AS889" s="11">
        <f t="shared" si="114"/>
        <v>0.39188435225914897</v>
      </c>
      <c r="AT889" s="9">
        <f t="shared" si="115"/>
        <v>6</v>
      </c>
      <c r="AU889" s="9">
        <f t="shared" si="116"/>
        <v>2024</v>
      </c>
      <c r="AV889" s="9" t="b">
        <f t="shared" si="117"/>
        <v>0</v>
      </c>
      <c r="AW889" s="9" t="b">
        <f t="shared" si="118"/>
        <v>0</v>
      </c>
      <c r="AX889" s="9" t="str">
        <f t="shared" si="119"/>
        <v>Yes</v>
      </c>
      <c r="AY889" s="9" t="str">
        <f t="shared" si="123"/>
        <v/>
      </c>
      <c r="AZ889" s="9" t="str">
        <f>IF(OR(G889="Missing date",G889="Invalid date",G889="Ship date before order date",NOT(ISNUMBER(AP889)),AP889&lt;0,AP889&gt;0.5,AV889=TRUE,AW889=TRUE),"Invalid",IF(OR(O889="Unknown",Z889="Unknown",AC889="",AH889&lt;&gt;"Paid",AJ889&lt;&gt;"Completed",AO889&lt;&gt;""),"Warning","Clean"))</f>
        <v>Clean</v>
      </c>
    </row>
    <row r="890" spans="1:52" ht="15.75" customHeight="1">
      <c r="A890" s="6" t="s">
        <v>4145</v>
      </c>
      <c r="B890" s="7" t="s">
        <v>4146</v>
      </c>
      <c r="C890" s="7" t="str">
        <f t="shared" si="122"/>
        <v>2025-08</v>
      </c>
      <c r="D890" s="7" cm="1">
        <f t="array" ref="D890">_xlfn.LET(_xlpm.x,B890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45875</v>
      </c>
      <c r="E890" s="7" t="s">
        <v>3679</v>
      </c>
      <c r="F890" s="7" cm="1">
        <f t="array" ref="F890">_xlfn.LET(_xlpm.x,E890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45876</v>
      </c>
      <c r="G890" s="8" t="str">
        <f t="shared" si="96"/>
        <v>OK</v>
      </c>
      <c r="H890" s="6">
        <f t="shared" si="97"/>
        <v>1</v>
      </c>
      <c r="I890" s="6" t="s">
        <v>4147</v>
      </c>
      <c r="J890" s="6" t="s">
        <v>226</v>
      </c>
      <c r="K890" s="6" t="str">
        <f t="shared" si="98"/>
        <v>Rahul Verma</v>
      </c>
      <c r="L890" s="6" t="s">
        <v>46</v>
      </c>
      <c r="M890" s="8" t="str">
        <f t="shared" si="99"/>
        <v>Small Business</v>
      </c>
      <c r="N890" s="6" t="s">
        <v>9</v>
      </c>
      <c r="O890" s="6" t="str">
        <f t="shared" si="100"/>
        <v>West</v>
      </c>
      <c r="P890" s="6" t="s">
        <v>162</v>
      </c>
      <c r="Q890" s="6" t="str">
        <f t="shared" si="101"/>
        <v>Maharashtra</v>
      </c>
      <c r="R890" s="6" t="s">
        <v>163</v>
      </c>
      <c r="S890" s="6" t="str">
        <f t="shared" si="102"/>
        <v>Mumbai</v>
      </c>
      <c r="T890" s="6" t="s">
        <v>20</v>
      </c>
      <c r="U890" s="8" t="str">
        <f t="shared" si="103"/>
        <v>Office Supplies</v>
      </c>
      <c r="V890" s="6" t="s">
        <v>21</v>
      </c>
      <c r="W890" s="6" t="str">
        <f t="shared" si="104"/>
        <v>Art</v>
      </c>
      <c r="X890" s="6" t="s">
        <v>4148</v>
      </c>
      <c r="Y890" s="6" t="s">
        <v>34</v>
      </c>
      <c r="Z890" s="6" t="str">
        <f t="shared" si="105"/>
        <v>Standard Class</v>
      </c>
      <c r="AA890" s="6">
        <v>4</v>
      </c>
      <c r="AB890" s="6">
        <v>3523.64</v>
      </c>
      <c r="AC890" s="6">
        <v>0.1</v>
      </c>
      <c r="AD890" s="6">
        <v>12685.1</v>
      </c>
      <c r="AE890" s="6">
        <v>10779.56</v>
      </c>
      <c r="AF890" s="6">
        <v>1905.54</v>
      </c>
      <c r="AG890" s="6" t="s">
        <v>56</v>
      </c>
      <c r="AH890" s="6" t="str">
        <f t="shared" si="106"/>
        <v>Refunded</v>
      </c>
      <c r="AI890" s="6" t="s">
        <v>58</v>
      </c>
      <c r="AJ890" s="6" t="str">
        <f t="shared" si="107"/>
        <v>Cancelled</v>
      </c>
      <c r="AK890" s="9" t="str">
        <f>_xlfn.TEXTJOIN("|",FALSE,A890,TEXT(B890,"mm-dd-yyyy"),TEXT(E890,"mm-dd-yyyy"),I890,J890,L890,N890,P890,R890,T890,V890,X890,Y890,AA890,AB890,AC890,AD890,AE890,AF890,AG890,AI890)</f>
        <v>ORD-2025-10889|06-08-2025|07-08-2025|CUST-1081|Rahul Verma|Small Business|West|Maharashtra|Mumbai|Office Supplies|Art|Pro Art 620|Standard Class|4|3523.64|0.1|12685.1|10779.56|1905.54|Refunded|Cancelled</v>
      </c>
      <c r="AL890" s="27" t="str">
        <f>IF(COUNTIF($AK$2:AK890,AK890)&gt;1,"Remove exact duplicate copy","Keep")</f>
        <v>Keep</v>
      </c>
      <c r="AM890" s="9">
        <f t="shared" si="108"/>
        <v>1</v>
      </c>
      <c r="AN890" s="9" t="str">
        <f t="shared" si="109"/>
        <v>Unique</v>
      </c>
      <c r="AO890" s="9" t="str">
        <f t="shared" si="110"/>
        <v/>
      </c>
      <c r="AP890" s="9">
        <f t="shared" si="111"/>
        <v>0.1</v>
      </c>
      <c r="AQ890" s="10">
        <f t="shared" si="112"/>
        <v>12685.103999999999</v>
      </c>
      <c r="AR890" s="10">
        <f t="shared" si="113"/>
        <v>1905.5439999999999</v>
      </c>
      <c r="AS890" s="11">
        <f t="shared" si="114"/>
        <v>0.15021902855506741</v>
      </c>
      <c r="AT890" s="9">
        <f t="shared" si="115"/>
        <v>8</v>
      </c>
      <c r="AU890" s="9">
        <f t="shared" si="116"/>
        <v>2025</v>
      </c>
      <c r="AV890" s="9" t="b">
        <f t="shared" si="117"/>
        <v>0</v>
      </c>
      <c r="AW890" s="9" t="b">
        <f t="shared" si="118"/>
        <v>0</v>
      </c>
      <c r="AX890" s="9" t="str">
        <f t="shared" si="119"/>
        <v>No</v>
      </c>
      <c r="AY890" s="9" t="str">
        <f t="shared" si="123"/>
        <v>Refunded order summarized separately; Cancelled order excluded</v>
      </c>
      <c r="AZ890" s="9" t="str">
        <f>IF(OR(G890="Missing date",G890="Invalid date",G890="Ship date before order date",NOT(ISNUMBER(AP890)),AP890&lt;0,AP890&gt;0.5,AV890=TRUE,AW890=TRUE),"Invalid",IF(OR(O890="Unknown",Z890="Unknown",AC890="",AH890&lt;&gt;"Paid",AJ890&lt;&gt;"Completed",AO890&lt;&gt;""),"Warning","Clean"))</f>
        <v>Warning</v>
      </c>
    </row>
    <row r="891" spans="1:52" ht="15.75" customHeight="1">
      <c r="A891" s="6" t="s">
        <v>4149</v>
      </c>
      <c r="B891" s="7" t="s">
        <v>4150</v>
      </c>
      <c r="C891" s="7" t="str">
        <f t="shared" si="122"/>
        <v>2025-03</v>
      </c>
      <c r="D891" s="7" cm="1">
        <f t="array" ref="D891">_xlfn.LET(_xlpm.x,B891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45726</v>
      </c>
      <c r="E891" s="7" t="s">
        <v>4151</v>
      </c>
      <c r="F891" s="7" cm="1">
        <f t="array" ref="F891">_xlfn.LET(_xlpm.x,E891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45727</v>
      </c>
      <c r="G891" s="8" t="str">
        <f t="shared" si="96"/>
        <v>OK</v>
      </c>
      <c r="H891" s="6">
        <f t="shared" si="97"/>
        <v>1</v>
      </c>
      <c r="I891" s="6" t="s">
        <v>1434</v>
      </c>
      <c r="J891" s="6" t="s">
        <v>190</v>
      </c>
      <c r="K891" s="6" t="str">
        <f t="shared" si="98"/>
        <v>Aditi Sen</v>
      </c>
      <c r="L891" s="6" t="s">
        <v>44</v>
      </c>
      <c r="M891" s="8" t="str">
        <f t="shared" si="99"/>
        <v>Home Office</v>
      </c>
      <c r="N891" s="6" t="s">
        <v>9</v>
      </c>
      <c r="O891" s="6" t="str">
        <f t="shared" si="100"/>
        <v>West</v>
      </c>
      <c r="P891" s="6" t="s">
        <v>170</v>
      </c>
      <c r="Q891" s="6" t="str">
        <f t="shared" si="101"/>
        <v>Madhya Pradesh</v>
      </c>
      <c r="R891" s="6" t="s">
        <v>171</v>
      </c>
      <c r="S891" s="6" t="str">
        <f t="shared" si="102"/>
        <v>Indore</v>
      </c>
      <c r="T891" s="6" t="s">
        <v>20</v>
      </c>
      <c r="U891" s="8" t="str">
        <f t="shared" si="103"/>
        <v>Office Supplies</v>
      </c>
      <c r="V891" s="6" t="s">
        <v>25</v>
      </c>
      <c r="W891" s="6" t="str">
        <f t="shared" si="104"/>
        <v>Storage</v>
      </c>
      <c r="X891" s="6" t="s">
        <v>4152</v>
      </c>
      <c r="Y891" s="6" t="s">
        <v>35</v>
      </c>
      <c r="Z891" s="6" t="str">
        <f t="shared" si="105"/>
        <v>First Class</v>
      </c>
      <c r="AA891" s="6">
        <v>2</v>
      </c>
      <c r="AB891" s="6">
        <v>3922.08</v>
      </c>
      <c r="AC891" s="6">
        <v>0.25</v>
      </c>
      <c r="AD891" s="6">
        <v>5883.12</v>
      </c>
      <c r="AE891" s="6">
        <v>4647.91</v>
      </c>
      <c r="AF891" s="6">
        <v>1235.21</v>
      </c>
      <c r="AG891" s="6" t="s">
        <v>52</v>
      </c>
      <c r="AH891" s="6" t="str">
        <f t="shared" si="106"/>
        <v>Paid</v>
      </c>
      <c r="AI891" s="6" t="s">
        <v>59</v>
      </c>
      <c r="AJ891" s="6" t="str">
        <f t="shared" si="107"/>
        <v>Returned</v>
      </c>
      <c r="AK891" s="9" t="str">
        <f>_xlfn.TEXTJOIN("|",FALSE,A891,TEXT(B891,"mm-dd-yyyy"),TEXT(E891,"mm-dd-yyyy"),I891,J891,L891,N891,P891,R891,T891,V891,X891,Y891,AA891,AB891,AC891,AD891,AE891,AF891,AG891,AI891)</f>
        <v>ORD-2025-10890|03-10-2025|03-11-2025|CUST-8467|Aditi Sen|Home Office|West|Madhya Pradesh|Indore|Office Supplies|Storage|Prime Storage 806|First Class|2|3922.08|0.25|5883.12|4647.91|1235.21|Paid|Returned</v>
      </c>
      <c r="AL891" s="27" t="str">
        <f>IF(COUNTIF($AK$2:AK891,AK891)&gt;1,"Remove exact duplicate copy","Keep")</f>
        <v>Keep</v>
      </c>
      <c r="AM891" s="9">
        <f t="shared" si="108"/>
        <v>1</v>
      </c>
      <c r="AN891" s="9" t="str">
        <f t="shared" si="109"/>
        <v>Unique</v>
      </c>
      <c r="AO891" s="9" t="str">
        <f t="shared" si="110"/>
        <v/>
      </c>
      <c r="AP891" s="9">
        <f t="shared" si="111"/>
        <v>0.25</v>
      </c>
      <c r="AQ891" s="10">
        <f t="shared" si="112"/>
        <v>5883.12</v>
      </c>
      <c r="AR891" s="10">
        <f t="shared" si="113"/>
        <v>1235.21</v>
      </c>
      <c r="AS891" s="11">
        <f t="shared" si="114"/>
        <v>0.20995832143488491</v>
      </c>
      <c r="AT891" s="9">
        <f t="shared" si="115"/>
        <v>3</v>
      </c>
      <c r="AU891" s="9">
        <f t="shared" si="116"/>
        <v>2025</v>
      </c>
      <c r="AV891" s="9" t="b">
        <f t="shared" si="117"/>
        <v>0</v>
      </c>
      <c r="AW891" s="9" t="b">
        <f t="shared" si="118"/>
        <v>0</v>
      </c>
      <c r="AX891" s="9" t="str">
        <f t="shared" si="119"/>
        <v>No</v>
      </c>
      <c r="AY891" s="9" t="str">
        <f t="shared" si="123"/>
        <v>Returned order excluded</v>
      </c>
      <c r="AZ891" s="9" t="str">
        <f>IF(OR(G891="Missing date",G891="Invalid date",G891="Ship date before order date",NOT(ISNUMBER(AP891)),AP891&lt;0,AP891&gt;0.5,AV891=TRUE,AW891=TRUE),"Invalid",IF(OR(O891="Unknown",Z891="Unknown",AC891="",AH891&lt;&gt;"Paid",AJ891&lt;&gt;"Completed",AO891&lt;&gt;""),"Warning","Clean"))</f>
        <v>Warning</v>
      </c>
    </row>
    <row r="892" spans="1:52" ht="15.75" customHeight="1">
      <c r="A892" s="6" t="s">
        <v>4153</v>
      </c>
      <c r="B892" s="7" t="s">
        <v>237</v>
      </c>
      <c r="C892" s="7" t="str">
        <f t="shared" si="122"/>
        <v>2024-05</v>
      </c>
      <c r="D892" s="7" cm="1">
        <f t="array" ref="D892">_xlfn.LET(_xlpm.x,B892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45427</v>
      </c>
      <c r="E892" s="7" t="s">
        <v>1223</v>
      </c>
      <c r="F892" s="7" cm="1">
        <f t="array" ref="F892">_xlfn.LET(_xlpm.x,E892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45433</v>
      </c>
      <c r="G892" s="8" t="str">
        <f t="shared" si="96"/>
        <v>OK</v>
      </c>
      <c r="H892" s="6">
        <f t="shared" si="97"/>
        <v>6</v>
      </c>
      <c r="I892" s="6" t="s">
        <v>4154</v>
      </c>
      <c r="J892" s="6" t="s">
        <v>129</v>
      </c>
      <c r="K892" s="6" t="str">
        <f t="shared" si="98"/>
        <v>Karan Malhotra</v>
      </c>
      <c r="L892" s="6" t="s">
        <v>43</v>
      </c>
      <c r="M892" s="8" t="str">
        <f t="shared" si="99"/>
        <v>Consumer</v>
      </c>
      <c r="N892" s="6" t="s">
        <v>9</v>
      </c>
      <c r="O892" s="6" t="str">
        <f t="shared" si="100"/>
        <v>West</v>
      </c>
      <c r="P892" s="6" t="s">
        <v>323</v>
      </c>
      <c r="Q892" s="6" t="str">
        <f t="shared" si="101"/>
        <v>Goa</v>
      </c>
      <c r="R892" s="6" t="s">
        <v>324</v>
      </c>
      <c r="S892" s="6" t="str">
        <f t="shared" si="102"/>
        <v>Panaji</v>
      </c>
      <c r="T892" s="6" t="s">
        <v>20</v>
      </c>
      <c r="U892" s="8" t="str">
        <f t="shared" si="103"/>
        <v>Office Supplies</v>
      </c>
      <c r="V892" s="6" t="s">
        <v>25</v>
      </c>
      <c r="W892" s="6" t="str">
        <f t="shared" si="104"/>
        <v>Storage</v>
      </c>
      <c r="X892" s="6" t="s">
        <v>4155</v>
      </c>
      <c r="Y892" s="6" t="s">
        <v>34</v>
      </c>
      <c r="Z892" s="6" t="str">
        <f t="shared" si="105"/>
        <v>Standard Class</v>
      </c>
      <c r="AA892" s="6">
        <v>6</v>
      </c>
      <c r="AB892" s="6">
        <v>2909.56</v>
      </c>
      <c r="AC892" s="6">
        <v>0.2</v>
      </c>
      <c r="AD892" s="6">
        <v>13965.89</v>
      </c>
      <c r="AE892" s="6">
        <v>11646.12</v>
      </c>
      <c r="AF892" s="6">
        <v>2319.77</v>
      </c>
      <c r="AG892" s="6" t="s">
        <v>52</v>
      </c>
      <c r="AH892" s="6" t="str">
        <f t="shared" si="106"/>
        <v>Paid</v>
      </c>
      <c r="AI892" s="6" t="s">
        <v>134</v>
      </c>
      <c r="AJ892" s="6" t="str">
        <f t="shared" si="107"/>
        <v>Completed</v>
      </c>
      <c r="AK892" s="9" t="str">
        <f>_xlfn.TEXTJOIN("|",FALSE,A892,TEXT(B892,"mm-dd-yyyy"),TEXT(E892,"mm-dd-yyyy"),I892,J892,L892,N892,P892,R892,T892,V892,X892,Y892,AA892,AB892,AC892,AD892,AE892,AF892,AG892,AI892)</f>
        <v>ORD-2024-10891|15-05-2024|21-05-2024|CUST-3992|Karan Malhotra|Consumer|West|Goa|Panaji|Office Supplies|Storage|Smart Storage 288|Standard Class|6|2909.56|0.2|13965.89|11646.12|2319.77|Paid|Completed</v>
      </c>
      <c r="AL892" s="27" t="str">
        <f>IF(COUNTIF($AK$2:AK892,AK892)&gt;1,"Remove exact duplicate copy","Keep")</f>
        <v>Keep</v>
      </c>
      <c r="AM892" s="9">
        <f t="shared" si="108"/>
        <v>1</v>
      </c>
      <c r="AN892" s="9" t="str">
        <f t="shared" si="109"/>
        <v>Unique</v>
      </c>
      <c r="AO892" s="9" t="str">
        <f t="shared" si="110"/>
        <v/>
      </c>
      <c r="AP892" s="9">
        <f t="shared" si="111"/>
        <v>0.2</v>
      </c>
      <c r="AQ892" s="10">
        <f t="shared" si="112"/>
        <v>13965.888000000001</v>
      </c>
      <c r="AR892" s="10">
        <f t="shared" si="113"/>
        <v>2319.768</v>
      </c>
      <c r="AS892" s="11">
        <f t="shared" si="114"/>
        <v>0.16610243473239938</v>
      </c>
      <c r="AT892" s="9">
        <f t="shared" si="115"/>
        <v>5</v>
      </c>
      <c r="AU892" s="9">
        <f t="shared" si="116"/>
        <v>2024</v>
      </c>
      <c r="AV892" s="9" t="b">
        <f t="shared" si="117"/>
        <v>0</v>
      </c>
      <c r="AW892" s="9" t="b">
        <f t="shared" si="118"/>
        <v>0</v>
      </c>
      <c r="AX892" s="9" t="str">
        <f t="shared" si="119"/>
        <v>Yes</v>
      </c>
      <c r="AY892" s="9" t="str">
        <f t="shared" si="123"/>
        <v/>
      </c>
      <c r="AZ892" s="9" t="str">
        <f>IF(OR(G892="Missing date",G892="Invalid date",G892="Ship date before order date",NOT(ISNUMBER(AP892)),AP892&lt;0,AP892&gt;0.5,AV892=TRUE,AW892=TRUE),"Invalid",IF(OR(O892="Unknown",Z892="Unknown",AC892="",AH892&lt;&gt;"Paid",AJ892&lt;&gt;"Completed",AO892&lt;&gt;""),"Warning","Clean"))</f>
        <v>Clean</v>
      </c>
    </row>
    <row r="893" spans="1:52" ht="15.75" customHeight="1">
      <c r="A893" s="6" t="s">
        <v>4156</v>
      </c>
      <c r="B893" s="7" t="s">
        <v>3878</v>
      </c>
      <c r="C893" s="7" t="str">
        <f t="shared" si="122"/>
        <v>2024-10</v>
      </c>
      <c r="D893" s="7" cm="1">
        <f t="array" ref="D893">_xlfn.LET(_xlpm.x,B893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45573</v>
      </c>
      <c r="E893" s="7" t="s">
        <v>2651</v>
      </c>
      <c r="F893" s="7" cm="1">
        <f t="array" ref="F893">_xlfn.LET(_xlpm.x,E893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45574</v>
      </c>
      <c r="G893" s="8" t="str">
        <f t="shared" si="96"/>
        <v>OK</v>
      </c>
      <c r="H893" s="6">
        <f t="shared" si="97"/>
        <v>1</v>
      </c>
      <c r="I893" s="6" t="s">
        <v>4157</v>
      </c>
      <c r="J893" s="6" t="s">
        <v>442</v>
      </c>
      <c r="K893" s="6" t="str">
        <f t="shared" si="98"/>
        <v>Kabir Singh</v>
      </c>
      <c r="L893" s="6" t="s">
        <v>45</v>
      </c>
      <c r="M893" s="8" t="str">
        <f t="shared" si="99"/>
        <v>Corporate</v>
      </c>
      <c r="N893" s="6" t="s">
        <v>10</v>
      </c>
      <c r="O893" s="6" t="str">
        <f t="shared" si="100"/>
        <v>South</v>
      </c>
      <c r="P893" s="6" t="s">
        <v>413</v>
      </c>
      <c r="Q893" s="6" t="str">
        <f t="shared" si="101"/>
        <v>Tamil Nadu</v>
      </c>
      <c r="R893" s="6" t="s">
        <v>414</v>
      </c>
      <c r="S893" s="6" t="str">
        <f t="shared" si="102"/>
        <v>Chennai</v>
      </c>
      <c r="T893" s="6" t="s">
        <v>27</v>
      </c>
      <c r="U893" s="8" t="str">
        <f t="shared" si="103"/>
        <v>Technology</v>
      </c>
      <c r="V893" s="6" t="s">
        <v>30</v>
      </c>
      <c r="W893" s="6" t="str">
        <f t="shared" si="104"/>
        <v>Machines</v>
      </c>
      <c r="X893" s="6" t="s">
        <v>4158</v>
      </c>
      <c r="Y893" s="6" t="s">
        <v>37</v>
      </c>
      <c r="Z893" s="6" t="str">
        <f t="shared" si="105"/>
        <v>Same Day</v>
      </c>
      <c r="AA893" s="6">
        <v>5</v>
      </c>
      <c r="AB893" s="6">
        <v>2407.9699999999998</v>
      </c>
      <c r="AC893" s="6">
        <v>0.1</v>
      </c>
      <c r="AD893" s="6">
        <v>10835.86</v>
      </c>
      <c r="AE893" s="6">
        <v>6419.92</v>
      </c>
      <c r="AF893" s="6">
        <v>4415.9399999999996</v>
      </c>
      <c r="AG893" s="6" t="s">
        <v>50</v>
      </c>
      <c r="AH893" s="6" t="str">
        <f t="shared" si="106"/>
        <v>Failed</v>
      </c>
      <c r="AI893" s="6" t="s">
        <v>58</v>
      </c>
      <c r="AJ893" s="6" t="str">
        <f t="shared" si="107"/>
        <v>Cancelled</v>
      </c>
      <c r="AK893" s="9" t="str">
        <f>_xlfn.TEXTJOIN("|",FALSE,A893,TEXT(B893,"mm-dd-yyyy"),TEXT(E893,"mm-dd-yyyy"),I893,J893,L893,N893,P893,R893,T893,V893,X893,Y893,AA893,AB893,AC893,AD893,AE893,AF893,AG893,AI893)</f>
        <v>ORD-2024-10892|10-08-2024|09-10-2024|CUST-6647|Kabir Singh|Corporate|South|Tamil Nadu|Chennai|Technology|Machines|Elite Machines 281|Same Day|5|2407.97|0.1|10835.86|6419.92|4415.94|Failed|Cancelled</v>
      </c>
      <c r="AL893" s="27" t="str">
        <f>IF(COUNTIF($AK$2:AK893,AK893)&gt;1,"Remove exact duplicate copy","Keep")</f>
        <v>Keep</v>
      </c>
      <c r="AM893" s="9">
        <f t="shared" si="108"/>
        <v>1</v>
      </c>
      <c r="AN893" s="9" t="str">
        <f t="shared" si="109"/>
        <v>Unique</v>
      </c>
      <c r="AO893" s="9" t="str">
        <f t="shared" si="110"/>
        <v/>
      </c>
      <c r="AP893" s="9">
        <f t="shared" si="111"/>
        <v>0.1</v>
      </c>
      <c r="AQ893" s="10">
        <f t="shared" si="112"/>
        <v>10835.865</v>
      </c>
      <c r="AR893" s="10">
        <f t="shared" si="113"/>
        <v>4415.9449999999997</v>
      </c>
      <c r="AS893" s="11">
        <f t="shared" si="114"/>
        <v>0.40753045557507406</v>
      </c>
      <c r="AT893" s="9">
        <f t="shared" si="115"/>
        <v>10</v>
      </c>
      <c r="AU893" s="9">
        <f t="shared" si="116"/>
        <v>2024</v>
      </c>
      <c r="AV893" s="9" t="b">
        <f t="shared" si="117"/>
        <v>0</v>
      </c>
      <c r="AW893" s="9" t="b">
        <f t="shared" si="118"/>
        <v>0</v>
      </c>
      <c r="AX893" s="9" t="str">
        <f t="shared" si="119"/>
        <v>No</v>
      </c>
      <c r="AY893" s="9" t="str">
        <f t="shared" si="123"/>
        <v>Failed payment excluded; Cancelled order excluded</v>
      </c>
      <c r="AZ893" s="9" t="str">
        <f>IF(OR(G893="Missing date",G893="Invalid date",G893="Ship date before order date",NOT(ISNUMBER(AP893)),AP893&lt;0,AP893&gt;0.5,AV893=TRUE,AW893=TRUE),"Invalid",IF(OR(O893="Unknown",Z893="Unknown",AC893="",AH893&lt;&gt;"Paid",AJ893&lt;&gt;"Completed",AO893&lt;&gt;""),"Warning","Clean"))</f>
        <v>Warning</v>
      </c>
    </row>
    <row r="894" spans="1:52" ht="15.75" customHeight="1">
      <c r="A894" s="6" t="s">
        <v>4159</v>
      </c>
      <c r="B894" s="7" t="s">
        <v>4160</v>
      </c>
      <c r="C894" s="7" t="str">
        <f t="shared" si="122"/>
        <v>2025-04</v>
      </c>
      <c r="D894" s="7" cm="1">
        <f t="array" ref="D894">_xlfn.LET(_xlpm.x,B894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45759</v>
      </c>
      <c r="E894" s="7" t="s">
        <v>3096</v>
      </c>
      <c r="F894" s="7" cm="1">
        <f t="array" ref="F894">_xlfn.LET(_xlpm.x,E894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45765</v>
      </c>
      <c r="G894" s="8" t="str">
        <f t="shared" si="96"/>
        <v>OK</v>
      </c>
      <c r="H894" s="6">
        <f t="shared" si="97"/>
        <v>6</v>
      </c>
      <c r="I894" s="6" t="s">
        <v>4161</v>
      </c>
      <c r="J894" s="6" t="s">
        <v>147</v>
      </c>
      <c r="K894" s="6" t="str">
        <f t="shared" si="98"/>
        <v>Isha Nair</v>
      </c>
      <c r="L894" s="6" t="s">
        <v>46</v>
      </c>
      <c r="M894" s="8" t="str">
        <f t="shared" si="99"/>
        <v>Small Business</v>
      </c>
      <c r="N894" s="6" t="s">
        <v>8</v>
      </c>
      <c r="O894" s="6" t="str">
        <f t="shared" si="100"/>
        <v>East</v>
      </c>
      <c r="P894" s="6" t="s">
        <v>385</v>
      </c>
      <c r="Q894" s="6" t="str">
        <f t="shared" si="101"/>
        <v>Jharkhand</v>
      </c>
      <c r="R894" s="6" t="s">
        <v>386</v>
      </c>
      <c r="S894" s="6" t="str">
        <f t="shared" si="102"/>
        <v>Ranchi</v>
      </c>
      <c r="T894" s="6" t="s">
        <v>27</v>
      </c>
      <c r="U894" s="8" t="str">
        <f t="shared" si="103"/>
        <v>Technology</v>
      </c>
      <c r="V894" s="6" t="s">
        <v>29</v>
      </c>
      <c r="W894" s="6" t="str">
        <f t="shared" si="104"/>
        <v>Copiers</v>
      </c>
      <c r="X894" s="6" t="s">
        <v>4162</v>
      </c>
      <c r="Y894" s="6" t="s">
        <v>37</v>
      </c>
      <c r="Z894" s="6" t="str">
        <f t="shared" si="105"/>
        <v>Same Day</v>
      </c>
      <c r="AA894" s="6">
        <v>1</v>
      </c>
      <c r="AB894" s="6">
        <v>726.89</v>
      </c>
      <c r="AC894" s="6">
        <v>0.2</v>
      </c>
      <c r="AD894" s="6">
        <v>581.51</v>
      </c>
      <c r="AE894" s="6">
        <v>423.86</v>
      </c>
      <c r="AF894" s="6">
        <v>157.65</v>
      </c>
      <c r="AG894" s="6" t="s">
        <v>52</v>
      </c>
      <c r="AH894" s="6" t="str">
        <f t="shared" si="106"/>
        <v>Paid</v>
      </c>
      <c r="AI894" s="6" t="s">
        <v>134</v>
      </c>
      <c r="AJ894" s="6" t="str">
        <f t="shared" si="107"/>
        <v>Completed</v>
      </c>
      <c r="AK894" s="9" t="str">
        <f>_xlfn.TEXTJOIN("|",FALSE,A894,TEXT(B894,"mm-dd-yyyy"),TEXT(E894,"mm-dd-yyyy"),I894,J894,L894,N894,P894,R894,T894,V894,X894,Y894,AA894,AB894,AC894,AD894,AE894,AF894,AG894,AI894)</f>
        <v>ORD-2025-10893|04-12-2025|04-18-2025|CUST-5087|Isha Nair|Small Business|East|Jharkhand|Ranchi|Technology|Copiers|Elite Copiers 221|Same Day|1|726.89|0.2|581.51|423.86|157.65|Paid|Completed</v>
      </c>
      <c r="AL894" s="27" t="str">
        <f>IF(COUNTIF($AK$2:AK894,AK894)&gt;1,"Remove exact duplicate copy","Keep")</f>
        <v>Keep</v>
      </c>
      <c r="AM894" s="9">
        <f t="shared" si="108"/>
        <v>1</v>
      </c>
      <c r="AN894" s="9" t="str">
        <f t="shared" si="109"/>
        <v>Unique</v>
      </c>
      <c r="AO894" s="9" t="str">
        <f t="shared" si="110"/>
        <v/>
      </c>
      <c r="AP894" s="9">
        <f t="shared" si="111"/>
        <v>0.2</v>
      </c>
      <c r="AQ894" s="10">
        <f t="shared" si="112"/>
        <v>581.51200000000006</v>
      </c>
      <c r="AR894" s="10">
        <f t="shared" si="113"/>
        <v>157.65200000000004</v>
      </c>
      <c r="AS894" s="11">
        <f t="shared" si="114"/>
        <v>0.27110704508247468</v>
      </c>
      <c r="AT894" s="9">
        <f t="shared" si="115"/>
        <v>4</v>
      </c>
      <c r="AU894" s="9">
        <f t="shared" si="116"/>
        <v>2025</v>
      </c>
      <c r="AV894" s="9" t="b">
        <f t="shared" si="117"/>
        <v>0</v>
      </c>
      <c r="AW894" s="9" t="b">
        <f t="shared" si="118"/>
        <v>0</v>
      </c>
      <c r="AX894" s="9" t="str">
        <f t="shared" si="119"/>
        <v>Yes</v>
      </c>
      <c r="AY894" s="9" t="str">
        <f t="shared" si="123"/>
        <v/>
      </c>
      <c r="AZ894" s="9" t="str">
        <f>IF(OR(G894="Missing date",G894="Invalid date",G894="Ship date before order date",NOT(ISNUMBER(AP894)),AP894&lt;0,AP894&gt;0.5,AV894=TRUE,AW894=TRUE),"Invalid",IF(OR(O894="Unknown",Z894="Unknown",AC894="",AH894&lt;&gt;"Paid",AJ894&lt;&gt;"Completed",AO894&lt;&gt;""),"Warning","Clean"))</f>
        <v>Clean</v>
      </c>
    </row>
    <row r="895" spans="1:52" ht="15.75" customHeight="1">
      <c r="A895" s="6" t="s">
        <v>4163</v>
      </c>
      <c r="B895" s="7" t="s">
        <v>4164</v>
      </c>
      <c r="C895" s="7" t="str">
        <f t="shared" si="122"/>
        <v>2024-06</v>
      </c>
      <c r="D895" s="7" cm="1">
        <f t="array" ref="D895">_xlfn.LET(_xlpm.x,B895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45449</v>
      </c>
      <c r="E895" s="7" t="s">
        <v>4165</v>
      </c>
      <c r="F895" s="7" cm="1">
        <f t="array" ref="F895">_xlfn.LET(_xlpm.x,E895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45451</v>
      </c>
      <c r="G895" s="8" t="str">
        <f t="shared" si="96"/>
        <v>OK</v>
      </c>
      <c r="H895" s="6">
        <f t="shared" si="97"/>
        <v>2</v>
      </c>
      <c r="I895" s="6" t="s">
        <v>4166</v>
      </c>
      <c r="J895" s="6" t="s">
        <v>239</v>
      </c>
      <c r="K895" s="6" t="str">
        <f t="shared" si="98"/>
        <v>Aarav Sharma</v>
      </c>
      <c r="L895" s="6" t="s">
        <v>45</v>
      </c>
      <c r="M895" s="8" t="str">
        <f t="shared" si="99"/>
        <v>Corporate</v>
      </c>
      <c r="N895" s="6" t="s">
        <v>10</v>
      </c>
      <c r="O895" s="6" t="str">
        <f t="shared" si="100"/>
        <v>South</v>
      </c>
      <c r="P895" s="6" t="s">
        <v>303</v>
      </c>
      <c r="Q895" s="6" t="str">
        <f t="shared" si="101"/>
        <v>Karnataka</v>
      </c>
      <c r="R895" s="6" t="s">
        <v>304</v>
      </c>
      <c r="S895" s="6" t="str">
        <f t="shared" si="102"/>
        <v>Bengaluru</v>
      </c>
      <c r="T895" s="6" t="s">
        <v>14</v>
      </c>
      <c r="U895" s="8" t="str">
        <f t="shared" si="103"/>
        <v>Furniture</v>
      </c>
      <c r="V895" s="6" t="s">
        <v>18</v>
      </c>
      <c r="W895" s="6" t="str">
        <f t="shared" si="104"/>
        <v>Tables</v>
      </c>
      <c r="X895" s="6" t="s">
        <v>4167</v>
      </c>
      <c r="Y895" s="6" t="s">
        <v>36</v>
      </c>
      <c r="Z895" s="6" t="str">
        <f t="shared" si="105"/>
        <v>Second Class</v>
      </c>
      <c r="AA895" s="6">
        <v>3</v>
      </c>
      <c r="AB895" s="6">
        <v>395.49</v>
      </c>
      <c r="AC895" s="6">
        <v>0.05</v>
      </c>
      <c r="AD895" s="6">
        <v>1127.1500000000001</v>
      </c>
      <c r="AE895" s="6">
        <v>845.62</v>
      </c>
      <c r="AF895" s="6">
        <v>281.52999999999997</v>
      </c>
      <c r="AG895" s="6" t="s">
        <v>52</v>
      </c>
      <c r="AH895" s="6" t="str">
        <f t="shared" si="106"/>
        <v>Paid</v>
      </c>
      <c r="AI895" s="6" t="s">
        <v>59</v>
      </c>
      <c r="AJ895" s="6" t="str">
        <f t="shared" si="107"/>
        <v>Returned</v>
      </c>
      <c r="AK895" s="9" t="str">
        <f>_xlfn.TEXTJOIN("|",FALSE,A895,TEXT(B895,"mm-dd-yyyy"),TEXT(E895,"mm-dd-yyyy"),I895,J895,L895,N895,P895,R895,T895,V895,X895,Y895,AA895,AB895,AC895,AD895,AE895,AF895,AG895,AI895)</f>
        <v>ORD-2024-10894|06-06-2024|06-08-2024|CUST-9297|Aarav Sharma|Corporate|South|Karnataka|Bengaluru|Furniture|Tables|Max Tables 291|Second Class|3|395.49|0.05|1127.15|845.62|281.53|Paid|Returned</v>
      </c>
      <c r="AL895" s="27" t="str">
        <f>IF(COUNTIF($AK$2:AK895,AK895)&gt;1,"Remove exact duplicate copy","Keep")</f>
        <v>Keep</v>
      </c>
      <c r="AM895" s="9">
        <f t="shared" si="108"/>
        <v>1</v>
      </c>
      <c r="AN895" s="9" t="str">
        <f t="shared" si="109"/>
        <v>Unique</v>
      </c>
      <c r="AO895" s="9" t="str">
        <f t="shared" si="110"/>
        <v/>
      </c>
      <c r="AP895" s="9">
        <f t="shared" si="111"/>
        <v>0.05</v>
      </c>
      <c r="AQ895" s="10">
        <f t="shared" si="112"/>
        <v>1127.1465000000001</v>
      </c>
      <c r="AR895" s="10">
        <f t="shared" si="113"/>
        <v>281.52650000000006</v>
      </c>
      <c r="AS895" s="11">
        <f t="shared" si="114"/>
        <v>0.24976921810962466</v>
      </c>
      <c r="AT895" s="9">
        <f t="shared" si="115"/>
        <v>6</v>
      </c>
      <c r="AU895" s="9">
        <f t="shared" si="116"/>
        <v>2024</v>
      </c>
      <c r="AV895" s="9" t="b">
        <f t="shared" si="117"/>
        <v>0</v>
      </c>
      <c r="AW895" s="9" t="b">
        <f t="shared" si="118"/>
        <v>0</v>
      </c>
      <c r="AX895" s="9" t="str">
        <f t="shared" si="119"/>
        <v>No</v>
      </c>
      <c r="AY895" s="9" t="str">
        <f t="shared" si="123"/>
        <v>Returned order excluded</v>
      </c>
      <c r="AZ895" s="9" t="str">
        <f>IF(OR(G895="Missing date",G895="Invalid date",G895="Ship date before order date",NOT(ISNUMBER(AP895)),AP895&lt;0,AP895&gt;0.5,AV895=TRUE,AW895=TRUE),"Invalid",IF(OR(O895="Unknown",Z895="Unknown",AC895="",AH895&lt;&gt;"Paid",AJ895&lt;&gt;"Completed",AO895&lt;&gt;""),"Warning","Clean"))</f>
        <v>Warning</v>
      </c>
    </row>
    <row r="896" spans="1:52" ht="15.75" customHeight="1">
      <c r="A896" s="6" t="s">
        <v>4168</v>
      </c>
      <c r="B896" s="7" t="s">
        <v>2032</v>
      </c>
      <c r="C896" s="7" t="str">
        <f t="shared" si="122"/>
        <v>2024-02</v>
      </c>
      <c r="D896" s="7" cm="1">
        <f t="array" ref="D896">_xlfn.LET(_xlpm.x,B896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45344</v>
      </c>
      <c r="E896" s="7" t="s">
        <v>4169</v>
      </c>
      <c r="F896" s="7" cm="1">
        <f t="array" ref="F896">_xlfn.LET(_xlpm.x,E896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45351</v>
      </c>
      <c r="G896" s="8" t="str">
        <f t="shared" si="96"/>
        <v>OK</v>
      </c>
      <c r="H896" s="6">
        <f t="shared" si="97"/>
        <v>7</v>
      </c>
      <c r="I896" s="6" t="s">
        <v>4170</v>
      </c>
      <c r="J896" s="6" t="s">
        <v>147</v>
      </c>
      <c r="K896" s="6" t="str">
        <f t="shared" si="98"/>
        <v>Isha Nair</v>
      </c>
      <c r="L896" s="6" t="s">
        <v>44</v>
      </c>
      <c r="M896" s="8" t="str">
        <f t="shared" si="99"/>
        <v>Home Office</v>
      </c>
      <c r="N896" s="6" t="s">
        <v>10</v>
      </c>
      <c r="O896" s="6" t="str">
        <f t="shared" si="100"/>
        <v>South</v>
      </c>
      <c r="P896" s="6" t="s">
        <v>154</v>
      </c>
      <c r="Q896" s="6" t="str">
        <f t="shared" si="101"/>
        <v>Telangana</v>
      </c>
      <c r="R896" s="6" t="s">
        <v>155</v>
      </c>
      <c r="S896" s="6" t="str">
        <f t="shared" si="102"/>
        <v>Hyderabad</v>
      </c>
      <c r="T896" s="6" t="s">
        <v>14</v>
      </c>
      <c r="U896" s="8" t="str">
        <f t="shared" si="103"/>
        <v>Furniture</v>
      </c>
      <c r="V896" s="6" t="s">
        <v>18</v>
      </c>
      <c r="W896" s="6" t="str">
        <f t="shared" si="104"/>
        <v>Tables</v>
      </c>
      <c r="X896" s="6" t="s">
        <v>4171</v>
      </c>
      <c r="Y896" s="6" t="s">
        <v>35</v>
      </c>
      <c r="Z896" s="6" t="str">
        <f t="shared" si="105"/>
        <v>First Class</v>
      </c>
      <c r="AA896" s="6">
        <v>6</v>
      </c>
      <c r="AB896" s="6">
        <v>4254.05</v>
      </c>
      <c r="AC896" s="6">
        <v>0</v>
      </c>
      <c r="AD896" s="6">
        <v>25524.3</v>
      </c>
      <c r="AE896" s="6">
        <v>16711.93</v>
      </c>
      <c r="AF896" s="6">
        <v>8812.3700000000008</v>
      </c>
      <c r="AG896" s="6" t="s">
        <v>52</v>
      </c>
      <c r="AH896" s="6" t="str">
        <f t="shared" si="106"/>
        <v>Paid</v>
      </c>
      <c r="AI896" s="6" t="s">
        <v>134</v>
      </c>
      <c r="AJ896" s="6" t="str">
        <f t="shared" si="107"/>
        <v>Completed</v>
      </c>
      <c r="AK896" s="9" t="str">
        <f>_xlfn.TEXTJOIN("|",FALSE,A896,TEXT(B896,"mm-dd-yyyy"),TEXT(E896,"mm-dd-yyyy"),I896,J896,L896,N896,P896,R896,T896,V896,X896,Y896,AA896,AB896,AC896,AD896,AE896,AF896,AG896,AI896)</f>
        <v>ORD-2024-10895|02-22-2024|02-29-2024|CUST-7996|Isha Nair|Home Office|South|Telangana|Hyderabad|Furniture|Tables|Classic Tables 638|First Class|6|4254.05|0|25524.3|16711.93|8812.37|Paid|Completed</v>
      </c>
      <c r="AL896" s="27" t="str">
        <f>IF(COUNTIF($AK$2:AK896,AK896)&gt;1,"Remove exact duplicate copy","Keep")</f>
        <v>Keep</v>
      </c>
      <c r="AM896" s="9">
        <f t="shared" si="108"/>
        <v>1</v>
      </c>
      <c r="AN896" s="9" t="str">
        <f t="shared" si="109"/>
        <v>Unique</v>
      </c>
      <c r="AO896" s="9" t="str">
        <f t="shared" si="110"/>
        <v/>
      </c>
      <c r="AP896" s="9">
        <f t="shared" si="111"/>
        <v>0</v>
      </c>
      <c r="AQ896" s="10">
        <f t="shared" si="112"/>
        <v>25524.300000000003</v>
      </c>
      <c r="AR896" s="10">
        <f t="shared" si="113"/>
        <v>8812.3700000000026</v>
      </c>
      <c r="AS896" s="11">
        <f t="shared" si="114"/>
        <v>0.34525413037771857</v>
      </c>
      <c r="AT896" s="9">
        <f t="shared" si="115"/>
        <v>2</v>
      </c>
      <c r="AU896" s="9">
        <f t="shared" si="116"/>
        <v>2024</v>
      </c>
      <c r="AV896" s="9" t="b">
        <f t="shared" si="117"/>
        <v>0</v>
      </c>
      <c r="AW896" s="9" t="b">
        <f t="shared" si="118"/>
        <v>0</v>
      </c>
      <c r="AX896" s="9" t="str">
        <f t="shared" si="119"/>
        <v>Yes</v>
      </c>
      <c r="AY896" s="9" t="str">
        <f t="shared" si="123"/>
        <v/>
      </c>
      <c r="AZ896" s="9" t="str">
        <f>IF(OR(G896="Missing date",G896="Invalid date",G896="Ship date before order date",NOT(ISNUMBER(AP896)),AP896&lt;0,AP896&gt;0.5,AV896=TRUE,AW896=TRUE),"Invalid",IF(OR(O896="Unknown",Z896="Unknown",AC896="",AH896&lt;&gt;"Paid",AJ896&lt;&gt;"Completed",AO896&lt;&gt;""),"Warning","Clean"))</f>
        <v>Clean</v>
      </c>
    </row>
    <row r="897" spans="1:52" ht="15.75" customHeight="1">
      <c r="A897" s="6" t="s">
        <v>4172</v>
      </c>
      <c r="B897" s="7" t="s">
        <v>4173</v>
      </c>
      <c r="C897" s="7" t="str">
        <f t="shared" si="122"/>
        <v>2024-11</v>
      </c>
      <c r="D897" s="7" cm="1">
        <f t="array" ref="D897">_xlfn.LET(_xlpm.x,B897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45601</v>
      </c>
      <c r="E897" s="7" t="s">
        <v>188</v>
      </c>
      <c r="F897" s="7" cm="1">
        <f t="array" ref="F897">_xlfn.LET(_xlpm.x,E897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45606</v>
      </c>
      <c r="G897" s="8" t="str">
        <f t="shared" si="96"/>
        <v>OK</v>
      </c>
      <c r="H897" s="6">
        <f t="shared" si="97"/>
        <v>5</v>
      </c>
      <c r="I897" s="6" t="s">
        <v>4174</v>
      </c>
      <c r="J897" s="6" t="s">
        <v>153</v>
      </c>
      <c r="K897" s="6" t="str">
        <f t="shared" si="98"/>
        <v>Arjun Bose</v>
      </c>
      <c r="L897" s="6" t="s">
        <v>43</v>
      </c>
      <c r="M897" s="8" t="str">
        <f t="shared" si="99"/>
        <v>Consumer</v>
      </c>
      <c r="N897" s="6" t="s">
        <v>10</v>
      </c>
      <c r="O897" s="6" t="str">
        <f t="shared" si="100"/>
        <v>South</v>
      </c>
      <c r="P897" s="6" t="s">
        <v>316</v>
      </c>
      <c r="Q897" s="6" t="str">
        <f t="shared" si="101"/>
        <v>Kerala</v>
      </c>
      <c r="R897" s="6" t="s">
        <v>317</v>
      </c>
      <c r="S897" s="6" t="str">
        <f t="shared" si="102"/>
        <v>Kochi</v>
      </c>
      <c r="T897" s="6" t="s">
        <v>14</v>
      </c>
      <c r="U897" s="8" t="str">
        <f t="shared" si="103"/>
        <v>Furniture</v>
      </c>
      <c r="V897" s="6" t="s">
        <v>16</v>
      </c>
      <c r="W897" s="6" t="str">
        <f t="shared" si="104"/>
        <v>Chairs</v>
      </c>
      <c r="X897" s="6" t="s">
        <v>4175</v>
      </c>
      <c r="Y897" s="6" t="s">
        <v>37</v>
      </c>
      <c r="Z897" s="6" t="str">
        <f t="shared" si="105"/>
        <v>Same Day</v>
      </c>
      <c r="AA897" s="6">
        <v>4</v>
      </c>
      <c r="AB897" s="6">
        <v>711.18</v>
      </c>
      <c r="AC897" s="6">
        <v>0.15</v>
      </c>
      <c r="AD897" s="6">
        <v>2418.0100000000002</v>
      </c>
      <c r="AE897" s="6">
        <v>1441.89</v>
      </c>
      <c r="AF897" s="6">
        <v>976.12</v>
      </c>
      <c r="AG897" s="6" t="s">
        <v>54</v>
      </c>
      <c r="AH897" s="6" t="str">
        <f t="shared" si="106"/>
        <v>Pending</v>
      </c>
      <c r="AI897" s="6" t="s">
        <v>59</v>
      </c>
      <c r="AJ897" s="6" t="str">
        <f t="shared" si="107"/>
        <v>Returned</v>
      </c>
      <c r="AK897" s="9" t="str">
        <f>_xlfn.TEXTJOIN("|",FALSE,A897,TEXT(B897,"mm-dd-yyyy"),TEXT(E897,"mm-dd-yyyy"),I897,J897,L897,N897,P897,R897,T897,V897,X897,Y897,AA897,AB897,AC897,AD897,AE897,AF897,AG897,AI897)</f>
        <v>ORD-2024-10896|11-05-2024|11-10-2024|CUST-4117|Arjun Bose|Consumer|South|Kerala|Kochi|Furniture|Chairs|Basic Chairs 212|Same Day|4|711.18|0.15|2418.01|1441.89|976.12|Pending|Returned</v>
      </c>
      <c r="AL897" s="27" t="str">
        <f>IF(COUNTIF($AK$2:AK897,AK897)&gt;1,"Remove exact duplicate copy","Keep")</f>
        <v>Keep</v>
      </c>
      <c r="AM897" s="9">
        <f t="shared" si="108"/>
        <v>1</v>
      </c>
      <c r="AN897" s="9" t="str">
        <f t="shared" si="109"/>
        <v>Unique</v>
      </c>
      <c r="AO897" s="9" t="str">
        <f t="shared" si="110"/>
        <v/>
      </c>
      <c r="AP897" s="9">
        <f t="shared" si="111"/>
        <v>0.15</v>
      </c>
      <c r="AQ897" s="10">
        <f t="shared" si="112"/>
        <v>2418.0119999999997</v>
      </c>
      <c r="AR897" s="10">
        <f t="shared" si="113"/>
        <v>976.12199999999962</v>
      </c>
      <c r="AS897" s="11">
        <f t="shared" si="114"/>
        <v>0.40368782288921634</v>
      </c>
      <c r="AT897" s="9">
        <f t="shared" si="115"/>
        <v>11</v>
      </c>
      <c r="AU897" s="9">
        <f t="shared" si="116"/>
        <v>2024</v>
      </c>
      <c r="AV897" s="9" t="b">
        <f t="shared" si="117"/>
        <v>0</v>
      </c>
      <c r="AW897" s="9" t="b">
        <f t="shared" si="118"/>
        <v>0</v>
      </c>
      <c r="AX897" s="9" t="str">
        <f t="shared" si="119"/>
        <v>No</v>
      </c>
      <c r="AY897" s="9" t="str">
        <f t="shared" si="123"/>
        <v>Returned order excluded</v>
      </c>
      <c r="AZ897" s="9" t="str">
        <f>IF(OR(G897="Missing date",G897="Invalid date",G897="Ship date before order date",NOT(ISNUMBER(AP897)),AP897&lt;0,AP897&gt;0.5,AV897=TRUE,AW897=TRUE),"Invalid",IF(OR(O897="Unknown",Z897="Unknown",AC897="",AH897&lt;&gt;"Paid",AJ897&lt;&gt;"Completed",AO897&lt;&gt;""),"Warning","Clean"))</f>
        <v>Warning</v>
      </c>
    </row>
    <row r="898" spans="1:52" ht="15.75" customHeight="1">
      <c r="A898" s="6" t="s">
        <v>4176</v>
      </c>
      <c r="B898" s="7" t="s">
        <v>4177</v>
      </c>
      <c r="C898" s="7" t="str">
        <f t="shared" ref="C898:C961" si="124">TEXT(D898, "yyyy-mm")</f>
        <v>2024-12</v>
      </c>
      <c r="D898" s="7" cm="1">
        <f t="array" ref="D898">_xlfn.LET(_xlpm.x,B898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45650</v>
      </c>
      <c r="E898" s="7" t="s">
        <v>2448</v>
      </c>
      <c r="F898" s="7" cm="1">
        <f t="array" ref="F898">_xlfn.LET(_xlpm.x,E898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45651</v>
      </c>
      <c r="G898" s="8" t="str">
        <f t="shared" si="96"/>
        <v>OK</v>
      </c>
      <c r="H898" s="6">
        <f t="shared" si="97"/>
        <v>1</v>
      </c>
      <c r="I898" s="6" t="s">
        <v>4178</v>
      </c>
      <c r="J898" s="6" t="s">
        <v>161</v>
      </c>
      <c r="K898" s="6" t="str">
        <f t="shared" si="98"/>
        <v>Ananya Rao</v>
      </c>
      <c r="L898" s="6" t="s">
        <v>46</v>
      </c>
      <c r="M898" s="8" t="str">
        <f t="shared" si="99"/>
        <v>Small Business</v>
      </c>
      <c r="N898" s="6" t="s">
        <v>10</v>
      </c>
      <c r="O898" s="6" t="str">
        <f t="shared" si="100"/>
        <v>South</v>
      </c>
      <c r="P898" s="6" t="s">
        <v>413</v>
      </c>
      <c r="Q898" s="6" t="str">
        <f t="shared" si="101"/>
        <v>Tamil Nadu</v>
      </c>
      <c r="R898" s="6" t="s">
        <v>414</v>
      </c>
      <c r="S898" s="6" t="str">
        <f t="shared" si="102"/>
        <v>Chennai</v>
      </c>
      <c r="T898" s="6" t="s">
        <v>27</v>
      </c>
      <c r="U898" s="8" t="str">
        <f t="shared" si="103"/>
        <v>Technology</v>
      </c>
      <c r="V898" s="6" t="s">
        <v>29</v>
      </c>
      <c r="W898" s="6" t="str">
        <f t="shared" si="104"/>
        <v>Copiers</v>
      </c>
      <c r="X898" s="6" t="s">
        <v>4179</v>
      </c>
      <c r="Y898" s="6" t="s">
        <v>36</v>
      </c>
      <c r="Z898" s="6" t="str">
        <f t="shared" si="105"/>
        <v>Second Class</v>
      </c>
      <c r="AA898" s="6">
        <v>1</v>
      </c>
      <c r="AB898" s="6">
        <v>3693.03</v>
      </c>
      <c r="AC898" s="6">
        <v>0.05</v>
      </c>
      <c r="AD898" s="6">
        <v>3508.38</v>
      </c>
      <c r="AE898" s="6">
        <v>2828.06</v>
      </c>
      <c r="AF898" s="6">
        <v>680.32</v>
      </c>
      <c r="AG898" s="6" t="s">
        <v>50</v>
      </c>
      <c r="AH898" s="6" t="str">
        <f t="shared" si="106"/>
        <v>Failed</v>
      </c>
      <c r="AI898" s="6" t="s">
        <v>59</v>
      </c>
      <c r="AJ898" s="6" t="str">
        <f t="shared" si="107"/>
        <v>Returned</v>
      </c>
      <c r="AK898" s="9" t="str">
        <f>_xlfn.TEXTJOIN("|",FALSE,A898,TEXT(B898,"mm-dd-yyyy"),TEXT(E898,"mm-dd-yyyy"),I898,J898,L898,N898,P898,R898,T898,V898,X898,Y898,AA898,AB898,AC898,AD898,AE898,AF898,AG898,AI898)</f>
        <v>ORD-2024-10897|12-24-2024|25-12-2024|CUST-4848|Ananya Rao|Small Business|South|Tamil Nadu|Chennai|Technology|Copiers|Max Copiers 121|Second Class|1|3693.03|0.05|3508.38|2828.06|680.32|Failed|Returned</v>
      </c>
      <c r="AL898" s="27" t="str">
        <f>IF(COUNTIF($AK$2:AK898,AK898)&gt;1,"Remove exact duplicate copy","Keep")</f>
        <v>Keep</v>
      </c>
      <c r="AM898" s="9">
        <f t="shared" si="108"/>
        <v>1</v>
      </c>
      <c r="AN898" s="9" t="str">
        <f t="shared" si="109"/>
        <v>Unique</v>
      </c>
      <c r="AO898" s="9" t="str">
        <f t="shared" si="110"/>
        <v/>
      </c>
      <c r="AP898" s="9">
        <f t="shared" si="111"/>
        <v>0.05</v>
      </c>
      <c r="AQ898" s="10">
        <f t="shared" si="112"/>
        <v>3508.3784999999998</v>
      </c>
      <c r="AR898" s="10">
        <f t="shared" si="113"/>
        <v>680.31849999999986</v>
      </c>
      <c r="AS898" s="11">
        <f t="shared" si="114"/>
        <v>0.19391251542557336</v>
      </c>
      <c r="AT898" s="9">
        <f t="shared" si="115"/>
        <v>12</v>
      </c>
      <c r="AU898" s="9">
        <f t="shared" si="116"/>
        <v>2024</v>
      </c>
      <c r="AV898" s="9" t="b">
        <f t="shared" si="117"/>
        <v>0</v>
      </c>
      <c r="AW898" s="9" t="b">
        <f t="shared" si="118"/>
        <v>0</v>
      </c>
      <c r="AX898" s="9" t="str">
        <f t="shared" si="119"/>
        <v>No</v>
      </c>
      <c r="AY898" s="9" t="str">
        <f t="shared" si="123"/>
        <v>Failed payment excluded; Returned order excluded</v>
      </c>
      <c r="AZ898" s="9" t="str">
        <f>IF(OR(G898="Missing date",G898="Invalid date",G898="Ship date before order date",NOT(ISNUMBER(AP898)),AP898&lt;0,AP898&gt;0.5,AV898=TRUE,AW898=TRUE),"Invalid",IF(OR(O898="Unknown",Z898="Unknown",AC898="",AH898&lt;&gt;"Paid",AJ898&lt;&gt;"Completed",AO898&lt;&gt;""),"Warning","Clean"))</f>
        <v>Warning</v>
      </c>
    </row>
    <row r="899" spans="1:52" ht="15.75" customHeight="1">
      <c r="A899" s="6" t="s">
        <v>4180</v>
      </c>
      <c r="B899" s="7" t="s">
        <v>1266</v>
      </c>
      <c r="C899" s="7" t="str">
        <f t="shared" si="124"/>
        <v>2025-04</v>
      </c>
      <c r="D899" s="7" cm="1">
        <f t="array" ref="D899">_xlfn.LET(_xlpm.x,B899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45776</v>
      </c>
      <c r="E899" s="7" t="s">
        <v>4181</v>
      </c>
      <c r="F899" s="7" cm="1">
        <f t="array" ref="F899">_xlfn.LET(_xlpm.x,E899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45780</v>
      </c>
      <c r="G899" s="8" t="str">
        <f t="shared" si="96"/>
        <v>OK</v>
      </c>
      <c r="H899" s="6">
        <f t="shared" si="97"/>
        <v>4</v>
      </c>
      <c r="I899" s="6" t="s">
        <v>3297</v>
      </c>
      <c r="J899" s="6" t="s">
        <v>257</v>
      </c>
      <c r="K899" s="6" t="str">
        <f t="shared" si="98"/>
        <v>Rohan Mehta</v>
      </c>
      <c r="L899" s="6" t="s">
        <v>45</v>
      </c>
      <c r="M899" s="8" t="str">
        <f t="shared" si="99"/>
        <v>Corporate</v>
      </c>
      <c r="N899" s="6" t="s">
        <v>7</v>
      </c>
      <c r="O899" s="6" t="str">
        <f t="shared" si="100"/>
        <v>North</v>
      </c>
      <c r="P899" s="6" t="s">
        <v>397</v>
      </c>
      <c r="Q899" s="6" t="str">
        <f t="shared" si="101"/>
        <v>Haryana</v>
      </c>
      <c r="R899" s="6" t="s">
        <v>398</v>
      </c>
      <c r="S899" s="6" t="str">
        <f t="shared" si="102"/>
        <v>Gurugram</v>
      </c>
      <c r="T899" s="6" t="s">
        <v>20</v>
      </c>
      <c r="U899" s="8" t="str">
        <f t="shared" si="103"/>
        <v>Office Supplies</v>
      </c>
      <c r="V899" s="6" t="s">
        <v>24</v>
      </c>
      <c r="W899" s="6" t="str">
        <f t="shared" si="104"/>
        <v>Paper</v>
      </c>
      <c r="X899" s="6" t="s">
        <v>4182</v>
      </c>
      <c r="Y899" s="6" t="s">
        <v>35</v>
      </c>
      <c r="Z899" s="6" t="str">
        <f t="shared" si="105"/>
        <v>First Class</v>
      </c>
      <c r="AA899" s="6">
        <v>4</v>
      </c>
      <c r="AB899" s="6">
        <v>1786.65</v>
      </c>
      <c r="AC899" s="6">
        <v>0.05</v>
      </c>
      <c r="AD899" s="6">
        <v>6789.27</v>
      </c>
      <c r="AE899" s="6">
        <v>5626.43</v>
      </c>
      <c r="AF899" s="6">
        <v>1162.8399999999999</v>
      </c>
      <c r="AG899" s="6" t="s">
        <v>52</v>
      </c>
      <c r="AH899" s="6" t="str">
        <f t="shared" si="106"/>
        <v>Paid</v>
      </c>
      <c r="AI899" s="6" t="s">
        <v>134</v>
      </c>
      <c r="AJ899" s="6" t="str">
        <f t="shared" si="107"/>
        <v>Completed</v>
      </c>
      <c r="AK899" s="9" t="str">
        <f>_xlfn.TEXTJOIN("|",FALSE,A899,TEXT(B899,"mm-dd-yyyy"),TEXT(E899,"mm-dd-yyyy"),I899,J899,L899,N899,P899,R899,T899,V899,X899,Y899,AA899,AB899,AC899,AD899,AE899,AF899,AG899,AI899)</f>
        <v>ORD-2025-10898|04-29-2025|05-03-2025|CUST-2897|Rohan Mehta|Corporate|North|Haryana|Gurugram|Office Supplies|Paper|Eco Paper 747|First Class|4|1786.65|0.05|6789.27|5626.43|1162.84|Paid|Completed</v>
      </c>
      <c r="AL899" s="27" t="str">
        <f>IF(COUNTIF($AK$2:AK899,AK899)&gt;1,"Remove exact duplicate copy","Keep")</f>
        <v>Keep</v>
      </c>
      <c r="AM899" s="9">
        <f t="shared" si="108"/>
        <v>1</v>
      </c>
      <c r="AN899" s="9" t="str">
        <f t="shared" si="109"/>
        <v>Unique</v>
      </c>
      <c r="AO899" s="9" t="str">
        <f t="shared" si="110"/>
        <v/>
      </c>
      <c r="AP899" s="9">
        <f t="shared" si="111"/>
        <v>0.05</v>
      </c>
      <c r="AQ899" s="10">
        <f t="shared" si="112"/>
        <v>6789.27</v>
      </c>
      <c r="AR899" s="10">
        <f t="shared" si="113"/>
        <v>1162.8400000000001</v>
      </c>
      <c r="AS899" s="11">
        <f t="shared" si="114"/>
        <v>0.17127614603631908</v>
      </c>
      <c r="AT899" s="9">
        <f t="shared" si="115"/>
        <v>4</v>
      </c>
      <c r="AU899" s="9">
        <f t="shared" si="116"/>
        <v>2025</v>
      </c>
      <c r="AV899" s="9" t="b">
        <f t="shared" si="117"/>
        <v>0</v>
      </c>
      <c r="AW899" s="9" t="b">
        <f t="shared" si="118"/>
        <v>0</v>
      </c>
      <c r="AX899" s="9" t="str">
        <f t="shared" si="119"/>
        <v>Yes</v>
      </c>
      <c r="AY899" s="9" t="str">
        <f t="shared" ref="AY899:AY913" si="125">_xlfn.TEXTJOIN("; ",TRUE,IF(O899="Unknown","Missing region filled as Unknown",""),IF(Z899="Unknown","Missing ship mode filled as Unknown",""),IF(AND(AC899="",AP899=0),"Missing discount treated as 0",""),IF(AP899&lt;0,"Negative discount",""),IF(AP899&gt;0.5,"Discount above 50%",""),IF(G899="Ship date before order date","Ship date before order date",""),IF(AH899="Failed","Failed payment excluded",""),IF(AH899="Refunded","Refunded order summarized separately",""),IF(AJ899="Cancelled","Cancelled order excluded",""),IF(AJ899="Returned","Returned order excluded",""),IF(AO899&lt;&gt;"","Duplicate order ID conflict",""),IF(AV899=TRUE,"Sales mismatch",""),IF(AW899=TRUE,"Profit mismatch",""))</f>
        <v/>
      </c>
      <c r="AZ899" s="9" t="str">
        <f>IF(OR(G899="Missing date",G899="Invalid date",G899="Ship date before order date",NOT(ISNUMBER(AP899)),AP899&lt;0,AP899&gt;0.5,AV899=TRUE,AW899=TRUE),"Invalid",IF(OR(O899="Unknown",Z899="Unknown",AC899="",AH899&lt;&gt;"Paid",AJ899&lt;&gt;"Completed",AO899&lt;&gt;""),"Warning","Clean"))</f>
        <v>Clean</v>
      </c>
    </row>
    <row r="900" spans="1:52" ht="15.75" customHeight="1">
      <c r="A900" s="6" t="s">
        <v>4183</v>
      </c>
      <c r="B900" s="7" t="s">
        <v>3745</v>
      </c>
      <c r="C900" s="7" t="str">
        <f t="shared" si="124"/>
        <v>2024-06</v>
      </c>
      <c r="D900" s="7" cm="1">
        <f t="array" ref="D900">_xlfn.LET(_xlpm.x,B900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45445</v>
      </c>
      <c r="E900" s="7" t="s">
        <v>144</v>
      </c>
      <c r="F900" s="7" cm="1">
        <f t="array" ref="F900">_xlfn.LET(_xlpm.x,E900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45451</v>
      </c>
      <c r="G900" s="8" t="str">
        <f t="shared" si="96"/>
        <v>OK</v>
      </c>
      <c r="H900" s="6">
        <f t="shared" si="97"/>
        <v>6</v>
      </c>
      <c r="I900" s="6" t="s">
        <v>4184</v>
      </c>
      <c r="J900" s="6" t="s">
        <v>169</v>
      </c>
      <c r="K900" s="6" t="str">
        <f t="shared" si="98"/>
        <v>Vikram Iyer</v>
      </c>
      <c r="L900" s="6" t="s">
        <v>43</v>
      </c>
      <c r="M900" s="8" t="str">
        <f t="shared" si="99"/>
        <v>Consumer</v>
      </c>
      <c r="N900" s="6" t="s">
        <v>7</v>
      </c>
      <c r="O900" s="6" t="str">
        <f t="shared" si="100"/>
        <v>North</v>
      </c>
      <c r="P900" s="6" t="s">
        <v>583</v>
      </c>
      <c r="Q900" s="6" t="str">
        <f t="shared" si="101"/>
        <v>Delhi</v>
      </c>
      <c r="R900" s="6" t="s">
        <v>584</v>
      </c>
      <c r="S900" s="6" t="str">
        <f t="shared" si="102"/>
        <v>New Delhi</v>
      </c>
      <c r="T900" s="6" t="s">
        <v>14</v>
      </c>
      <c r="U900" s="8" t="str">
        <f t="shared" si="103"/>
        <v>Furniture</v>
      </c>
      <c r="V900" s="6" t="s">
        <v>18</v>
      </c>
      <c r="W900" s="6" t="str">
        <f t="shared" si="104"/>
        <v>Tables</v>
      </c>
      <c r="X900" s="6" t="s">
        <v>4185</v>
      </c>
      <c r="Y900" s="6" t="s">
        <v>35</v>
      </c>
      <c r="Z900" s="6" t="str">
        <f t="shared" si="105"/>
        <v>First Class</v>
      </c>
      <c r="AA900" s="6">
        <v>4</v>
      </c>
      <c r="AB900" s="6">
        <v>1536.7</v>
      </c>
      <c r="AC900" s="6">
        <v>0.2</v>
      </c>
      <c r="AD900" s="6">
        <v>4917.4399999999996</v>
      </c>
      <c r="AE900" s="6">
        <v>3846.77</v>
      </c>
      <c r="AF900" s="6">
        <v>1070.67</v>
      </c>
      <c r="AG900" s="6" t="s">
        <v>52</v>
      </c>
      <c r="AH900" s="6" t="str">
        <f t="shared" si="106"/>
        <v>Paid</v>
      </c>
      <c r="AI900" s="6" t="s">
        <v>134</v>
      </c>
      <c r="AJ900" s="6" t="str">
        <f t="shared" si="107"/>
        <v>Completed</v>
      </c>
      <c r="AK900" s="9" t="str">
        <f>_xlfn.TEXTJOIN("|",FALSE,A900,TEXT(B900,"mm-dd-yyyy"),TEXT(E900,"mm-dd-yyyy"),I900,J900,L900,N900,P900,R900,T900,V900,X900,Y900,AA900,AB900,AC900,AD900,AE900,AF900,AG900,AI900)</f>
        <v>ORD-2024-10899|06-02-2024|06-08-2024|CUST-6046|Vikram Iyer|Consumer|North|Delhi|New Delhi|Furniture|Tables|Classic Tables 535|First Class|4|1536.7|0.2|4917.44|3846.77|1070.67|Paid|Completed</v>
      </c>
      <c r="AL900" s="27" t="str">
        <f>IF(COUNTIF($AK$2:AK900,AK900)&gt;1,"Remove exact duplicate copy","Keep")</f>
        <v>Keep</v>
      </c>
      <c r="AM900" s="9">
        <f t="shared" si="108"/>
        <v>1</v>
      </c>
      <c r="AN900" s="9" t="str">
        <f t="shared" si="109"/>
        <v>Unique</v>
      </c>
      <c r="AO900" s="9" t="str">
        <f t="shared" si="110"/>
        <v/>
      </c>
      <c r="AP900" s="9">
        <f t="shared" si="111"/>
        <v>0.2</v>
      </c>
      <c r="AQ900" s="10">
        <f t="shared" si="112"/>
        <v>4917.4400000000005</v>
      </c>
      <c r="AR900" s="10">
        <f t="shared" si="113"/>
        <v>1070.6700000000005</v>
      </c>
      <c r="AS900" s="11">
        <f t="shared" si="114"/>
        <v>0.21772914361944434</v>
      </c>
      <c r="AT900" s="9">
        <f t="shared" si="115"/>
        <v>6</v>
      </c>
      <c r="AU900" s="9">
        <f t="shared" si="116"/>
        <v>2024</v>
      </c>
      <c r="AV900" s="9" t="b">
        <f t="shared" si="117"/>
        <v>0</v>
      </c>
      <c r="AW900" s="9" t="b">
        <f t="shared" si="118"/>
        <v>0</v>
      </c>
      <c r="AX900" s="9" t="str">
        <f t="shared" si="119"/>
        <v>Yes</v>
      </c>
      <c r="AY900" s="9" t="str">
        <f t="shared" si="125"/>
        <v/>
      </c>
      <c r="AZ900" s="9" t="str">
        <f>IF(OR(G900="Missing date",G900="Invalid date",G900="Ship date before order date",NOT(ISNUMBER(AP900)),AP900&lt;0,AP900&gt;0.5,AV900=TRUE,AW900=TRUE),"Invalid",IF(OR(O900="Unknown",Z900="Unknown",AC900="",AH900&lt;&gt;"Paid",AJ900&lt;&gt;"Completed",AO900&lt;&gt;""),"Warning","Clean"))</f>
        <v>Clean</v>
      </c>
    </row>
    <row r="901" spans="1:52" ht="15.75" customHeight="1">
      <c r="A901" s="6" t="s">
        <v>4186</v>
      </c>
      <c r="B901" s="7" t="s">
        <v>1769</v>
      </c>
      <c r="C901" s="7" t="str">
        <f t="shared" si="124"/>
        <v>2025-05</v>
      </c>
      <c r="D901" s="7" cm="1">
        <f t="array" ref="D901">_xlfn.LET(_xlpm.x,B901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45804</v>
      </c>
      <c r="E901" s="7" t="s">
        <v>4187</v>
      </c>
      <c r="F901" s="7" cm="1">
        <f t="array" ref="F901">_xlfn.LET(_xlpm.x,E901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45811</v>
      </c>
      <c r="G901" s="8" t="str">
        <f t="shared" si="96"/>
        <v>OK</v>
      </c>
      <c r="H901" s="6">
        <f t="shared" si="97"/>
        <v>7</v>
      </c>
      <c r="I901" s="6" t="s">
        <v>4188</v>
      </c>
      <c r="J901" s="6" t="s">
        <v>129</v>
      </c>
      <c r="K901" s="6" t="str">
        <f t="shared" si="98"/>
        <v>Karan Malhotra</v>
      </c>
      <c r="L901" s="6" t="s">
        <v>43</v>
      </c>
      <c r="M901" s="8" t="str">
        <f t="shared" si="99"/>
        <v>Consumer</v>
      </c>
      <c r="N901" s="6" t="s">
        <v>7</v>
      </c>
      <c r="O901" s="6" t="str">
        <f t="shared" si="100"/>
        <v>North</v>
      </c>
      <c r="P901" s="6" t="s">
        <v>232</v>
      </c>
      <c r="Q901" s="6" t="str">
        <f t="shared" si="101"/>
        <v>Punjab</v>
      </c>
      <c r="R901" s="6" t="s">
        <v>233</v>
      </c>
      <c r="S901" s="6" t="str">
        <f t="shared" si="102"/>
        <v>Ludhiana</v>
      </c>
      <c r="T901" s="6" t="s">
        <v>14</v>
      </c>
      <c r="U901" s="8" t="str">
        <f t="shared" si="103"/>
        <v>Furniture</v>
      </c>
      <c r="V901" s="6" t="s">
        <v>16</v>
      </c>
      <c r="W901" s="6" t="str">
        <f t="shared" si="104"/>
        <v>Chairs</v>
      </c>
      <c r="X901" s="6" t="s">
        <v>4189</v>
      </c>
      <c r="Y901" s="6" t="s">
        <v>35</v>
      </c>
      <c r="Z901" s="6" t="str">
        <f t="shared" si="105"/>
        <v>First Class</v>
      </c>
      <c r="AA901" s="6">
        <v>5</v>
      </c>
      <c r="AB901" s="6">
        <v>881.08</v>
      </c>
      <c r="AC901" s="6">
        <v>0.25</v>
      </c>
      <c r="AD901" s="6">
        <v>3304.05</v>
      </c>
      <c r="AE901" s="6">
        <v>2279.41</v>
      </c>
      <c r="AF901" s="6">
        <v>1024.6400000000001</v>
      </c>
      <c r="AG901" s="6" t="s">
        <v>50</v>
      </c>
      <c r="AH901" s="6" t="str">
        <f t="shared" si="106"/>
        <v>Failed</v>
      </c>
      <c r="AI901" s="6" t="s">
        <v>58</v>
      </c>
      <c r="AJ901" s="6" t="str">
        <f t="shared" si="107"/>
        <v>Cancelled</v>
      </c>
      <c r="AK901" s="9" t="str">
        <f>_xlfn.TEXTJOIN("|",FALSE,A901,TEXT(B901,"mm-dd-yyyy"),TEXT(E901,"mm-dd-yyyy"),I901,J901,L901,N901,P901,R901,T901,V901,X901,Y901,AA901,AB901,AC901,AD901,AE901,AF901,AG901,AI901)</f>
        <v>ORD-2025-10900|05-27-2025|06-03-2025|CUST-3789|Karan Malhotra|Consumer|North|Punjab|Ludhiana|Furniture|Chairs|Elite Chairs 971|First Class|5|881.08|0.25|3304.05|2279.41|1024.64|Failed|Cancelled</v>
      </c>
      <c r="AL901" s="27" t="str">
        <f>IF(COUNTIF($AK$2:AK901,AK901)&gt;1,"Remove exact duplicate copy","Keep")</f>
        <v>Keep</v>
      </c>
      <c r="AM901" s="9">
        <f t="shared" si="108"/>
        <v>1</v>
      </c>
      <c r="AN901" s="9" t="str">
        <f t="shared" si="109"/>
        <v>Unique</v>
      </c>
      <c r="AO901" s="9" t="str">
        <f t="shared" si="110"/>
        <v/>
      </c>
      <c r="AP901" s="9">
        <f t="shared" si="111"/>
        <v>0.25</v>
      </c>
      <c r="AQ901" s="10">
        <f t="shared" si="112"/>
        <v>3304.05</v>
      </c>
      <c r="AR901" s="10">
        <f t="shared" si="113"/>
        <v>1024.6400000000003</v>
      </c>
      <c r="AS901" s="11">
        <f t="shared" si="114"/>
        <v>0.31011637233092726</v>
      </c>
      <c r="AT901" s="9">
        <f t="shared" si="115"/>
        <v>5</v>
      </c>
      <c r="AU901" s="9">
        <f t="shared" si="116"/>
        <v>2025</v>
      </c>
      <c r="AV901" s="9" t="b">
        <f t="shared" si="117"/>
        <v>0</v>
      </c>
      <c r="AW901" s="9" t="b">
        <f t="shared" si="118"/>
        <v>0</v>
      </c>
      <c r="AX901" s="9" t="str">
        <f t="shared" si="119"/>
        <v>No</v>
      </c>
      <c r="AY901" s="9" t="str">
        <f t="shared" si="125"/>
        <v>Failed payment excluded; Cancelled order excluded</v>
      </c>
      <c r="AZ901" s="9" t="str">
        <f>IF(OR(G901="Missing date",G901="Invalid date",G901="Ship date before order date",NOT(ISNUMBER(AP901)),AP901&lt;0,AP901&gt;0.5,AV901=TRUE,AW901=TRUE),"Invalid",IF(OR(O901="Unknown",Z901="Unknown",AC901="",AH901&lt;&gt;"Paid",AJ901&lt;&gt;"Completed",AO901&lt;&gt;""),"Warning","Clean"))</f>
        <v>Warning</v>
      </c>
    </row>
    <row r="902" spans="1:52" ht="15.75" customHeight="1">
      <c r="A902" s="6" t="s">
        <v>1764</v>
      </c>
      <c r="B902" s="7" t="s">
        <v>786</v>
      </c>
      <c r="C902" s="7" t="str">
        <f t="shared" si="124"/>
        <v>2024-12</v>
      </c>
      <c r="D902" s="7" cm="1">
        <f t="array" ref="D902">_xlfn.LET(_xlpm.x,B902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45630</v>
      </c>
      <c r="E902" s="7" t="s">
        <v>1765</v>
      </c>
      <c r="F902" s="7" cm="1">
        <f t="array" ref="F902">_xlfn.LET(_xlpm.x,E902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45632</v>
      </c>
      <c r="G902" s="8" t="str">
        <f t="shared" si="96"/>
        <v>OK</v>
      </c>
      <c r="H902" s="6">
        <f t="shared" si="97"/>
        <v>2</v>
      </c>
      <c r="I902" s="6" t="s">
        <v>1766</v>
      </c>
      <c r="J902" s="6" t="s">
        <v>245</v>
      </c>
      <c r="K902" s="6" t="str">
        <f t="shared" si="98"/>
        <v>Sneha Kapoor</v>
      </c>
      <c r="L902" s="6" t="s">
        <v>44</v>
      </c>
      <c r="M902" s="8" t="str">
        <f t="shared" si="99"/>
        <v>Home Office</v>
      </c>
      <c r="N902" s="6" t="s">
        <v>8</v>
      </c>
      <c r="O902" s="6" t="str">
        <f t="shared" si="100"/>
        <v>East</v>
      </c>
      <c r="P902" s="6" t="s">
        <v>140</v>
      </c>
      <c r="Q902" s="6" t="str">
        <f t="shared" si="101"/>
        <v>Odisha</v>
      </c>
      <c r="R902" s="6" t="s">
        <v>141</v>
      </c>
      <c r="S902" s="6" t="str">
        <f t="shared" si="102"/>
        <v>Bhubaneswar</v>
      </c>
      <c r="T902" s="6" t="s">
        <v>20</v>
      </c>
      <c r="U902" s="8" t="str">
        <f t="shared" si="103"/>
        <v>Office Supplies</v>
      </c>
      <c r="V902" s="6" t="s">
        <v>22</v>
      </c>
      <c r="W902" s="6" t="str">
        <f t="shared" si="104"/>
        <v>Binders</v>
      </c>
      <c r="X902" s="6" t="s">
        <v>1767</v>
      </c>
      <c r="Y902" s="6" t="s">
        <v>36</v>
      </c>
      <c r="Z902" s="6" t="str">
        <f t="shared" si="105"/>
        <v>Second Class</v>
      </c>
      <c r="AA902" s="6">
        <v>4</v>
      </c>
      <c r="AB902" s="6">
        <v>2685.66</v>
      </c>
      <c r="AC902" s="6">
        <v>0</v>
      </c>
      <c r="AD902" s="6">
        <v>10989.89</v>
      </c>
      <c r="AE902" s="6">
        <v>6477.37</v>
      </c>
      <c r="AF902" s="6">
        <v>4265.2700000000004</v>
      </c>
      <c r="AG902" s="6" t="s">
        <v>52</v>
      </c>
      <c r="AH902" s="6" t="str">
        <f t="shared" si="106"/>
        <v>Paid</v>
      </c>
      <c r="AI902" s="6" t="s">
        <v>134</v>
      </c>
      <c r="AJ902" s="6" t="str">
        <f t="shared" si="107"/>
        <v>Completed</v>
      </c>
      <c r="AK902" s="9" t="str">
        <f>_xlfn.TEXTJOIN("|",FALSE,A902,TEXT(B902,"mm-dd-yyyy"),TEXT(E902,"mm-dd-yyyy"),I902,J902,L902,N902,P902,R902,T902,V902,X902,Y902,AA902,AB902,AC902,AD902,AE902,AF902,AG902,AI902)</f>
        <v>ORD-2024-10332|04-12-2024|12-06-2024|CUST-9346|Sneha Kapoor|Home Office|East|Odisha|Bhubaneswar|Office Supplies|Binders|Smart Binders 939|Second Class|4|2685.66|0|10989.89|6477.37|4265.27|Paid|Completed</v>
      </c>
      <c r="AL902" s="27" t="str">
        <f>IF(COUNTIF($AK$2:AK902,AK902)&gt;1,"Remove exact duplicate copy","Keep")</f>
        <v>Keep</v>
      </c>
      <c r="AM902" s="9">
        <f t="shared" si="108"/>
        <v>2</v>
      </c>
      <c r="AN902" s="9" t="str">
        <f t="shared" si="109"/>
        <v>Duplicate order_id</v>
      </c>
      <c r="AO902" s="9" t="str">
        <f t="shared" si="110"/>
        <v>Review conflicting duplicate</v>
      </c>
      <c r="AP902" s="9">
        <f t="shared" si="111"/>
        <v>0</v>
      </c>
      <c r="AQ902" s="10">
        <f t="shared" si="112"/>
        <v>10742.64</v>
      </c>
      <c r="AR902" s="10">
        <f t="shared" si="113"/>
        <v>4265.2699999999995</v>
      </c>
      <c r="AS902" s="11">
        <f t="shared" si="114"/>
        <v>0.39704113700170535</v>
      </c>
      <c r="AT902" s="9">
        <f t="shared" si="115"/>
        <v>12</v>
      </c>
      <c r="AU902" s="9">
        <f t="shared" si="116"/>
        <v>2024</v>
      </c>
      <c r="AV902" s="9" t="b">
        <f t="shared" si="117"/>
        <v>1</v>
      </c>
      <c r="AW902" s="9" t="b">
        <f t="shared" si="118"/>
        <v>0</v>
      </c>
      <c r="AX902" s="9" t="str">
        <f t="shared" si="119"/>
        <v>No</v>
      </c>
      <c r="AY902" s="9" t="str">
        <f t="shared" si="125"/>
        <v>Duplicate order ID conflict; Sales mismatch</v>
      </c>
      <c r="AZ902" s="9" t="str">
        <f>IF(OR(G902="Missing date",G902="Invalid date",G902="Ship date before order date",NOT(ISNUMBER(AP902)),AP902&lt;0,AP902&gt;0.5,AV902=TRUE,AW902=TRUE),"Invalid",IF(OR(O902="Unknown",Z902="Unknown",AC902="",AH902&lt;&gt;"Paid",AJ902&lt;&gt;"Completed",AO902&lt;&gt;""),"Warning","Clean"))</f>
        <v>Invalid</v>
      </c>
    </row>
    <row r="903" spans="1:52" ht="15.75" customHeight="1">
      <c r="A903" s="6" t="s">
        <v>627</v>
      </c>
      <c r="B903" s="7" t="s">
        <v>628</v>
      </c>
      <c r="C903" s="7" t="str">
        <f t="shared" si="124"/>
        <v>2025-08</v>
      </c>
      <c r="D903" s="7" cm="1">
        <f t="array" ref="D903">_xlfn.LET(_xlpm.x,B903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45893</v>
      </c>
      <c r="E903" s="7" t="s">
        <v>158</v>
      </c>
      <c r="F903" s="7" cm="1">
        <f t="array" ref="F903">_xlfn.LET(_xlpm.x,E903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45898</v>
      </c>
      <c r="G903" s="8" t="str">
        <f t="shared" si="96"/>
        <v>OK</v>
      </c>
      <c r="H903" s="6">
        <f t="shared" si="97"/>
        <v>5</v>
      </c>
      <c r="I903" s="6" t="s">
        <v>629</v>
      </c>
      <c r="J903" s="6" t="s">
        <v>239</v>
      </c>
      <c r="K903" s="6" t="str">
        <f t="shared" si="98"/>
        <v>Aarav Sharma</v>
      </c>
      <c r="L903" s="6" t="s">
        <v>46</v>
      </c>
      <c r="M903" s="8" t="str">
        <f t="shared" si="99"/>
        <v>Small Business</v>
      </c>
      <c r="N903" s="6" t="s">
        <v>8</v>
      </c>
      <c r="O903" s="6" t="str">
        <f t="shared" si="100"/>
        <v>East</v>
      </c>
      <c r="P903" s="6" t="s">
        <v>263</v>
      </c>
      <c r="Q903" s="6" t="str">
        <f t="shared" si="101"/>
        <v>Bihar</v>
      </c>
      <c r="R903" s="6" t="s">
        <v>264</v>
      </c>
      <c r="S903" s="6" t="str">
        <f t="shared" si="102"/>
        <v>Patna</v>
      </c>
      <c r="T903" s="6" t="s">
        <v>27</v>
      </c>
      <c r="U903" s="8" t="str">
        <f t="shared" si="103"/>
        <v>Technology</v>
      </c>
      <c r="V903" s="6" t="s">
        <v>29</v>
      </c>
      <c r="W903" s="6" t="str">
        <f t="shared" si="104"/>
        <v>Copiers</v>
      </c>
      <c r="X903" s="6" t="s">
        <v>630</v>
      </c>
      <c r="Y903" s="6" t="s">
        <v>35</v>
      </c>
      <c r="Z903" s="6" t="str">
        <f t="shared" si="105"/>
        <v>First Class</v>
      </c>
      <c r="AA903" s="6">
        <v>3</v>
      </c>
      <c r="AB903" s="6">
        <v>3703.96</v>
      </c>
      <c r="AC903" s="6">
        <v>0.15</v>
      </c>
      <c r="AD903" s="6">
        <v>9549.44</v>
      </c>
      <c r="AE903" s="6">
        <v>5586.28</v>
      </c>
      <c r="AF903" s="6">
        <v>3858.82</v>
      </c>
      <c r="AG903" s="6" t="s">
        <v>52</v>
      </c>
      <c r="AH903" s="6" t="str">
        <f t="shared" si="106"/>
        <v>Paid</v>
      </c>
      <c r="AI903" s="6" t="s">
        <v>59</v>
      </c>
      <c r="AJ903" s="6" t="str">
        <f t="shared" si="107"/>
        <v>Returned</v>
      </c>
      <c r="AK903" s="9" t="str">
        <f>_xlfn.TEXTJOIN("|",FALSE,A903,TEXT(B903,"mm-dd-yyyy"),TEXT(E903,"mm-dd-yyyy"),I903,J903,L903,N903,P903,R903,T903,V903,X903,Y903,AA903,AB903,AC903,AD903,AE903,AF903,AG903,AI903)</f>
        <v>ORD-2025-10091|08-24-2025|08-29-2025|CUST-5909|Aarav Sharma|Small Business|East|Bihar|Patna|Technology|Copiers|Smart Copiers 556|First Class|3|3703.96|0.15|9549.44|5586.28|3858.82|Paid|Returned</v>
      </c>
      <c r="AL903" s="27" t="str">
        <f>IF(COUNTIF($AK$2:AK903,AK903)&gt;1,"Remove exact duplicate copy","Keep")</f>
        <v>Keep</v>
      </c>
      <c r="AM903" s="9">
        <f t="shared" si="108"/>
        <v>2</v>
      </c>
      <c r="AN903" s="9" t="str">
        <f t="shared" si="109"/>
        <v>Duplicate order_id</v>
      </c>
      <c r="AO903" s="9" t="str">
        <f t="shared" si="110"/>
        <v>Review conflicting duplicate</v>
      </c>
      <c r="AP903" s="9">
        <f t="shared" si="111"/>
        <v>0.15</v>
      </c>
      <c r="AQ903" s="10">
        <f t="shared" si="112"/>
        <v>9445.098</v>
      </c>
      <c r="AR903" s="10">
        <f t="shared" si="113"/>
        <v>3858.8180000000002</v>
      </c>
      <c r="AS903" s="11">
        <f t="shared" si="114"/>
        <v>0.40855245758170006</v>
      </c>
      <c r="AT903" s="9">
        <f t="shared" si="115"/>
        <v>8</v>
      </c>
      <c r="AU903" s="9">
        <f t="shared" si="116"/>
        <v>2025</v>
      </c>
      <c r="AV903" s="9" t="b">
        <f t="shared" si="117"/>
        <v>1</v>
      </c>
      <c r="AW903" s="9" t="b">
        <f t="shared" si="118"/>
        <v>0</v>
      </c>
      <c r="AX903" s="9" t="str">
        <f t="shared" si="119"/>
        <v>No</v>
      </c>
      <c r="AY903" s="9" t="str">
        <f t="shared" si="125"/>
        <v>Returned order excluded; Duplicate order ID conflict; Sales mismatch</v>
      </c>
      <c r="AZ903" s="9" t="str">
        <f>IF(OR(G903="Missing date",G903="Invalid date",G903="Ship date before order date",NOT(ISNUMBER(AP903)),AP903&lt;0,AP903&gt;0.5,AV903=TRUE,AW903=TRUE),"Invalid",IF(OR(O903="Unknown",Z903="Unknown",AC903="",AH903&lt;&gt;"Paid",AJ903&lt;&gt;"Completed",AO903&lt;&gt;""),"Warning","Clean"))</f>
        <v>Invalid</v>
      </c>
    </row>
    <row r="904" spans="1:52" ht="15.75" customHeight="1">
      <c r="A904" s="6" t="s">
        <v>1948</v>
      </c>
      <c r="B904" s="7" t="s">
        <v>1949</v>
      </c>
      <c r="C904" s="7" t="str">
        <f t="shared" si="124"/>
        <v>2025-04</v>
      </c>
      <c r="D904" s="7" cm="1">
        <f t="array" ref="D904">_xlfn.LET(_xlpm.x,B904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45760</v>
      </c>
      <c r="E904" s="7" t="s">
        <v>1949</v>
      </c>
      <c r="F904" s="7" cm="1">
        <f t="array" ref="F904">_xlfn.LET(_xlpm.x,E904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45760</v>
      </c>
      <c r="G904" s="8" t="str">
        <f t="shared" si="96"/>
        <v>OK</v>
      </c>
      <c r="H904" s="6">
        <f t="shared" si="97"/>
        <v>0</v>
      </c>
      <c r="I904" s="6" t="s">
        <v>1950</v>
      </c>
      <c r="J904" s="6" t="s">
        <v>245</v>
      </c>
      <c r="K904" s="6" t="str">
        <f t="shared" si="98"/>
        <v>Sneha Kapoor</v>
      </c>
      <c r="L904" s="6" t="s">
        <v>46</v>
      </c>
      <c r="M904" s="8" t="str">
        <f t="shared" si="99"/>
        <v>Small Business</v>
      </c>
      <c r="N904" s="6" t="s">
        <v>7</v>
      </c>
      <c r="O904" s="6" t="str">
        <f t="shared" si="100"/>
        <v>North</v>
      </c>
      <c r="P904" s="6" t="s">
        <v>251</v>
      </c>
      <c r="Q904" s="6" t="str">
        <f t="shared" si="101"/>
        <v>Uttar Pradesh</v>
      </c>
      <c r="R904" s="6" t="s">
        <v>252</v>
      </c>
      <c r="S904" s="6" t="str">
        <f t="shared" si="102"/>
        <v>Noida</v>
      </c>
      <c r="T904" s="6" t="s">
        <v>20</v>
      </c>
      <c r="U904" s="8" t="str">
        <f t="shared" si="103"/>
        <v>Office Supplies</v>
      </c>
      <c r="V904" s="6" t="s">
        <v>25</v>
      </c>
      <c r="W904" s="6" t="str">
        <f t="shared" si="104"/>
        <v>Storage</v>
      </c>
      <c r="X904" s="6" t="s">
        <v>1951</v>
      </c>
      <c r="Y904" s="6" t="s">
        <v>36</v>
      </c>
      <c r="Z904" s="6" t="str">
        <f t="shared" si="105"/>
        <v>Second Class</v>
      </c>
      <c r="AA904" s="6">
        <v>9</v>
      </c>
      <c r="AB904" s="6">
        <v>1118.68</v>
      </c>
      <c r="AC904" s="6">
        <v>0</v>
      </c>
      <c r="AD904" s="6">
        <v>10348.43</v>
      </c>
      <c r="AE904" s="6">
        <v>8595.3700000000008</v>
      </c>
      <c r="AF904" s="6">
        <v>1472.75</v>
      </c>
      <c r="AG904" s="6" t="s">
        <v>52</v>
      </c>
      <c r="AH904" s="6" t="str">
        <f t="shared" si="106"/>
        <v>Paid</v>
      </c>
      <c r="AI904" s="6" t="s">
        <v>59</v>
      </c>
      <c r="AJ904" s="6" t="str">
        <f t="shared" si="107"/>
        <v>Returned</v>
      </c>
      <c r="AK904" s="9" t="str">
        <f>_xlfn.TEXTJOIN("|",FALSE,A904,TEXT(B904,"mm-dd-yyyy"),TEXT(E904,"mm-dd-yyyy"),I904,J904,L904,N904,P904,R904,T904,V904,X904,Y904,AA904,AB904,AC904,AD904,AE904,AF904,AG904,AI904)</f>
        <v>ORD-2025-10374|04-13-2025|04-13-2025|CUST-8566|Sneha Kapoor|Small Business|North|Uttar Pradesh|Noida|Office Supplies|Storage|Prime Storage 951|Second Class|9|1118.68|0|10348.43|8595.37|1472.75|Paid|Returned</v>
      </c>
      <c r="AL904" s="27" t="str">
        <f>IF(COUNTIF($AK$2:AK904,AK904)&gt;1,"Remove exact duplicate copy","Keep")</f>
        <v>Keep</v>
      </c>
      <c r="AM904" s="9">
        <f t="shared" si="108"/>
        <v>2</v>
      </c>
      <c r="AN904" s="9" t="str">
        <f t="shared" si="109"/>
        <v>Duplicate order_id</v>
      </c>
      <c r="AO904" s="9" t="str">
        <f t="shared" si="110"/>
        <v>Review conflicting duplicate</v>
      </c>
      <c r="AP904" s="9">
        <f t="shared" si="111"/>
        <v>0</v>
      </c>
      <c r="AQ904" s="10">
        <f t="shared" si="112"/>
        <v>10068.120000000001</v>
      </c>
      <c r="AR904" s="10">
        <f t="shared" si="113"/>
        <v>1472.75</v>
      </c>
      <c r="AS904" s="11">
        <f t="shared" si="114"/>
        <v>0.14627855051389932</v>
      </c>
      <c r="AT904" s="9">
        <f t="shared" si="115"/>
        <v>4</v>
      </c>
      <c r="AU904" s="9">
        <f t="shared" si="116"/>
        <v>2025</v>
      </c>
      <c r="AV904" s="9" t="b">
        <f t="shared" si="117"/>
        <v>1</v>
      </c>
      <c r="AW904" s="9" t="b">
        <f t="shared" si="118"/>
        <v>0</v>
      </c>
      <c r="AX904" s="9" t="str">
        <f t="shared" si="119"/>
        <v>No</v>
      </c>
      <c r="AY904" s="9" t="str">
        <f t="shared" si="125"/>
        <v>Returned order excluded; Duplicate order ID conflict; Sales mismatch</v>
      </c>
      <c r="AZ904" s="9" t="str">
        <f>IF(OR(G904="Missing date",G904="Invalid date",G904="Ship date before order date",NOT(ISNUMBER(AP904)),AP904&lt;0,AP904&gt;0.5,AV904=TRUE,AW904=TRUE),"Invalid",IF(OR(O904="Unknown",Z904="Unknown",AC904="",AH904&lt;&gt;"Paid",AJ904&lt;&gt;"Completed",AO904&lt;&gt;""),"Warning","Clean"))</f>
        <v>Invalid</v>
      </c>
    </row>
    <row r="905" spans="1:52" ht="15.75" customHeight="1">
      <c r="A905" s="6" t="s">
        <v>1274</v>
      </c>
      <c r="B905" s="7" t="s">
        <v>1275</v>
      </c>
      <c r="C905" s="7" t="str">
        <f t="shared" si="124"/>
        <v>2025-10</v>
      </c>
      <c r="D905" s="7" cm="1">
        <f t="array" ref="D905">_xlfn.LET(_xlpm.x,B905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45932</v>
      </c>
      <c r="E905" s="7" t="s">
        <v>1276</v>
      </c>
      <c r="F905" s="7" cm="1">
        <f t="array" ref="F905">_xlfn.LET(_xlpm.x,E905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45938</v>
      </c>
      <c r="G905" s="8" t="str">
        <f t="shared" si="96"/>
        <v>OK</v>
      </c>
      <c r="H905" s="6">
        <f t="shared" si="97"/>
        <v>6</v>
      </c>
      <c r="I905" s="6" t="s">
        <v>1277</v>
      </c>
      <c r="J905" s="6" t="s">
        <v>147</v>
      </c>
      <c r="K905" s="6" t="str">
        <f t="shared" si="98"/>
        <v>Isha Nair</v>
      </c>
      <c r="L905" s="6" t="s">
        <v>46</v>
      </c>
      <c r="M905" s="8" t="str">
        <f t="shared" si="99"/>
        <v>Small Business</v>
      </c>
      <c r="N905" s="6" t="s">
        <v>7</v>
      </c>
      <c r="O905" s="6" t="str">
        <f t="shared" si="100"/>
        <v>North</v>
      </c>
      <c r="P905" s="6" t="s">
        <v>232</v>
      </c>
      <c r="Q905" s="6" t="str">
        <f t="shared" si="101"/>
        <v>Punjab</v>
      </c>
      <c r="R905" s="6" t="s">
        <v>233</v>
      </c>
      <c r="S905" s="6" t="str">
        <f t="shared" si="102"/>
        <v>Ludhiana</v>
      </c>
      <c r="T905" s="6" t="s">
        <v>14</v>
      </c>
      <c r="U905" s="8" t="str">
        <f t="shared" si="103"/>
        <v>Furniture</v>
      </c>
      <c r="V905" s="6" t="s">
        <v>17</v>
      </c>
      <c r="W905" s="6" t="str">
        <f t="shared" si="104"/>
        <v>Furnishings</v>
      </c>
      <c r="X905" s="6" t="s">
        <v>1278</v>
      </c>
      <c r="Y905" s="6" t="s">
        <v>34</v>
      </c>
      <c r="Z905" s="6" t="str">
        <f t="shared" si="105"/>
        <v>Standard Class</v>
      </c>
      <c r="AA905" s="6">
        <v>4</v>
      </c>
      <c r="AB905" s="6">
        <v>3944.64</v>
      </c>
      <c r="AC905" s="6">
        <v>0.25</v>
      </c>
      <c r="AD905" s="6">
        <v>12116.89</v>
      </c>
      <c r="AE905" s="6">
        <v>6682.92</v>
      </c>
      <c r="AF905" s="6">
        <v>5151</v>
      </c>
      <c r="AG905" s="6" t="s">
        <v>52</v>
      </c>
      <c r="AH905" s="6" t="str">
        <f t="shared" si="106"/>
        <v>Paid</v>
      </c>
      <c r="AI905" s="6" t="s">
        <v>59</v>
      </c>
      <c r="AJ905" s="6" t="str">
        <f t="shared" si="107"/>
        <v>Returned</v>
      </c>
      <c r="AK905" s="9" t="str">
        <f>_xlfn.TEXTJOIN("|",FALSE,A905,TEXT(B905,"mm-dd-yyyy"),TEXT(E905,"mm-dd-yyyy"),I905,J905,L905,N905,P905,R905,T905,V905,X905,Y905,AA905,AB905,AC905,AD905,AE905,AF905,AG905,AI905)</f>
        <v>ORD-2025-10225|10-02-2025|10-08-2025|CUST-9871|Isha Nair|Small Business|North|Punjab|Ludhiana|Furniture|Furnishings|Classic Furnishings 109|Standard Class|4|3944.64|0.25|12116.89|6682.92|5151|Paid|Returned</v>
      </c>
      <c r="AL905" s="27" t="str">
        <f>IF(COUNTIF($AK$2:AK905,AK905)&gt;1,"Remove exact duplicate copy","Keep")</f>
        <v>Keep</v>
      </c>
      <c r="AM905" s="9">
        <f t="shared" si="108"/>
        <v>2</v>
      </c>
      <c r="AN905" s="9" t="str">
        <f t="shared" si="109"/>
        <v>Duplicate order_id</v>
      </c>
      <c r="AO905" s="9" t="str">
        <f t="shared" si="110"/>
        <v>Review conflicting duplicate</v>
      </c>
      <c r="AP905" s="9">
        <f t="shared" si="111"/>
        <v>0.25</v>
      </c>
      <c r="AQ905" s="10">
        <f t="shared" si="112"/>
        <v>11833.92</v>
      </c>
      <c r="AR905" s="10">
        <f t="shared" si="113"/>
        <v>5151</v>
      </c>
      <c r="AS905" s="11">
        <f t="shared" si="114"/>
        <v>0.43527419485681834</v>
      </c>
      <c r="AT905" s="9">
        <f t="shared" si="115"/>
        <v>10</v>
      </c>
      <c r="AU905" s="9">
        <f t="shared" si="116"/>
        <v>2025</v>
      </c>
      <c r="AV905" s="9" t="b">
        <f t="shared" si="117"/>
        <v>1</v>
      </c>
      <c r="AW905" s="9" t="b">
        <f t="shared" si="118"/>
        <v>0</v>
      </c>
      <c r="AX905" s="9" t="str">
        <f t="shared" si="119"/>
        <v>No</v>
      </c>
      <c r="AY905" s="9" t="str">
        <f t="shared" si="125"/>
        <v>Returned order excluded; Duplicate order ID conflict; Sales mismatch</v>
      </c>
      <c r="AZ905" s="9" t="str">
        <f>IF(OR(G905="Missing date",G905="Invalid date",G905="Ship date before order date",NOT(ISNUMBER(AP905)),AP905&lt;0,AP905&gt;0.5,AV905=TRUE,AW905=TRUE),"Invalid",IF(OR(O905="Unknown",Z905="Unknown",AC905="",AH905&lt;&gt;"Paid",AJ905&lt;&gt;"Completed",AO905&lt;&gt;""),"Warning","Clean"))</f>
        <v>Invalid</v>
      </c>
    </row>
    <row r="906" spans="1:52" ht="15.75" customHeight="1">
      <c r="A906" s="6" t="s">
        <v>1689</v>
      </c>
      <c r="B906" s="7" t="s">
        <v>1187</v>
      </c>
      <c r="C906" s="7" t="str">
        <f t="shared" si="124"/>
        <v>2025-05</v>
      </c>
      <c r="D906" s="7" cm="1">
        <f t="array" ref="D906">_xlfn.LET(_xlpm.x,B906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45795</v>
      </c>
      <c r="E906" s="7" t="s">
        <v>198</v>
      </c>
      <c r="F906" s="7" cm="1">
        <f t="array" ref="F906">_xlfn.LET(_xlpm.x,E906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45797</v>
      </c>
      <c r="G906" s="8" t="str">
        <f t="shared" si="96"/>
        <v>OK</v>
      </c>
      <c r="H906" s="6">
        <f t="shared" si="97"/>
        <v>2</v>
      </c>
      <c r="I906" s="6" t="s">
        <v>1690</v>
      </c>
      <c r="J906" s="6" t="s">
        <v>147</v>
      </c>
      <c r="K906" s="6" t="str">
        <f t="shared" si="98"/>
        <v>Isha Nair</v>
      </c>
      <c r="L906" s="6" t="s">
        <v>45</v>
      </c>
      <c r="M906" s="8" t="str">
        <f t="shared" si="99"/>
        <v>Corporate</v>
      </c>
      <c r="N906" s="6" t="s">
        <v>9</v>
      </c>
      <c r="O906" s="6" t="str">
        <f t="shared" si="100"/>
        <v>West</v>
      </c>
      <c r="P906" s="6" t="s">
        <v>170</v>
      </c>
      <c r="Q906" s="6" t="str">
        <f t="shared" si="101"/>
        <v>Madhya Pradesh</v>
      </c>
      <c r="R906" s="6" t="s">
        <v>171</v>
      </c>
      <c r="S906" s="6" t="str">
        <f t="shared" si="102"/>
        <v>Indore</v>
      </c>
      <c r="T906" s="6" t="s">
        <v>20</v>
      </c>
      <c r="U906" s="8" t="str">
        <f t="shared" si="103"/>
        <v>Office Supplies</v>
      </c>
      <c r="V906" s="6" t="s">
        <v>23</v>
      </c>
      <c r="W906" s="6" t="str">
        <f t="shared" si="104"/>
        <v>Labels</v>
      </c>
      <c r="X906" s="6" t="s">
        <v>1691</v>
      </c>
      <c r="Y906" s="6" t="s">
        <v>34</v>
      </c>
      <c r="Z906" s="6" t="str">
        <f t="shared" si="105"/>
        <v>Standard Class</v>
      </c>
      <c r="AA906" s="6">
        <v>9</v>
      </c>
      <c r="AB906" s="6">
        <v>847.76</v>
      </c>
      <c r="AC906" s="6">
        <v>0.15</v>
      </c>
      <c r="AD906" s="6">
        <v>6589.37</v>
      </c>
      <c r="AE906" s="6">
        <v>5376.17</v>
      </c>
      <c r="AF906" s="6">
        <v>1109.19</v>
      </c>
      <c r="AG906" s="6" t="s">
        <v>50</v>
      </c>
      <c r="AH906" s="6" t="str">
        <f t="shared" si="106"/>
        <v>Failed</v>
      </c>
      <c r="AI906" s="6" t="s">
        <v>134</v>
      </c>
      <c r="AJ906" s="6" t="str">
        <f t="shared" si="107"/>
        <v>Completed</v>
      </c>
      <c r="AK906" s="9" t="str">
        <f>_xlfn.TEXTJOIN("|",FALSE,A906,TEXT(B906,"mm-dd-yyyy"),TEXT(E906,"mm-dd-yyyy"),I906,J906,L906,N906,P906,R906,T906,V906,X906,Y906,AA906,AB906,AC906,AD906,AE906,AF906,AG906,AI906)</f>
        <v>ORD-2025-10315|05-18-2025|05-20-2025|CUST-1945|Isha Nair|Corporate|West|Madhya Pradesh|Indore|Office Supplies|Labels|Elite Labels 544|Standard Class|9|847.76|0.15|6589.37|5376.17|1109.19|Failed|Completed</v>
      </c>
      <c r="AL906" s="27" t="str">
        <f>IF(COUNTIF($AK$2:AK906,AK906)&gt;1,"Remove exact duplicate copy","Keep")</f>
        <v>Keep</v>
      </c>
      <c r="AM906" s="9">
        <f t="shared" si="108"/>
        <v>2</v>
      </c>
      <c r="AN906" s="9" t="str">
        <f t="shared" si="109"/>
        <v>Duplicate order_id</v>
      </c>
      <c r="AO906" s="9" t="str">
        <f t="shared" si="110"/>
        <v>Review conflicting duplicate</v>
      </c>
      <c r="AP906" s="9">
        <f t="shared" si="111"/>
        <v>0.15</v>
      </c>
      <c r="AQ906" s="10">
        <f t="shared" si="112"/>
        <v>6485.3639999999996</v>
      </c>
      <c r="AR906" s="10">
        <f t="shared" si="113"/>
        <v>1109.1939999999995</v>
      </c>
      <c r="AS906" s="11">
        <f t="shared" si="114"/>
        <v>0.17103033846673826</v>
      </c>
      <c r="AT906" s="9">
        <f t="shared" si="115"/>
        <v>5</v>
      </c>
      <c r="AU906" s="9">
        <f t="shared" si="116"/>
        <v>2025</v>
      </c>
      <c r="AV906" s="9" t="b">
        <f t="shared" si="117"/>
        <v>1</v>
      </c>
      <c r="AW906" s="9" t="b">
        <f t="shared" si="118"/>
        <v>0</v>
      </c>
      <c r="AX906" s="9" t="str">
        <f t="shared" si="119"/>
        <v>No</v>
      </c>
      <c r="AY906" s="9" t="str">
        <f t="shared" si="125"/>
        <v>Failed payment excluded; Duplicate order ID conflict; Sales mismatch</v>
      </c>
      <c r="AZ906" s="9" t="str">
        <f>IF(OR(G906="Missing date",G906="Invalid date",G906="Ship date before order date",NOT(ISNUMBER(AP906)),AP906&lt;0,AP906&gt;0.5,AV906=TRUE,AW906=TRUE),"Invalid",IF(OR(O906="Unknown",Z906="Unknown",AC906="",AH906&lt;&gt;"Paid",AJ906&lt;&gt;"Completed",AO906&lt;&gt;""),"Warning","Clean"))</f>
        <v>Invalid</v>
      </c>
    </row>
    <row r="907" spans="1:52" ht="15.75" customHeight="1">
      <c r="A907" s="6" t="s">
        <v>1016</v>
      </c>
      <c r="B907" s="7" t="s">
        <v>193</v>
      </c>
      <c r="C907" s="7" t="str">
        <f t="shared" si="124"/>
        <v>2025-09</v>
      </c>
      <c r="D907" s="7" cm="1">
        <f t="array" ref="D907">_xlfn.LET(_xlpm.x,B907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45907</v>
      </c>
      <c r="E907" s="7" t="s">
        <v>1017</v>
      </c>
      <c r="F907" s="7" cm="1">
        <f t="array" ref="F907">_xlfn.LET(_xlpm.x,E907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45915</v>
      </c>
      <c r="G907" s="8" t="str">
        <f t="shared" si="96"/>
        <v>OK</v>
      </c>
      <c r="H907" s="6">
        <f t="shared" si="97"/>
        <v>8</v>
      </c>
      <c r="I907" s="6" t="s">
        <v>1018</v>
      </c>
      <c r="J907" s="6" t="s">
        <v>257</v>
      </c>
      <c r="K907" s="6" t="str">
        <f t="shared" si="98"/>
        <v>Rohan Mehta</v>
      </c>
      <c r="L907" s="6" t="s">
        <v>45</v>
      </c>
      <c r="M907" s="8" t="str">
        <f t="shared" si="99"/>
        <v>Corporate</v>
      </c>
      <c r="N907" s="6" t="s">
        <v>8</v>
      </c>
      <c r="O907" s="6" t="str">
        <f t="shared" si="100"/>
        <v>East</v>
      </c>
      <c r="P907" s="6" t="s">
        <v>263</v>
      </c>
      <c r="Q907" s="6" t="str">
        <f t="shared" si="101"/>
        <v>Bihar</v>
      </c>
      <c r="R907" s="6" t="s">
        <v>264</v>
      </c>
      <c r="S907" s="6" t="str">
        <f t="shared" si="102"/>
        <v>Patna</v>
      </c>
      <c r="T907" s="6" t="s">
        <v>27</v>
      </c>
      <c r="U907" s="8" t="str">
        <f t="shared" si="103"/>
        <v>Technology</v>
      </c>
      <c r="V907" s="6" t="s">
        <v>29</v>
      </c>
      <c r="W907" s="6" t="str">
        <f t="shared" si="104"/>
        <v>Copiers</v>
      </c>
      <c r="X907" s="6" t="s">
        <v>1019</v>
      </c>
      <c r="Y907" s="6" t="s">
        <v>34</v>
      </c>
      <c r="Z907" s="6" t="str">
        <f t="shared" si="105"/>
        <v>Standard Class</v>
      </c>
      <c r="AA907" s="6">
        <v>3</v>
      </c>
      <c r="AB907" s="6">
        <v>1711.32</v>
      </c>
      <c r="AC907" s="6">
        <v>0</v>
      </c>
      <c r="AD907" s="6">
        <v>5206.53</v>
      </c>
      <c r="AE907" s="6">
        <v>3930</v>
      </c>
      <c r="AF907" s="6">
        <v>1203.96</v>
      </c>
      <c r="AG907" s="6" t="s">
        <v>52</v>
      </c>
      <c r="AH907" s="6" t="str">
        <f t="shared" si="106"/>
        <v>Paid</v>
      </c>
      <c r="AI907" s="6" t="s">
        <v>59</v>
      </c>
      <c r="AJ907" s="6" t="str">
        <f t="shared" si="107"/>
        <v>Returned</v>
      </c>
      <c r="AK907" s="9" t="str">
        <f>_xlfn.TEXTJOIN("|",FALSE,A907,TEXT(B907,"mm-dd-yyyy"),TEXT(E907,"mm-dd-yyyy"),I907,J907,L907,N907,P907,R907,T907,V907,X907,Y907,AA907,AB907,AC907,AD907,AE907,AF907,AG907,AI907)</f>
        <v>ORD-2025-10171|07-09-2025|09-15-2025|CUST-3734|Rohan Mehta|Corporate|East|Bihar|Patna|Technology|Copiers|Eco Copiers 102|Standard Class|3|1711.32|0|5206.53|3930|1203.96|Paid|Returned</v>
      </c>
      <c r="AL907" s="27" t="str">
        <f>IF(COUNTIF($AK$2:AK907,AK907)&gt;1,"Remove exact duplicate copy","Keep")</f>
        <v>Keep</v>
      </c>
      <c r="AM907" s="9">
        <f t="shared" si="108"/>
        <v>2</v>
      </c>
      <c r="AN907" s="9" t="str">
        <f t="shared" si="109"/>
        <v>Duplicate order_id</v>
      </c>
      <c r="AO907" s="9" t="str">
        <f t="shared" si="110"/>
        <v>Review conflicting duplicate</v>
      </c>
      <c r="AP907" s="9">
        <f t="shared" si="111"/>
        <v>0</v>
      </c>
      <c r="AQ907" s="10">
        <f t="shared" si="112"/>
        <v>5133.96</v>
      </c>
      <c r="AR907" s="10">
        <f t="shared" si="113"/>
        <v>1203.96</v>
      </c>
      <c r="AS907" s="11">
        <f t="shared" si="114"/>
        <v>0.23450903396208775</v>
      </c>
      <c r="AT907" s="9">
        <f t="shared" si="115"/>
        <v>9</v>
      </c>
      <c r="AU907" s="9">
        <f t="shared" si="116"/>
        <v>2025</v>
      </c>
      <c r="AV907" s="9" t="b">
        <f t="shared" si="117"/>
        <v>1</v>
      </c>
      <c r="AW907" s="9" t="b">
        <f t="shared" si="118"/>
        <v>0</v>
      </c>
      <c r="AX907" s="9" t="str">
        <f t="shared" si="119"/>
        <v>No</v>
      </c>
      <c r="AY907" s="9" t="str">
        <f t="shared" si="125"/>
        <v>Returned order excluded; Duplicate order ID conflict; Sales mismatch</v>
      </c>
      <c r="AZ907" s="9" t="str">
        <f>IF(OR(G907="Missing date",G907="Invalid date",G907="Ship date before order date",NOT(ISNUMBER(AP907)),AP907&lt;0,AP907&gt;0.5,AV907=TRUE,AW907=TRUE),"Invalid",IF(OR(O907="Unknown",Z907="Unknown",AC907="",AH907&lt;&gt;"Paid",AJ907&lt;&gt;"Completed",AO907&lt;&gt;""),"Warning","Clean"))</f>
        <v>Invalid</v>
      </c>
    </row>
    <row r="908" spans="1:52" ht="15.75" customHeight="1">
      <c r="A908" s="6" t="s">
        <v>2175</v>
      </c>
      <c r="B908" s="7" t="s">
        <v>2176</v>
      </c>
      <c r="C908" s="7" t="str">
        <f t="shared" si="124"/>
        <v>2024-02</v>
      </c>
      <c r="D908" s="7" cm="1">
        <f t="array" ref="D908">_xlfn.LET(_xlpm.x,B908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45342</v>
      </c>
      <c r="E908" s="7" t="s">
        <v>2177</v>
      </c>
      <c r="F908" s="7" cm="1">
        <f t="array" ref="F908">_xlfn.LET(_xlpm.x,E908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45349</v>
      </c>
      <c r="G908" s="8" t="str">
        <f t="shared" si="96"/>
        <v>OK</v>
      </c>
      <c r="H908" s="6">
        <f t="shared" si="97"/>
        <v>7</v>
      </c>
      <c r="I908" s="6" t="s">
        <v>2178</v>
      </c>
      <c r="J908" s="6" t="s">
        <v>284</v>
      </c>
      <c r="K908" s="6" t="str">
        <f t="shared" si="98"/>
        <v>Diya Patel</v>
      </c>
      <c r="L908" s="6" t="s">
        <v>43</v>
      </c>
      <c r="M908" s="8" t="str">
        <f t="shared" si="99"/>
        <v>Consumer</v>
      </c>
      <c r="N908" s="6" t="s">
        <v>10</v>
      </c>
      <c r="O908" s="6" t="str">
        <f t="shared" si="100"/>
        <v>South</v>
      </c>
      <c r="P908" s="6" t="s">
        <v>316</v>
      </c>
      <c r="Q908" s="6" t="str">
        <f t="shared" si="101"/>
        <v>Kerala</v>
      </c>
      <c r="R908" s="6" t="s">
        <v>317</v>
      </c>
      <c r="S908" s="6" t="str">
        <f t="shared" si="102"/>
        <v>Kochi</v>
      </c>
      <c r="T908" s="6" t="s">
        <v>27</v>
      </c>
      <c r="U908" s="8" t="str">
        <f t="shared" si="103"/>
        <v>Technology</v>
      </c>
      <c r="V908" s="6" t="s">
        <v>28</v>
      </c>
      <c r="W908" s="6" t="str">
        <f t="shared" si="104"/>
        <v>Accessories</v>
      </c>
      <c r="X908" s="6" t="s">
        <v>2179</v>
      </c>
      <c r="Y908" s="6" t="s">
        <v>2180</v>
      </c>
      <c r="Z908" s="6" t="str">
        <f t="shared" si="105"/>
        <v>First Class</v>
      </c>
      <c r="AA908" s="6">
        <v>9</v>
      </c>
      <c r="AB908" s="6">
        <v>3779.31</v>
      </c>
      <c r="AC908" s="6">
        <v>0.2</v>
      </c>
      <c r="AD908" s="6">
        <v>27322.9</v>
      </c>
      <c r="AE908" s="6">
        <v>17940.43</v>
      </c>
      <c r="AF908" s="6">
        <v>9270.6</v>
      </c>
      <c r="AG908" s="6" t="s">
        <v>52</v>
      </c>
      <c r="AH908" s="6" t="str">
        <f t="shared" si="106"/>
        <v>Paid</v>
      </c>
      <c r="AI908" s="6" t="s">
        <v>59</v>
      </c>
      <c r="AJ908" s="6" t="str">
        <f t="shared" si="107"/>
        <v>Returned</v>
      </c>
      <c r="AK908" s="9" t="str">
        <f>_xlfn.TEXTJOIN("|",FALSE,A908,TEXT(B908,"mm-dd-yyyy"),TEXT(E908,"mm-dd-yyyy"),I908,J908,L908,N908,P908,R908,T908,V908,X908,Y908,AA908,AB908,AC908,AD908,AE908,AF908,AG908,AI908)</f>
        <v>ORD-2024-10424|02-20-2024|27-02-2024|CUST-6169|Diya Patel|Consumer|South|Kerala|Kochi|Technology|Accessories|Prime Accessories 236|FIRST CLASS|9|3779.31|0.2|27322.9|17940.43|9270.6|Paid|Returned</v>
      </c>
      <c r="AL908" s="27" t="str">
        <f>IF(COUNTIF($AK$2:AK908,AK908)&gt;1,"Remove exact duplicate copy","Keep")</f>
        <v>Keep</v>
      </c>
      <c r="AM908" s="9">
        <f t="shared" si="108"/>
        <v>2</v>
      </c>
      <c r="AN908" s="9" t="str">
        <f t="shared" si="109"/>
        <v>Duplicate order_id</v>
      </c>
      <c r="AO908" s="9" t="str">
        <f t="shared" si="110"/>
        <v>Review conflicting duplicate</v>
      </c>
      <c r="AP908" s="9">
        <f t="shared" si="111"/>
        <v>0.2</v>
      </c>
      <c r="AQ908" s="10">
        <f t="shared" si="112"/>
        <v>27211.032000000003</v>
      </c>
      <c r="AR908" s="10">
        <f t="shared" si="113"/>
        <v>9270.6020000000026</v>
      </c>
      <c r="AS908" s="11">
        <f t="shared" si="114"/>
        <v>0.34069277490100347</v>
      </c>
      <c r="AT908" s="9">
        <f t="shared" si="115"/>
        <v>2</v>
      </c>
      <c r="AU908" s="9">
        <f t="shared" si="116"/>
        <v>2024</v>
      </c>
      <c r="AV908" s="9" t="b">
        <f t="shared" si="117"/>
        <v>1</v>
      </c>
      <c r="AW908" s="9" t="b">
        <f t="shared" si="118"/>
        <v>0</v>
      </c>
      <c r="AX908" s="9" t="str">
        <f t="shared" si="119"/>
        <v>No</v>
      </c>
      <c r="AY908" s="9" t="str">
        <f t="shared" si="125"/>
        <v>Returned order excluded; Duplicate order ID conflict; Sales mismatch</v>
      </c>
      <c r="AZ908" s="9" t="str">
        <f>IF(OR(G908="Missing date",G908="Invalid date",G908="Ship date before order date",NOT(ISNUMBER(AP908)),AP908&lt;0,AP908&gt;0.5,AV908=TRUE,AW908=TRUE),"Invalid",IF(OR(O908="Unknown",Z908="Unknown",AC908="",AH908&lt;&gt;"Paid",AJ908&lt;&gt;"Completed",AO908&lt;&gt;""),"Warning","Clean"))</f>
        <v>Invalid</v>
      </c>
    </row>
    <row r="909" spans="1:52" ht="15.75" customHeight="1">
      <c r="A909" s="6" t="s">
        <v>2832</v>
      </c>
      <c r="B909" s="7" t="s">
        <v>2768</v>
      </c>
      <c r="C909" s="7" t="str">
        <f t="shared" si="124"/>
        <v>2025-02</v>
      </c>
      <c r="D909" s="7" cm="1">
        <f t="array" ref="D909">_xlfn.LET(_xlpm.x,B909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45698</v>
      </c>
      <c r="E909" s="7" t="s">
        <v>2833</v>
      </c>
      <c r="F909" s="7" cm="1">
        <f t="array" ref="F909">_xlfn.LET(_xlpm.x,E909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45702</v>
      </c>
      <c r="G909" s="8" t="str">
        <f t="shared" si="96"/>
        <v>OK</v>
      </c>
      <c r="H909" s="6">
        <f t="shared" si="97"/>
        <v>4</v>
      </c>
      <c r="I909" s="6" t="s">
        <v>2834</v>
      </c>
      <c r="J909" s="6" t="s">
        <v>220</v>
      </c>
      <c r="K909" s="6" t="str">
        <f t="shared" si="98"/>
        <v>Priya Menon</v>
      </c>
      <c r="L909" s="6" t="s">
        <v>46</v>
      </c>
      <c r="M909" s="8" t="str">
        <f t="shared" si="99"/>
        <v>Small Business</v>
      </c>
      <c r="N909" s="6" t="s">
        <v>7</v>
      </c>
      <c r="O909" s="6" t="str">
        <f t="shared" si="100"/>
        <v>North</v>
      </c>
      <c r="P909" s="6" t="s">
        <v>251</v>
      </c>
      <c r="Q909" s="6" t="str">
        <f t="shared" si="101"/>
        <v>Uttar Pradesh</v>
      </c>
      <c r="R909" s="6" t="s">
        <v>252</v>
      </c>
      <c r="S909" s="6" t="str">
        <f t="shared" si="102"/>
        <v>Noida</v>
      </c>
      <c r="T909" s="6" t="s">
        <v>27</v>
      </c>
      <c r="U909" s="8" t="str">
        <f t="shared" si="103"/>
        <v>Technology</v>
      </c>
      <c r="V909" s="6" t="s">
        <v>31</v>
      </c>
      <c r="W909" s="6" t="str">
        <f t="shared" si="104"/>
        <v>Phones</v>
      </c>
      <c r="X909" s="6" t="s">
        <v>2835</v>
      </c>
      <c r="Y909" s="6"/>
      <c r="Z909" s="6" t="str">
        <f t="shared" si="105"/>
        <v>Unknown</v>
      </c>
      <c r="AA909" s="6">
        <v>5</v>
      </c>
      <c r="AB909" s="6">
        <v>4276.29</v>
      </c>
      <c r="AC909" s="6">
        <v>0</v>
      </c>
      <c r="AD909" s="6">
        <v>21443.63</v>
      </c>
      <c r="AE909" s="6">
        <v>13240.21</v>
      </c>
      <c r="AF909" s="6">
        <v>8141.24</v>
      </c>
      <c r="AG909" s="6" t="s">
        <v>50</v>
      </c>
      <c r="AH909" s="6" t="str">
        <f t="shared" si="106"/>
        <v>Failed</v>
      </c>
      <c r="AI909" s="6" t="s">
        <v>134</v>
      </c>
      <c r="AJ909" s="6" t="str">
        <f t="shared" si="107"/>
        <v>Completed</v>
      </c>
      <c r="AK909" s="9" t="str">
        <f>_xlfn.TEXTJOIN("|",FALSE,A909,TEXT(B909,"mm-dd-yyyy"),TEXT(E909,"mm-dd-yyyy"),I909,J909,L909,N909,P909,R909,T909,V909,X909,Y909,AA909,AB909,AC909,AD909,AE909,AF909,AG909,AI909)</f>
        <v>ORD-2025-10572|02-10-2025|02-14-2025|CUST-3425|Priya Menon|Small Business|North|Uttar Pradesh|Noida|Technology|Phones|Prime Phones 895||5|4276.29|0|21443.63|13240.21|8141.24|Failed|Completed</v>
      </c>
      <c r="AL909" s="27" t="str">
        <f>IF(COUNTIF($AK$2:AK909,AK909)&gt;1,"Remove exact duplicate copy","Keep")</f>
        <v>Keep</v>
      </c>
      <c r="AM909" s="9">
        <f t="shared" si="108"/>
        <v>2</v>
      </c>
      <c r="AN909" s="9" t="str">
        <f t="shared" si="109"/>
        <v>Duplicate order_id</v>
      </c>
      <c r="AO909" s="9" t="str">
        <f t="shared" si="110"/>
        <v>Review conflicting duplicate</v>
      </c>
      <c r="AP909" s="9">
        <f t="shared" si="111"/>
        <v>0</v>
      </c>
      <c r="AQ909" s="10">
        <f t="shared" si="112"/>
        <v>21381.45</v>
      </c>
      <c r="AR909" s="10">
        <f t="shared" si="113"/>
        <v>8141.2400000000016</v>
      </c>
      <c r="AS909" s="11">
        <f t="shared" si="114"/>
        <v>0.38076182859441249</v>
      </c>
      <c r="AT909" s="9">
        <f t="shared" si="115"/>
        <v>2</v>
      </c>
      <c r="AU909" s="9">
        <f t="shared" si="116"/>
        <v>2025</v>
      </c>
      <c r="AV909" s="9" t="b">
        <f t="shared" si="117"/>
        <v>1</v>
      </c>
      <c r="AW909" s="9" t="b">
        <f t="shared" si="118"/>
        <v>0</v>
      </c>
      <c r="AX909" s="9" t="str">
        <f t="shared" si="119"/>
        <v>No</v>
      </c>
      <c r="AY909" s="9" t="str">
        <f t="shared" si="125"/>
        <v>Missing ship mode filled as Unknown; Failed payment excluded; Duplicate order ID conflict; Sales mismatch</v>
      </c>
      <c r="AZ909" s="9" t="str">
        <f>IF(OR(G909="Missing date",G909="Invalid date",G909="Ship date before order date",NOT(ISNUMBER(AP909)),AP909&lt;0,AP909&gt;0.5,AV909=TRUE,AW909=TRUE),"Invalid",IF(OR(O909="Unknown",Z909="Unknown",AC909="",AH909&lt;&gt;"Paid",AJ909&lt;&gt;"Completed",AO909&lt;&gt;""),"Warning","Clean"))</f>
        <v>Invalid</v>
      </c>
    </row>
    <row r="910" spans="1:52" ht="15.75" customHeight="1">
      <c r="A910" s="6" t="s">
        <v>883</v>
      </c>
      <c r="B910" s="7" t="s">
        <v>884</v>
      </c>
      <c r="C910" s="7" t="str">
        <f t="shared" si="124"/>
        <v>2024-03</v>
      </c>
      <c r="D910" s="7" cm="1">
        <f t="array" ref="D910">_xlfn.LET(_xlpm.x,B910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45381</v>
      </c>
      <c r="E910" s="7" t="s">
        <v>885</v>
      </c>
      <c r="F910" s="7" cm="1">
        <f t="array" ref="F910">_xlfn.LET(_xlpm.x,E910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45377</v>
      </c>
      <c r="G910" s="8" t="str">
        <f t="shared" si="96"/>
        <v>Ship date before order date</v>
      </c>
      <c r="H910" s="6">
        <f t="shared" si="97"/>
        <v>-4</v>
      </c>
      <c r="I910" s="6" t="s">
        <v>886</v>
      </c>
      <c r="J910" s="6" t="s">
        <v>190</v>
      </c>
      <c r="K910" s="6" t="str">
        <f t="shared" si="98"/>
        <v>Aditi Sen</v>
      </c>
      <c r="L910" s="6" t="s">
        <v>44</v>
      </c>
      <c r="M910" s="8" t="str">
        <f t="shared" si="99"/>
        <v>Home Office</v>
      </c>
      <c r="N910" s="6" t="s">
        <v>7</v>
      </c>
      <c r="O910" s="6" t="str">
        <f t="shared" si="100"/>
        <v>North</v>
      </c>
      <c r="P910" s="6" t="s">
        <v>131</v>
      </c>
      <c r="Q910" s="6" t="str">
        <f t="shared" si="101"/>
        <v>Rajasthan</v>
      </c>
      <c r="R910" s="6" t="s">
        <v>132</v>
      </c>
      <c r="S910" s="6" t="str">
        <f t="shared" si="102"/>
        <v>Jaipur</v>
      </c>
      <c r="T910" s="6" t="s">
        <v>27</v>
      </c>
      <c r="U910" s="8" t="str">
        <f t="shared" si="103"/>
        <v>Technology</v>
      </c>
      <c r="V910" s="6" t="s">
        <v>31</v>
      </c>
      <c r="W910" s="6" t="str">
        <f t="shared" si="104"/>
        <v>Phones</v>
      </c>
      <c r="X910" s="6" t="s">
        <v>887</v>
      </c>
      <c r="Y910" s="6" t="s">
        <v>36</v>
      </c>
      <c r="Z910" s="6" t="str">
        <f t="shared" si="105"/>
        <v>Second Class</v>
      </c>
      <c r="AA910" s="6">
        <v>5</v>
      </c>
      <c r="AB910" s="6">
        <v>907.54</v>
      </c>
      <c r="AC910" s="6">
        <v>0.15</v>
      </c>
      <c r="AD910" s="6">
        <v>4099.6899999999996</v>
      </c>
      <c r="AE910" s="6">
        <v>2769.26</v>
      </c>
      <c r="AF910" s="6">
        <v>1087.78</v>
      </c>
      <c r="AG910" s="6" t="s">
        <v>52</v>
      </c>
      <c r="AH910" s="6" t="str">
        <f t="shared" si="106"/>
        <v>Paid</v>
      </c>
      <c r="AI910" s="6" t="s">
        <v>59</v>
      </c>
      <c r="AJ910" s="6" t="str">
        <f t="shared" si="107"/>
        <v>Returned</v>
      </c>
      <c r="AK910" s="9" t="str">
        <f>_xlfn.TEXTJOIN("|",FALSE,A910,TEXT(B910,"mm-dd-yyyy"),TEXT(E910,"mm-dd-yyyy"),I910,J910,L910,N910,P910,R910,T910,V910,X910,Y910,AA910,AB910,AC910,AD910,AE910,AF910,AG910,AI910)</f>
        <v>ORD-2024-10143|03-30-2024|03-26-2024|CUST-8944|Aditi Sen|Home Office|North|Rajasthan|Jaipur|Technology|Phones|Classic Phones 142|Second Class|5|907.54|0.15|4099.69|2769.26|1087.78|Paid|Returned</v>
      </c>
      <c r="AL910" s="27" t="str">
        <f>IF(COUNTIF($AK$2:AK910,AK910)&gt;1,"Remove exact duplicate copy","Keep")</f>
        <v>Keep</v>
      </c>
      <c r="AM910" s="9">
        <f t="shared" si="108"/>
        <v>2</v>
      </c>
      <c r="AN910" s="9" t="str">
        <f t="shared" si="109"/>
        <v>Duplicate order_id</v>
      </c>
      <c r="AO910" s="9" t="str">
        <f t="shared" si="110"/>
        <v>Review conflicting duplicate</v>
      </c>
      <c r="AP910" s="9">
        <f t="shared" si="111"/>
        <v>0.15</v>
      </c>
      <c r="AQ910" s="10">
        <f t="shared" si="112"/>
        <v>3857.0449999999996</v>
      </c>
      <c r="AR910" s="10">
        <f t="shared" si="113"/>
        <v>1087.7849999999994</v>
      </c>
      <c r="AS910" s="11">
        <f t="shared" si="114"/>
        <v>0.28202548842442843</v>
      </c>
      <c r="AT910" s="9">
        <f t="shared" si="115"/>
        <v>3</v>
      </c>
      <c r="AU910" s="9">
        <f t="shared" si="116"/>
        <v>2024</v>
      </c>
      <c r="AV910" s="9" t="b">
        <f t="shared" si="117"/>
        <v>1</v>
      </c>
      <c r="AW910" s="9" t="b">
        <f t="shared" si="118"/>
        <v>0</v>
      </c>
      <c r="AX910" s="9" t="str">
        <f t="shared" si="119"/>
        <v>No</v>
      </c>
      <c r="AY910" s="9" t="str">
        <f t="shared" si="125"/>
        <v>Ship date before order date; Returned order excluded; Duplicate order ID conflict; Sales mismatch</v>
      </c>
      <c r="AZ910" s="9" t="str">
        <f>IF(OR(G910="Missing date",G910="Invalid date",G910="Ship date before order date",NOT(ISNUMBER(AP910)),AP910&lt;0,AP910&gt;0.5,AV910=TRUE,AW910=TRUE),"Invalid",IF(OR(O910="Unknown",Z910="Unknown",AC910="",AH910&lt;&gt;"Paid",AJ910&lt;&gt;"Completed",AO910&lt;&gt;""),"Warning","Clean"))</f>
        <v>Invalid</v>
      </c>
    </row>
    <row r="911" spans="1:52" ht="15.75" customHeight="1">
      <c r="A911" s="6" t="s">
        <v>1494</v>
      </c>
      <c r="B911" s="7" t="s">
        <v>1495</v>
      </c>
      <c r="C911" s="7" t="str">
        <f t="shared" si="124"/>
        <v>2024-08</v>
      </c>
      <c r="D911" s="7" cm="1">
        <f t="array" ref="D911">_xlfn.LET(_xlpm.x,B911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45522</v>
      </c>
      <c r="E911" s="7" t="s">
        <v>1496</v>
      </c>
      <c r="F911" s="7" cm="1">
        <f t="array" ref="F911">_xlfn.LET(_xlpm.x,E911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45528</v>
      </c>
      <c r="G911" s="8" t="str">
        <f t="shared" si="96"/>
        <v>OK</v>
      </c>
      <c r="H911" s="6">
        <f t="shared" si="97"/>
        <v>6</v>
      </c>
      <c r="I911" s="6" t="s">
        <v>1497</v>
      </c>
      <c r="J911" s="6" t="s">
        <v>153</v>
      </c>
      <c r="K911" s="6" t="str">
        <f t="shared" si="98"/>
        <v>Arjun Bose</v>
      </c>
      <c r="L911" s="6" t="s">
        <v>43</v>
      </c>
      <c r="M911" s="8" t="str">
        <f t="shared" si="99"/>
        <v>Consumer</v>
      </c>
      <c r="N911" s="6" t="s">
        <v>10</v>
      </c>
      <c r="O911" s="6" t="str">
        <f t="shared" si="100"/>
        <v>South</v>
      </c>
      <c r="P911" s="6" t="s">
        <v>183</v>
      </c>
      <c r="Q911" s="6" t="str">
        <f t="shared" si="101"/>
        <v>Andhra Pradesh</v>
      </c>
      <c r="R911" s="6" t="s">
        <v>184</v>
      </c>
      <c r="S911" s="6" t="str">
        <f t="shared" si="102"/>
        <v>Vijayawada</v>
      </c>
      <c r="T911" s="6" t="s">
        <v>14</v>
      </c>
      <c r="U911" s="8" t="str">
        <f t="shared" si="103"/>
        <v>Furniture</v>
      </c>
      <c r="V911" s="6" t="s">
        <v>16</v>
      </c>
      <c r="W911" s="6" t="str">
        <f t="shared" si="104"/>
        <v>Chairs</v>
      </c>
      <c r="X911" s="6" t="s">
        <v>1498</v>
      </c>
      <c r="Y911" s="6" t="s">
        <v>35</v>
      </c>
      <c r="Z911" s="6" t="str">
        <f t="shared" si="105"/>
        <v>First Class</v>
      </c>
      <c r="AA911" s="6">
        <v>7</v>
      </c>
      <c r="AB911" s="6">
        <v>557.21</v>
      </c>
      <c r="AC911" s="6">
        <v>0.1</v>
      </c>
      <c r="AD911" s="6">
        <v>3797.79</v>
      </c>
      <c r="AE911" s="6">
        <v>2191.5</v>
      </c>
      <c r="AF911" s="6">
        <v>1213.48</v>
      </c>
      <c r="AG911" s="6" t="s">
        <v>52</v>
      </c>
      <c r="AH911" s="6" t="str">
        <f t="shared" si="106"/>
        <v>Paid</v>
      </c>
      <c r="AI911" s="6" t="s">
        <v>59</v>
      </c>
      <c r="AJ911" s="6" t="str">
        <f t="shared" si="107"/>
        <v>Returned</v>
      </c>
      <c r="AK911" s="9" t="str">
        <f>_xlfn.TEXTJOIN("|",FALSE,A911,TEXT(B911,"mm-dd-yyyy"),TEXT(E911,"mm-dd-yyyy"),I911,J911,L911,N911,P911,R911,T911,V911,X911,Y911,AA911,AB911,AC911,AD911,AE911,AF911,AG911,AI911)</f>
        <v>ORD-2024-10273|08-18-2024|08-24-2024|CUST-7389|Arjun Bose|Consumer|South|Andhra Pradesh|Vijayawada|Furniture|Chairs|Eco Chairs 314|First Class|7|557.21|0.1|3797.79|2191.5|1213.48|Paid|Returned</v>
      </c>
      <c r="AL911" s="27" t="str">
        <f>IF(COUNTIF($AK$2:AK911,AK911)&gt;1,"Remove exact duplicate copy","Keep")</f>
        <v>Keep</v>
      </c>
      <c r="AM911" s="9">
        <f t="shared" si="108"/>
        <v>2</v>
      </c>
      <c r="AN911" s="9" t="str">
        <f t="shared" si="109"/>
        <v>Duplicate order_id</v>
      </c>
      <c r="AO911" s="9" t="str">
        <f t="shared" si="110"/>
        <v>Review conflicting duplicate</v>
      </c>
      <c r="AP911" s="9">
        <f t="shared" si="111"/>
        <v>0.1</v>
      </c>
      <c r="AQ911" s="10">
        <f t="shared" si="112"/>
        <v>3510.4230000000002</v>
      </c>
      <c r="AR911" s="10">
        <f t="shared" si="113"/>
        <v>1318.9230000000002</v>
      </c>
      <c r="AS911" s="11">
        <f t="shared" si="114"/>
        <v>0.37571625983535323</v>
      </c>
      <c r="AT911" s="9">
        <f t="shared" si="115"/>
        <v>8</v>
      </c>
      <c r="AU911" s="9">
        <f t="shared" si="116"/>
        <v>2024</v>
      </c>
      <c r="AV911" s="9" t="b">
        <f t="shared" si="117"/>
        <v>1</v>
      </c>
      <c r="AW911" s="9" t="b">
        <f t="shared" si="118"/>
        <v>1</v>
      </c>
      <c r="AX911" s="9" t="str">
        <f t="shared" si="119"/>
        <v>No</v>
      </c>
      <c r="AY911" s="9" t="str">
        <f t="shared" si="125"/>
        <v>Returned order excluded; Duplicate order ID conflict; Sales mismatch; Profit mismatch</v>
      </c>
      <c r="AZ911" s="9" t="str">
        <f>IF(OR(G911="Missing date",G911="Invalid date",G911="Ship date before order date",NOT(ISNUMBER(AP911)),AP911&lt;0,AP911&gt;0.5,AV911=TRUE,AW911=TRUE),"Invalid",IF(OR(O911="Unknown",Z911="Unknown",AC911="",AH911&lt;&gt;"Paid",AJ911&lt;&gt;"Completed",AO911&lt;&gt;""),"Warning","Clean"))</f>
        <v>Invalid</v>
      </c>
    </row>
    <row r="912" spans="1:52" ht="15.75" customHeight="1">
      <c r="A912" s="6" t="s">
        <v>789</v>
      </c>
      <c r="B912" s="7" t="s">
        <v>790</v>
      </c>
      <c r="C912" s="7" t="str">
        <f t="shared" si="124"/>
        <v>2024-05</v>
      </c>
      <c r="D912" s="7" cm="1">
        <f t="array" ref="D912">_xlfn.LET(_xlpm.x,B912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45436</v>
      </c>
      <c r="E912" s="7" t="s">
        <v>791</v>
      </c>
      <c r="F912" s="7" cm="1">
        <f t="array" ref="F912">_xlfn.LET(_xlpm.x,E912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45437</v>
      </c>
      <c r="G912" s="8" t="str">
        <f t="shared" si="96"/>
        <v>OK</v>
      </c>
      <c r="H912" s="6">
        <f t="shared" si="97"/>
        <v>1</v>
      </c>
      <c r="I912" s="6" t="s">
        <v>792</v>
      </c>
      <c r="J912" s="6" t="s">
        <v>245</v>
      </c>
      <c r="K912" s="6" t="str">
        <f t="shared" si="98"/>
        <v>Sneha Kapoor</v>
      </c>
      <c r="L912" s="6" t="s">
        <v>46</v>
      </c>
      <c r="M912" s="8" t="str">
        <f t="shared" si="99"/>
        <v>Small Business</v>
      </c>
      <c r="N912" s="6" t="s">
        <v>793</v>
      </c>
      <c r="O912" s="6" t="str">
        <f t="shared" si="100"/>
        <v>North</v>
      </c>
      <c r="P912" s="6" t="s">
        <v>232</v>
      </c>
      <c r="Q912" s="6" t="str">
        <f t="shared" si="101"/>
        <v>Punjab</v>
      </c>
      <c r="R912" s="6" t="s">
        <v>233</v>
      </c>
      <c r="S912" s="6" t="str">
        <f t="shared" si="102"/>
        <v>Ludhiana</v>
      </c>
      <c r="T912" s="6" t="s">
        <v>27</v>
      </c>
      <c r="U912" s="8" t="str">
        <f t="shared" si="103"/>
        <v>Technology</v>
      </c>
      <c r="V912" s="6" t="s">
        <v>29</v>
      </c>
      <c r="W912" s="6" t="str">
        <f t="shared" si="104"/>
        <v>Copiers</v>
      </c>
      <c r="X912" s="6" t="s">
        <v>794</v>
      </c>
      <c r="Y912" s="6" t="s">
        <v>37</v>
      </c>
      <c r="Z912" s="6" t="str">
        <f t="shared" si="105"/>
        <v>Same Day</v>
      </c>
      <c r="AA912" s="6">
        <v>1</v>
      </c>
      <c r="AB912" s="6">
        <v>634.13</v>
      </c>
      <c r="AC912" s="6">
        <v>0</v>
      </c>
      <c r="AD912" s="6">
        <v>808.67</v>
      </c>
      <c r="AE912" s="6">
        <v>453.35</v>
      </c>
      <c r="AF912" s="6">
        <v>180.78</v>
      </c>
      <c r="AG912" s="6" t="s">
        <v>56</v>
      </c>
      <c r="AH912" s="6" t="str">
        <f t="shared" si="106"/>
        <v>Refunded</v>
      </c>
      <c r="AI912" s="6" t="s">
        <v>59</v>
      </c>
      <c r="AJ912" s="6" t="str">
        <f t="shared" si="107"/>
        <v>Returned</v>
      </c>
      <c r="AK912" s="9" t="str">
        <f>_xlfn.TEXTJOIN("|",FALSE,A912,TEXT(B912,"mm-dd-yyyy"),TEXT(E912,"mm-dd-yyyy"),I912,J912,L912,N912,P912,R912,T912,V912,X912,Y912,AA912,AB912,AC912,AD912,AE912,AF912,AG912,AI912)</f>
        <v>ORD-2024-10124|05-24-2024|05-25-2024|CUST-1007|Sneha Kapoor|Small Business|NORTH|Punjab|Ludhiana|Technology|Copiers|Max Copiers 970|Same Day|1|634.13|0|808.67|453.35|180.78|Refunded|Returned</v>
      </c>
      <c r="AL912" s="27" t="str">
        <f>IF(COUNTIF($AK$2:AK912,AK912)&gt;1,"Remove exact duplicate copy","Keep")</f>
        <v>Keep</v>
      </c>
      <c r="AM912" s="9">
        <f t="shared" si="108"/>
        <v>2</v>
      </c>
      <c r="AN912" s="9" t="str">
        <f t="shared" si="109"/>
        <v>Duplicate order_id</v>
      </c>
      <c r="AO912" s="9" t="str">
        <f t="shared" si="110"/>
        <v>Review conflicting duplicate</v>
      </c>
      <c r="AP912" s="9">
        <f t="shared" si="111"/>
        <v>0</v>
      </c>
      <c r="AQ912" s="10">
        <f t="shared" si="112"/>
        <v>634.13</v>
      </c>
      <c r="AR912" s="10">
        <f t="shared" si="113"/>
        <v>180.77999999999997</v>
      </c>
      <c r="AS912" s="11">
        <f t="shared" si="114"/>
        <v>0.28508350022865969</v>
      </c>
      <c r="AT912" s="9">
        <f t="shared" si="115"/>
        <v>5</v>
      </c>
      <c r="AU912" s="9">
        <f t="shared" si="116"/>
        <v>2024</v>
      </c>
      <c r="AV912" s="9" t="b">
        <f t="shared" si="117"/>
        <v>1</v>
      </c>
      <c r="AW912" s="9" t="b">
        <f t="shared" si="118"/>
        <v>0</v>
      </c>
      <c r="AX912" s="9" t="str">
        <f t="shared" si="119"/>
        <v>No</v>
      </c>
      <c r="AY912" s="9" t="str">
        <f t="shared" si="125"/>
        <v>Refunded order summarized separately; Returned order excluded; Duplicate order ID conflict; Sales mismatch</v>
      </c>
      <c r="AZ912" s="9" t="str">
        <f>IF(OR(G912="Missing date",G912="Invalid date",G912="Ship date before order date",NOT(ISNUMBER(AP912)),AP912&lt;0,AP912&gt;0.5,AV912=TRUE,AW912=TRUE),"Invalid",IF(OR(O912="Unknown",Z912="Unknown",AC912="",AH912&lt;&gt;"Paid",AJ912&lt;&gt;"Completed",AO912&lt;&gt;""),"Warning","Clean"))</f>
        <v>Invalid</v>
      </c>
    </row>
    <row r="913" spans="1:52" ht="15.75" customHeight="1">
      <c r="A913" s="6" t="s">
        <v>1784</v>
      </c>
      <c r="B913" s="7" t="s">
        <v>1785</v>
      </c>
      <c r="C913" s="7" t="str">
        <f t="shared" si="124"/>
        <v>2025-06</v>
      </c>
      <c r="D913" s="7" cm="1">
        <f t="array" ref="D913">_xlfn.LET(_xlpm.x,B913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45824</v>
      </c>
      <c r="E913" s="7" t="s">
        <v>1786</v>
      </c>
      <c r="F913" s="7" cm="1">
        <f t="array" ref="F913">_xlfn.LET(_xlpm.x,E913,_xlpm.t,TRIM(_xlfn.SINGLE(_xlpm.x)&amp;""),IF(_xlfn.SINGLE(_xlpm.t)="","",IFERROR(_xlfn.SINGLE(IF(ISNUMBER(_xlfn.SINGLE(_xlpm.x)),_xlpm.x,IF(AND(LEN(_xlfn.SINGLE(_xlpm.t))=10,MID(_xlfn.SINGLE(_xlpm.t),5,1)="-"),DATE(LEFT(_xlfn.SINGLE(_xlpm.t),4),MID(_xlfn.SINGLE(_xlpm.t),6,2),RIGHT(_xlfn.SINGLE(_xlpm.t),2)),IF(ISNUMBER(SEARCH("/",_xlfn.SINGLE(_xlpm.t))),DATE(RIGHT(_xlfn.SINGLE(_xlpm.t),4),LEFT(_xlfn.SINGLE(_xlpm.t),FIND("/",_xlfn.SINGLE(_xlpm.t))-1),MID(_xlfn.SINGLE(_xlpm.t),FIND("/",_xlfn.SINGLE(_xlpm.t))+1,FIND("/",_xlfn.SINGLE(_xlpm.t),FIND("/",_xlfn.SINGLE(_xlpm.t))+1)-FIND("/",_xlfn.SINGLE(_xlpm.t))-1)),IF(ISNUMBER(SEARCH("-",_xlfn.SINGLE(_xlpm.t))),DATE(RIGHT(_xlfn.SINGLE(_xlpm.t),4),MID(_xlfn.SINGLE(_xlpm.t),FIND("-",_xlfn.SINGLE(_xlpm.t))+1,FIND("-",_xlfn.SINGLE(_xlpm.t),FIND("-",_xlfn.SINGLE(_xlpm.t))+1)-FIND("-",_xlfn.SINGLE(_xlpm.t))-1),LEFT(_xlfn.SINGLE(_xlpm.t),FIND("-",_xlfn.SINGLE(_xlpm.t))-1)),DATEVALUE(_xlfn.SINGLE(_xlpm.t))))))),"Invalid Date")))</f>
        <v>45826</v>
      </c>
      <c r="G913" s="8" t="str">
        <f t="shared" si="96"/>
        <v>OK</v>
      </c>
      <c r="H913" s="6">
        <f t="shared" si="97"/>
        <v>2</v>
      </c>
      <c r="I913" s="6" t="s">
        <v>1787</v>
      </c>
      <c r="J913" s="6" t="s">
        <v>226</v>
      </c>
      <c r="K913" s="6" t="str">
        <f t="shared" si="98"/>
        <v>Rahul Verma</v>
      </c>
      <c r="L913" s="6" t="s">
        <v>44</v>
      </c>
      <c r="M913" s="8" t="str">
        <f t="shared" si="99"/>
        <v>Home Office</v>
      </c>
      <c r="N913" s="6" t="s">
        <v>9</v>
      </c>
      <c r="O913" s="6" t="str">
        <f t="shared" si="100"/>
        <v>West</v>
      </c>
      <c r="P913" s="6" t="s">
        <v>170</v>
      </c>
      <c r="Q913" s="6" t="str">
        <f t="shared" si="101"/>
        <v>Madhya Pradesh</v>
      </c>
      <c r="R913" s="6" t="s">
        <v>171</v>
      </c>
      <c r="S913" s="6" t="str">
        <f t="shared" si="102"/>
        <v>Indore</v>
      </c>
      <c r="T913" s="6" t="s">
        <v>20</v>
      </c>
      <c r="U913" s="8" t="str">
        <f t="shared" si="103"/>
        <v>Office Supplies</v>
      </c>
      <c r="V913" s="6" t="s">
        <v>24</v>
      </c>
      <c r="W913" s="6" t="str">
        <f t="shared" si="104"/>
        <v>Paper</v>
      </c>
      <c r="X913" s="6" t="s">
        <v>1788</v>
      </c>
      <c r="Y913" s="6" t="s">
        <v>35</v>
      </c>
      <c r="Z913" s="6" t="str">
        <f t="shared" si="105"/>
        <v>First Class</v>
      </c>
      <c r="AA913" s="6">
        <v>3</v>
      </c>
      <c r="AB913" s="6">
        <v>4289.37</v>
      </c>
      <c r="AC913" s="6">
        <v>0.1</v>
      </c>
      <c r="AD913" s="6">
        <v>11778.71</v>
      </c>
      <c r="AE913" s="6">
        <v>6829.43</v>
      </c>
      <c r="AF913" s="6">
        <v>4751.87</v>
      </c>
      <c r="AG913" s="6" t="s">
        <v>52</v>
      </c>
      <c r="AH913" s="6" t="str">
        <f t="shared" si="106"/>
        <v>Paid</v>
      </c>
      <c r="AI913" s="6" t="s">
        <v>59</v>
      </c>
      <c r="AJ913" s="6" t="str">
        <f t="shared" si="107"/>
        <v>Returned</v>
      </c>
      <c r="AK913" s="9" t="str">
        <f>_xlfn.TEXTJOIN("|",FALSE,A913,TEXT(B913,"mm-dd-yyyy"),TEXT(E913,"mm-dd-yyyy"),I913,J913,L913,N913,P913,R913,T913,V913,X913,Y913,AA913,AB913,AC913,AD913,AE913,AF913,AG913,AI913)</f>
        <v>ORD-2025-10336|06-16-2025|06-18-2025|CUST-3621|Rahul Verma|Home Office|West|Madhya Pradesh|Indore|Office Supplies|Paper|Prime Paper 559|First Class|3|4289.37|0.1|11778.71|6829.43|4751.87|Paid|Returned</v>
      </c>
      <c r="AL913" s="27" t="str">
        <f>IF(COUNTIF($AK$2:AK913,AK913)&gt;1,"Remove exact duplicate copy","Keep")</f>
        <v>Keep</v>
      </c>
      <c r="AM913" s="9">
        <f t="shared" si="108"/>
        <v>2</v>
      </c>
      <c r="AN913" s="9" t="str">
        <f t="shared" si="109"/>
        <v>Duplicate order_id</v>
      </c>
      <c r="AO913" s="9" t="str">
        <f t="shared" si="110"/>
        <v>Review conflicting duplicate</v>
      </c>
      <c r="AP913" s="9">
        <f t="shared" si="111"/>
        <v>0.1</v>
      </c>
      <c r="AQ913" s="10">
        <f t="shared" si="112"/>
        <v>11581.299000000001</v>
      </c>
      <c r="AR913" s="10">
        <f t="shared" si="113"/>
        <v>4751.8690000000006</v>
      </c>
      <c r="AS913" s="11">
        <f t="shared" si="114"/>
        <v>0.41030535521101735</v>
      </c>
      <c r="AT913" s="9">
        <f t="shared" si="115"/>
        <v>6</v>
      </c>
      <c r="AU913" s="9">
        <f t="shared" si="116"/>
        <v>2025</v>
      </c>
      <c r="AV913" s="9" t="b">
        <f t="shared" si="117"/>
        <v>1</v>
      </c>
      <c r="AW913" s="9" t="b">
        <f t="shared" si="118"/>
        <v>0</v>
      </c>
      <c r="AX913" s="9" t="str">
        <f t="shared" si="119"/>
        <v>No</v>
      </c>
      <c r="AY913" s="9" t="str">
        <f t="shared" si="125"/>
        <v>Returned order excluded; Duplicate order ID conflict; Sales mismatch</v>
      </c>
      <c r="AZ913" s="9" t="str">
        <f>IF(OR(G913="Missing date",G913="Invalid date",G913="Ship date before order date",NOT(ISNUMBER(AP913)),AP913&lt;0,AP913&gt;0.5,AV913=TRUE,AW913=TRUE),"Invalid",IF(OR(O913="Unknown",Z913="Unknown",AC913="",AH913&lt;&gt;"Paid",AJ913&lt;&gt;"Completed",AO913&lt;&gt;""),"Warning","Clean"))</f>
        <v>Invalid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D17"/>
  <sheetViews>
    <sheetView workbookViewId="0">
      <selection activeCell="B12" sqref="B12"/>
    </sheetView>
  </sheetViews>
  <sheetFormatPr defaultColWidth="12.625" defaultRowHeight="15" customHeight="1"/>
  <cols>
    <col min="1" max="1" width="25.625" customWidth="1"/>
    <col min="2" max="2" width="42.625" customWidth="1"/>
    <col min="3" max="3" width="35.125" customWidth="1"/>
    <col min="4" max="4" width="49.75" customWidth="1"/>
  </cols>
  <sheetData>
    <row r="1" spans="1:4" ht="15" customHeight="1">
      <c r="A1" s="12" t="s">
        <v>4190</v>
      </c>
      <c r="B1" s="12" t="s">
        <v>4191</v>
      </c>
      <c r="C1" s="12" t="s">
        <v>4192</v>
      </c>
      <c r="D1" s="12" t="s">
        <v>4193</v>
      </c>
    </row>
    <row r="2" spans="1:4">
      <c r="A2" s="13" t="s">
        <v>4194</v>
      </c>
      <c r="B2" s="14" t="s">
        <v>4195</v>
      </c>
      <c r="C2" s="14" t="s">
        <v>4196</v>
      </c>
      <c r="D2" s="36" t="s">
        <v>4197</v>
      </c>
    </row>
    <row r="3" spans="1:4">
      <c r="A3" s="16" t="s">
        <v>4198</v>
      </c>
      <c r="B3" s="17" t="s">
        <v>4199</v>
      </c>
      <c r="C3" s="17" t="s">
        <v>4196</v>
      </c>
      <c r="D3" s="35" t="s">
        <v>4197</v>
      </c>
    </row>
    <row r="4" spans="1:4">
      <c r="A4" s="16" t="s">
        <v>4200</v>
      </c>
      <c r="B4" s="17" t="s">
        <v>4201</v>
      </c>
      <c r="C4" s="17" t="s">
        <v>4196</v>
      </c>
      <c r="D4" s="35" t="s">
        <v>4202</v>
      </c>
    </row>
    <row r="5" spans="1:4" ht="14.25">
      <c r="A5" s="16" t="s">
        <v>4203</v>
      </c>
      <c r="B5" s="17" t="s">
        <v>4204</v>
      </c>
      <c r="C5" s="17" t="s">
        <v>4196</v>
      </c>
      <c r="D5" s="35" t="s">
        <v>4205</v>
      </c>
    </row>
    <row r="6" spans="1:4" ht="14.25">
      <c r="A6" s="16" t="s">
        <v>4206</v>
      </c>
      <c r="B6" s="17" t="s">
        <v>4207</v>
      </c>
      <c r="C6" s="17" t="s">
        <v>4208</v>
      </c>
      <c r="D6" s="35" t="s">
        <v>4209</v>
      </c>
    </row>
    <row r="7" spans="1:4" ht="14.25">
      <c r="A7" s="19" t="s">
        <v>4210</v>
      </c>
      <c r="B7" s="20" t="s">
        <v>4211</v>
      </c>
      <c r="C7" s="20" t="s">
        <v>4196</v>
      </c>
      <c r="D7" s="37" t="s">
        <v>4212</v>
      </c>
    </row>
    <row r="9" spans="1:4" ht="15" customHeight="1">
      <c r="A9" s="12" t="s">
        <v>4213</v>
      </c>
      <c r="B9" s="12" t="s">
        <v>4214</v>
      </c>
      <c r="C9" s="12" t="s">
        <v>4215</v>
      </c>
      <c r="D9" s="12" t="s">
        <v>4216</v>
      </c>
    </row>
    <row r="10" spans="1:4">
      <c r="A10" s="13" t="s">
        <v>4217</v>
      </c>
      <c r="B10" s="22">
        <v>537</v>
      </c>
      <c r="C10" s="14" t="s">
        <v>4218</v>
      </c>
      <c r="D10" s="15" t="s">
        <v>4219</v>
      </c>
    </row>
    <row r="11" spans="1:4">
      <c r="A11" s="16" t="s">
        <v>4220</v>
      </c>
      <c r="B11" s="23">
        <v>5329453.84</v>
      </c>
      <c r="C11" s="17" t="s">
        <v>4221</v>
      </c>
      <c r="D11" s="18" t="s">
        <v>4222</v>
      </c>
    </row>
    <row r="12" spans="1:4">
      <c r="A12" s="16" t="s">
        <v>4223</v>
      </c>
      <c r="B12" s="23">
        <v>1549059.95</v>
      </c>
      <c r="C12" s="17" t="s">
        <v>4224</v>
      </c>
      <c r="D12" s="18" t="s">
        <v>4225</v>
      </c>
    </row>
    <row r="13" spans="1:4">
      <c r="A13" s="16" t="s">
        <v>4226</v>
      </c>
      <c r="B13" s="17" t="s">
        <v>10</v>
      </c>
      <c r="C13" s="17" t="s">
        <v>4227</v>
      </c>
      <c r="D13" s="18" t="s">
        <v>4228</v>
      </c>
    </row>
    <row r="14" spans="1:4">
      <c r="A14" s="16" t="s">
        <v>4229</v>
      </c>
      <c r="B14" s="17" t="s">
        <v>34</v>
      </c>
      <c r="C14" s="17" t="s">
        <v>4230</v>
      </c>
      <c r="D14" s="18" t="s">
        <v>4231</v>
      </c>
    </row>
    <row r="15" spans="1:4">
      <c r="A15" s="16" t="s">
        <v>4232</v>
      </c>
      <c r="B15" s="17" t="s">
        <v>44</v>
      </c>
      <c r="C15" s="17" t="s">
        <v>4233</v>
      </c>
      <c r="D15" s="18" t="s">
        <v>4234</v>
      </c>
    </row>
    <row r="16" spans="1:4">
      <c r="A16" s="16" t="s">
        <v>4235</v>
      </c>
      <c r="B16" s="17" t="s">
        <v>4236</v>
      </c>
      <c r="C16" s="17" t="s">
        <v>4237</v>
      </c>
      <c r="D16" s="18" t="s">
        <v>4238</v>
      </c>
    </row>
    <row r="17" spans="1:4">
      <c r="A17" s="19" t="s">
        <v>4239</v>
      </c>
      <c r="B17" s="24">
        <v>45689</v>
      </c>
      <c r="C17" s="20" t="s">
        <v>4240</v>
      </c>
      <c r="D17" s="21" t="s">
        <v>4241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000"/>
  <sheetViews>
    <sheetView workbookViewId="0"/>
  </sheetViews>
  <sheetFormatPr defaultColWidth="12.625" defaultRowHeight="15" customHeight="1"/>
  <cols>
    <col min="1" max="2" width="28" customWidth="1"/>
    <col min="3" max="26" width="8.625" customWidth="1"/>
  </cols>
  <sheetData>
    <row r="1" spans="1:2" ht="27.75" customHeight="1">
      <c r="A1" s="1" t="s">
        <v>4242</v>
      </c>
      <c r="B1" s="1" t="s">
        <v>4243</v>
      </c>
    </row>
    <row r="2" spans="1:2" ht="42.75">
      <c r="A2" s="25" t="s">
        <v>4244</v>
      </c>
      <c r="B2" s="25" t="s">
        <v>4245</v>
      </c>
    </row>
    <row r="3" spans="1:2" ht="28.5">
      <c r="A3" s="25" t="s">
        <v>4246</v>
      </c>
      <c r="B3" s="25" t="s">
        <v>4247</v>
      </c>
    </row>
    <row r="4" spans="1:2" ht="28.5">
      <c r="A4" s="25" t="s">
        <v>4248</v>
      </c>
      <c r="B4" s="25" t="s">
        <v>4247</v>
      </c>
    </row>
    <row r="5" spans="1:2" ht="28.5">
      <c r="A5" s="25" t="s">
        <v>4249</v>
      </c>
      <c r="B5" s="25" t="s">
        <v>4250</v>
      </c>
    </row>
    <row r="6" spans="1:2" ht="42.75">
      <c r="A6" s="25" t="s">
        <v>4251</v>
      </c>
      <c r="B6" s="25" t="s">
        <v>4252</v>
      </c>
    </row>
    <row r="7" spans="1:2" ht="57">
      <c r="A7" s="25" t="s">
        <v>4253</v>
      </c>
      <c r="B7" s="25" t="s">
        <v>4254</v>
      </c>
    </row>
    <row r="8" spans="1:2" ht="28.5">
      <c r="A8" s="25" t="s">
        <v>4255</v>
      </c>
      <c r="B8" s="25" t="s">
        <v>4256</v>
      </c>
    </row>
    <row r="9" spans="1:2" ht="42.75">
      <c r="A9" s="25" t="s">
        <v>4257</v>
      </c>
      <c r="B9" s="25" t="s">
        <v>4258</v>
      </c>
    </row>
    <row r="10" spans="1:2" ht="71.25">
      <c r="A10" s="25" t="s">
        <v>4259</v>
      </c>
      <c r="B10" s="25" t="s">
        <v>4260</v>
      </c>
    </row>
    <row r="11" spans="1:2" ht="42.75">
      <c r="A11" s="25" t="s">
        <v>4261</v>
      </c>
      <c r="B11" s="25" t="s">
        <v>4262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2026-06-21T17:28:06Z</dcterms:created>
  <dcterms:modified xsi:type="dcterms:W3CDTF">2026-06-22T09:46:32Z</dcterms:modified>
  <cp:category/>
  <cp:contentStatus/>
</cp:coreProperties>
</file>